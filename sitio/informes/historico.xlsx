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tables/table2.xml" ContentType="application/vnd.openxmlformats-officedocument.spreadsheetml.table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tables/table4.xml" ContentType="application/vnd.openxmlformats-officedocument.spreadsheetml.table+xml"/>
  <Override PartName="/xl/worksheets/sheet9.xml" ContentType="application/vnd.openxmlformats-officedocument.spreadsheetml.worksheet+xml"/>
  <Override PartName="/xl/tables/table5.xml" ContentType="application/vnd.openxmlformats-officedocument.spreadsheetml.table+xml"/>
  <Override PartName="/xl/worksheets/sheet10.xml" ContentType="application/vnd.openxmlformats-officedocument.spreadsheetml.worksheet+xml"/>
  <Override PartName="/xl/tables/table6.xml" ContentType="application/vnd.openxmlformats-officedocument.spreadsheetml.table+xml"/>
  <Override PartName="/xl/worksheets/sheet11.xml" ContentType="application/vnd.openxmlformats-officedocument.spreadsheetml.worksheet+xml"/>
  <Override PartName="/xl/tables/table7.xml" ContentType="application/vnd.openxmlformats-officedocument.spreadsheetml.table+xml"/>
  <Override PartName="/xl/worksheets/sheet12.xml" ContentType="application/vnd.openxmlformats-officedocument.spreadsheetml.worksheet+xml"/>
  <Override PartName="/xl/tables/table8.xml" ContentType="application/vnd.openxmlformats-officedocument.spreadsheetml.table+xml"/>
  <Override PartName="/xl/worksheets/sheet13.xml" ContentType="application/vnd.openxmlformats-officedocument.spreadsheetml.worksheet+xml"/>
  <Override PartName="/xl/tables/table9.xml" ContentType="application/vnd.openxmlformats-officedocument.spreadsheetml.table+xml"/>
  <Override PartName="/xl/worksheets/sheet14.xml" ContentType="application/vnd.openxmlformats-officedocument.spreadsheetml.worksheet+xml"/>
  <Override PartName="/xl/tables/table10.xml" ContentType="application/vnd.openxmlformats-officedocument.spreadsheetml.table+xml"/>
  <Override PartName="/xl/worksheets/sheet1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adro de mando" sheetId="1" state="visible" r:id="rId1"/>
    <sheet xmlns:r="http://schemas.openxmlformats.org/officeDocument/2006/relationships" name="Anual" sheetId="2" state="visible" r:id="rId2"/>
    <sheet xmlns:r="http://schemas.openxmlformats.org/officeDocument/2006/relationships" name="Mensual" sheetId="3" state="visible" r:id="rId3"/>
    <sheet xmlns:r="http://schemas.openxmlformats.org/officeDocument/2006/relationships" name="Gráficos" sheetId="4" state="visible" r:id="rId4"/>
    <sheet xmlns:r="http://schemas.openxmlformats.org/officeDocument/2006/relationships" name="Comparador" sheetId="5" state="visible" r:id="rId5"/>
    <sheet xmlns:r="http://schemas.openxmlformats.org/officeDocument/2006/relationships" name="Datos 1 OMIE" sheetId="6" state="visible" r:id="rId6"/>
    <sheet xmlns:r="http://schemas.openxmlformats.org/officeDocument/2006/relationships" name="Datos 2 MIBGAS" sheetId="7" state="visible" r:id="rId7"/>
    <sheet xmlns:r="http://schemas.openxmlformats.org/officeDocument/2006/relationships" name="Datos 3 Gasóleo A" sheetId="8" state="visible" r:id="rId8"/>
    <sheet xmlns:r="http://schemas.openxmlformats.org/officeDocument/2006/relationships" name="Datos 4 PVPC 2.0TD" sheetId="9" state="visible" r:id="rId9"/>
    <sheet xmlns:r="http://schemas.openxmlformats.org/officeDocument/2006/relationships" name="Datos 5 TUR 2" sheetId="10" state="visible" r:id="rId10"/>
    <sheet xmlns:r="http://schemas.openxmlformats.org/officeDocument/2006/relationships" name="Datos 6 Gasóleo C" sheetId="11" state="visible" r:id="rId11"/>
    <sheet xmlns:r="http://schemas.openxmlformats.org/officeDocument/2006/relationships" name="Datos 7 Butano" sheetId="12" state="visible" r:id="rId12"/>
    <sheet xmlns:r="http://schemas.openxmlformats.org/officeDocument/2006/relationships" name="Datos 8 Pellet saco 15 kg" sheetId="13" state="visible" r:id="rId13"/>
    <sheet xmlns:r="http://schemas.openxmlformats.org/officeDocument/2006/relationships" name="Datos 8 Pellet granel" sheetId="14" state="visible" r:id="rId14"/>
    <sheet xmlns:r="http://schemas.openxmlformats.org/officeDocument/2006/relationships" name="Fuentes y criterio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0.0000 &quot;€/kWh&quot;"/>
    <numFmt numFmtId="165" formatCode="0.000 &quot;€/kWh&quot;"/>
    <numFmt numFmtId="166" formatCode="0.0000"/>
    <numFmt numFmtId="167" formatCode="+0.0%;-0.0%;0.0%"/>
    <numFmt numFmtId="168" formatCode="0.000"/>
    <numFmt numFmtId="169" formatCode="[&gt;=50]0.0;0.0000"/>
    <numFmt numFmtId="170" formatCode="yyyy-mm-dd"/>
    <numFmt numFmtId="171" formatCode="DD/MM/YYYY"/>
    <numFmt numFmtId="172" formatCode="0.000000"/>
  </numFmts>
  <fonts count="15">
    <font>
      <name val="Calibri"/>
      <family val="2"/>
      <color theme="1"/>
      <sz val="11"/>
      <scheme val="minor"/>
    </font>
    <font>
      <name val="Calibri"/>
      <b val="1"/>
      <color rgb="000B0B0B"/>
      <sz val="16"/>
    </font>
    <font>
      <name val="Calibri"/>
      <color rgb="0052514E"/>
      <sz val="9"/>
    </font>
    <font>
      <name val="Calibri"/>
      <b val="1"/>
      <color rgb="00FFFFFF"/>
      <sz val="11"/>
    </font>
    <font>
      <name val="Calibri"/>
      <b val="1"/>
      <color rgb="000B0B0B"/>
      <sz val="18"/>
    </font>
    <font>
      <name val="Calibri"/>
      <color rgb="000B0B0B"/>
      <sz val="9"/>
    </font>
    <font>
      <name val="Calibri"/>
      <color rgb="000ca30c"/>
      <sz val="9"/>
    </font>
    <font>
      <name val="Calibri"/>
      <color rgb="00d03b3b"/>
      <sz val="9"/>
    </font>
    <font>
      <name val="Calibri"/>
      <color rgb="0052514e"/>
      <sz val="9"/>
    </font>
    <font>
      <name val="Calibri"/>
      <b val="1"/>
      <color rgb="000B0B0B"/>
      <sz val="12"/>
    </font>
    <font>
      <name val="Calibri"/>
      <b val="1"/>
      <color rgb="00FFFFFF"/>
    </font>
    <font>
      <b val="1"/>
      <sz val="12"/>
    </font>
    <font>
      <b val="1"/>
      <color rgb="00FFFFFF"/>
    </font>
    <font>
      <b val="1"/>
      <color rgb="0052514E"/>
    </font>
    <font>
      <b val="1"/>
    </font>
  </fonts>
  <fills count="13">
    <fill>
      <patternFill/>
    </fill>
    <fill>
      <patternFill patternType="gray125"/>
    </fill>
    <fill>
      <patternFill patternType="solid">
        <fgColor rgb="002a78d6"/>
      </patternFill>
    </fill>
    <fill>
      <patternFill patternType="solid">
        <fgColor rgb="00F3F2EF"/>
      </patternFill>
    </fill>
    <fill>
      <patternFill patternType="solid">
        <fgColor rgb="00eb6834"/>
      </patternFill>
    </fill>
    <fill>
      <patternFill patternType="solid">
        <fgColor rgb="001baf7a"/>
      </patternFill>
    </fill>
    <fill>
      <patternFill patternType="solid">
        <fgColor rgb="00eda100"/>
      </patternFill>
    </fill>
    <fill>
      <patternFill patternType="solid">
        <fgColor rgb="00e87ba4"/>
      </patternFill>
    </fill>
    <fill>
      <patternFill patternType="solid">
        <fgColor rgb="00008300"/>
      </patternFill>
    </fill>
    <fill>
      <patternFill patternType="solid">
        <fgColor rgb="006250d6"/>
      </patternFill>
    </fill>
    <fill>
      <patternFill patternType="solid">
        <fgColor rgb="00e34948"/>
      </patternFill>
    </fill>
    <fill>
      <patternFill patternType="solid">
        <fgColor rgb="002A78D6"/>
      </patternFill>
    </fill>
    <fill>
      <patternFill patternType="solid">
        <fgColor rgb="00FFF4D6"/>
      </patternFill>
    </fill>
  </fills>
  <borders count="3">
    <border>
      <left/>
      <right/>
      <top/>
      <bottom/>
      <diagonal/>
    </border>
    <border>
      <bottom style="thin">
        <color rgb="00DCDAD4"/>
      </bottom>
    </border>
    <border>
      <left style="thin">
        <color rgb="00DCDAD4"/>
      </left>
      <right style="thin">
        <color rgb="00DCDAD4"/>
      </right>
      <top style="thin">
        <color rgb="00DCDAD4"/>
      </top>
      <bottom style="thin">
        <color rgb="00DCDAD4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3" fillId="5" borderId="0" applyAlignment="1" pivotButton="0" quotePrefix="0" xfId="0">
      <alignment horizontal="left" vertical="center"/>
    </xf>
    <xf numFmtId="0" fontId="0" fillId="5" borderId="0" pivotButton="0" quotePrefix="0" xfId="0"/>
    <xf numFmtId="0" fontId="3" fillId="6" borderId="0" applyAlignment="1" pivotButton="0" quotePrefix="0" xfId="0">
      <alignment horizontal="left" vertical="center"/>
    </xf>
    <xf numFmtId="0" fontId="0" fillId="6" borderId="0" pivotButton="0" quotePrefix="0" xfId="0"/>
    <xf numFmtId="164" fontId="4" fillId="3" borderId="0" applyAlignment="1" pivotButton="0" quotePrefix="0" xfId="0">
      <alignment horizontal="left" vertical="center"/>
    </xf>
    <xf numFmtId="0" fontId="0" fillId="3" borderId="0" pivotButton="0" quotePrefix="0" xfId="0"/>
    <xf numFmtId="165" fontId="4" fillId="3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7" borderId="0" applyAlignment="1" pivotButton="0" quotePrefix="0" xfId="0">
      <alignment horizontal="left" vertical="center"/>
    </xf>
    <xf numFmtId="0" fontId="3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3" fillId="9" borderId="0" applyAlignment="1" pivotButton="0" quotePrefix="0" xfId="0">
      <alignment horizontal="left" vertical="center"/>
    </xf>
    <xf numFmtId="0" fontId="0" fillId="9" borderId="0" pivotButton="0" quotePrefix="0" xfId="0"/>
    <xf numFmtId="0" fontId="3" fillId="10" borderId="0" applyAlignment="1" pivotButton="0" quotePrefix="0" xfId="0">
      <alignment horizontal="left" vertical="center"/>
    </xf>
    <xf numFmtId="0" fontId="0" fillId="10" borderId="0" pivotButton="0" quotePrefix="0" xfId="0"/>
    <xf numFmtId="0" fontId="9" fillId="0" borderId="0" pivotButton="0" quotePrefix="0" xfId="0"/>
    <xf numFmtId="0" fontId="10" fillId="11" borderId="0" applyAlignment="1" pivotButton="0" quotePrefix="0" xfId="0">
      <alignment vertical="center" wrapText="1"/>
    </xf>
    <xf numFmtId="0" fontId="12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166" fontId="11" fillId="0" borderId="1" applyAlignment="1" pivotButton="0" quotePrefix="0" xfId="0">
      <alignment vertical="center"/>
    </xf>
    <xf numFmtId="167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0" fontId="12" fillId="4" borderId="1" applyAlignment="1" pivotButton="0" quotePrefix="0" xfId="0">
      <alignment vertical="center"/>
    </xf>
    <xf numFmtId="0" fontId="12" fillId="5" borderId="1" applyAlignment="1" pivotButton="0" quotePrefix="0" xfId="0">
      <alignment vertical="center"/>
    </xf>
    <xf numFmtId="168" fontId="11" fillId="0" borderId="1" applyAlignment="1" pivotButton="0" quotePrefix="0" xfId="0">
      <alignment vertical="center"/>
    </xf>
    <xf numFmtId="166" fontId="0" fillId="0" borderId="1" applyAlignment="1" pivotButton="0" quotePrefix="0" xfId="0">
      <alignment vertical="center"/>
    </xf>
    <xf numFmtId="0" fontId="12" fillId="6" borderId="1" applyAlignment="1" pivotButton="0" quotePrefix="0" xfId="0">
      <alignment vertical="center"/>
    </xf>
    <xf numFmtId="0" fontId="12" fillId="7" borderId="1" applyAlignment="1" pivotButton="0" quotePrefix="0" xfId="0">
      <alignment vertical="center"/>
    </xf>
    <xf numFmtId="0" fontId="12" fillId="8" borderId="1" applyAlignment="1" pivotButton="0" quotePrefix="0" xfId="0">
      <alignment vertical="center"/>
    </xf>
    <xf numFmtId="0" fontId="12" fillId="9" borderId="1" applyAlignment="1" pivotButton="0" quotePrefix="0" xfId="0">
      <alignment vertical="center"/>
    </xf>
    <xf numFmtId="0" fontId="12" fillId="10" borderId="1" applyAlignment="1" pivotButton="0" quotePrefix="0" xfId="0">
      <alignment vertical="center"/>
    </xf>
    <xf numFmtId="0" fontId="0" fillId="0" borderId="0" applyAlignment="1" pivotButton="0" quotePrefix="0" xfId="0">
      <alignment/>
    </xf>
    <xf numFmtId="0" fontId="0" fillId="0" borderId="1" pivotButton="0" quotePrefix="0" xfId="0"/>
    <xf numFmtId="168" fontId="0" fillId="0" borderId="1" pivotButton="0" quotePrefix="0" xfId="0"/>
    <xf numFmtId="166" fontId="0" fillId="0" borderId="0" pivotButton="0" quotePrefix="0" xfId="0"/>
    <xf numFmtId="2" fontId="0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0" fillId="12" borderId="2" pivotButton="0" quotePrefix="0" xfId="0"/>
    <xf numFmtId="166" fontId="2" fillId="0" borderId="0" pivotButton="0" quotePrefix="0" xfId="0"/>
    <xf numFmtId="0" fontId="10" fillId="11" borderId="0" pivotButton="0" quotePrefix="0" xfId="0"/>
    <xf numFmtId="169" fontId="0" fillId="0" borderId="0" pivotButton="0" quotePrefix="0" xfId="0"/>
    <xf numFmtId="171" fontId="0" fillId="0" borderId="0" pivotButton="0" quotePrefix="0" xfId="0"/>
    <xf numFmtId="172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ont>
        <color rgb="00D03B3B"/>
      </font>
    </dxf>
    <dxf>
      <font>
        <color rgb="000CA30C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Coste por kWh de la energía final, con impuestos (€/kWh)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'Cuadro de mando'!D41</f>
            </strRef>
          </tx>
          <spPr>
            <a:ln xmlns:a="http://schemas.openxmlformats.org/drawingml/2006/main">
              <a:prstDash val="solid"/>
            </a:ln>
          </spPr>
          <cat>
            <numRef>
              <f>'Cuadro de mando'!$C$42:$C$48</f>
            </numRef>
          </cat>
          <val>
            <numRef>
              <f>'Cuadro de mando'!$D$42:$D$48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0.000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Comparativo en €/kWh (medias mensuales)</a:t>
            </a:r>
          </a:p>
        </rich>
      </tx>
    </title>
    <plotArea>
      <lineChart>
        <grouping val="standard"/>
        <ser>
          <idx val="0"/>
          <order val="0"/>
          <tx>
            <strRef>
              <f>'Mensual'!B1</f>
            </strRef>
          </tx>
          <spPr>
            <a:ln xmlns:a="http://schemas.openxmlformats.org/drawingml/2006/main" w="15000">
              <a:solidFill>
                <a:srgbClr val="2a78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'Mensual'!$A$2:$A$83</f>
            </numRef>
          </cat>
          <val>
            <numRef>
              <f>'Mensual'!$B$2:$B$83</f>
            </numRef>
          </val>
          <smooth val="0"/>
        </ser>
        <ser>
          <idx val="1"/>
          <order val="1"/>
          <tx>
            <strRef>
              <f>'Mensual'!D1</f>
            </strRef>
          </tx>
          <spPr>
            <a:ln xmlns:a="http://schemas.openxmlformats.org/drawingml/2006/main" w="15000">
              <a:solidFill>
                <a:srgbClr val="eb683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'Mensual'!$A$2:$A$83</f>
            </numRef>
          </cat>
          <val>
            <numRef>
              <f>'Mensual'!$D$2:$D$83</f>
            </numRef>
          </val>
          <smooth val="0"/>
        </ser>
        <ser>
          <idx val="2"/>
          <order val="2"/>
          <tx>
            <strRef>
              <f>'Mensual'!F1</f>
            </strRef>
          </tx>
          <spPr>
            <a:ln xmlns:a="http://schemas.openxmlformats.org/drawingml/2006/main" w="15000">
              <a:solidFill>
                <a:srgbClr val="1baf7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'Mensual'!$A$2:$A$83</f>
            </numRef>
          </cat>
          <val>
            <numRef>
              <f>'Mensual'!$F$2:$F$83</f>
            </numRef>
          </val>
          <smooth val="0"/>
        </ser>
        <ser>
          <idx val="3"/>
          <order val="3"/>
          <tx>
            <strRef>
              <f>'Mensual'!H1</f>
            </strRef>
          </tx>
          <spPr>
            <a:ln xmlns:a="http://schemas.openxmlformats.org/drawingml/2006/main" w="15000">
              <a:solidFill>
                <a:srgbClr val="eda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'Mensual'!$A$2:$A$83</f>
            </numRef>
          </cat>
          <val>
            <numRef>
              <f>'Mensual'!$H$2:$H$83</f>
            </numRef>
          </val>
          <smooth val="0"/>
        </ser>
        <ser>
          <idx val="4"/>
          <order val="4"/>
          <tx>
            <strRef>
              <f>'Mensual'!J1</f>
            </strRef>
          </tx>
          <spPr>
            <a:ln xmlns:a="http://schemas.openxmlformats.org/drawingml/2006/main" w="15000">
              <a:solidFill>
                <a:srgbClr val="e87ba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'Mensual'!$A$2:$A$83</f>
            </numRef>
          </cat>
          <val>
            <numRef>
              <f>'Mensual'!$J$2:$J$83</f>
            </numRef>
          </val>
          <smooth val="0"/>
        </ser>
        <ser>
          <idx val="5"/>
          <order val="5"/>
          <tx>
            <strRef>
              <f>'Mensual'!L1</f>
            </strRef>
          </tx>
          <spPr>
            <a:ln xmlns:a="http://schemas.openxmlformats.org/drawingml/2006/main" w="15000">
              <a:solidFill>
                <a:srgbClr val="0083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'Mensual'!$A$2:$A$83</f>
            </numRef>
          </cat>
          <val>
            <numRef>
              <f>'Mensual'!$L$2:$L$83</f>
            </numRef>
          </val>
          <smooth val="0"/>
        </ser>
        <ser>
          <idx val="6"/>
          <order val="6"/>
          <tx>
            <strRef>
              <f>'Mensual'!N1</f>
            </strRef>
          </tx>
          <spPr>
            <a:ln xmlns:a="http://schemas.openxmlformats.org/drawingml/2006/main" w="15000">
              <a:solidFill>
                <a:srgbClr val="6250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'Mensual'!$A$2:$A$83</f>
            </numRef>
          </cat>
          <val>
            <numRef>
              <f>'Mensual'!$N$2:$N$83</f>
            </numRef>
          </val>
          <smooth val="0"/>
        </ser>
        <ser>
          <idx val="7"/>
          <order val="7"/>
          <tx>
            <strRef>
              <f>'Mensual'!P1</f>
            </strRef>
          </tx>
          <spPr>
            <a:ln xmlns:a="http://schemas.openxmlformats.org/drawingml/2006/main" w="15000">
              <a:solidFill>
                <a:srgbClr val="e3494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'Mensual'!$A$2:$A$83</f>
            </numRef>
          </cat>
          <val>
            <numRef>
              <f>'Mensual'!$P$2:$P$83</f>
            </numRef>
          </val>
          <smooth val="0"/>
        </ser>
        <ser>
          <idx val="8"/>
          <order val="8"/>
          <tx>
            <strRef>
              <f>'Mensual'!R1</f>
            </strRef>
          </tx>
          <spPr>
            <a:ln xmlns:a="http://schemas.openxmlformats.org/drawingml/2006/main" w="15000">
              <a:solidFill>
                <a:srgbClr val="e34948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'Mensual'!$A$2:$A$83</f>
            </numRef>
          </cat>
          <val>
            <numRef>
              <f>'Mensual'!$R$2:$R$83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€/kWh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Media anual en €/kWh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'Anual'!B1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prstDash val="solid"/>
            </a:ln>
          </spPr>
          <cat>
            <numRef>
              <f>'Anual'!$A$2:$A$8</f>
            </numRef>
          </cat>
          <val>
            <numRef>
              <f>'Anual'!$B$2:$B$8</f>
            </numRef>
          </val>
        </ser>
        <ser>
          <idx val="1"/>
          <order val="1"/>
          <tx>
            <strRef>
              <f>'Anual'!C1</f>
            </strRef>
          </tx>
          <spPr>
            <a:solidFill xmlns:a="http://schemas.openxmlformats.org/drawingml/2006/main">
              <a:srgbClr val="eb6834"/>
            </a:solidFill>
            <a:ln xmlns:a="http://schemas.openxmlformats.org/drawingml/2006/main">
              <a:prstDash val="solid"/>
            </a:ln>
          </spPr>
          <cat>
            <numRef>
              <f>'Anual'!$A$2:$A$8</f>
            </numRef>
          </cat>
          <val>
            <numRef>
              <f>'Anual'!$C$2:$C$8</f>
            </numRef>
          </val>
        </ser>
        <ser>
          <idx val="2"/>
          <order val="2"/>
          <tx>
            <strRef>
              <f>'Anual'!D1</f>
            </strRef>
          </tx>
          <spPr>
            <a:solidFill xmlns:a="http://schemas.openxmlformats.org/drawingml/2006/main">
              <a:srgbClr val="1baf7a"/>
            </a:solidFill>
            <a:ln xmlns:a="http://schemas.openxmlformats.org/drawingml/2006/main">
              <a:prstDash val="solid"/>
            </a:ln>
          </spPr>
          <cat>
            <numRef>
              <f>'Anual'!$A$2:$A$8</f>
            </numRef>
          </cat>
          <val>
            <numRef>
              <f>'Anual'!$D$2:$D$8</f>
            </numRef>
          </val>
        </ser>
        <ser>
          <idx val="3"/>
          <order val="3"/>
          <tx>
            <strRef>
              <f>'Anual'!E1</f>
            </strRef>
          </tx>
          <spPr>
            <a:solidFill xmlns:a="http://schemas.openxmlformats.org/drawingml/2006/main">
              <a:srgbClr val="eda100"/>
            </a:solidFill>
            <a:ln xmlns:a="http://schemas.openxmlformats.org/drawingml/2006/main">
              <a:prstDash val="solid"/>
            </a:ln>
          </spPr>
          <cat>
            <numRef>
              <f>'Anual'!$A$2:$A$8</f>
            </numRef>
          </cat>
          <val>
            <numRef>
              <f>'Anual'!$E$2:$E$8</f>
            </numRef>
          </val>
        </ser>
        <ser>
          <idx val="4"/>
          <order val="4"/>
          <tx>
            <strRef>
              <f>'Anual'!F1</f>
            </strRef>
          </tx>
          <spPr>
            <a:solidFill xmlns:a="http://schemas.openxmlformats.org/drawingml/2006/main">
              <a:srgbClr val="e87ba4"/>
            </a:solidFill>
            <a:ln xmlns:a="http://schemas.openxmlformats.org/drawingml/2006/main">
              <a:prstDash val="solid"/>
            </a:ln>
          </spPr>
          <cat>
            <numRef>
              <f>'Anual'!$A$2:$A$8</f>
            </numRef>
          </cat>
          <val>
            <numRef>
              <f>'Anual'!$F$2:$F$8</f>
            </numRef>
          </val>
        </ser>
        <ser>
          <idx val="5"/>
          <order val="5"/>
          <tx>
            <strRef>
              <f>'Anual'!G1</f>
            </strRef>
          </tx>
          <spPr>
            <a:solidFill xmlns:a="http://schemas.openxmlformats.org/drawingml/2006/main">
              <a:srgbClr val="008300"/>
            </a:solidFill>
            <a:ln xmlns:a="http://schemas.openxmlformats.org/drawingml/2006/main">
              <a:prstDash val="solid"/>
            </a:ln>
          </spPr>
          <cat>
            <numRef>
              <f>'Anual'!$A$2:$A$8</f>
            </numRef>
          </cat>
          <val>
            <numRef>
              <f>'Anual'!$G$2:$G$8</f>
            </numRef>
          </val>
        </ser>
        <ser>
          <idx val="6"/>
          <order val="6"/>
          <tx>
            <strRef>
              <f>'Anual'!H1</f>
            </strRef>
          </tx>
          <spPr>
            <a:solidFill xmlns:a="http://schemas.openxmlformats.org/drawingml/2006/main">
              <a:srgbClr val="6250d6"/>
            </a:solidFill>
            <a:ln xmlns:a="http://schemas.openxmlformats.org/drawingml/2006/main">
              <a:prstDash val="solid"/>
            </a:ln>
          </spPr>
          <cat>
            <numRef>
              <f>'Anual'!$A$2:$A$8</f>
            </numRef>
          </cat>
          <val>
            <numRef>
              <f>'Anual'!$H$2:$H$8</f>
            </numRef>
          </val>
        </ser>
        <ser>
          <idx val="7"/>
          <order val="7"/>
          <tx>
            <strRef>
              <f>'Anual'!I1</f>
            </strRef>
          </tx>
          <spPr>
            <a:solidFill xmlns:a="http://schemas.openxmlformats.org/drawingml/2006/main">
              <a:srgbClr val="e34948"/>
            </a:solidFill>
            <a:ln xmlns:a="http://schemas.openxmlformats.org/drawingml/2006/main">
              <a:prstDash val="solid"/>
            </a:ln>
          </spPr>
          <cat>
            <numRef>
              <f>'Anual'!$A$2:$A$8</f>
            </numRef>
          </cat>
          <val>
            <numRef>
              <f>'Anual'!$I$2:$I$8</f>
            </numRef>
          </val>
        </ser>
        <ser>
          <idx val="8"/>
          <order val="8"/>
          <tx>
            <strRef>
              <f>'Anual'!J1</f>
            </strRef>
          </tx>
          <spPr>
            <a:solidFill xmlns:a="http://schemas.openxmlformats.org/drawingml/2006/main">
              <a:srgbClr val="e34948"/>
            </a:solidFill>
            <a:ln xmlns:a="http://schemas.openxmlformats.org/drawingml/2006/main">
              <a:prstDash val="solid"/>
            </a:ln>
          </spPr>
          <cat>
            <numRef>
              <f>'Anual'!$A$2:$A$8</f>
            </numRef>
          </cat>
          <val>
            <numRef>
              <f>'Anual'!$J$2:$J$8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1. OMIE (€/MWh, media mensual)</a:t>
            </a:r>
          </a:p>
        </rich>
      </tx>
    </title>
    <plotArea>
      <lineChart>
        <grouping val="standard"/>
        <ser>
          <idx val="0"/>
          <order val="0"/>
          <tx>
            <strRef>
              <f>'Mensual'!C1</f>
            </strRef>
          </tx>
          <spPr>
            <a:ln xmlns:a="http://schemas.openxmlformats.org/drawingml/2006/main" w="15000">
              <a:solidFill>
                <a:srgbClr val="2a78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'Mensual'!$A$2:$A$83</f>
            </numRef>
          </cat>
          <val>
            <numRef>
              <f>'Mensual'!$C$2:$C$83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2. MIBGAS (€/MWh, media mensual)</a:t>
            </a:r>
          </a:p>
        </rich>
      </tx>
    </title>
    <plotArea>
      <lineChart>
        <grouping val="standard"/>
        <ser>
          <idx val="0"/>
          <order val="0"/>
          <tx>
            <strRef>
              <f>'Mensual'!E1</f>
            </strRef>
          </tx>
          <spPr>
            <a:ln xmlns:a="http://schemas.openxmlformats.org/drawingml/2006/main" w="15000">
              <a:solidFill>
                <a:srgbClr val="eb683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'Mensual'!$A$2:$A$83</f>
            </numRef>
          </cat>
          <val>
            <numRef>
              <f>'Mensual'!$E$2:$E$83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3. Gasóleo A (€/l, media mensual)</a:t>
            </a:r>
          </a:p>
        </rich>
      </tx>
    </title>
    <plotArea>
      <lineChart>
        <grouping val="standard"/>
        <ser>
          <idx val="0"/>
          <order val="0"/>
          <tx>
            <strRef>
              <f>'Mensual'!G1</f>
            </strRef>
          </tx>
          <spPr>
            <a:ln xmlns:a="http://schemas.openxmlformats.org/drawingml/2006/main" w="15000">
              <a:solidFill>
                <a:srgbClr val="1baf7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'Mensual'!$A$2:$A$83</f>
            </numRef>
          </cat>
          <val>
            <numRef>
              <f>'Mensual'!$G$2:$G$83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4. PVPC 2.0TD (€/MWh, media mensual)</a:t>
            </a:r>
          </a:p>
        </rich>
      </tx>
    </title>
    <plotArea>
      <lineChart>
        <grouping val="standard"/>
        <ser>
          <idx val="0"/>
          <order val="0"/>
          <tx>
            <strRef>
              <f>'Mensual'!I1</f>
            </strRef>
          </tx>
          <spPr>
            <a:ln xmlns:a="http://schemas.openxmlformats.org/drawingml/2006/main" w="15000">
              <a:solidFill>
                <a:srgbClr val="eda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'Mensual'!$A$2:$A$83</f>
            </numRef>
          </cat>
          <val>
            <numRef>
              <f>'Mensual'!$I$2:$I$83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5. TUR 2 (c€/kWh (PCS), media mensual)</a:t>
            </a:r>
          </a:p>
        </rich>
      </tx>
    </title>
    <plotArea>
      <lineChart>
        <grouping val="standard"/>
        <ser>
          <idx val="0"/>
          <order val="0"/>
          <tx>
            <strRef>
              <f>'Mensual'!K1</f>
            </strRef>
          </tx>
          <spPr>
            <a:ln xmlns:a="http://schemas.openxmlformats.org/drawingml/2006/main" w="15000">
              <a:solidFill>
                <a:srgbClr val="e87ba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'Mensual'!$A$2:$A$83</f>
            </numRef>
          </cat>
          <val>
            <numRef>
              <f>'Mensual'!$K$2:$K$83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6. Gasóleo C (€/l, media mensual)</a:t>
            </a:r>
          </a:p>
        </rich>
      </tx>
    </title>
    <plotArea>
      <lineChart>
        <grouping val="standard"/>
        <ser>
          <idx val="0"/>
          <order val="0"/>
          <tx>
            <strRef>
              <f>'Mensual'!M1</f>
            </strRef>
          </tx>
          <spPr>
            <a:ln xmlns:a="http://schemas.openxmlformats.org/drawingml/2006/main" w="15000">
              <a:solidFill>
                <a:srgbClr val="0083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'Mensual'!$A$2:$A$83</f>
            </numRef>
          </cat>
          <val>
            <numRef>
              <f>'Mensual'!$M$2:$M$83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7. Butano (c€/kg (antes de impuestos), media mensual)</a:t>
            </a:r>
          </a:p>
        </rich>
      </tx>
    </title>
    <plotArea>
      <lineChart>
        <grouping val="standard"/>
        <ser>
          <idx val="0"/>
          <order val="0"/>
          <tx>
            <strRef>
              <f>'Mensual'!O1</f>
            </strRef>
          </tx>
          <spPr>
            <a:ln xmlns:a="http://schemas.openxmlformats.org/drawingml/2006/main" w="15000">
              <a:solidFill>
                <a:srgbClr val="6250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'Mensual'!$A$2:$A$83</f>
            </numRef>
          </cat>
          <val>
            <numRef>
              <f>'Mensual'!$O$2:$O$83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8. Pellet saco 15 kg (€/saco, media mensual)</a:t>
            </a:r>
          </a:p>
        </rich>
      </tx>
    </title>
    <plotArea>
      <lineChart>
        <grouping val="standard"/>
        <ser>
          <idx val="0"/>
          <order val="0"/>
          <tx>
            <strRef>
              <f>'Mensual'!Q1</f>
            </strRef>
          </tx>
          <spPr>
            <a:ln xmlns:a="http://schemas.openxmlformats.org/drawingml/2006/main" w="15000">
              <a:solidFill>
                <a:srgbClr val="e3494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'Mensual'!$A$2:$A$83</f>
            </numRef>
          </cat>
          <val>
            <numRef>
              <f>'Mensual'!$Q$2:$Q$83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8. Pellet granel (€/t, media mensual)</a:t>
            </a:r>
          </a:p>
        </rich>
      </tx>
    </title>
    <plotArea>
      <lineChart>
        <grouping val="standard"/>
        <ser>
          <idx val="0"/>
          <order val="0"/>
          <tx>
            <strRef>
              <f>'Mensual'!S1</f>
            </strRef>
          </tx>
          <spPr>
            <a:ln xmlns:a="http://schemas.openxmlformats.org/drawingml/2006/main" w="15000">
              <a:solidFill>
                <a:srgbClr val="e3494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'Mensual'!$A$2:$A$83</f>
            </numRef>
          </cat>
          <val>
            <numRef>
              <f>'Mensual'!$S$2:$S$83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Comparador (series elegidas; cambia con los desplegables)</a:t>
            </a:r>
          </a:p>
        </rich>
      </tx>
    </title>
    <plotArea>
      <lineChart>
        <grouping val="standard"/>
        <ser>
          <idx val="0"/>
          <order val="0"/>
          <tx>
            <strRef>
              <f>'Comparador'!B14</f>
            </strRef>
          </tx>
          <spPr>
            <a:ln xmlns:a="http://schemas.openxmlformats.org/drawingml/2006/main" w="18000">
              <a:solidFill>
                <a:srgbClr val="0083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'Comparador'!$A$15:$A$96</f>
            </numRef>
          </cat>
          <val>
            <numRef>
              <f>'Comparador'!$B$15:$B$96</f>
            </numRef>
          </val>
          <smooth val="0"/>
        </ser>
        <ser>
          <idx val="1"/>
          <order val="1"/>
          <tx>
            <strRef>
              <f>'Comparador'!C14</f>
            </strRef>
          </tx>
          <spPr>
            <a:ln xmlns:a="http://schemas.openxmlformats.org/drawingml/2006/main" w="18000">
              <a:solidFill>
                <a:srgbClr val="e3494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'Comparador'!$A$15:$A$96</f>
            </numRef>
          </cat>
          <val>
            <numRef>
              <f>'Comparador'!$C$15:$C$96</f>
            </numRef>
          </val>
          <smooth val="0"/>
        </ser>
        <ser>
          <idx val="2"/>
          <order val="2"/>
          <tx>
            <strRef>
              <f>'Comparador'!D14</f>
            </strRef>
          </tx>
          <spPr>
            <a:ln xmlns:a="http://schemas.openxmlformats.org/drawingml/2006/main" w="18000">
              <a:solidFill>
                <a:srgbClr val="2a78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'Comparador'!$A$15:$A$96</f>
            </numRef>
          </cat>
          <val>
            <numRef>
              <f>'Comparador'!$D$15:$D$96</f>
            </numRef>
          </val>
          <smooth val="0"/>
        </ser>
        <ser>
          <idx val="3"/>
          <order val="3"/>
          <tx>
            <strRef>
              <f>'Comparador'!E14</f>
            </strRef>
          </tx>
          <spPr>
            <a:ln xmlns:a="http://schemas.openxmlformats.org/drawingml/2006/main" w="18000">
              <a:solidFill>
                <a:srgbClr val="6250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'Comparador'!$A$15:$A$96</f>
            </numRef>
          </cat>
          <val>
            <numRef>
              <f>'Comparador'!$E$15:$E$96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€/kWh o índice (Base 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Relationship Type="http://schemas.openxmlformats.org/officeDocument/2006/relationships/chart" Target="/xl/charts/chart4.xml" Id="rId3"/><Relationship Type="http://schemas.openxmlformats.org/officeDocument/2006/relationships/chart" Target="/xl/charts/chart5.xml" Id="rId4"/><Relationship Type="http://schemas.openxmlformats.org/officeDocument/2006/relationships/chart" Target="/xl/charts/chart6.xml" Id="rId5"/><Relationship Type="http://schemas.openxmlformats.org/officeDocument/2006/relationships/chart" Target="/xl/charts/chart7.xml" Id="rId6"/><Relationship Type="http://schemas.openxmlformats.org/officeDocument/2006/relationships/chart" Target="/xl/charts/chart8.xml" Id="rId7"/><Relationship Type="http://schemas.openxmlformats.org/officeDocument/2006/relationships/chart" Target="/xl/charts/chart9.xml" Id="rId8"/><Relationship Type="http://schemas.openxmlformats.org/officeDocument/2006/relationships/chart" Target="/xl/charts/chart10.xml" Id="rId9"/><Relationship Type="http://schemas.openxmlformats.org/officeDocument/2006/relationships/chart" Target="/xl/charts/chart11.xml" Id="rId10"/><Relationship Type="http://schemas.openxmlformats.org/officeDocument/2006/relationships/chart" Target="/xl/charts/chart12.xml" Id="rId1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13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40</row>
      <rowOff>0</rowOff>
    </from>
    <ext cx="576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1008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22</row>
      <rowOff>0</rowOff>
    </from>
    <ext cx="10080000" cy="34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42</row>
      <rowOff>0</rowOff>
    </from>
    <ext cx="486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42</row>
      <rowOff>0</rowOff>
    </from>
    <ext cx="486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57</row>
      <rowOff>0</rowOff>
    </from>
    <ext cx="4860000" cy="25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57</row>
      <rowOff>0</rowOff>
    </from>
    <ext cx="4860000" cy="252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72</row>
      <rowOff>0</rowOff>
    </from>
    <ext cx="4860000" cy="252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9</col>
      <colOff>0</colOff>
      <row>72</row>
      <rowOff>0</rowOff>
    </from>
    <ext cx="4860000" cy="252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87</row>
      <rowOff>0</rowOff>
    </from>
    <ext cx="4860000" cy="252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9</col>
      <colOff>0</colOff>
      <row>87</row>
      <rowOff>0</rowOff>
    </from>
    <ext cx="4860000" cy="252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102</row>
      <rowOff>0</rowOff>
    </from>
    <ext cx="4860000" cy="252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6</col>
      <colOff>0</colOff>
      <row>1</row>
      <rowOff>0</rowOff>
    </from>
    <ext cx="864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Mensual" displayName="Mensual" ref="A1:S83" headerRowCount="1">
  <autoFilter ref="A1:S83"/>
  <tableColumns count="19">
    <tableColumn id="1" name="Mes"/>
    <tableColumn id="2" name="OMIE (€/kWh, sin imp.)"/>
    <tableColumn id="3" name="OMIE (€/MWh)"/>
    <tableColumn id="4" name="MIBGAS (€/kWh, sin imp.)"/>
    <tableColumn id="5" name="MIBGAS (€/MWh)"/>
    <tableColumn id="6" name="Gasóleo A (€/kWh, con imp.)"/>
    <tableColumn id="7" name="Gasóleo A (€/l)"/>
    <tableColumn id="8" name="PVPC 2.0TD (€/kWh, con imp.)"/>
    <tableColumn id="9" name="PVPC 2.0TD (€/MWh)"/>
    <tableColumn id="10" name="TUR 2 (€/kWh, con imp.)"/>
    <tableColumn id="11" name="TUR 2 (c€/kWh (PCS))"/>
    <tableColumn id="12" name="Gasóleo C (€/kWh, con imp.)"/>
    <tableColumn id="13" name="Gasóleo C (€/l)"/>
    <tableColumn id="14" name="Butano (€/kWh, con imp.)"/>
    <tableColumn id="15" name="Butano (c€/kg (antes de impuestos))"/>
    <tableColumn id="16" name="Pellet saco 15 kg (€/kWh, con imp.)"/>
    <tableColumn id="17" name="Pellet saco 15 kg (€/saco)"/>
    <tableColumn id="18" name="Pellet granel (€/kWh, con imp.)"/>
    <tableColumn id="19" name="Pellet granel (€/t)"/>
  </tableColumns>
  <tableStyleInfo name="TableStyleLight9" showRowStripes="1"/>
</table>
</file>

<file path=xl/tables/table2.xml><?xml version="1.0" encoding="utf-8"?>
<table xmlns="http://schemas.openxmlformats.org/spreadsheetml/2006/main" id="2" name="Datos_omie" displayName="Datos_omie" ref="A4:L2493" headerRowCount="1">
  <autoFilter ref="A4:L2493"/>
  <tableColumns count="12">
    <tableColumn id="1" name="Fecha"/>
    <tableColumn id="2" name="Periodo"/>
    <tableColumn id="3" name="Valor original"/>
    <tableColumn id="4" name="Unidad"/>
    <tableColumn id="5" name="€/kWh sin impuestos"/>
    <tableColumn id="6" name="€/kWh con impuestos"/>
    <tableColumn id="7" name="Origen del precio con impuestos"/>
    <tableColumn id="8" name="Impuestos aplicados"/>
    <tableColumn id="9" name="Pendiente"/>
    <tableColumn id="10" name="Fecha de publicación"/>
    <tableColumn id="11" name="Referencia (fichero / BOE / PDF)"/>
    <tableColumn id="12" name="Nota"/>
  </tableColumns>
  <tableStyleInfo name="TableStyleLight9" showRowStripes="1"/>
</table>
</file>

<file path=xl/tables/table3.xml><?xml version="1.0" encoding="utf-8"?>
<table xmlns="http://schemas.openxmlformats.org/spreadsheetml/2006/main" id="3" name="Datos_mibgas" displayName="Datos_mibgas" ref="A4:L2495" headerRowCount="1">
  <autoFilter ref="A4:L2495"/>
  <tableColumns count="12">
    <tableColumn id="1" name="Fecha"/>
    <tableColumn id="2" name="Periodo"/>
    <tableColumn id="3" name="Valor original"/>
    <tableColumn id="4" name="Unidad"/>
    <tableColumn id="5" name="€/kWh sin impuestos"/>
    <tableColumn id="6" name="€/kWh con impuestos"/>
    <tableColumn id="7" name="Origen del precio con impuestos"/>
    <tableColumn id="8" name="Impuestos aplicados"/>
    <tableColumn id="9" name="Pendiente"/>
    <tableColumn id="10" name="Fecha de publicación"/>
    <tableColumn id="11" name="Referencia (fichero / BOE / PDF)"/>
    <tableColumn id="12" name="Nota"/>
  </tableColumns>
  <tableStyleInfo name="TableStyleLight9" showRowStripes="1"/>
</table>
</file>

<file path=xl/tables/table4.xml><?xml version="1.0" encoding="utf-8"?>
<table xmlns="http://schemas.openxmlformats.org/spreadsheetml/2006/main" id="4" name="Datos_gasoleo_a" displayName="Datos_gasoleo_a" ref="A4:L353" headerRowCount="1">
  <autoFilter ref="A4:L353"/>
  <tableColumns count="12">
    <tableColumn id="1" name="Fecha"/>
    <tableColumn id="2" name="Periodo"/>
    <tableColumn id="3" name="Valor original"/>
    <tableColumn id="4" name="Unidad"/>
    <tableColumn id="5" name="€/kWh sin impuestos"/>
    <tableColumn id="6" name="€/kWh con impuestos"/>
    <tableColumn id="7" name="Origen del precio con impuestos"/>
    <tableColumn id="8" name="Impuestos aplicados"/>
    <tableColumn id="9" name="Pendiente"/>
    <tableColumn id="10" name="Fecha de publicación"/>
    <tableColumn id="11" name="Referencia (fichero / BOE / PDF)"/>
    <tableColumn id="12" name="Nota"/>
  </tableColumns>
  <tableStyleInfo name="TableStyleLight9" showRowStripes="1"/>
</table>
</file>

<file path=xl/tables/table5.xml><?xml version="1.0" encoding="utf-8"?>
<table xmlns="http://schemas.openxmlformats.org/spreadsheetml/2006/main" id="5" name="Datos_pvpc" displayName="Datos_pvpc" ref="A4:L1979" headerRowCount="1">
  <autoFilter ref="A4:L1979"/>
  <tableColumns count="12">
    <tableColumn id="1" name="Fecha"/>
    <tableColumn id="2" name="Periodo"/>
    <tableColumn id="3" name="Valor original"/>
    <tableColumn id="4" name="Unidad"/>
    <tableColumn id="5" name="€/kWh sin impuestos"/>
    <tableColumn id="6" name="€/kWh con impuestos"/>
    <tableColumn id="7" name="Origen del precio con impuestos"/>
    <tableColumn id="8" name="Impuestos aplicados"/>
    <tableColumn id="9" name="Pendiente"/>
    <tableColumn id="10" name="Fecha de publicación"/>
    <tableColumn id="11" name="Referencia (fichero / BOE / PDF)"/>
    <tableColumn id="12" name="Nota"/>
  </tableColumns>
  <tableStyleInfo name="TableStyleLight9" showRowStripes="1"/>
</table>
</file>

<file path=xl/tables/table6.xml><?xml version="1.0" encoding="utf-8"?>
<table xmlns="http://schemas.openxmlformats.org/spreadsheetml/2006/main" id="6" name="Datos_tur2" displayName="Datos_tur2" ref="A4:L29" headerRowCount="1">
  <autoFilter ref="A4:L29"/>
  <tableColumns count="12">
    <tableColumn id="1" name="Fecha"/>
    <tableColumn id="2" name="Periodo"/>
    <tableColumn id="3" name="Valor original"/>
    <tableColumn id="4" name="Unidad"/>
    <tableColumn id="5" name="€/kWh sin impuestos"/>
    <tableColumn id="6" name="€/kWh con impuestos"/>
    <tableColumn id="7" name="Origen del precio con impuestos"/>
    <tableColumn id="8" name="Impuestos aplicados"/>
    <tableColumn id="9" name="Pendiente"/>
    <tableColumn id="10" name="Fecha de publicación"/>
    <tableColumn id="11" name="Referencia (fichero / BOE / PDF)"/>
    <tableColumn id="12" name="Nota"/>
  </tableColumns>
  <tableStyleInfo name="TableStyleLight9" showRowStripes="1"/>
</table>
</file>

<file path=xl/tables/table7.xml><?xml version="1.0" encoding="utf-8"?>
<table xmlns="http://schemas.openxmlformats.org/spreadsheetml/2006/main" id="7" name="Datos_gasoleo_c" displayName="Datos_gasoleo_c" ref="A4:L353" headerRowCount="1">
  <autoFilter ref="A4:L353"/>
  <tableColumns count="12">
    <tableColumn id="1" name="Fecha"/>
    <tableColumn id="2" name="Periodo"/>
    <tableColumn id="3" name="Valor original"/>
    <tableColumn id="4" name="Unidad"/>
    <tableColumn id="5" name="€/kWh sin impuestos"/>
    <tableColumn id="6" name="€/kWh con impuestos"/>
    <tableColumn id="7" name="Origen del precio con impuestos"/>
    <tableColumn id="8" name="Impuestos aplicados"/>
    <tableColumn id="9" name="Pendiente"/>
    <tableColumn id="10" name="Fecha de publicación"/>
    <tableColumn id="11" name="Referencia (fichero / BOE / PDF)"/>
    <tableColumn id="12" name="Nota"/>
  </tableColumns>
  <tableStyleInfo name="TableStyleLight9" showRowStripes="1"/>
</table>
</file>

<file path=xl/tables/table8.xml><?xml version="1.0" encoding="utf-8"?>
<table xmlns="http://schemas.openxmlformats.org/spreadsheetml/2006/main" id="8" name="Datos_butano" displayName="Datos_butano" ref="A4:L44" headerRowCount="1">
  <autoFilter ref="A4:L44"/>
  <tableColumns count="12">
    <tableColumn id="1" name="Fecha"/>
    <tableColumn id="2" name="Periodo"/>
    <tableColumn id="3" name="Valor original"/>
    <tableColumn id="4" name="Unidad"/>
    <tableColumn id="5" name="€/kWh sin impuestos"/>
    <tableColumn id="6" name="€/kWh con impuestos"/>
    <tableColumn id="7" name="Origen del precio con impuestos"/>
    <tableColumn id="8" name="Impuestos aplicados"/>
    <tableColumn id="9" name="Pendiente"/>
    <tableColumn id="10" name="Fecha de publicación"/>
    <tableColumn id="11" name="Referencia (fichero / BOE / PDF)"/>
    <tableColumn id="12" name="Nota"/>
  </tableColumns>
  <tableStyleInfo name="TableStyleLight9" showRowStripes="1"/>
</table>
</file>

<file path=xl/tables/table9.xml><?xml version="1.0" encoding="utf-8"?>
<table xmlns="http://schemas.openxmlformats.org/spreadsheetml/2006/main" id="9" name="Datos_pellet_saco" displayName="Datos_pellet_saco" ref="A4:L17" headerRowCount="1">
  <autoFilter ref="A4:L17"/>
  <tableColumns count="12">
    <tableColumn id="1" name="Fecha"/>
    <tableColumn id="2" name="Periodo"/>
    <tableColumn id="3" name="Valor original"/>
    <tableColumn id="4" name="Unidad"/>
    <tableColumn id="5" name="€/kWh sin impuestos"/>
    <tableColumn id="6" name="€/kWh con impuestos"/>
    <tableColumn id="7" name="Origen del precio con impuestos"/>
    <tableColumn id="8" name="Impuestos aplicados"/>
    <tableColumn id="9" name="Pendiente"/>
    <tableColumn id="10" name="Fecha de publicación"/>
    <tableColumn id="11" name="Referencia (fichero / BOE / PDF)"/>
    <tableColumn id="12" name="Nota"/>
  </tableColumns>
  <tableStyleInfo name="TableStyleLight9" showRowStripes="1"/>
</table>
</file>

<file path=xl/tables/table10.xml><?xml version="1.0" encoding="utf-8"?>
<table xmlns="http://schemas.openxmlformats.org/spreadsheetml/2006/main" id="10" name="Datos_pellet_granel" displayName="Datos_pellet_granel" ref="A4:L17" headerRowCount="1">
  <autoFilter ref="A4:L17"/>
  <tableColumns count="12">
    <tableColumn id="1" name="Fecha"/>
    <tableColumn id="2" name="Periodo"/>
    <tableColumn id="3" name="Valor original"/>
    <tableColumn id="4" name="Unidad"/>
    <tableColumn id="5" name="€/kWh sin impuestos"/>
    <tableColumn id="6" name="€/kWh con impuestos"/>
    <tableColumn id="7" name="Origen del precio con impuestos"/>
    <tableColumn id="8" name="Impuestos aplicados"/>
    <tableColumn id="9" name="Pendiente"/>
    <tableColumn id="10" name="Fecha de publicación"/>
    <tableColumn id="11" name="Referencia (fichero / BOE / PDF)"/>
    <tableColumn id="12" name="Nota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48"/>
  <sheetViews>
    <sheetView showGridLines="0" workbookViewId="0">
      <pane xSplit="2" ySplit="20" topLeftCell="C2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46" customWidth="1" min="3" max="3"/>
    <col width="14" customWidth="1" min="4" max="4"/>
    <col width="13" customWidth="1" min="5" max="5"/>
    <col width="14" customWidth="1" min="6" max="6"/>
    <col width="13" customWidth="1" min="7" max="7"/>
    <col width="13" customWidth="1" min="8" max="8"/>
    <col width="22" customWidth="1" min="9" max="9"/>
    <col width="20" customWidth="1" min="10" max="10"/>
    <col width="14" customWidth="1" min="11" max="11"/>
    <col width="26" customWidth="1" min="12" max="12"/>
  </cols>
  <sheetData>
    <row r="1"/>
    <row r="2">
      <c r="B2" s="1" t="inlineStr">
        <is>
          <t>Precios de la energía en España</t>
        </is>
      </c>
    </row>
    <row r="3">
      <c r="B3" s="2" t="inlineStr">
        <is>
          <t>Informe semanal · fecha de referencia 27/10/2026 · última actualización 2026-10-27 12:07 UTC · precios con impuestos salvo los mercados mayoristas</t>
        </is>
      </c>
    </row>
    <row r="5">
      <c r="C5" s="3" t="inlineStr">
        <is>
          <t>1. OMIE  ·  mayorista, sin impuestos</t>
        </is>
      </c>
      <c r="D5" s="4" t="inlineStr">
        <is>
          <t>2. MIBGAS  ·  mayorista, sin impuestos</t>
        </is>
      </c>
      <c r="E5" s="5" t="n"/>
      <c r="F5" s="5" t="n"/>
      <c r="G5" s="6" t="inlineStr">
        <is>
          <t>3. Gasóleo A  ·  con impuestos</t>
        </is>
      </c>
      <c r="H5" s="7" t="n"/>
      <c r="I5" s="7" t="n"/>
      <c r="J5" s="8" t="inlineStr">
        <is>
          <t>4. PVPC 2.0TD  ·  con impuestos</t>
        </is>
      </c>
      <c r="K5" s="9" t="n"/>
      <c r="L5" s="9" t="n"/>
    </row>
    <row r="6" ht="24" customHeight="1">
      <c r="C6" s="10" t="n">
        <v>0.1522155714285714</v>
      </c>
      <c r="D6" s="10" t="n">
        <v>0.09058142857142859</v>
      </c>
      <c r="E6" s="11" t="n"/>
      <c r="F6" s="11" t="n"/>
      <c r="G6" s="12" t="n">
        <v>0.183776</v>
      </c>
      <c r="H6" s="11" t="n"/>
      <c r="I6" s="11" t="n"/>
      <c r="J6" s="12" t="n">
        <v>0.2550775714285715</v>
      </c>
      <c r="K6" s="11" t="n"/>
      <c r="L6" s="11" t="n"/>
    </row>
    <row r="7">
      <c r="C7" s="13" t="inlineStr">
        <is>
          <t>Semana: ▼ -8,6 %</t>
        </is>
      </c>
      <c r="D7" s="14" t="inlineStr">
        <is>
          <t>Semana: ▲ +5,1 %</t>
        </is>
      </c>
      <c r="G7" s="15" t="inlineStr">
        <is>
          <t>Semana: ■ -0,0 %</t>
        </is>
      </c>
      <c r="J7" s="14" t="inlineStr">
        <is>
          <t>Semana: ▲ +1,0 %</t>
        </is>
      </c>
    </row>
    <row r="8">
      <c r="C8" s="14" t="inlineStr">
        <is>
          <t>Un año: ▲ +128,5 %</t>
        </is>
      </c>
      <c r="D8" s="14" t="inlineStr">
        <is>
          <t>Un año: ▲ +189,5 %</t>
        </is>
      </c>
      <c r="G8" s="14" t="inlineStr">
        <is>
          <t>Un año: ▲ +35,2 %</t>
        </is>
      </c>
      <c r="J8" s="14" t="inlineStr">
        <is>
          <t>Un año: ▲ +39,6 %</t>
        </is>
      </c>
    </row>
    <row r="9">
      <c r="C9" s="16" t="inlineStr"/>
      <c r="D9" s="16" t="inlineStr"/>
      <c r="E9" s="11" t="n"/>
      <c r="F9" s="11" t="n"/>
      <c r="G9" s="16" t="inlineStr"/>
      <c r="H9" s="11" t="n"/>
      <c r="I9" s="11" t="n"/>
      <c r="J9" s="16" t="inlineStr"/>
      <c r="K9" s="11" t="n"/>
      <c r="L9" s="11" t="n"/>
    </row>
    <row r="10">
      <c r="C10" s="17" t="inlineStr">
        <is>
          <t>OMIE · dato del 27/10/2026</t>
        </is>
      </c>
      <c r="D10" s="17" t="inlineStr">
        <is>
          <t>MIBGAS · dato del 26/10/2026</t>
        </is>
      </c>
      <c r="E10" s="11" t="n"/>
      <c r="F10" s="11" t="n"/>
      <c r="G10" s="17" t="inlineStr">
        <is>
          <t>Comisión Europea (WOB) · dato del 19/10/2026</t>
        </is>
      </c>
      <c r="H10" s="11" t="n"/>
      <c r="I10" s="11" t="n"/>
      <c r="J10" s="17" t="inlineStr">
        <is>
          <t>REE/ESIOS · dato del 27/10/2026</t>
        </is>
      </c>
      <c r="K10" s="11" t="n"/>
      <c r="L10" s="11" t="n"/>
    </row>
    <row r="12">
      <c r="C12" s="18" t="inlineStr">
        <is>
          <t>5. TUR 2  ·  con impuestos</t>
        </is>
      </c>
      <c r="D12" s="19" t="inlineStr">
        <is>
          <t>6. Gasóleo C  ·  con impuestos</t>
        </is>
      </c>
      <c r="E12" s="20" t="n"/>
      <c r="F12" s="20" t="n"/>
      <c r="G12" s="21" t="inlineStr">
        <is>
          <t>7. Butano  ·  con impuestos</t>
        </is>
      </c>
      <c r="H12" s="22" t="n"/>
      <c r="I12" s="22" t="n"/>
      <c r="J12" s="23" t="inlineStr">
        <is>
          <t>8. Pellet saco 15 kg  ·  con impuestos</t>
        </is>
      </c>
      <c r="K12" s="24" t="n"/>
      <c r="L12" s="24" t="n"/>
    </row>
    <row r="13" ht="24" customHeight="1">
      <c r="C13" s="12" t="n">
        <v>0.070629</v>
      </c>
      <c r="D13" s="12" t="n">
        <v>0.147989</v>
      </c>
      <c r="E13" s="11" t="n"/>
      <c r="F13" s="11" t="n"/>
      <c r="G13" s="12" t="n">
        <v>0.118405</v>
      </c>
      <c r="H13" s="11" t="n"/>
      <c r="I13" s="11" t="n"/>
      <c r="J13" s="12" t="n">
        <v>0.082222</v>
      </c>
      <c r="K13" s="11" t="n"/>
      <c r="L13" s="11" t="n"/>
    </row>
    <row r="14">
      <c r="C14" s="15" t="inlineStr">
        <is>
          <t>Semana: ■ 0,0 %</t>
        </is>
      </c>
      <c r="D14" s="14" t="inlineStr">
        <is>
          <t>Semana: ▲ +5,3 %</t>
        </is>
      </c>
      <c r="G14" s="15" t="inlineStr">
        <is>
          <t>Semana: ■ 0,0 %</t>
        </is>
      </c>
      <c r="J14" s="15" t="inlineStr">
        <is>
          <t>Semana: ■ 0,0 %</t>
        </is>
      </c>
    </row>
    <row r="15">
      <c r="C15" s="14" t="inlineStr">
        <is>
          <t>Un año: ▲ +16,5 %</t>
        </is>
      </c>
      <c r="D15" s="14" t="inlineStr">
        <is>
          <t>Un año: ▲ +74,9 %</t>
        </is>
      </c>
      <c r="G15" s="14" t="inlineStr">
        <is>
          <t>Un año: ▲ +15,8 %</t>
        </is>
      </c>
      <c r="J15" s="14" t="inlineStr">
        <is>
          <t>Un año: ▲ +11,5 %</t>
        </is>
      </c>
    </row>
    <row r="16">
      <c r="C16" s="16" t="inlineStr"/>
      <c r="D16" s="16" t="inlineStr"/>
      <c r="E16" s="11" t="n"/>
      <c r="F16" s="11" t="n"/>
      <c r="G16" s="16" t="inlineStr"/>
      <c r="H16" s="11" t="n"/>
      <c r="I16" s="11" t="n"/>
      <c r="J16" s="16" t="inlineStr">
        <is>
          <t>Pellet granel: 0,077 €/kWh (■ 0,0 % semana, ▲ +13,1 % año)</t>
        </is>
      </c>
      <c r="K16" s="11" t="n"/>
      <c r="L16" s="11" t="n"/>
    </row>
    <row r="17">
      <c r="C17" s="17" t="inlineStr">
        <is>
          <t>BOE (DGPEM) · dato del 01/10/2026</t>
        </is>
      </c>
      <c r="D17" s="17" t="inlineStr">
        <is>
          <t>Comisión Europea (WOB) · dato del 19/10/2026</t>
        </is>
      </c>
      <c r="E17" s="11" t="n"/>
      <c r="F17" s="11" t="n"/>
      <c r="G17" s="17" t="inlineStr">
        <is>
          <t>BOE (DGPEM) · dato del 15/09/2026</t>
        </is>
      </c>
      <c r="H17" s="11" t="n"/>
      <c r="I17" s="11" t="n"/>
      <c r="J17" s="17" t="inlineStr">
        <is>
          <t>AVEBIOM · dato del 01/07/2026</t>
        </is>
      </c>
      <c r="K17" s="11" t="n"/>
      <c r="L17" s="11" t="n"/>
    </row>
    <row r="19">
      <c r="B19" s="25" t="inlineStr">
        <is>
          <t>Tabla de indicadores</t>
        </is>
      </c>
    </row>
    <row r="20">
      <c r="B20" s="26" t="inlineStr">
        <is>
          <t>N.º</t>
        </is>
      </c>
      <c r="C20" s="26" t="inlineStr">
        <is>
          <t>Indicador</t>
        </is>
      </c>
      <c r="D20" s="26" t="inlineStr">
        <is>
          <t>Precio actual (€/kWh)</t>
        </is>
      </c>
      <c r="E20" s="26" t="inlineStr">
        <is>
          <t>Var. semanal (%)</t>
        </is>
      </c>
      <c r="F20" s="26" t="inlineStr">
        <is>
          <t>Var. interanual (%)</t>
        </is>
      </c>
      <c r="G20" s="26" t="inlineStr">
        <is>
          <t>Fecha del dato</t>
        </is>
      </c>
      <c r="H20" s="26" t="inlineStr">
        <is>
          <t>Valor original</t>
        </is>
      </c>
      <c r="I20" s="26" t="inlineStr">
        <is>
          <t>Unidad original</t>
        </is>
      </c>
      <c r="J20" s="26" t="inlineStr">
        <is>
          <t>Fuente</t>
        </is>
      </c>
      <c r="K20" s="26" t="inlineStr">
        <is>
          <t>Impuestos</t>
        </is>
      </c>
      <c r="L20" s="26" t="inlineStr">
        <is>
          <t>Estado</t>
        </is>
      </c>
    </row>
    <row r="21" ht="30" customHeight="1">
      <c r="B21" s="27" t="n">
        <v>1</v>
      </c>
      <c r="C21" s="28" t="inlineStr">
        <is>
          <t>Electricidad: precio del mercado diario OMIE, España</t>
        </is>
      </c>
      <c r="D21" s="29" t="n">
        <v>0.1522155714285714</v>
      </c>
      <c r="E21" s="30" t="n">
        <v>-0.08560956415997378</v>
      </c>
      <c r="F21" s="30" t="n">
        <v>1.284754565181964</v>
      </c>
      <c r="G21" s="31" t="inlineStr">
        <is>
          <t>2026-10-27</t>
        </is>
      </c>
      <c r="H21" s="32" t="n">
        <v>206.8894</v>
      </c>
      <c r="I21" s="31" t="inlineStr">
        <is>
          <t>€/MWh</t>
        </is>
      </c>
      <c r="J21" s="31" t="inlineStr">
        <is>
          <t>OMIE</t>
        </is>
      </c>
      <c r="K21" s="31" t="inlineStr">
        <is>
          <t>sin (mayorista)</t>
        </is>
      </c>
      <c r="L21" s="28" t="inlineStr">
        <is>
          <t>actualizado</t>
        </is>
      </c>
    </row>
    <row r="22" ht="30" customHeight="1">
      <c r="B22" s="33" t="n">
        <v>2</v>
      </c>
      <c r="C22" s="28" t="inlineStr">
        <is>
          <t>Gas natural: MIBGAS-ES Index</t>
        </is>
      </c>
      <c r="D22" s="29" t="n">
        <v>0.09058142857142859</v>
      </c>
      <c r="E22" s="30" t="n">
        <v>0.05131648759782492</v>
      </c>
      <c r="F22" s="30" t="n">
        <v>1.894768078889701</v>
      </c>
      <c r="G22" s="31" t="inlineStr">
        <is>
          <t>2026-10-26</t>
        </is>
      </c>
      <c r="H22" s="32" t="n">
        <v>94.69</v>
      </c>
      <c r="I22" s="31" t="inlineStr">
        <is>
          <t>€/MWh</t>
        </is>
      </c>
      <c r="J22" s="31" t="inlineStr">
        <is>
          <t>MIBGAS</t>
        </is>
      </c>
      <c r="K22" s="31" t="inlineStr">
        <is>
          <t>sin (mayorista)</t>
        </is>
      </c>
      <c r="L22" s="28" t="inlineStr">
        <is>
          <t>actualizado</t>
        </is>
      </c>
    </row>
    <row r="23" ht="30" customHeight="1">
      <c r="B23" s="34" t="n">
        <v>3</v>
      </c>
      <c r="C23" s="28" t="inlineStr">
        <is>
          <t>Gasóleo de automoción: precio medio en España</t>
        </is>
      </c>
      <c r="D23" s="35" t="n">
        <v>0.183776</v>
      </c>
      <c r="E23" s="30" t="n">
        <v>-8.161444249177308e-05</v>
      </c>
      <c r="F23" s="30" t="n">
        <v>0.3524874889608478</v>
      </c>
      <c r="G23" s="31" t="inlineStr">
        <is>
          <t>2026-10-19</t>
        </is>
      </c>
      <c r="H23" s="36" t="n">
        <v>1.88922</v>
      </c>
      <c r="I23" s="31" t="inlineStr">
        <is>
          <t>€/l</t>
        </is>
      </c>
      <c r="J23" s="31" t="inlineStr">
        <is>
          <t>Comisión Europea (WOB)</t>
        </is>
      </c>
      <c r="K23" s="31" t="inlineStr">
        <is>
          <t>con</t>
        </is>
      </c>
      <c r="L23" s="28" t="inlineStr">
        <is>
          <t>sin actualización en el periodo</t>
        </is>
      </c>
    </row>
    <row r="24" ht="30" customHeight="1">
      <c r="B24" s="37" t="n">
        <v>4</v>
      </c>
      <c r="C24" s="28" t="inlineStr">
        <is>
          <t>Electricidad PVPC: término de energía, tarifa 2.0TD (Península)</t>
        </is>
      </c>
      <c r="D24" s="35" t="n">
        <v>0.2550775714285715</v>
      </c>
      <c r="E24" s="30" t="n">
        <v>0.01020305978640001</v>
      </c>
      <c r="F24" s="30" t="n">
        <v>0.3956882050576558</v>
      </c>
      <c r="G24" s="31" t="inlineStr">
        <is>
          <t>2026-10-27</t>
        </is>
      </c>
      <c r="H24" s="32" t="n">
        <v>231.6446</v>
      </c>
      <c r="I24" s="31" t="inlineStr">
        <is>
          <t>€/MWh</t>
        </is>
      </c>
      <c r="J24" s="31" t="inlineStr">
        <is>
          <t>REE/ESIOS</t>
        </is>
      </c>
      <c r="K24" s="31" t="inlineStr">
        <is>
          <t>con</t>
        </is>
      </c>
      <c r="L24" s="28" t="inlineStr">
        <is>
          <t>actualizado</t>
        </is>
      </c>
    </row>
    <row r="25" ht="30" customHeight="1">
      <c r="B25" s="38" t="n">
        <v>5</v>
      </c>
      <c r="C25" s="28" t="inlineStr">
        <is>
          <t>Gas natural TUR 2: término variable</t>
        </is>
      </c>
      <c r="D25" s="35" t="n">
        <v>0.070629</v>
      </c>
      <c r="E25" s="30" t="n">
        <v>0</v>
      </c>
      <c r="F25" s="30" t="n">
        <v>0.1653796653796653</v>
      </c>
      <c r="G25" s="31" t="inlineStr">
        <is>
          <t>2026-10-01</t>
        </is>
      </c>
      <c r="H25" s="36" t="n">
        <v>5.042762</v>
      </c>
      <c r="I25" s="31" t="inlineStr">
        <is>
          <t>c€/kWh (PCS)</t>
        </is>
      </c>
      <c r="J25" s="31" t="inlineStr">
        <is>
          <t>BOE (DGPEM)</t>
        </is>
      </c>
      <c r="K25" s="31" t="inlineStr">
        <is>
          <t>con</t>
        </is>
      </c>
      <c r="L25" s="28" t="inlineStr">
        <is>
          <t>sin actualización en el periodo</t>
        </is>
      </c>
    </row>
    <row r="26" ht="30" customHeight="1">
      <c r="B26" s="39" t="n">
        <v>6</v>
      </c>
      <c r="C26" s="28" t="inlineStr">
        <is>
          <t>Gasóleo de calefacción: precio medio en España</t>
        </is>
      </c>
      <c r="D26" s="35" t="n">
        <v>0.147989</v>
      </c>
      <c r="E26" s="30" t="n">
        <v>0.05260574850810507</v>
      </c>
      <c r="F26" s="30" t="n">
        <v>0.7494030309478216</v>
      </c>
      <c r="G26" s="31" t="inlineStr">
        <is>
          <t>2026-10-19</t>
        </is>
      </c>
      <c r="H26" s="36" t="n">
        <v>1.52133</v>
      </c>
      <c r="I26" s="31" t="inlineStr">
        <is>
          <t>€/l</t>
        </is>
      </c>
      <c r="J26" s="31" t="inlineStr">
        <is>
          <t>Comisión Europea (WOB)</t>
        </is>
      </c>
      <c r="K26" s="31" t="inlineStr">
        <is>
          <t>con</t>
        </is>
      </c>
      <c r="L26" s="28" t="inlineStr">
        <is>
          <t>sin actualización en el periodo</t>
        </is>
      </c>
    </row>
    <row r="27" ht="30" customHeight="1">
      <c r="B27" s="40" t="n">
        <v>7</v>
      </c>
      <c r="C27" s="28" t="inlineStr">
        <is>
          <t>Butano: bombona regulada de 12,5 kg</t>
        </is>
      </c>
      <c r="D27" s="35" t="n">
        <v>0.118405</v>
      </c>
      <c r="E27" s="30" t="n">
        <v>0</v>
      </c>
      <c r="F27" s="30" t="n">
        <v>0.1579724601963777</v>
      </c>
      <c r="G27" s="31" t="inlineStr">
        <is>
          <t>2026-09-15</t>
        </is>
      </c>
      <c r="H27" s="32" t="n">
        <v>123.4447</v>
      </c>
      <c r="I27" s="31" t="inlineStr">
        <is>
          <t>c€/kg (antes de impuestos)</t>
        </is>
      </c>
      <c r="J27" s="31" t="inlineStr">
        <is>
          <t>BOE (DGPEM)</t>
        </is>
      </c>
      <c r="K27" s="31" t="inlineStr">
        <is>
          <t>con</t>
        </is>
      </c>
      <c r="L27" s="28" t="inlineStr">
        <is>
          <t>sin actualización en el periodo</t>
        </is>
      </c>
    </row>
    <row r="28" ht="30" customHeight="1">
      <c r="B28" s="41" t="n">
        <v>8</v>
      </c>
      <c r="C28" s="28" t="inlineStr">
        <is>
          <t>Pellet: precio medio en España del saco de 15 kg</t>
        </is>
      </c>
      <c r="D28" s="35" t="n">
        <v>0.082222</v>
      </c>
      <c r="E28" s="30" t="n">
        <v>0</v>
      </c>
      <c r="F28" s="30" t="n">
        <v>0.1148745762711865</v>
      </c>
      <c r="G28" s="31" t="inlineStr">
        <is>
          <t>2026-07-01</t>
        </is>
      </c>
      <c r="H28" s="36" t="n">
        <v>5.92</v>
      </c>
      <c r="I28" s="31" t="inlineStr">
        <is>
          <t>€/saco</t>
        </is>
      </c>
      <c r="J28" s="31" t="inlineStr">
        <is>
          <t>AVEBIOM</t>
        </is>
      </c>
      <c r="K28" s="31" t="inlineStr">
        <is>
          <t>con</t>
        </is>
      </c>
      <c r="L28" s="28" t="inlineStr">
        <is>
          <t>sin actualización en el periodo</t>
        </is>
      </c>
    </row>
    <row r="29" ht="30" customHeight="1">
      <c r="B29" s="41" t="n">
        <v>8</v>
      </c>
      <c r="C29" s="28" t="inlineStr">
        <is>
          <t>Pellet: precio medio en España a granel en volquete</t>
        </is>
      </c>
      <c r="D29" s="35" t="n">
        <v>0.07713299999999999</v>
      </c>
      <c r="E29" s="30" t="n">
        <v>0</v>
      </c>
      <c r="F29" s="30" t="n">
        <v>0.1309160753035012</v>
      </c>
      <c r="G29" s="31" t="inlineStr">
        <is>
          <t>2026-07-01</t>
        </is>
      </c>
      <c r="H29" s="32" t="n">
        <v>370.24</v>
      </c>
      <c r="I29" s="31" t="inlineStr">
        <is>
          <t>€/t</t>
        </is>
      </c>
      <c r="J29" s="31" t="inlineStr">
        <is>
          <t>AVEBIOM</t>
        </is>
      </c>
      <c r="K29" s="31" t="inlineStr">
        <is>
          <t>con</t>
        </is>
      </c>
      <c r="L29" s="28" t="inlineStr">
        <is>
          <t>sin actualización en el periodo</t>
        </is>
      </c>
    </row>
    <row r="31">
      <c r="B31" s="25" t="inlineStr">
        <is>
          <t>Claves de la semana (generadas a partir de los datos)</t>
        </is>
      </c>
    </row>
    <row r="32">
      <c r="B32" s="42" t="inlineStr">
        <is>
          <t>• Variaciones semanales de al menos un 1 %: OMIE -8,6 %; Gasóleo C +5,3 %; MIBGAS +5,1 %; PVPC 2.0TD +1,0 %.</t>
        </is>
      </c>
    </row>
    <row r="33">
      <c r="B33" s="42" t="inlineStr">
        <is>
          <t>• Sin cambios apreciables en la semana (menos de un 1 %): Gasóleo A, TUR 2, Butano, Pellet saco 15 kg, Pellet granel.</t>
        </is>
      </c>
    </row>
    <row r="34">
      <c r="B34" s="42" t="inlineStr">
        <is>
          <t>• Respecto a hace un año, suben OMIE (+128,5 %), MIBGAS (+189,5 %), Gasóleo A (+35,2 %), PVPC 2.0TD (+39,6 %), TUR 2 (+16,5 %), Gasóleo C (+74,9 %), Butano (+15,8 %), Pellet saco 15 kg (+11,5 %), Pellet granel (+13,1 %).</t>
        </is>
      </c>
    </row>
    <row r="35">
      <c r="B35" s="42" t="inlineStr">
        <is>
          <t>• Precio por kWh de energía final, con impuestos, de menor a mayor: TUR 2 0,071 €/kWh; Pellet granel 0,077 €/kWh; Pellet saco 15 kg 0,082 €/kWh; Butano 0,118 €/kWh; Gasóleo C 0,148 €/kWh; Gasóleo A 0,184 €/kWh; PVPC 2.0TD 0,255 €/kWh. El más caro (PVPC 2.0TD) cuesta 3,6 veces el más barato (TUR 2).</t>
        </is>
      </c>
    </row>
    <row r="36">
      <c r="B36" s="42" t="inlineStr">
        <is>
          <t>• Precios mayoristas, sin impuestos: OMIE 0,1522 €/kWh; MIBGAS 0,0906 €/kWh.</t>
        </is>
      </c>
    </row>
    <row r="38">
      <c r="B38" s="2" t="inlineStr">
        <is>
          <t>Criterios: precio actual = media de 7 días (OMIE, MIBGAS, PVPC), última semana (gasóleos) o valor vigente (TUR 2, butano, pellet); variaciones frente al periodo anterior y frente a hace un año; nada se estima (n. d. = no disponible).</t>
        </is>
      </c>
    </row>
    <row r="40">
      <c r="B40" s="25" t="inlineStr">
        <is>
          <t>Ranking: coste por kWh de la energía final, con impuestos (de menor a mayor)</t>
        </is>
      </c>
    </row>
    <row r="41">
      <c r="C41" s="26" t="inlineStr">
        <is>
          <t>Indicador</t>
        </is>
      </c>
      <c r="D41" s="26" t="inlineStr">
        <is>
          <t>€/kWh</t>
        </is>
      </c>
    </row>
    <row r="42">
      <c r="C42" s="43" t="inlineStr">
        <is>
          <t>TUR 2</t>
        </is>
      </c>
      <c r="D42" s="44" t="n">
        <v>0.070629</v>
      </c>
    </row>
    <row r="43">
      <c r="C43" s="43" t="inlineStr">
        <is>
          <t>Pellet granel</t>
        </is>
      </c>
      <c r="D43" s="44" t="n">
        <v>0.07713299999999999</v>
      </c>
    </row>
    <row r="44">
      <c r="C44" s="43" t="inlineStr">
        <is>
          <t>Pellet saco 15 kg</t>
        </is>
      </c>
      <c r="D44" s="44" t="n">
        <v>0.082222</v>
      </c>
    </row>
    <row r="45">
      <c r="C45" s="43" t="inlineStr">
        <is>
          <t>Butano</t>
        </is>
      </c>
      <c r="D45" s="44" t="n">
        <v>0.118405</v>
      </c>
    </row>
    <row r="46">
      <c r="C46" s="43" t="inlineStr">
        <is>
          <t>Gasóleo C</t>
        </is>
      </c>
      <c r="D46" s="44" t="n">
        <v>0.147989</v>
      </c>
    </row>
    <row r="47">
      <c r="C47" s="43" t="inlineStr">
        <is>
          <t>Gasóleo A</t>
        </is>
      </c>
      <c r="D47" s="44" t="n">
        <v>0.183776</v>
      </c>
    </row>
    <row r="48">
      <c r="C48" s="43" t="inlineStr">
        <is>
          <t>PVPC 2.0TD</t>
        </is>
      </c>
      <c r="D48" s="44" t="n">
        <v>0.2550775714285715</v>
      </c>
    </row>
  </sheetData>
  <mergeCells count="36">
    <mergeCell ref="J6:L6"/>
    <mergeCell ref="D13:F13"/>
    <mergeCell ref="G10:I10"/>
    <mergeCell ref="G6:I6"/>
    <mergeCell ref="G13:I13"/>
    <mergeCell ref="D17:F17"/>
    <mergeCell ref="D7:F7"/>
    <mergeCell ref="D16:F16"/>
    <mergeCell ref="G15:I15"/>
    <mergeCell ref="J7:L7"/>
    <mergeCell ref="J16:L16"/>
    <mergeCell ref="G14:I14"/>
    <mergeCell ref="G5:I5"/>
    <mergeCell ref="D12:F12"/>
    <mergeCell ref="D9:F9"/>
    <mergeCell ref="J12:L12"/>
    <mergeCell ref="D8:F8"/>
    <mergeCell ref="D15:F15"/>
    <mergeCell ref="G16:I16"/>
    <mergeCell ref="D14:F14"/>
    <mergeCell ref="D5:F5"/>
    <mergeCell ref="G9:I9"/>
    <mergeCell ref="J8:L8"/>
    <mergeCell ref="G12:I12"/>
    <mergeCell ref="J17:L17"/>
    <mergeCell ref="D10:F10"/>
    <mergeCell ref="J5:L5"/>
    <mergeCell ref="J14:L14"/>
    <mergeCell ref="J10:L10"/>
    <mergeCell ref="J13:L13"/>
    <mergeCell ref="D6:F6"/>
    <mergeCell ref="G8:I8"/>
    <mergeCell ref="G17:I17"/>
    <mergeCell ref="J9:L9"/>
    <mergeCell ref="G7:I7"/>
    <mergeCell ref="J15:L15"/>
  </mergeCells>
  <conditionalFormatting sqref="E21:E29">
    <cfRule type="cellIs" priority="1" operator="greaterThan" dxfId="0">
      <formula>0.0005</formula>
    </cfRule>
    <cfRule type="cellIs" priority="2" operator="lessThan" dxfId="1">
      <formula>-0.0005</formula>
    </cfRule>
    <cfRule type="iconSet" priority="3">
      <iconSet iconSet="3Arrows" showValue="1" reverse="0">
        <cfvo type="num" val="-0.0005"/>
        <cfvo type="num" val="-0.0005"/>
        <cfvo type="num" val="0.0005"/>
      </iconSet>
    </cfRule>
  </conditionalFormatting>
  <conditionalFormatting sqref="F21:F29">
    <cfRule type="cellIs" priority="4" operator="greaterThan" dxfId="0">
      <formula>0.0005</formula>
    </cfRule>
    <cfRule type="cellIs" priority="5" operator="lessThan" dxfId="1">
      <formula>-0.0005</formula>
    </cfRule>
    <cfRule type="iconSet" priority="6">
      <iconSet iconSet="3Arrows" showValue="1" reverse="0">
        <cfvo type="num" val="-0.0005"/>
        <cfvo type="num" val="-0.0005"/>
        <cfvo type="num" val="0.0005"/>
      </iconSet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26" t="inlineStr">
        <is>
          <t>Año</t>
        </is>
      </c>
      <c r="B1" s="26" t="inlineStr">
        <is>
          <t>OMIE (sin imp.)</t>
        </is>
      </c>
      <c r="C1" s="26" t="inlineStr">
        <is>
          <t>MIBGAS (sin imp.)</t>
        </is>
      </c>
      <c r="D1" s="26" t="inlineStr">
        <is>
          <t>Gasóleo A</t>
        </is>
      </c>
      <c r="E1" s="26" t="inlineStr">
        <is>
          <t>PVPC 2.0TD</t>
        </is>
      </c>
      <c r="F1" s="26" t="inlineStr">
        <is>
          <t>TUR 2</t>
        </is>
      </c>
      <c r="G1" s="26" t="inlineStr">
        <is>
          <t>Gasóleo C</t>
        </is>
      </c>
      <c r="H1" s="26" t="inlineStr">
        <is>
          <t>Butano</t>
        </is>
      </c>
      <c r="I1" s="26" t="inlineStr">
        <is>
          <t>Pellet saco 15 kg</t>
        </is>
      </c>
      <c r="J1" s="26" t="inlineStr">
        <is>
          <t>Pellet granel</t>
        </is>
      </c>
    </row>
    <row r="2">
      <c r="A2" t="n">
        <v>2020</v>
      </c>
      <c r="B2" s="45" t="n">
        <v>0.03395891666666667</v>
      </c>
      <c r="C2" s="45" t="n">
        <v>0.01021291666666667</v>
      </c>
      <c r="D2" s="45" t="n">
        <v>0.1043725</v>
      </c>
      <c r="E2" s="45" t="n"/>
      <c r="F2" s="45" t="n">
        <v>0.0575145</v>
      </c>
      <c r="G2" s="45" t="n">
        <v>0.05525491666666666</v>
      </c>
      <c r="H2" s="45" t="n">
        <v>0.08129233333333334</v>
      </c>
      <c r="I2" s="45" t="n">
        <v>0.060972</v>
      </c>
      <c r="J2" s="45" t="n">
        <v>0.05005600000000001</v>
      </c>
    </row>
    <row r="3">
      <c r="A3" t="n">
        <v>2021</v>
      </c>
      <c r="B3" s="45" t="n">
        <v>0.1113913333333333</v>
      </c>
      <c r="C3" s="45" t="n">
        <v>0.04729866666666666</v>
      </c>
      <c r="D3" s="45" t="n">
        <v>0.1208080833333333</v>
      </c>
      <c r="E3" s="45" t="n"/>
      <c r="F3" s="45" t="n">
        <v>0.05812675</v>
      </c>
      <c r="G3" s="45" t="n">
        <v>0.07068708333333333</v>
      </c>
      <c r="H3" s="45" t="n">
        <v>0.09336558333333334</v>
      </c>
      <c r="I3" s="45" t="n">
        <v>0.060278</v>
      </c>
      <c r="J3" s="45" t="n">
        <v>0.05134</v>
      </c>
    </row>
    <row r="4">
      <c r="A4" t="n">
        <v>2022</v>
      </c>
      <c r="B4" s="45" t="n">
        <v>0.1676545</v>
      </c>
      <c r="C4" s="45" t="n">
        <v>0.09865566666666666</v>
      </c>
      <c r="D4" s="45" t="n">
        <v>0.1750029166666667</v>
      </c>
      <c r="E4" s="45" t="n">
        <v>0.3104160833333333</v>
      </c>
      <c r="F4" s="45" t="n">
        <v>0.07076575</v>
      </c>
      <c r="G4" s="45" t="n">
        <v>0.12557575</v>
      </c>
      <c r="H4" s="45" t="n">
        <v>0.118568</v>
      </c>
      <c r="I4" s="45" t="n">
        <v>0.090694</v>
      </c>
      <c r="J4" s="45" t="n">
        <v>0.08497499999999998</v>
      </c>
    </row>
    <row r="5">
      <c r="A5" t="n">
        <v>2023</v>
      </c>
      <c r="B5" s="45" t="n">
        <v>0.0874045</v>
      </c>
      <c r="C5" s="45" t="n">
        <v>0.0390675</v>
      </c>
      <c r="D5" s="45" t="n">
        <v>0.1518655833333333</v>
      </c>
      <c r="E5" s="45" t="n">
        <v>0.1556034166666667</v>
      </c>
      <c r="F5" s="45" t="n">
        <v>0.0588715</v>
      </c>
      <c r="G5" s="45" t="n">
        <v>0.1025375</v>
      </c>
      <c r="H5" s="45" t="n">
        <v>0.10067475</v>
      </c>
      <c r="I5" s="45" t="n">
        <v>0.08624999999999999</v>
      </c>
      <c r="J5" s="45" t="n">
        <v>0.075281</v>
      </c>
    </row>
    <row r="6">
      <c r="A6" t="n">
        <v>2024</v>
      </c>
      <c r="B6" s="45" t="n">
        <v>0.06289391666666667</v>
      </c>
      <c r="C6" s="45" t="n">
        <v>0.034666</v>
      </c>
      <c r="D6" s="45" t="n">
        <v>0.1430899166666667</v>
      </c>
      <c r="E6" s="45" t="n">
        <v>0.15014225</v>
      </c>
      <c r="F6" s="45" t="n">
        <v>0.06187425</v>
      </c>
      <c r="G6" s="45" t="n">
        <v>0.09568666666666666</v>
      </c>
      <c r="H6" s="45" t="n">
        <v>0.100759</v>
      </c>
      <c r="I6" s="45" t="n">
        <v>0.07263925</v>
      </c>
      <c r="J6" s="45" t="n">
        <v>0.067249</v>
      </c>
    </row>
    <row r="7">
      <c r="A7" t="n">
        <v>2025</v>
      </c>
      <c r="B7" s="45" t="n">
        <v>0.06540016666666666</v>
      </c>
      <c r="C7" s="45" t="n">
        <v>0.03599025</v>
      </c>
      <c r="D7" s="45" t="n">
        <v>0.1387269166666667</v>
      </c>
      <c r="E7" s="45" t="n">
        <v>0.173742</v>
      </c>
      <c r="F7" s="45" t="n">
        <v>0.064138</v>
      </c>
      <c r="G7" s="45" t="n">
        <v>0.08919458333333334</v>
      </c>
      <c r="H7" s="45" t="n">
        <v>0.106231</v>
      </c>
      <c r="I7" s="45" t="n">
        <v>0.0715625</v>
      </c>
      <c r="J7" s="45" t="n">
        <v>0.06549874999999999</v>
      </c>
    </row>
    <row r="8">
      <c r="A8" t="n">
        <v>2026</v>
      </c>
      <c r="B8" s="45" t="n">
        <v>0.0820979</v>
      </c>
      <c r="C8" s="45" t="n">
        <v>0.05305720000000001</v>
      </c>
      <c r="D8" s="45" t="n">
        <v>0.1636491</v>
      </c>
      <c r="E8" s="45" t="n">
        <v>0.1828093</v>
      </c>
      <c r="F8" s="45" t="n">
        <v>0.0549546</v>
      </c>
      <c r="G8" s="45" t="n">
        <v>0.1163286</v>
      </c>
      <c r="H8" s="45" t="n">
        <v>0.1043719</v>
      </c>
      <c r="I8" s="45" t="n">
        <v>0.078148</v>
      </c>
      <c r="J8" s="45" t="n">
        <v>0.07426166666666667</v>
      </c>
    </row>
    <row r="10">
      <c r="A10" s="2" t="inlineStr">
        <is>
          <t>Media anual en €/kWh de cada serie (media de sus medias mensuales). Solo años completos; el año en curso usa los meses disponibles. Vacío = falta algún mes.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8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6" t="inlineStr">
        <is>
          <t>Mes</t>
        </is>
      </c>
      <c r="B1" s="26" t="inlineStr">
        <is>
          <t>OMIE (€/kWh, sin imp.)</t>
        </is>
      </c>
      <c r="C1" s="26" t="inlineStr">
        <is>
          <t>OMIE (€/MWh)</t>
        </is>
      </c>
      <c r="D1" s="26" t="inlineStr">
        <is>
          <t>MIBGAS (€/kWh, sin imp.)</t>
        </is>
      </c>
      <c r="E1" s="26" t="inlineStr">
        <is>
          <t>MIBGAS (€/MWh)</t>
        </is>
      </c>
      <c r="F1" s="26" t="inlineStr">
        <is>
          <t>Gasóleo A (€/kWh, con imp.)</t>
        </is>
      </c>
      <c r="G1" s="26" t="inlineStr">
        <is>
          <t>Gasóleo A (€/l)</t>
        </is>
      </c>
      <c r="H1" s="26" t="inlineStr">
        <is>
          <t>PVPC 2.0TD (€/kWh, con imp.)</t>
        </is>
      </c>
      <c r="I1" s="26" t="inlineStr">
        <is>
          <t>PVPC 2.0TD (€/MWh)</t>
        </is>
      </c>
      <c r="J1" s="26" t="inlineStr">
        <is>
          <t>TUR 2 (€/kWh, con imp.)</t>
        </is>
      </c>
      <c r="K1" s="26" t="inlineStr">
        <is>
          <t>TUR 2 (c€/kWh (PCS))</t>
        </is>
      </c>
      <c r="L1" s="26" t="inlineStr">
        <is>
          <t>Gasóleo C (€/kWh, con imp.)</t>
        </is>
      </c>
      <c r="M1" s="26" t="inlineStr">
        <is>
          <t>Gasóleo C (€/l)</t>
        </is>
      </c>
      <c r="N1" s="26" t="inlineStr">
        <is>
          <t>Butano (€/kWh, con imp.)</t>
        </is>
      </c>
      <c r="O1" s="26" t="inlineStr">
        <is>
          <t>Butano (c€/kg (antes de impuestos))</t>
        </is>
      </c>
      <c r="P1" s="26" t="inlineStr">
        <is>
          <t>Pellet saco 15 kg (€/kWh, con imp.)</t>
        </is>
      </c>
      <c r="Q1" s="26" t="inlineStr">
        <is>
          <t>Pellet saco 15 kg (€/saco)</t>
        </is>
      </c>
      <c r="R1" s="26" t="inlineStr">
        <is>
          <t>Pellet granel (€/kWh, con imp.)</t>
        </is>
      </c>
      <c r="S1" s="26" t="inlineStr">
        <is>
          <t>Pellet granel (€/t)</t>
        </is>
      </c>
    </row>
    <row r="2">
      <c r="A2" t="inlineStr">
        <is>
          <t>2020-01</t>
        </is>
      </c>
      <c r="B2" s="45" t="n">
        <v>0.041101</v>
      </c>
      <c r="C2" s="46" t="n">
        <v>41.101397</v>
      </c>
      <c r="D2" s="45" t="n">
        <v>0.011879</v>
      </c>
      <c r="E2" s="46" t="n">
        <v>11.879355</v>
      </c>
      <c r="F2" s="45" t="n">
        <v>0.121196</v>
      </c>
      <c r="G2" s="46" t="n">
        <v>1.245892</v>
      </c>
      <c r="H2" s="45" t="n"/>
      <c r="I2" s="46" t="n"/>
      <c r="J2" s="45" t="n">
        <v>0.060353</v>
      </c>
      <c r="K2" s="46" t="n">
        <v>4.275044</v>
      </c>
      <c r="L2" s="45" t="n">
        <v>0.07646799999999999</v>
      </c>
      <c r="M2" s="46" t="n">
        <v>0.786088</v>
      </c>
      <c r="N2" s="45" t="n">
        <v>0.081509</v>
      </c>
      <c r="O2" s="46" t="n">
        <v>84.252748</v>
      </c>
      <c r="P2" s="45" t="n">
        <v>0.060972</v>
      </c>
      <c r="Q2" s="46" t="n">
        <v>4.39</v>
      </c>
      <c r="R2" s="45" t="n">
        <v>0.050056</v>
      </c>
      <c r="S2" s="46" t="n">
        <v>240.27</v>
      </c>
    </row>
    <row r="3">
      <c r="A3" t="inlineStr">
        <is>
          <t>2020-02</t>
        </is>
      </c>
      <c r="B3" s="45" t="n">
        <v>0.035869</v>
      </c>
      <c r="C3" s="46" t="n">
        <v>35.868697</v>
      </c>
      <c r="D3" s="45" t="n">
        <v>0.009816999999999999</v>
      </c>
      <c r="E3" s="46" t="n">
        <v>9.817240999999999</v>
      </c>
      <c r="F3" s="45" t="n">
        <v>0.11745</v>
      </c>
      <c r="G3" s="46" t="n">
        <v>1.207385</v>
      </c>
      <c r="H3" s="45" t="n"/>
      <c r="I3" s="46" t="n"/>
      <c r="J3" s="45" t="n">
        <v>0.060353</v>
      </c>
      <c r="K3" s="46" t="n">
        <v>4.275044</v>
      </c>
      <c r="L3" s="45" t="n">
        <v>0.069908</v>
      </c>
      <c r="M3" s="46" t="n">
        <v>0.718655</v>
      </c>
      <c r="N3" s="45" t="n">
        <v>0.084047</v>
      </c>
      <c r="O3" s="46" t="n">
        <v>86.92319999999999</v>
      </c>
      <c r="P3" s="45" t="n">
        <v>0.060972</v>
      </c>
      <c r="Q3" s="46" t="n">
        <v>4.39</v>
      </c>
      <c r="R3" s="45" t="n">
        <v>0.050056</v>
      </c>
      <c r="S3" s="46" t="n">
        <v>240.27</v>
      </c>
    </row>
    <row r="4">
      <c r="A4" t="inlineStr">
        <is>
          <t>2020-03</t>
        </is>
      </c>
      <c r="B4" s="45" t="n">
        <v>0.027729</v>
      </c>
      <c r="C4" s="46" t="n">
        <v>27.72879</v>
      </c>
      <c r="D4" s="45" t="n">
        <v>0.008562999999999999</v>
      </c>
      <c r="E4" s="46" t="n">
        <v>8.562903</v>
      </c>
      <c r="F4" s="45" t="n">
        <v>0.109557</v>
      </c>
      <c r="G4" s="46" t="n">
        <v>1.126248</v>
      </c>
      <c r="H4" s="45" t="n"/>
      <c r="I4" s="46" t="n"/>
      <c r="J4" s="45" t="n">
        <v>0.060353</v>
      </c>
      <c r="K4" s="46" t="n">
        <v>4.275044</v>
      </c>
      <c r="L4" s="45" t="n">
        <v>0.059326</v>
      </c>
      <c r="M4" s="46" t="n">
        <v>0.609866</v>
      </c>
      <c r="N4" s="45" t="n">
        <v>0.084047</v>
      </c>
      <c r="O4" s="46" t="n">
        <v>86.92319999999999</v>
      </c>
      <c r="P4" s="45" t="n">
        <v>0.060972</v>
      </c>
      <c r="Q4" s="46" t="n">
        <v>4.39</v>
      </c>
      <c r="R4" s="45" t="n">
        <v>0.050056</v>
      </c>
      <c r="S4" s="46" t="n">
        <v>240.27</v>
      </c>
    </row>
    <row r="5">
      <c r="A5" t="inlineStr">
        <is>
          <t>2020-04</t>
        </is>
      </c>
      <c r="B5" s="45" t="n">
        <v>0.017653</v>
      </c>
      <c r="C5" s="46" t="n">
        <v>17.652967</v>
      </c>
      <c r="D5" s="45" t="n">
        <v>0.007482</v>
      </c>
      <c r="E5" s="46" t="n">
        <v>7.481667</v>
      </c>
      <c r="F5" s="45" t="n">
        <v>0.099217</v>
      </c>
      <c r="G5" s="46" t="n">
        <v>1.019947</v>
      </c>
      <c r="H5" s="45" t="n"/>
      <c r="I5" s="46" t="n"/>
      <c r="J5" s="45" t="n">
        <v>0.060353</v>
      </c>
      <c r="K5" s="46" t="n">
        <v>4.275044</v>
      </c>
      <c r="L5" s="45" t="n">
        <v>0.048452</v>
      </c>
      <c r="M5" s="46" t="n">
        <v>0.498087</v>
      </c>
      <c r="N5" s="45" t="n">
        <v>0.084047</v>
      </c>
      <c r="O5" s="46" t="n">
        <v>86.92319999999999</v>
      </c>
      <c r="P5" s="45" t="n">
        <v>0.060972</v>
      </c>
      <c r="Q5" s="46" t="n">
        <v>4.39</v>
      </c>
      <c r="R5" s="45" t="n">
        <v>0.050056</v>
      </c>
      <c r="S5" s="46" t="n">
        <v>240.27</v>
      </c>
    </row>
    <row r="6">
      <c r="A6" t="inlineStr">
        <is>
          <t>2020-05</t>
        </is>
      </c>
      <c r="B6" s="45" t="n">
        <v>0.021255</v>
      </c>
      <c r="C6" s="46" t="n">
        <v>21.2549</v>
      </c>
      <c r="D6" s="45" t="n">
        <v>0.005331</v>
      </c>
      <c r="E6" s="46" t="n">
        <v>5.330645</v>
      </c>
      <c r="F6" s="45" t="n">
        <v>0.095941</v>
      </c>
      <c r="G6" s="46" t="n">
        <v>0.98627</v>
      </c>
      <c r="H6" s="45" t="n"/>
      <c r="I6" s="46" t="n"/>
      <c r="J6" s="45" t="n">
        <v>0.060353</v>
      </c>
      <c r="K6" s="46" t="n">
        <v>4.275044</v>
      </c>
      <c r="L6" s="45" t="n">
        <v>0.045096</v>
      </c>
      <c r="M6" s="46" t="n">
        <v>0.463583</v>
      </c>
      <c r="N6" s="45" t="n">
        <v>0.084047</v>
      </c>
      <c r="O6" s="46" t="n">
        <v>86.92319999999999</v>
      </c>
      <c r="P6" s="45" t="n">
        <v>0.060972</v>
      </c>
      <c r="Q6" s="46" t="n">
        <v>4.39</v>
      </c>
      <c r="R6" s="45" t="n">
        <v>0.050056</v>
      </c>
      <c r="S6" s="46" t="n">
        <v>240.27</v>
      </c>
    </row>
    <row r="7">
      <c r="A7" t="inlineStr">
        <is>
          <t>2020-06</t>
        </is>
      </c>
      <c r="B7" s="45" t="n">
        <v>0.030618</v>
      </c>
      <c r="C7" s="46" t="n">
        <v>30.617753</v>
      </c>
      <c r="D7" s="45" t="n">
        <v>0.006426</v>
      </c>
      <c r="E7" s="46" t="n">
        <v>6.425667</v>
      </c>
      <c r="F7" s="45" t="n">
        <v>0.09916999999999999</v>
      </c>
      <c r="G7" s="46" t="n">
        <v>1.019468</v>
      </c>
      <c r="H7" s="45" t="n"/>
      <c r="I7" s="46" t="n"/>
      <c r="J7" s="45" t="n">
        <v>0.060353</v>
      </c>
      <c r="K7" s="46" t="n">
        <v>4.275044</v>
      </c>
      <c r="L7" s="45" t="n">
        <v>0.050138</v>
      </c>
      <c r="M7" s="46" t="n">
        <v>0.515414</v>
      </c>
      <c r="N7" s="45" t="n">
        <v>0.084047</v>
      </c>
      <c r="O7" s="46" t="n">
        <v>86.92319999999999</v>
      </c>
      <c r="P7" s="45" t="n">
        <v>0.060972</v>
      </c>
      <c r="Q7" s="46" t="n">
        <v>4.39</v>
      </c>
      <c r="R7" s="45" t="n">
        <v>0.050056</v>
      </c>
      <c r="S7" s="46" t="n">
        <v>240.27</v>
      </c>
    </row>
    <row r="8">
      <c r="A8" t="inlineStr">
        <is>
          <t>2020-07</t>
        </is>
      </c>
      <c r="B8" s="45" t="n">
        <v>0.034636</v>
      </c>
      <c r="C8" s="46" t="n">
        <v>34.63601</v>
      </c>
      <c r="D8" s="45" t="n">
        <v>0.006435</v>
      </c>
      <c r="E8" s="46" t="n">
        <v>6.434516</v>
      </c>
      <c r="F8" s="45" t="n">
        <v>0.102768</v>
      </c>
      <c r="G8" s="46" t="n">
        <v>1.056453</v>
      </c>
      <c r="H8" s="45" t="n"/>
      <c r="I8" s="46" t="n"/>
      <c r="J8" s="45" t="n">
        <v>0.056262</v>
      </c>
      <c r="K8" s="46" t="n">
        <v>3.9694</v>
      </c>
      <c r="L8" s="45" t="n">
        <v>0.053658</v>
      </c>
      <c r="M8" s="46" t="n">
        <v>0.551602</v>
      </c>
      <c r="N8" s="45" t="n">
        <v>0.082581</v>
      </c>
      <c r="O8" s="46" t="n">
        <v>85.381</v>
      </c>
      <c r="P8" s="45" t="n">
        <v>0.060972</v>
      </c>
      <c r="Q8" s="46" t="n">
        <v>4.39</v>
      </c>
      <c r="R8" s="45" t="n">
        <v>0.050056</v>
      </c>
      <c r="S8" s="46" t="n">
        <v>240.27</v>
      </c>
    </row>
    <row r="9">
      <c r="A9" t="inlineStr">
        <is>
          <t>2020-08</t>
        </is>
      </c>
      <c r="B9" s="45" t="n">
        <v>0.036198</v>
      </c>
      <c r="C9" s="46" t="n">
        <v>36.198019</v>
      </c>
      <c r="D9" s="45" t="n">
        <v>0.009187000000000001</v>
      </c>
      <c r="E9" s="46" t="n">
        <v>9.186774</v>
      </c>
      <c r="F9" s="45" t="n">
        <v>0.103165</v>
      </c>
      <c r="G9" s="46" t="n">
        <v>1.060542</v>
      </c>
      <c r="H9" s="45" t="n"/>
      <c r="I9" s="46" t="n"/>
      <c r="J9" s="45" t="n">
        <v>0.056262</v>
      </c>
      <c r="K9" s="46" t="n">
        <v>3.9694</v>
      </c>
      <c r="L9" s="45" t="n">
        <v>0.053266</v>
      </c>
      <c r="M9" s="46" t="n">
        <v>0.54758</v>
      </c>
      <c r="N9" s="45" t="n">
        <v>0.079916</v>
      </c>
      <c r="O9" s="46" t="n">
        <v>82.577</v>
      </c>
      <c r="P9" s="45" t="n">
        <v>0.060972</v>
      </c>
      <c r="Q9" s="46" t="n">
        <v>4.39</v>
      </c>
      <c r="R9" s="45" t="n">
        <v>0.050056</v>
      </c>
      <c r="S9" s="46" t="n">
        <v>240.27</v>
      </c>
    </row>
    <row r="10">
      <c r="A10" t="inlineStr">
        <is>
          <t>2020-09</t>
        </is>
      </c>
      <c r="B10" s="45" t="n">
        <v>0.041957</v>
      </c>
      <c r="C10" s="46" t="n">
        <v>41.957077</v>
      </c>
      <c r="D10" s="45" t="n">
        <v>0.01131</v>
      </c>
      <c r="E10" s="46" t="n">
        <v>11.31</v>
      </c>
      <c r="F10" s="45" t="n">
        <v>0.101148</v>
      </c>
      <c r="G10" s="46" t="n">
        <v>1.039802</v>
      </c>
      <c r="H10" s="45" t="n"/>
      <c r="I10" s="46" t="n"/>
      <c r="J10" s="45" t="n">
        <v>0.056262</v>
      </c>
      <c r="K10" s="46" t="n">
        <v>3.9694</v>
      </c>
      <c r="L10" s="45" t="n">
        <v>0.05043</v>
      </c>
      <c r="M10" s="46" t="n">
        <v>0.518423</v>
      </c>
      <c r="N10" s="45" t="n">
        <v>0.077823</v>
      </c>
      <c r="O10" s="46" t="n">
        <v>80.374973</v>
      </c>
      <c r="P10" s="45" t="n">
        <v>0.060972</v>
      </c>
      <c r="Q10" s="46" t="n">
        <v>4.39</v>
      </c>
      <c r="R10" s="45" t="n">
        <v>0.050056</v>
      </c>
      <c r="S10" s="46" t="n">
        <v>240.27</v>
      </c>
    </row>
    <row r="11">
      <c r="A11" t="inlineStr">
        <is>
          <t>2020-10</t>
        </is>
      </c>
      <c r="B11" s="45" t="n">
        <v>0.03659</v>
      </c>
      <c r="C11" s="46" t="n">
        <v>36.589939</v>
      </c>
      <c r="D11" s="45" t="n">
        <v>0.013441</v>
      </c>
      <c r="E11" s="46" t="n">
        <v>13.440645</v>
      </c>
      <c r="F11" s="45" t="n">
        <v>0.100056</v>
      </c>
      <c r="G11" s="46" t="n">
        <v>1.028575</v>
      </c>
      <c r="H11" s="45" t="n"/>
      <c r="I11" s="46" t="n"/>
      <c r="J11" s="45" t="n">
        <v>0.05309</v>
      </c>
      <c r="K11" s="46" t="n">
        <v>3.73238</v>
      </c>
      <c r="L11" s="45" t="n">
        <v>0.050225</v>
      </c>
      <c r="M11" s="46" t="n">
        <v>0.51631</v>
      </c>
      <c r="N11" s="45" t="n">
        <v>0.075992</v>
      </c>
      <c r="O11" s="46" t="n">
        <v>78.4482</v>
      </c>
      <c r="P11" s="45" t="n">
        <v>0.060972</v>
      </c>
      <c r="Q11" s="46" t="n">
        <v>4.39</v>
      </c>
      <c r="R11" s="45" t="n">
        <v>0.050056</v>
      </c>
      <c r="S11" s="46" t="n">
        <v>240.27</v>
      </c>
    </row>
    <row r="12">
      <c r="A12" t="inlineStr">
        <is>
          <t>2020-11</t>
        </is>
      </c>
      <c r="B12" s="45" t="n">
        <v>0.041936</v>
      </c>
      <c r="C12" s="46" t="n">
        <v>41.936147</v>
      </c>
      <c r="D12" s="45" t="n">
        <v>0.0145</v>
      </c>
      <c r="E12" s="46" t="n">
        <v>14.5</v>
      </c>
      <c r="F12" s="45" t="n">
        <v>0.099839</v>
      </c>
      <c r="G12" s="46" t="n">
        <v>1.026346</v>
      </c>
      <c r="H12" s="45" t="n"/>
      <c r="I12" s="46" t="n"/>
      <c r="J12" s="45" t="n">
        <v>0.05309</v>
      </c>
      <c r="K12" s="46" t="n">
        <v>3.73238</v>
      </c>
      <c r="L12" s="45" t="n">
        <v>0.050907</v>
      </c>
      <c r="M12" s="46" t="n">
        <v>0.523322</v>
      </c>
      <c r="N12" s="45" t="n">
        <v>0.077732</v>
      </c>
      <c r="O12" s="46" t="n">
        <v>80.27865300000001</v>
      </c>
      <c r="P12" s="45" t="n">
        <v>0.060972</v>
      </c>
      <c r="Q12" s="46" t="n">
        <v>4.39</v>
      </c>
      <c r="R12" s="45" t="n">
        <v>0.050056</v>
      </c>
      <c r="S12" s="46" t="n">
        <v>240.27</v>
      </c>
    </row>
    <row r="13">
      <c r="A13" t="inlineStr">
        <is>
          <t>2020-12</t>
        </is>
      </c>
      <c r="B13" s="45" t="n">
        <v>0.041965</v>
      </c>
      <c r="C13" s="46" t="n">
        <v>41.965274</v>
      </c>
      <c r="D13" s="45" t="n">
        <v>0.018184</v>
      </c>
      <c r="E13" s="46" t="n">
        <v>18.183548</v>
      </c>
      <c r="F13" s="45" t="n">
        <v>0.102963</v>
      </c>
      <c r="G13" s="46" t="n">
        <v>1.058463</v>
      </c>
      <c r="H13" s="45" t="n"/>
      <c r="I13" s="46" t="n"/>
      <c r="J13" s="45" t="n">
        <v>0.05309</v>
      </c>
      <c r="K13" s="46" t="n">
        <v>3.73238</v>
      </c>
      <c r="L13" s="45" t="n">
        <v>0.055185</v>
      </c>
      <c r="M13" s="46" t="n">
        <v>0.5673</v>
      </c>
      <c r="N13" s="45" t="n">
        <v>0.07972</v>
      </c>
      <c r="O13" s="46" t="n">
        <v>82.3706</v>
      </c>
      <c r="P13" s="45" t="n">
        <v>0.060972</v>
      </c>
      <c r="Q13" s="46" t="n">
        <v>4.39</v>
      </c>
      <c r="R13" s="45" t="n">
        <v>0.050056</v>
      </c>
      <c r="S13" s="46" t="n">
        <v>240.27</v>
      </c>
    </row>
    <row r="14">
      <c r="A14" t="inlineStr">
        <is>
          <t>2021-01</t>
        </is>
      </c>
      <c r="B14" s="45" t="n">
        <v>0.060165</v>
      </c>
      <c r="C14" s="46" t="n">
        <v>60.165323</v>
      </c>
      <c r="D14" s="45" t="n">
        <v>0.028331</v>
      </c>
      <c r="E14" s="46" t="n">
        <v>28.330645</v>
      </c>
      <c r="F14" s="45" t="n">
        <v>0.106716</v>
      </c>
      <c r="G14" s="46" t="n">
        <v>1.097043</v>
      </c>
      <c r="H14" s="45" t="n"/>
      <c r="I14" s="46" t="n"/>
      <c r="J14" s="45" t="n">
        <v>0.057157</v>
      </c>
      <c r="K14" s="46" t="n">
        <v>4.036244</v>
      </c>
      <c r="L14" s="45" t="n">
        <v>0.059076</v>
      </c>
      <c r="M14" s="46" t="n">
        <v>0.607307</v>
      </c>
      <c r="N14" s="45" t="n">
        <v>0.081362</v>
      </c>
      <c r="O14" s="46" t="n">
        <v>84.097713</v>
      </c>
      <c r="P14" s="45" t="n">
        <v>0.060278</v>
      </c>
      <c r="Q14" s="46" t="n">
        <v>4.34</v>
      </c>
      <c r="R14" s="45" t="n">
        <v>0.05134</v>
      </c>
      <c r="S14" s="46" t="n">
        <v>246.43</v>
      </c>
    </row>
    <row r="15">
      <c r="A15" t="inlineStr">
        <is>
          <t>2021-02</t>
        </is>
      </c>
      <c r="B15" s="45" t="n">
        <v>0.028493</v>
      </c>
      <c r="C15" s="46" t="n">
        <v>28.492754</v>
      </c>
      <c r="D15" s="45" t="n">
        <v>0.016815</v>
      </c>
      <c r="E15" s="46" t="n">
        <v>16.815</v>
      </c>
      <c r="F15" s="45" t="n">
        <v>0.109722</v>
      </c>
      <c r="G15" s="46" t="n">
        <v>1.127943</v>
      </c>
      <c r="H15" s="45" t="n"/>
      <c r="I15" s="46" t="n"/>
      <c r="J15" s="45" t="n">
        <v>0.057157</v>
      </c>
      <c r="K15" s="46" t="n">
        <v>4.036244</v>
      </c>
      <c r="L15" s="45" t="n">
        <v>0.061713</v>
      </c>
      <c r="M15" s="46" t="n">
        <v>0.63441</v>
      </c>
      <c r="N15" s="45" t="n">
        <v>0.083635</v>
      </c>
      <c r="O15" s="46" t="n">
        <v>86.48909999999999</v>
      </c>
      <c r="P15" s="45" t="n">
        <v>0.060278</v>
      </c>
      <c r="Q15" s="46" t="n">
        <v>4.34</v>
      </c>
      <c r="R15" s="45" t="n">
        <v>0.05134</v>
      </c>
      <c r="S15" s="46" t="n">
        <v>246.43</v>
      </c>
    </row>
    <row r="16">
      <c r="A16" t="inlineStr">
        <is>
          <t>2021-03</t>
        </is>
      </c>
      <c r="B16" s="45" t="n">
        <v>0.045443</v>
      </c>
      <c r="C16" s="46" t="n">
        <v>45.442939</v>
      </c>
      <c r="D16" s="45" t="n">
        <v>0.017514</v>
      </c>
      <c r="E16" s="46" t="n">
        <v>17.513871</v>
      </c>
      <c r="F16" s="45" t="n">
        <v>0.11484</v>
      </c>
      <c r="G16" s="46" t="n">
        <v>1.180554</v>
      </c>
      <c r="H16" s="45" t="n"/>
      <c r="I16" s="46" t="n"/>
      <c r="J16" s="45" t="n">
        <v>0.057157</v>
      </c>
      <c r="K16" s="46" t="n">
        <v>4.036244</v>
      </c>
      <c r="L16" s="45" t="n">
        <v>0.06590600000000001</v>
      </c>
      <c r="M16" s="46" t="n">
        <v>0.677512</v>
      </c>
      <c r="N16" s="45" t="n">
        <v>0.085756</v>
      </c>
      <c r="O16" s="46" t="n">
        <v>88.72110000000001</v>
      </c>
      <c r="P16" s="45" t="n">
        <v>0.060278</v>
      </c>
      <c r="Q16" s="46" t="n">
        <v>4.34</v>
      </c>
      <c r="R16" s="45" t="n">
        <v>0.05134</v>
      </c>
      <c r="S16" s="46" t="n">
        <v>246.43</v>
      </c>
    </row>
    <row r="17">
      <c r="A17" t="inlineStr">
        <is>
          <t>2021-04</t>
        </is>
      </c>
      <c r="B17" s="45" t="n">
        <v>0.06501700000000001</v>
      </c>
      <c r="C17" s="46" t="n">
        <v>65.01745699999999</v>
      </c>
      <c r="D17" s="45" t="n">
        <v>0.021036</v>
      </c>
      <c r="E17" s="46" t="n">
        <v>21.036333</v>
      </c>
      <c r="F17" s="45" t="n">
        <v>0.114861</v>
      </c>
      <c r="G17" s="46" t="n">
        <v>1.180773</v>
      </c>
      <c r="H17" s="45" t="n"/>
      <c r="I17" s="46" t="n"/>
      <c r="J17" s="45" t="n">
        <v>0.057157</v>
      </c>
      <c r="K17" s="46" t="n">
        <v>4.036244</v>
      </c>
      <c r="L17" s="45" t="n">
        <v>0.065247</v>
      </c>
      <c r="M17" s="46" t="n">
        <v>0.670737</v>
      </c>
      <c r="N17" s="45" t="n">
        <v>0.087745</v>
      </c>
      <c r="O17" s="46" t="n">
        <v>90.81359999999999</v>
      </c>
      <c r="P17" s="45" t="n">
        <v>0.060278</v>
      </c>
      <c r="Q17" s="46" t="n">
        <v>4.34</v>
      </c>
      <c r="R17" s="45" t="n">
        <v>0.05134</v>
      </c>
      <c r="S17" s="46" t="n">
        <v>246.43</v>
      </c>
    </row>
    <row r="18">
      <c r="A18" t="inlineStr">
        <is>
          <t>2021-05</t>
        </is>
      </c>
      <c r="B18" s="45" t="n">
        <v>0.067125</v>
      </c>
      <c r="C18" s="46" t="n">
        <v>67.124906</v>
      </c>
      <c r="D18" s="45" t="n">
        <v>0.024697</v>
      </c>
      <c r="E18" s="46" t="n">
        <v>24.697419</v>
      </c>
      <c r="F18" s="45" t="n">
        <v>0.117104</v>
      </c>
      <c r="G18" s="46" t="n">
        <v>1.203832</v>
      </c>
      <c r="H18" s="45" t="n"/>
      <c r="I18" s="46" t="n"/>
      <c r="J18" s="45" t="n">
        <v>0.057157</v>
      </c>
      <c r="K18" s="46" t="n">
        <v>4.036244</v>
      </c>
      <c r="L18" s="45" t="n">
        <v>0.066799</v>
      </c>
      <c r="M18" s="46" t="n">
        <v>0.68669</v>
      </c>
      <c r="N18" s="45" t="n">
        <v>0.089694</v>
      </c>
      <c r="O18" s="46" t="n">
        <v>92.864239</v>
      </c>
      <c r="P18" s="45" t="n">
        <v>0.060278</v>
      </c>
      <c r="Q18" s="46" t="n">
        <v>4.34</v>
      </c>
      <c r="R18" s="45" t="n">
        <v>0.05134</v>
      </c>
      <c r="S18" s="46" t="n">
        <v>246.43</v>
      </c>
    </row>
    <row r="19">
      <c r="A19" t="inlineStr">
        <is>
          <t>2021-06</t>
        </is>
      </c>
      <c r="B19" s="45" t="n">
        <v>0.0833</v>
      </c>
      <c r="C19" s="46" t="n">
        <v>83.299837</v>
      </c>
      <c r="D19" s="45" t="n">
        <v>0.028666</v>
      </c>
      <c r="E19" s="46" t="n">
        <v>28.665667</v>
      </c>
      <c r="F19" s="45" t="n">
        <v>0.12008</v>
      </c>
      <c r="G19" s="46" t="n">
        <v>1.234422</v>
      </c>
      <c r="H19" s="45" t="n">
        <v>0.186862</v>
      </c>
      <c r="I19" s="46" t="n">
        <v>149.099673</v>
      </c>
      <c r="J19" s="45" t="n">
        <v>0.057157</v>
      </c>
      <c r="K19" s="46" t="n">
        <v>4.036244</v>
      </c>
      <c r="L19" s="45" t="n">
        <v>0.069519</v>
      </c>
      <c r="M19" s="46" t="n">
        <v>0.714655</v>
      </c>
      <c r="N19" s="45" t="n">
        <v>0.092061</v>
      </c>
      <c r="O19" s="46" t="n">
        <v>95.35429999999999</v>
      </c>
      <c r="P19" s="45" t="n">
        <v>0.060278</v>
      </c>
      <c r="Q19" s="46" t="n">
        <v>4.34</v>
      </c>
      <c r="R19" s="45" t="n">
        <v>0.05134</v>
      </c>
      <c r="S19" s="46" t="n">
        <v>246.43</v>
      </c>
    </row>
    <row r="20">
      <c r="A20" t="inlineStr">
        <is>
          <t>2021-07</t>
        </is>
      </c>
      <c r="B20" s="45" t="n">
        <v>0.092415</v>
      </c>
      <c r="C20" s="46" t="n">
        <v>92.415384</v>
      </c>
      <c r="D20" s="45" t="n">
        <v>0.036474</v>
      </c>
      <c r="E20" s="46" t="n">
        <v>36.473548</v>
      </c>
      <c r="F20" s="45" t="n">
        <v>0.122754</v>
      </c>
      <c r="G20" s="46" t="n">
        <v>1.261907</v>
      </c>
      <c r="H20" s="45" t="n">
        <v>0.182395</v>
      </c>
      <c r="I20" s="46" t="n">
        <v>157.74819</v>
      </c>
      <c r="J20" s="45" t="n">
        <v>0.059814</v>
      </c>
      <c r="K20" s="46" t="n">
        <v>4.234768</v>
      </c>
      <c r="L20" s="45" t="n">
        <v>0.07155300000000001</v>
      </c>
      <c r="M20" s="46" t="n">
        <v>0.735565</v>
      </c>
      <c r="N20" s="45" t="n">
        <v>0.093815</v>
      </c>
      <c r="O20" s="46" t="n">
        <v>97.199861</v>
      </c>
      <c r="P20" s="45" t="n">
        <v>0.060278</v>
      </c>
      <c r="Q20" s="46" t="n">
        <v>4.34</v>
      </c>
      <c r="R20" s="45" t="n">
        <v>0.05134</v>
      </c>
      <c r="S20" s="46" t="n">
        <v>246.43</v>
      </c>
    </row>
    <row r="21">
      <c r="A21" t="inlineStr">
        <is>
          <t>2021-08</t>
        </is>
      </c>
      <c r="B21" s="45" t="n">
        <v>0.105941</v>
      </c>
      <c r="C21" s="46" t="n">
        <v>105.9407</v>
      </c>
      <c r="D21" s="45" t="n">
        <v>0.044605</v>
      </c>
      <c r="E21" s="46" t="n">
        <v>44.604516</v>
      </c>
      <c r="F21" s="45" t="n">
        <v>0.123069</v>
      </c>
      <c r="G21" s="46" t="n">
        <v>1.265144</v>
      </c>
      <c r="H21" s="45" t="n">
        <v>0.20305</v>
      </c>
      <c r="I21" s="46" t="n">
        <v>175.61211</v>
      </c>
      <c r="J21" s="45" t="n">
        <v>0.059814</v>
      </c>
      <c r="K21" s="46" t="n">
        <v>4.234768</v>
      </c>
      <c r="L21" s="45" t="n">
        <v>0.071757</v>
      </c>
      <c r="M21" s="46" t="n">
        <v>0.73766</v>
      </c>
      <c r="N21" s="45" t="n">
        <v>0.096593</v>
      </c>
      <c r="O21" s="46" t="n">
        <v>100.122</v>
      </c>
      <c r="P21" s="45" t="n">
        <v>0.060278</v>
      </c>
      <c r="Q21" s="46" t="n">
        <v>4.34</v>
      </c>
      <c r="R21" s="45" t="n">
        <v>0.05134</v>
      </c>
      <c r="S21" s="46" t="n">
        <v>246.43</v>
      </c>
    </row>
    <row r="22">
      <c r="A22" t="inlineStr">
        <is>
          <t>2021-09</t>
        </is>
      </c>
      <c r="B22" s="45" t="n">
        <v>0.156144</v>
      </c>
      <c r="C22" s="46" t="n">
        <v>156.14447</v>
      </c>
      <c r="D22" s="45" t="n">
        <v>0.064683</v>
      </c>
      <c r="E22" s="46" t="n">
        <v>64.682667</v>
      </c>
      <c r="F22" s="45" t="n">
        <v>0.124203</v>
      </c>
      <c r="G22" s="46" t="n">
        <v>1.276805</v>
      </c>
      <c r="H22" s="45" t="n">
        <v>0.246414</v>
      </c>
      <c r="I22" s="46" t="n">
        <v>217.902827</v>
      </c>
      <c r="J22" s="45" t="n">
        <v>0.059814</v>
      </c>
      <c r="K22" s="46" t="n">
        <v>4.234768</v>
      </c>
      <c r="L22" s="45" t="n">
        <v>0.073308</v>
      </c>
      <c r="M22" s="46" t="n">
        <v>0.75361</v>
      </c>
      <c r="N22" s="45" t="n">
        <v>0.098179</v>
      </c>
      <c r="O22" s="46" t="n">
        <v>101.7907</v>
      </c>
      <c r="P22" s="45" t="n">
        <v>0.060278</v>
      </c>
      <c r="Q22" s="46" t="n">
        <v>4.34</v>
      </c>
      <c r="R22" s="45" t="n">
        <v>0.05134</v>
      </c>
      <c r="S22" s="46" t="n">
        <v>246.43</v>
      </c>
    </row>
    <row r="23">
      <c r="A23" t="inlineStr">
        <is>
          <t>2021-10</t>
        </is>
      </c>
      <c r="B23" s="45" t="n">
        <v>0.200057</v>
      </c>
      <c r="C23" s="46" t="n">
        <v>200.057568</v>
      </c>
      <c r="D23" s="45" t="n">
        <v>0.08970499999999999</v>
      </c>
      <c r="E23" s="46" t="n">
        <v>89.70483900000001</v>
      </c>
      <c r="F23" s="45" t="n">
        <v>0.130744</v>
      </c>
      <c r="G23" s="46" t="n">
        <v>1.344045</v>
      </c>
      <c r="H23" s="45" t="n">
        <v>0.285797</v>
      </c>
      <c r="I23" s="46" t="n">
        <v>258.494187</v>
      </c>
      <c r="J23" s="45" t="n">
        <v>0.058379</v>
      </c>
      <c r="K23" s="46" t="n">
        <v>4.127554</v>
      </c>
      <c r="L23" s="45" t="n">
        <v>0.080606</v>
      </c>
      <c r="M23" s="46" t="n">
        <v>0.82863</v>
      </c>
      <c r="N23" s="45" t="n">
        <v>0.101351</v>
      </c>
      <c r="O23" s="46" t="n">
        <v>105.1281</v>
      </c>
      <c r="P23" s="45" t="n">
        <v>0.060278</v>
      </c>
      <c r="Q23" s="46" t="n">
        <v>4.34</v>
      </c>
      <c r="R23" s="45" t="n">
        <v>0.05134</v>
      </c>
      <c r="S23" s="46" t="n">
        <v>246.43</v>
      </c>
    </row>
    <row r="24">
      <c r="A24" t="inlineStr">
        <is>
          <t>2021-11</t>
        </is>
      </c>
      <c r="B24" s="45" t="n">
        <v>0.193431</v>
      </c>
      <c r="C24" s="46" t="n">
        <v>193.43079</v>
      </c>
      <c r="D24" s="45" t="n">
        <v>0.083105</v>
      </c>
      <c r="E24" s="46" t="n">
        <v>83.105333</v>
      </c>
      <c r="F24" s="45" t="n">
        <v>0.134418</v>
      </c>
      <c r="G24" s="46" t="n">
        <v>1.381812</v>
      </c>
      <c r="H24" s="45" t="n">
        <v>0.278164</v>
      </c>
      <c r="I24" s="46" t="n">
        <v>251.60229</v>
      </c>
      <c r="J24" s="45" t="n">
        <v>0.058379</v>
      </c>
      <c r="K24" s="46" t="n">
        <v>4.127554</v>
      </c>
      <c r="L24" s="45" t="n">
        <v>0.08316999999999999</v>
      </c>
      <c r="M24" s="46" t="n">
        <v>0.854986</v>
      </c>
      <c r="N24" s="45" t="n">
        <v>0.103849</v>
      </c>
      <c r="O24" s="46" t="n">
        <v>107.7563</v>
      </c>
      <c r="P24" s="45" t="n">
        <v>0.060278</v>
      </c>
      <c r="Q24" s="46" t="n">
        <v>4.34</v>
      </c>
      <c r="R24" s="45" t="n">
        <v>0.05134</v>
      </c>
      <c r="S24" s="46" t="n">
        <v>246.43</v>
      </c>
    </row>
    <row r="25">
      <c r="A25" t="inlineStr">
        <is>
          <t>2021-12</t>
        </is>
      </c>
      <c r="B25" s="45" t="n">
        <v>0.239165</v>
      </c>
      <c r="C25" s="46" t="n">
        <v>239.164965</v>
      </c>
      <c r="D25" s="45" t="n">
        <v>0.111953</v>
      </c>
      <c r="E25" s="46" t="n">
        <v>111.952903</v>
      </c>
      <c r="F25" s="45" t="n">
        <v>0.131186</v>
      </c>
      <c r="G25" s="46" t="n">
        <v>1.348593</v>
      </c>
      <c r="H25" s="45" t="n">
        <v>0.345275</v>
      </c>
      <c r="I25" s="46" t="n">
        <v>312.291819</v>
      </c>
      <c r="J25" s="45" t="n">
        <v>0.058379</v>
      </c>
      <c r="K25" s="46" t="n">
        <v>4.127554</v>
      </c>
      <c r="L25" s="45" t="n">
        <v>0.079591</v>
      </c>
      <c r="M25" s="46" t="n">
        <v>0.8181929999999999</v>
      </c>
      <c r="N25" s="45" t="n">
        <v>0.106347</v>
      </c>
      <c r="O25" s="46" t="n">
        <v>110.3845</v>
      </c>
      <c r="P25" s="45" t="n">
        <v>0.060278</v>
      </c>
      <c r="Q25" s="46" t="n">
        <v>4.34</v>
      </c>
      <c r="R25" s="45" t="n">
        <v>0.05134</v>
      </c>
      <c r="S25" s="46" t="n">
        <v>246.43</v>
      </c>
    </row>
    <row r="26">
      <c r="A26" t="inlineStr">
        <is>
          <t>2022-01</t>
        </is>
      </c>
      <c r="B26" s="45" t="n">
        <v>0.201718</v>
      </c>
      <c r="C26" s="46" t="n">
        <v>201.717623</v>
      </c>
      <c r="D26" s="45" t="n">
        <v>0.082843</v>
      </c>
      <c r="E26" s="46" t="n">
        <v>82.84290300000001</v>
      </c>
      <c r="F26" s="45" t="n">
        <v>0.134506</v>
      </c>
      <c r="G26" s="46" t="n">
        <v>1.382728</v>
      </c>
      <c r="H26" s="45" t="n">
        <v>0.31603</v>
      </c>
      <c r="I26" s="46" t="n">
        <v>285.860052</v>
      </c>
      <c r="J26" s="45" t="n">
        <v>0.063634</v>
      </c>
      <c r="K26" s="46" t="n">
        <v>4.520114</v>
      </c>
      <c r="L26" s="45" t="n">
        <v>0.085248</v>
      </c>
      <c r="M26" s="46" t="n">
        <v>0.876348</v>
      </c>
      <c r="N26" s="45" t="n">
        <v>0.108716</v>
      </c>
      <c r="O26" s="46" t="n">
        <v>112.877042</v>
      </c>
      <c r="P26" s="45" t="n">
        <v>0.090694</v>
      </c>
      <c r="Q26" s="46" t="n">
        <v>6.53</v>
      </c>
      <c r="R26" s="45" t="n">
        <v>0.08497499999999999</v>
      </c>
      <c r="S26" s="46" t="n">
        <v>407.88</v>
      </c>
    </row>
    <row r="27">
      <c r="A27" t="inlineStr">
        <is>
          <t>2022-02</t>
        </is>
      </c>
      <c r="B27" s="45" t="n">
        <v>0.200219</v>
      </c>
      <c r="C27" s="46" t="n">
        <v>200.219254</v>
      </c>
      <c r="D27" s="45" t="n">
        <v>0.08125499999999999</v>
      </c>
      <c r="E27" s="46" t="n">
        <v>81.255</v>
      </c>
      <c r="F27" s="45" t="n">
        <v>0.143077</v>
      </c>
      <c r="G27" s="46" t="n">
        <v>1.470835</v>
      </c>
      <c r="H27" s="45" t="n">
        <v>0.316517</v>
      </c>
      <c r="I27" s="46" t="n">
        <v>286.308425</v>
      </c>
      <c r="J27" s="45" t="n">
        <v>0.063634</v>
      </c>
      <c r="K27" s="46" t="n">
        <v>4.520114</v>
      </c>
      <c r="L27" s="45" t="n">
        <v>0.09420199999999999</v>
      </c>
      <c r="M27" s="46" t="n">
        <v>0.968397</v>
      </c>
      <c r="N27" s="45" t="n">
        <v>0.111593</v>
      </c>
      <c r="O27" s="46" t="n">
        <v>115.9037</v>
      </c>
      <c r="P27" s="45" t="n">
        <v>0.090694</v>
      </c>
      <c r="Q27" s="46" t="n">
        <v>6.53</v>
      </c>
      <c r="R27" s="45" t="n">
        <v>0.08497499999999999</v>
      </c>
      <c r="S27" s="46" t="n">
        <v>407.88</v>
      </c>
    </row>
    <row r="28">
      <c r="A28" t="inlineStr">
        <is>
          <t>2022-03</t>
        </is>
      </c>
      <c r="B28" s="45" t="n">
        <v>0.283304</v>
      </c>
      <c r="C28" s="46" t="n">
        <v>283.303561</v>
      </c>
      <c r="D28" s="45" t="n">
        <v>0.125681</v>
      </c>
      <c r="E28" s="46" t="n">
        <v>125.680968</v>
      </c>
      <c r="F28" s="45" t="n">
        <v>0.171041</v>
      </c>
      <c r="G28" s="46" t="n">
        <v>1.758297</v>
      </c>
      <c r="H28" s="45" t="n">
        <v>0.428496</v>
      </c>
      <c r="I28" s="46" t="n">
        <v>387.604152</v>
      </c>
      <c r="J28" s="45" t="n">
        <v>0.063634</v>
      </c>
      <c r="K28" s="46" t="n">
        <v>4.520114</v>
      </c>
      <c r="L28" s="45" t="n">
        <v>0.128854</v>
      </c>
      <c r="M28" s="46" t="n">
        <v>1.324612</v>
      </c>
      <c r="N28" s="45" t="n">
        <v>0.114614</v>
      </c>
      <c r="O28" s="46" t="n">
        <v>119.081713</v>
      </c>
      <c r="P28" s="45" t="n">
        <v>0.090694</v>
      </c>
      <c r="Q28" s="46" t="n">
        <v>6.53</v>
      </c>
      <c r="R28" s="45" t="n">
        <v>0.08497499999999999</v>
      </c>
      <c r="S28" s="46" t="n">
        <v>407.88</v>
      </c>
    </row>
    <row r="29">
      <c r="A29" t="inlineStr">
        <is>
          <t>2022-04</t>
        </is>
      </c>
      <c r="B29" s="45" t="n">
        <v>0.191517</v>
      </c>
      <c r="C29" s="46" t="n">
        <v>191.516547</v>
      </c>
      <c r="D29" s="45" t="n">
        <v>0.090125</v>
      </c>
      <c r="E29" s="46" t="n">
        <v>90.125</v>
      </c>
      <c r="F29" s="45" t="n">
        <v>0.178609</v>
      </c>
      <c r="G29" s="46" t="n">
        <v>1.836103</v>
      </c>
      <c r="H29" s="45" t="n">
        <v>0.297007</v>
      </c>
      <c r="I29" s="46" t="n">
        <v>268.633527</v>
      </c>
      <c r="J29" s="45" t="n">
        <v>0.069648</v>
      </c>
      <c r="K29" s="46" t="n">
        <v>4.969479</v>
      </c>
      <c r="L29" s="45" t="n">
        <v>0.129845</v>
      </c>
      <c r="M29" s="46" t="n">
        <v>1.334803</v>
      </c>
      <c r="N29" s="45" t="n">
        <v>0.117102</v>
      </c>
      <c r="O29" s="46" t="n">
        <v>121.6989</v>
      </c>
      <c r="P29" s="45" t="n">
        <v>0.090694</v>
      </c>
      <c r="Q29" s="46" t="n">
        <v>6.53</v>
      </c>
      <c r="R29" s="45" t="n">
        <v>0.08497499999999999</v>
      </c>
      <c r="S29" s="46" t="n">
        <v>407.88</v>
      </c>
    </row>
    <row r="30">
      <c r="A30" t="inlineStr">
        <is>
          <t>2022-05</t>
        </is>
      </c>
      <c r="B30" s="45" t="n">
        <v>0.187126</v>
      </c>
      <c r="C30" s="46" t="n">
        <v>187.126016</v>
      </c>
      <c r="D30" s="45" t="n">
        <v>0.07620499999999999</v>
      </c>
      <c r="E30" s="46" t="n">
        <v>76.205161</v>
      </c>
      <c r="F30" s="45" t="n">
        <v>0.182696</v>
      </c>
      <c r="G30" s="46" t="n">
        <v>1.878118</v>
      </c>
      <c r="H30" s="45" t="n">
        <v>0.287361</v>
      </c>
      <c r="I30" s="46" t="n">
        <v>259.933565</v>
      </c>
      <c r="J30" s="45" t="n">
        <v>0.069648</v>
      </c>
      <c r="K30" s="46" t="n">
        <v>4.969479</v>
      </c>
      <c r="L30" s="45" t="n">
        <v>0.132373</v>
      </c>
      <c r="M30" s="46" t="n">
        <v>1.360798</v>
      </c>
      <c r="N30" s="45" t="n">
        <v>0.119901</v>
      </c>
      <c r="O30" s="46" t="n">
        <v>124.643206</v>
      </c>
      <c r="P30" s="45" t="n">
        <v>0.090694</v>
      </c>
      <c r="Q30" s="46" t="n">
        <v>6.53</v>
      </c>
      <c r="R30" s="45" t="n">
        <v>0.08497499999999999</v>
      </c>
      <c r="S30" s="46" t="n">
        <v>407.88</v>
      </c>
    </row>
    <row r="31">
      <c r="A31" t="inlineStr">
        <is>
          <t>2022-06</t>
        </is>
      </c>
      <c r="B31" s="45" t="n">
        <v>0.169626</v>
      </c>
      <c r="C31" s="46" t="n">
        <v>169.62569</v>
      </c>
      <c r="D31" s="45" t="n">
        <v>0.096413</v>
      </c>
      <c r="E31" s="46" t="n">
        <v>96.41333299999999</v>
      </c>
      <c r="F31" s="45" t="n">
        <v>0.196927</v>
      </c>
      <c r="G31" s="46" t="n">
        <v>2.02441</v>
      </c>
      <c r="H31" s="45" t="n">
        <v>0.321594</v>
      </c>
      <c r="I31" s="46" t="n">
        <v>290.904073</v>
      </c>
      <c r="J31" s="45" t="n">
        <v>0.069648</v>
      </c>
      <c r="K31" s="46" t="n">
        <v>4.969479</v>
      </c>
      <c r="L31" s="45" t="n">
        <v>0.1492</v>
      </c>
      <c r="M31" s="46" t="n">
        <v>1.533775</v>
      </c>
      <c r="N31" s="45" t="n">
        <v>0.122886</v>
      </c>
      <c r="O31" s="46" t="n">
        <v>127.7838</v>
      </c>
      <c r="P31" s="45" t="n">
        <v>0.090694</v>
      </c>
      <c r="Q31" s="46" t="n">
        <v>6.53</v>
      </c>
      <c r="R31" s="45" t="n">
        <v>0.08497499999999999</v>
      </c>
      <c r="S31" s="46" t="n">
        <v>407.88</v>
      </c>
    </row>
    <row r="32">
      <c r="A32" t="inlineStr">
        <is>
          <t>2022-07</t>
        </is>
      </c>
      <c r="B32" s="45" t="n">
        <v>0.142659</v>
      </c>
      <c r="C32" s="46" t="n">
        <v>142.659223</v>
      </c>
      <c r="D32" s="45" t="n">
        <v>0.128809</v>
      </c>
      <c r="E32" s="46" t="n">
        <v>128.80871</v>
      </c>
      <c r="F32" s="45" t="n">
        <v>0.194641</v>
      </c>
      <c r="G32" s="46" t="n">
        <v>2.000915</v>
      </c>
      <c r="H32" s="45" t="n">
        <v>0.349665</v>
      </c>
      <c r="I32" s="46" t="n">
        <v>331.357432</v>
      </c>
      <c r="J32" s="45" t="n">
        <v>0.07656499999999999</v>
      </c>
      <c r="K32" s="46" t="n">
        <v>5.486249</v>
      </c>
      <c r="L32" s="45" t="n">
        <v>0.145366</v>
      </c>
      <c r="M32" s="46" t="n">
        <v>1.494363</v>
      </c>
      <c r="N32" s="45" t="n">
        <v>0.122886</v>
      </c>
      <c r="O32" s="46" t="n">
        <v>127.7838</v>
      </c>
      <c r="P32" s="45" t="n">
        <v>0.090694</v>
      </c>
      <c r="Q32" s="46" t="n">
        <v>6.53</v>
      </c>
      <c r="R32" s="45" t="n">
        <v>0.08497499999999999</v>
      </c>
      <c r="S32" s="46" t="n">
        <v>407.88</v>
      </c>
    </row>
    <row r="33">
      <c r="A33" t="inlineStr">
        <is>
          <t>2022-08</t>
        </is>
      </c>
      <c r="B33" s="45" t="n">
        <v>0.154895</v>
      </c>
      <c r="C33" s="46" t="n">
        <v>154.8946</v>
      </c>
      <c r="D33" s="45" t="n">
        <v>0.163992</v>
      </c>
      <c r="E33" s="46" t="n">
        <v>163.992258</v>
      </c>
      <c r="F33" s="45" t="n">
        <v>0.180007</v>
      </c>
      <c r="G33" s="46" t="n">
        <v>1.850472</v>
      </c>
      <c r="H33" s="45" t="n">
        <v>0.417068</v>
      </c>
      <c r="I33" s="46" t="n">
        <v>395.231884</v>
      </c>
      <c r="J33" s="45" t="n">
        <v>0.07656499999999999</v>
      </c>
      <c r="K33" s="46" t="n">
        <v>5.486249</v>
      </c>
      <c r="L33" s="45" t="n">
        <v>0.130303</v>
      </c>
      <c r="M33" s="46" t="n">
        <v>1.339512</v>
      </c>
      <c r="N33" s="45" t="n">
        <v>0.122886</v>
      </c>
      <c r="O33" s="46" t="n">
        <v>127.7838</v>
      </c>
      <c r="P33" s="45" t="n">
        <v>0.090694</v>
      </c>
      <c r="Q33" s="46" t="n">
        <v>6.53</v>
      </c>
      <c r="R33" s="45" t="n">
        <v>0.08497499999999999</v>
      </c>
      <c r="S33" s="46" t="n">
        <v>407.88</v>
      </c>
    </row>
    <row r="34">
      <c r="A34" t="inlineStr">
        <is>
          <t>2022-09</t>
        </is>
      </c>
      <c r="B34" s="45" t="n">
        <v>0.14107</v>
      </c>
      <c r="C34" s="46" t="n">
        <v>141.069677</v>
      </c>
      <c r="D34" s="45" t="n">
        <v>0.11808</v>
      </c>
      <c r="E34" s="46" t="n">
        <v>118.080333</v>
      </c>
      <c r="F34" s="45" t="n">
        <v>0.182805</v>
      </c>
      <c r="G34" s="46" t="n">
        <v>1.879235</v>
      </c>
      <c r="H34" s="45" t="n">
        <v>0.333773</v>
      </c>
      <c r="I34" s="46" t="n">
        <v>316.28723</v>
      </c>
      <c r="J34" s="45" t="n">
        <v>0.07656499999999999</v>
      </c>
      <c r="K34" s="46" t="n">
        <v>5.486249</v>
      </c>
      <c r="L34" s="45" t="n">
        <v>0.131393</v>
      </c>
      <c r="M34" s="46" t="n">
        <v>1.350718</v>
      </c>
      <c r="N34" s="45" t="n">
        <v>0.122886</v>
      </c>
      <c r="O34" s="46" t="n">
        <v>127.7838</v>
      </c>
      <c r="P34" s="45" t="n">
        <v>0.090694</v>
      </c>
      <c r="Q34" s="46" t="n">
        <v>6.53</v>
      </c>
      <c r="R34" s="45" t="n">
        <v>0.08497499999999999</v>
      </c>
      <c r="S34" s="46" t="n">
        <v>407.88</v>
      </c>
    </row>
    <row r="35">
      <c r="A35" t="inlineStr">
        <is>
          <t>2022-10</t>
        </is>
      </c>
      <c r="B35" s="45" t="n">
        <v>0.127211</v>
      </c>
      <c r="C35" s="46" t="n">
        <v>127.210703</v>
      </c>
      <c r="D35" s="45" t="n">
        <v>0.060488</v>
      </c>
      <c r="E35" s="46" t="n">
        <v>60.488387</v>
      </c>
      <c r="F35" s="45" t="n">
        <v>0.185963</v>
      </c>
      <c r="G35" s="46" t="n">
        <v>1.911696</v>
      </c>
      <c r="H35" s="45" t="n">
        <v>0.239413</v>
      </c>
      <c r="I35" s="46" t="n">
        <v>226.791316</v>
      </c>
      <c r="J35" s="45" t="n">
        <v>0.073216</v>
      </c>
      <c r="K35" s="46" t="n">
        <v>6.069581</v>
      </c>
      <c r="L35" s="45" t="n">
        <v>0.13694</v>
      </c>
      <c r="M35" s="46" t="n">
        <v>1.407748</v>
      </c>
      <c r="N35" s="45" t="n">
        <v>0.122886</v>
      </c>
      <c r="O35" s="46" t="n">
        <v>127.7838</v>
      </c>
      <c r="P35" s="45" t="n">
        <v>0.090694</v>
      </c>
      <c r="Q35" s="46" t="n">
        <v>6.53</v>
      </c>
      <c r="R35" s="45" t="n">
        <v>0.08497499999999999</v>
      </c>
      <c r="S35" s="46" t="n">
        <v>407.88</v>
      </c>
    </row>
    <row r="36">
      <c r="A36" t="inlineStr">
        <is>
          <t>2022-11</t>
        </is>
      </c>
      <c r="B36" s="45" t="n">
        <v>0.115556</v>
      </c>
      <c r="C36" s="46" t="n">
        <v>115.55608</v>
      </c>
      <c r="D36" s="45" t="n">
        <v>0.060481</v>
      </c>
      <c r="E36" s="46" t="n">
        <v>60.481333</v>
      </c>
      <c r="F36" s="45" t="n">
        <v>0.184879</v>
      </c>
      <c r="G36" s="46" t="n">
        <v>1.900558</v>
      </c>
      <c r="H36" s="45" t="n">
        <v>0.200016</v>
      </c>
      <c r="I36" s="46" t="n">
        <v>189.437863</v>
      </c>
      <c r="J36" s="45" t="n">
        <v>0.073216</v>
      </c>
      <c r="K36" s="46" t="n">
        <v>6.069581</v>
      </c>
      <c r="L36" s="45" t="n">
        <v>0.129448</v>
      </c>
      <c r="M36" s="46" t="n">
        <v>1.33072</v>
      </c>
      <c r="N36" s="45" t="n">
        <v>0.119647</v>
      </c>
      <c r="O36" s="46" t="n">
        <v>124.376227</v>
      </c>
      <c r="P36" s="45" t="n">
        <v>0.090694</v>
      </c>
      <c r="Q36" s="46" t="n">
        <v>6.53</v>
      </c>
      <c r="R36" s="45" t="n">
        <v>0.08497499999999999</v>
      </c>
      <c r="S36" s="46" t="n">
        <v>407.88</v>
      </c>
    </row>
    <row r="37">
      <c r="A37" t="inlineStr">
        <is>
          <t>2022-12</t>
        </is>
      </c>
      <c r="B37" s="45" t="n">
        <v>0.096953</v>
      </c>
      <c r="C37" s="46" t="n">
        <v>96.95316800000001</v>
      </c>
      <c r="D37" s="45" t="n">
        <v>0.099496</v>
      </c>
      <c r="E37" s="46" t="n">
        <v>99.495806</v>
      </c>
      <c r="F37" s="45" t="n">
        <v>0.164884</v>
      </c>
      <c r="G37" s="46" t="n">
        <v>1.695008</v>
      </c>
      <c r="H37" s="45" t="n">
        <v>0.218053</v>
      </c>
      <c r="I37" s="46" t="n">
        <v>206.44569</v>
      </c>
      <c r="J37" s="45" t="n">
        <v>0.073216</v>
      </c>
      <c r="K37" s="46" t="n">
        <v>6.069581</v>
      </c>
      <c r="L37" s="45" t="n">
        <v>0.113737</v>
      </c>
      <c r="M37" s="46" t="n">
        <v>1.169215</v>
      </c>
      <c r="N37" s="45" t="n">
        <v>0.116813</v>
      </c>
      <c r="O37" s="46" t="n">
        <v>121.3946</v>
      </c>
      <c r="P37" s="45" t="n">
        <v>0.090694</v>
      </c>
      <c r="Q37" s="46" t="n">
        <v>6.53</v>
      </c>
      <c r="R37" s="45" t="n">
        <v>0.08497499999999999</v>
      </c>
      <c r="S37" s="46" t="n">
        <v>407.88</v>
      </c>
    </row>
    <row r="38">
      <c r="A38" t="inlineStr">
        <is>
          <t>2023-01</t>
        </is>
      </c>
      <c r="B38" s="45" t="n">
        <v>0.069552</v>
      </c>
      <c r="C38" s="46" t="n">
        <v>69.551739</v>
      </c>
      <c r="D38" s="45" t="n">
        <v>0.059392</v>
      </c>
      <c r="E38" s="46" t="n">
        <v>59.391613</v>
      </c>
      <c r="F38" s="45" t="n">
        <v>0.1637</v>
      </c>
      <c r="G38" s="46" t="n">
        <v>1.682836</v>
      </c>
      <c r="H38" s="45" t="n">
        <v>0.139206</v>
      </c>
      <c r="I38" s="46" t="n">
        <v>131.56979</v>
      </c>
      <c r="J38" s="45" t="n">
        <v>0.081154</v>
      </c>
      <c r="K38" s="46" t="n">
        <v>6.753009</v>
      </c>
      <c r="L38" s="45" t="n">
        <v>0.114029</v>
      </c>
      <c r="M38" s="46" t="n">
        <v>1.172218</v>
      </c>
      <c r="N38" s="45" t="n">
        <v>0.114021</v>
      </c>
      <c r="O38" s="46" t="n">
        <v>118.457648</v>
      </c>
      <c r="P38" s="45" t="n">
        <v>0.08624999999999999</v>
      </c>
      <c r="Q38" s="46" t="n">
        <v>6.21</v>
      </c>
      <c r="R38" s="45" t="n">
        <v>0.075281</v>
      </c>
      <c r="S38" s="46" t="n">
        <v>361.35</v>
      </c>
    </row>
    <row r="39">
      <c r="A39" t="inlineStr">
        <is>
          <t>2023-02</t>
        </is>
      </c>
      <c r="B39" s="45" t="n">
        <v>0.133473</v>
      </c>
      <c r="C39" s="46" t="n">
        <v>133.473011</v>
      </c>
      <c r="D39" s="45" t="n">
        <v>0.052332</v>
      </c>
      <c r="E39" s="46" t="n">
        <v>52.3325</v>
      </c>
      <c r="F39" s="45" t="n">
        <v>0.158236</v>
      </c>
      <c r="G39" s="46" t="n">
        <v>1.626667</v>
      </c>
      <c r="H39" s="45" t="n">
        <v>0.211572</v>
      </c>
      <c r="I39" s="46" t="n">
        <v>200.441618</v>
      </c>
      <c r="J39" s="45" t="n">
        <v>0.081154</v>
      </c>
      <c r="K39" s="46" t="n">
        <v>6.753009</v>
      </c>
      <c r="L39" s="45" t="n">
        <v>0.106317</v>
      </c>
      <c r="M39" s="46" t="n">
        <v>1.092943</v>
      </c>
      <c r="N39" s="45" t="n">
        <v>0.111043</v>
      </c>
      <c r="O39" s="46" t="n">
        <v>115.3249</v>
      </c>
      <c r="P39" s="45" t="n">
        <v>0.08624999999999999</v>
      </c>
      <c r="Q39" s="46" t="n">
        <v>6.21</v>
      </c>
      <c r="R39" s="45" t="n">
        <v>0.075281</v>
      </c>
      <c r="S39" s="46" t="n">
        <v>361.35</v>
      </c>
    </row>
    <row r="40">
      <c r="A40" t="inlineStr">
        <is>
          <t>2023-03</t>
        </is>
      </c>
      <c r="B40" s="45" t="n">
        <v>0.089613</v>
      </c>
      <c r="C40" s="46" t="n">
        <v>89.613348</v>
      </c>
      <c r="D40" s="45" t="n">
        <v>0.043304</v>
      </c>
      <c r="E40" s="46" t="n">
        <v>43.304194</v>
      </c>
      <c r="F40" s="45" t="n">
        <v>0.153171</v>
      </c>
      <c r="G40" s="46" t="n">
        <v>1.574597</v>
      </c>
      <c r="H40" s="45" t="n">
        <v>0.162589</v>
      </c>
      <c r="I40" s="46" t="n">
        <v>153.829923</v>
      </c>
      <c r="J40" s="45" t="n">
        <v>0.081154</v>
      </c>
      <c r="K40" s="46" t="n">
        <v>6.753009</v>
      </c>
      <c r="L40" s="45" t="n">
        <v>0.104073</v>
      </c>
      <c r="M40" s="46" t="n">
        <v>1.06987</v>
      </c>
      <c r="N40" s="45" t="n">
        <v>0.109098</v>
      </c>
      <c r="O40" s="46" t="n">
        <v>113.278829</v>
      </c>
      <c r="P40" s="45" t="n">
        <v>0.08624999999999999</v>
      </c>
      <c r="Q40" s="46" t="n">
        <v>6.21</v>
      </c>
      <c r="R40" s="45" t="n">
        <v>0.075281</v>
      </c>
      <c r="S40" s="46" t="n">
        <v>361.35</v>
      </c>
    </row>
    <row r="41">
      <c r="A41" t="inlineStr">
        <is>
          <t>2023-04</t>
        </is>
      </c>
      <c r="B41" s="45" t="n">
        <v>0.07373300000000001</v>
      </c>
      <c r="C41" s="46" t="n">
        <v>73.73338</v>
      </c>
      <c r="D41" s="45" t="n">
        <v>0.03769</v>
      </c>
      <c r="E41" s="46" t="n">
        <v>37.689667</v>
      </c>
      <c r="F41" s="45" t="n">
        <v>0.147614</v>
      </c>
      <c r="G41" s="46" t="n">
        <v>1.517473</v>
      </c>
      <c r="H41" s="45" t="n">
        <v>0.142297</v>
      </c>
      <c r="I41" s="46" t="n">
        <v>134.52135</v>
      </c>
      <c r="J41" s="45" t="n">
        <v>0.051356</v>
      </c>
      <c r="K41" s="46" t="n">
        <v>4.187549</v>
      </c>
      <c r="L41" s="45" t="n">
        <v>0.097945</v>
      </c>
      <c r="M41" s="46" t="n">
        <v>1.006875</v>
      </c>
      <c r="N41" s="45" t="n">
        <v>0.105562</v>
      </c>
      <c r="O41" s="46" t="n">
        <v>109.5587</v>
      </c>
      <c r="P41" s="45" t="n">
        <v>0.08624999999999999</v>
      </c>
      <c r="Q41" s="46" t="n">
        <v>6.21</v>
      </c>
      <c r="R41" s="45" t="n">
        <v>0.075281</v>
      </c>
      <c r="S41" s="46" t="n">
        <v>361.35</v>
      </c>
    </row>
    <row r="42">
      <c r="A42" t="inlineStr">
        <is>
          <t>2023-05</t>
        </is>
      </c>
      <c r="B42" s="45" t="n">
        <v>0.07385</v>
      </c>
      <c r="C42" s="46" t="n">
        <v>73.85048999999999</v>
      </c>
      <c r="D42" s="45" t="n">
        <v>0.028712</v>
      </c>
      <c r="E42" s="46" t="n">
        <v>28.711935</v>
      </c>
      <c r="F42" s="45" t="n">
        <v>0.13882</v>
      </c>
      <c r="G42" s="46" t="n">
        <v>1.427068</v>
      </c>
      <c r="H42" s="45" t="n">
        <v>0.140565</v>
      </c>
      <c r="I42" s="46" t="n">
        <v>132.871152</v>
      </c>
      <c r="J42" s="45" t="n">
        <v>0.051356</v>
      </c>
      <c r="K42" s="46" t="n">
        <v>4.187549</v>
      </c>
      <c r="L42" s="45" t="n">
        <v>0.09002300000000001</v>
      </c>
      <c r="M42" s="46" t="n">
        <v>0.925442</v>
      </c>
      <c r="N42" s="45" t="n">
        <v>0.102875</v>
      </c>
      <c r="O42" s="46" t="n">
        <v>106.731397</v>
      </c>
      <c r="P42" s="45" t="n">
        <v>0.08624999999999999</v>
      </c>
      <c r="Q42" s="46" t="n">
        <v>6.21</v>
      </c>
      <c r="R42" s="45" t="n">
        <v>0.075281</v>
      </c>
      <c r="S42" s="46" t="n">
        <v>361.35</v>
      </c>
    </row>
    <row r="43">
      <c r="A43" t="inlineStr">
        <is>
          <t>2023-06</t>
        </is>
      </c>
      <c r="B43" s="45" t="n">
        <v>0.09302199999999999</v>
      </c>
      <c r="C43" s="46" t="n">
        <v>93.021693</v>
      </c>
      <c r="D43" s="45" t="n">
        <v>0.030828</v>
      </c>
      <c r="E43" s="46" t="n">
        <v>30.828</v>
      </c>
      <c r="F43" s="45" t="n">
        <v>0.138859</v>
      </c>
      <c r="G43" s="46" t="n">
        <v>1.427473</v>
      </c>
      <c r="H43" s="45" t="n">
        <v>0.16049</v>
      </c>
      <c r="I43" s="46" t="n">
        <v>151.847543</v>
      </c>
      <c r="J43" s="45" t="n">
        <v>0.051356</v>
      </c>
      <c r="K43" s="46" t="n">
        <v>4.187549</v>
      </c>
      <c r="L43" s="45" t="n">
        <v>0.090158</v>
      </c>
      <c r="M43" s="46" t="n">
        <v>0.92682</v>
      </c>
      <c r="N43" s="45" t="n">
        <v>0.100356</v>
      </c>
      <c r="O43" s="46" t="n">
        <v>104.0808</v>
      </c>
      <c r="P43" s="45" t="n">
        <v>0.08624999999999999</v>
      </c>
      <c r="Q43" s="46" t="n">
        <v>6.21</v>
      </c>
      <c r="R43" s="45" t="n">
        <v>0.075281</v>
      </c>
      <c r="S43" s="46" t="n">
        <v>361.35</v>
      </c>
    </row>
    <row r="44">
      <c r="A44" t="inlineStr">
        <is>
          <t>2023-07</t>
        </is>
      </c>
      <c r="B44" s="45" t="n">
        <v>0.09046899999999999</v>
      </c>
      <c r="C44" s="46" t="n">
        <v>90.468771</v>
      </c>
      <c r="D44" s="45" t="n">
        <v>0.030267</v>
      </c>
      <c r="E44" s="46" t="n">
        <v>30.266774</v>
      </c>
      <c r="F44" s="45" t="n">
        <v>0.141981</v>
      </c>
      <c r="G44" s="46" t="n">
        <v>1.45956</v>
      </c>
      <c r="H44" s="45" t="n">
        <v>0.156625</v>
      </c>
      <c r="I44" s="46" t="n">
        <v>148.167161</v>
      </c>
      <c r="J44" s="45" t="n">
        <v>0.049418</v>
      </c>
      <c r="K44" s="46" t="n">
        <v>4.020647</v>
      </c>
      <c r="L44" s="45" t="n">
        <v>0.09274499999999999</v>
      </c>
      <c r="M44" s="46" t="n">
        <v>0.953418</v>
      </c>
      <c r="N44" s="45" t="n">
        <v>0.098122</v>
      </c>
      <c r="O44" s="46" t="n">
        <v>101.730606</v>
      </c>
      <c r="P44" s="45" t="n">
        <v>0.08624999999999999</v>
      </c>
      <c r="Q44" s="46" t="n">
        <v>6.21</v>
      </c>
      <c r="R44" s="45" t="n">
        <v>0.075281</v>
      </c>
      <c r="S44" s="46" t="n">
        <v>361.35</v>
      </c>
    </row>
    <row r="45">
      <c r="A45" t="inlineStr">
        <is>
          <t>2023-08</t>
        </is>
      </c>
      <c r="B45" s="45" t="n">
        <v>0.09604600000000001</v>
      </c>
      <c r="C45" s="46" t="n">
        <v>96.045665</v>
      </c>
      <c r="D45" s="45" t="n">
        <v>0.033959</v>
      </c>
      <c r="E45" s="46" t="n">
        <v>33.959032</v>
      </c>
      <c r="F45" s="45" t="n">
        <v>0.1545</v>
      </c>
      <c r="G45" s="46" t="n">
        <v>1.588255</v>
      </c>
      <c r="H45" s="45" t="n">
        <v>0.161488</v>
      </c>
      <c r="I45" s="46" t="n">
        <v>152.796868</v>
      </c>
      <c r="J45" s="45" t="n">
        <v>0.049418</v>
      </c>
      <c r="K45" s="46" t="n">
        <v>4.020647</v>
      </c>
      <c r="L45" s="45" t="n">
        <v>0.106935</v>
      </c>
      <c r="M45" s="46" t="n">
        <v>1.099293</v>
      </c>
      <c r="N45" s="45" t="n">
        <v>0.09540899999999999</v>
      </c>
      <c r="O45" s="46" t="n">
        <v>98.8768</v>
      </c>
      <c r="P45" s="45" t="n">
        <v>0.08624999999999999</v>
      </c>
      <c r="Q45" s="46" t="n">
        <v>6.21</v>
      </c>
      <c r="R45" s="45" t="n">
        <v>0.075281</v>
      </c>
      <c r="S45" s="46" t="n">
        <v>361.35</v>
      </c>
    </row>
    <row r="46">
      <c r="A46" t="inlineStr">
        <is>
          <t>2023-09</t>
        </is>
      </c>
      <c r="B46" s="45" t="n">
        <v>0.10334</v>
      </c>
      <c r="C46" s="46" t="n">
        <v>103.34044</v>
      </c>
      <c r="D46" s="45" t="n">
        <v>0.036653</v>
      </c>
      <c r="E46" s="46" t="n">
        <v>36.653333</v>
      </c>
      <c r="F46" s="45" t="n">
        <v>0.160777</v>
      </c>
      <c r="G46" s="46" t="n">
        <v>1.652785</v>
      </c>
      <c r="H46" s="45" t="n">
        <v>0.17017</v>
      </c>
      <c r="I46" s="46" t="n">
        <v>161.06719</v>
      </c>
      <c r="J46" s="45" t="n">
        <v>0.049418</v>
      </c>
      <c r="K46" s="46" t="n">
        <v>4.020647</v>
      </c>
      <c r="L46" s="45" t="n">
        <v>0.111638</v>
      </c>
      <c r="M46" s="46" t="n">
        <v>1.147635</v>
      </c>
      <c r="N46" s="45" t="n">
        <v>0.093529</v>
      </c>
      <c r="O46" s="46" t="n">
        <v>96.89928</v>
      </c>
      <c r="P46" s="45" t="n">
        <v>0.08624999999999999</v>
      </c>
      <c r="Q46" s="46" t="n">
        <v>6.21</v>
      </c>
      <c r="R46" s="45" t="n">
        <v>0.075281</v>
      </c>
      <c r="S46" s="46" t="n">
        <v>361.35</v>
      </c>
    </row>
    <row r="47">
      <c r="A47" t="inlineStr">
        <is>
          <t>2023-10</t>
        </is>
      </c>
      <c r="B47" s="45" t="n">
        <v>0.09013599999999999</v>
      </c>
      <c r="C47" s="46" t="n">
        <v>90.13569699999999</v>
      </c>
      <c r="D47" s="45" t="n">
        <v>0.042789</v>
      </c>
      <c r="E47" s="46" t="n">
        <v>42.78871</v>
      </c>
      <c r="F47" s="45" t="n">
        <v>0.162008</v>
      </c>
      <c r="G47" s="46" t="n">
        <v>1.66544</v>
      </c>
      <c r="H47" s="45" t="n">
        <v>0.158968</v>
      </c>
      <c r="I47" s="46" t="n">
        <v>150.395171</v>
      </c>
      <c r="J47" s="45" t="n">
        <v>0.053558</v>
      </c>
      <c r="K47" s="46" t="n">
        <v>4.377103</v>
      </c>
      <c r="L47" s="45" t="n">
        <v>0.112349</v>
      </c>
      <c r="M47" s="46" t="n">
        <v>1.154946</v>
      </c>
      <c r="N47" s="45" t="n">
        <v>0.09071</v>
      </c>
      <c r="O47" s="46" t="n">
        <v>93.93300000000001</v>
      </c>
      <c r="P47" s="45" t="n">
        <v>0.08624999999999999</v>
      </c>
      <c r="Q47" s="46" t="n">
        <v>6.21</v>
      </c>
      <c r="R47" s="45" t="n">
        <v>0.075281</v>
      </c>
      <c r="S47" s="46" t="n">
        <v>361.35</v>
      </c>
    </row>
    <row r="48">
      <c r="A48" t="inlineStr">
        <is>
          <t>2023-11</t>
        </is>
      </c>
      <c r="B48" s="45" t="n">
        <v>0.063446</v>
      </c>
      <c r="C48" s="46" t="n">
        <v>63.44564</v>
      </c>
      <c r="D48" s="45" t="n">
        <v>0.03834</v>
      </c>
      <c r="E48" s="46" t="n">
        <v>38.339667</v>
      </c>
      <c r="F48" s="45" t="n">
        <v>0.155243</v>
      </c>
      <c r="G48" s="46" t="n">
        <v>1.595892</v>
      </c>
      <c r="H48" s="45" t="n">
        <v>0.128245</v>
      </c>
      <c r="I48" s="46" t="n">
        <v>121.137677</v>
      </c>
      <c r="J48" s="45" t="n">
        <v>0.053558</v>
      </c>
      <c r="K48" s="46" t="n">
        <v>4.377103</v>
      </c>
      <c r="L48" s="45" t="n">
        <v>0.105049</v>
      </c>
      <c r="M48" s="46" t="n">
        <v>1.079902</v>
      </c>
      <c r="N48" s="45" t="n">
        <v>0.092198</v>
      </c>
      <c r="O48" s="46" t="n">
        <v>95.49856699999999</v>
      </c>
      <c r="P48" s="45" t="n">
        <v>0.08624999999999999</v>
      </c>
      <c r="Q48" s="46" t="n">
        <v>6.21</v>
      </c>
      <c r="R48" s="45" t="n">
        <v>0.075281</v>
      </c>
      <c r="S48" s="46" t="n">
        <v>361.35</v>
      </c>
    </row>
    <row r="49">
      <c r="A49" t="inlineStr">
        <is>
          <t>2023-12</t>
        </is>
      </c>
      <c r="B49" s="45" t="n">
        <v>0.072174</v>
      </c>
      <c r="C49" s="46" t="n">
        <v>72.173984</v>
      </c>
      <c r="D49" s="45" t="n">
        <v>0.034544</v>
      </c>
      <c r="E49" s="46" t="n">
        <v>34.543548</v>
      </c>
      <c r="F49" s="45" t="n">
        <v>0.147478</v>
      </c>
      <c r="G49" s="46" t="n">
        <v>1.516072</v>
      </c>
      <c r="H49" s="45" t="n">
        <v>0.135026</v>
      </c>
      <c r="I49" s="46" t="n">
        <v>127.595913</v>
      </c>
      <c r="J49" s="45" t="n">
        <v>0.053558</v>
      </c>
      <c r="K49" s="46" t="n">
        <v>4.377103</v>
      </c>
      <c r="L49" s="45" t="n">
        <v>0.099189</v>
      </c>
      <c r="M49" s="46" t="n">
        <v>1.01966</v>
      </c>
      <c r="N49" s="45" t="n">
        <v>0.09517399999999999</v>
      </c>
      <c r="O49" s="46" t="n">
        <v>98.6297</v>
      </c>
      <c r="P49" s="45" t="n">
        <v>0.08624999999999999</v>
      </c>
      <c r="Q49" s="46" t="n">
        <v>6.21</v>
      </c>
      <c r="R49" s="45" t="n">
        <v>0.075281</v>
      </c>
      <c r="S49" s="46" t="n">
        <v>361.35</v>
      </c>
    </row>
    <row r="50">
      <c r="A50" t="inlineStr">
        <is>
          <t>2024-01</t>
        </is>
      </c>
      <c r="B50" s="45" t="n">
        <v>0.0741</v>
      </c>
      <c r="C50" s="46" t="n">
        <v>74.100094</v>
      </c>
      <c r="D50" s="45" t="n">
        <v>0.029718</v>
      </c>
      <c r="E50" s="46" t="n">
        <v>29.717742</v>
      </c>
      <c r="F50" s="45" t="n">
        <v>0.144906</v>
      </c>
      <c r="G50" s="46" t="n">
        <v>1.489636</v>
      </c>
      <c r="H50" s="45" t="n">
        <v>0.157294</v>
      </c>
      <c r="I50" s="46" t="n">
        <v>139.50709</v>
      </c>
      <c r="J50" s="45" t="n">
        <v>0.061387</v>
      </c>
      <c r="K50" s="46" t="n">
        <v>4.810889</v>
      </c>
      <c r="L50" s="45" t="n">
        <v>0.09733600000000001</v>
      </c>
      <c r="M50" s="46" t="n">
        <v>1.000612</v>
      </c>
      <c r="N50" s="45" t="n">
        <v>0.097594</v>
      </c>
      <c r="O50" s="46" t="n">
        <v>101.17499</v>
      </c>
      <c r="P50" s="45" t="n">
        <v>0.072917</v>
      </c>
      <c r="Q50" s="46" t="n">
        <v>5.25</v>
      </c>
      <c r="R50" s="45" t="n">
        <v>0.067652</v>
      </c>
      <c r="S50" s="46" t="n">
        <v>324.73</v>
      </c>
    </row>
    <row r="51">
      <c r="A51" t="inlineStr">
        <is>
          <t>2024-02</t>
        </is>
      </c>
      <c r="B51" s="45" t="n">
        <v>0.039999</v>
      </c>
      <c r="C51" s="46" t="n">
        <v>39.998969</v>
      </c>
      <c r="D51" s="45" t="n">
        <v>0.02551</v>
      </c>
      <c r="E51" s="46" t="n">
        <v>25.509655</v>
      </c>
      <c r="F51" s="45" t="n">
        <v>0.149816</v>
      </c>
      <c r="G51" s="46" t="n">
        <v>1.540113</v>
      </c>
      <c r="H51" s="45" t="n">
        <v>0.120241</v>
      </c>
      <c r="I51" s="46" t="n">
        <v>106.64381</v>
      </c>
      <c r="J51" s="45" t="n">
        <v>0.061387</v>
      </c>
      <c r="K51" s="46" t="n">
        <v>4.810889</v>
      </c>
      <c r="L51" s="45" t="n">
        <v>0.102831</v>
      </c>
      <c r="M51" s="46" t="n">
        <v>1.0571</v>
      </c>
      <c r="N51" s="45" t="n">
        <v>0.09986200000000001</v>
      </c>
      <c r="O51" s="46" t="n">
        <v>103.5612</v>
      </c>
      <c r="P51" s="45" t="n">
        <v>0.072917</v>
      </c>
      <c r="Q51" s="46" t="n">
        <v>5.25</v>
      </c>
      <c r="R51" s="45" t="n">
        <v>0.067652</v>
      </c>
      <c r="S51" s="46" t="n">
        <v>324.73</v>
      </c>
    </row>
    <row r="52">
      <c r="A52" t="inlineStr">
        <is>
          <t>2024-03</t>
        </is>
      </c>
      <c r="B52" s="45" t="n">
        <v>0.020279</v>
      </c>
      <c r="C52" s="46" t="n">
        <v>20.279035</v>
      </c>
      <c r="D52" s="45" t="n">
        <v>0.026757</v>
      </c>
      <c r="E52" s="46" t="n">
        <v>26.756774</v>
      </c>
      <c r="F52" s="45" t="n">
        <v>0.149981</v>
      </c>
      <c r="G52" s="46" t="n">
        <v>1.541802</v>
      </c>
      <c r="H52" s="45" t="n">
        <v>0.11153</v>
      </c>
      <c r="I52" s="46" t="n">
        <v>89.92557100000001</v>
      </c>
      <c r="J52" s="45" t="n">
        <v>0.061387</v>
      </c>
      <c r="K52" s="46" t="n">
        <v>4.810889</v>
      </c>
      <c r="L52" s="45" t="n">
        <v>0.101619</v>
      </c>
      <c r="M52" s="46" t="n">
        <v>1.04464</v>
      </c>
      <c r="N52" s="45" t="n">
        <v>0.101926</v>
      </c>
      <c r="O52" s="46" t="n">
        <v>105.732661</v>
      </c>
      <c r="P52" s="45" t="n">
        <v>0.072917</v>
      </c>
      <c r="Q52" s="46" t="n">
        <v>5.25</v>
      </c>
      <c r="R52" s="45" t="n">
        <v>0.067652</v>
      </c>
      <c r="S52" s="46" t="n">
        <v>324.73</v>
      </c>
    </row>
    <row r="53">
      <c r="A53" t="inlineStr">
        <is>
          <t>2024-04</t>
        </is>
      </c>
      <c r="B53" s="45" t="n">
        <v>0.01367</v>
      </c>
      <c r="C53" s="46" t="n">
        <v>13.670043</v>
      </c>
      <c r="D53" s="45" t="n">
        <v>0.029233</v>
      </c>
      <c r="E53" s="46" t="n">
        <v>29.233333</v>
      </c>
      <c r="F53" s="45" t="n">
        <v>0.150864</v>
      </c>
      <c r="G53" s="46" t="n">
        <v>1.550886</v>
      </c>
      <c r="H53" s="45" t="n">
        <v>0.10749</v>
      </c>
      <c r="I53" s="46" t="n">
        <v>85.58242300000001</v>
      </c>
      <c r="J53" s="45" t="n">
        <v>0.057947</v>
      </c>
      <c r="K53" s="46" t="n">
        <v>4.095293</v>
      </c>
      <c r="L53" s="45" t="n">
        <v>0.102533</v>
      </c>
      <c r="M53" s="46" t="n">
        <v>1.054036</v>
      </c>
      <c r="N53" s="45" t="n">
        <v>0.104784</v>
      </c>
      <c r="O53" s="46" t="n">
        <v>108.7393</v>
      </c>
      <c r="P53" s="45" t="n">
        <v>0.072917</v>
      </c>
      <c r="Q53" s="46" t="n">
        <v>5.25</v>
      </c>
      <c r="R53" s="45" t="n">
        <v>0.067652</v>
      </c>
      <c r="S53" s="46" t="n">
        <v>324.73</v>
      </c>
    </row>
    <row r="54">
      <c r="A54" t="inlineStr">
        <is>
          <t>2024-05</t>
        </is>
      </c>
      <c r="B54" s="45" t="n">
        <v>0.030399</v>
      </c>
      <c r="C54" s="46" t="n">
        <v>30.398603</v>
      </c>
      <c r="D54" s="45" t="n">
        <v>0.031776</v>
      </c>
      <c r="E54" s="46" t="n">
        <v>31.776452</v>
      </c>
      <c r="F54" s="45" t="n">
        <v>0.146482</v>
      </c>
      <c r="G54" s="46" t="n">
        <v>1.505832</v>
      </c>
      <c r="H54" s="45" t="n">
        <v>0.125183</v>
      </c>
      <c r="I54" s="46" t="n">
        <v>99.669516</v>
      </c>
      <c r="J54" s="45" t="n">
        <v>0.057947</v>
      </c>
      <c r="K54" s="46" t="n">
        <v>4.095293</v>
      </c>
      <c r="L54" s="45" t="n">
        <v>0.098603</v>
      </c>
      <c r="M54" s="46" t="n">
        <v>1.013643</v>
      </c>
      <c r="N54" s="45" t="n">
        <v>0.103604</v>
      </c>
      <c r="O54" s="46" t="n">
        <v>107.498216</v>
      </c>
      <c r="P54" s="45" t="n">
        <v>0.072917</v>
      </c>
      <c r="Q54" s="46" t="n">
        <v>5.25</v>
      </c>
      <c r="R54" s="45" t="n">
        <v>0.067652</v>
      </c>
      <c r="S54" s="46" t="n">
        <v>324.73</v>
      </c>
    </row>
    <row r="55">
      <c r="A55" t="inlineStr">
        <is>
          <t>2024-06</t>
        </is>
      </c>
      <c r="B55" s="45" t="n">
        <v>0.05608</v>
      </c>
      <c r="C55" s="46" t="n">
        <v>56.07977</v>
      </c>
      <c r="D55" s="45" t="n">
        <v>0.034643</v>
      </c>
      <c r="E55" s="46" t="n">
        <v>34.642667</v>
      </c>
      <c r="F55" s="45" t="n">
        <v>0.142414</v>
      </c>
      <c r="G55" s="46" t="n">
        <v>1.464012</v>
      </c>
      <c r="H55" s="45" t="n">
        <v>0.146976</v>
      </c>
      <c r="I55" s="46" t="n">
        <v>117.02093</v>
      </c>
      <c r="J55" s="45" t="n">
        <v>0.057947</v>
      </c>
      <c r="K55" s="46" t="n">
        <v>4.095293</v>
      </c>
      <c r="L55" s="45" t="n">
        <v>0.09634</v>
      </c>
      <c r="M55" s="46" t="n">
        <v>0.990375</v>
      </c>
      <c r="N55" s="45" t="n">
        <v>0.101459</v>
      </c>
      <c r="O55" s="46" t="n">
        <v>105.2417</v>
      </c>
      <c r="P55" s="45" t="n">
        <v>0.072917</v>
      </c>
      <c r="Q55" s="46" t="n">
        <v>5.25</v>
      </c>
      <c r="R55" s="45" t="n">
        <v>0.067652</v>
      </c>
      <c r="S55" s="46" t="n">
        <v>324.73</v>
      </c>
    </row>
    <row r="56">
      <c r="A56" t="inlineStr">
        <is>
          <t>2024-07</t>
        </is>
      </c>
      <c r="B56" s="45" t="n">
        <v>0.072313</v>
      </c>
      <c r="C56" s="46" t="n">
        <v>72.312842</v>
      </c>
      <c r="D56" s="45" t="n">
        <v>0.032531</v>
      </c>
      <c r="E56" s="46" t="n">
        <v>32.530968</v>
      </c>
      <c r="F56" s="45" t="n">
        <v>0.145211</v>
      </c>
      <c r="G56" s="46" t="n">
        <v>1.49277</v>
      </c>
      <c r="H56" s="45" t="n">
        <v>0.153297</v>
      </c>
      <c r="I56" s="46" t="n">
        <v>132.5826</v>
      </c>
      <c r="J56" s="45" t="n">
        <v>0.057947</v>
      </c>
      <c r="K56" s="46" t="n">
        <v>4.095293</v>
      </c>
      <c r="L56" s="45" t="n">
        <v>0.097844</v>
      </c>
      <c r="M56" s="46" t="n">
        <v>1.005836</v>
      </c>
      <c r="N56" s="45" t="n">
        <v>0.09887700000000001</v>
      </c>
      <c r="O56" s="46" t="n">
        <v>102.525777</v>
      </c>
      <c r="P56" s="45" t="n">
        <v>0.072917</v>
      </c>
      <c r="Q56" s="46" t="n">
        <v>5.25</v>
      </c>
      <c r="R56" s="45" t="n">
        <v>0.067652</v>
      </c>
      <c r="S56" s="46" t="n">
        <v>324.73</v>
      </c>
    </row>
    <row r="57">
      <c r="A57" t="inlineStr">
        <is>
          <t>2024-08</t>
        </is>
      </c>
      <c r="B57" s="45" t="n">
        <v>0.091054</v>
      </c>
      <c r="C57" s="46" t="n">
        <v>91.054329</v>
      </c>
      <c r="D57" s="45" t="n">
        <v>0.038459</v>
      </c>
      <c r="E57" s="46" t="n">
        <v>38.459032</v>
      </c>
      <c r="F57" s="45" t="n">
        <v>0.141634</v>
      </c>
      <c r="G57" s="46" t="n">
        <v>1.455995</v>
      </c>
      <c r="H57" s="45" t="n">
        <v>0.169191</v>
      </c>
      <c r="I57" s="46" t="n">
        <v>146.329016</v>
      </c>
      <c r="J57" s="45" t="n">
        <v>0.057947</v>
      </c>
      <c r="K57" s="46" t="n">
        <v>4.095293</v>
      </c>
      <c r="L57" s="45" t="n">
        <v>0.094389</v>
      </c>
      <c r="M57" s="46" t="n">
        <v>0.970325</v>
      </c>
      <c r="N57" s="45" t="n">
        <v>0.096457</v>
      </c>
      <c r="O57" s="46" t="n">
        <v>99.9796</v>
      </c>
      <c r="P57" s="45" t="n">
        <v>0.072917</v>
      </c>
      <c r="Q57" s="46" t="n">
        <v>5.25</v>
      </c>
      <c r="R57" s="45" t="n">
        <v>0.067652</v>
      </c>
      <c r="S57" s="46" t="n">
        <v>324.73</v>
      </c>
    </row>
    <row r="58">
      <c r="A58" t="inlineStr">
        <is>
          <t>2024-09</t>
        </is>
      </c>
      <c r="B58" s="45" t="n">
        <v>0.07262299999999999</v>
      </c>
      <c r="C58" s="46" t="n">
        <v>72.623313</v>
      </c>
      <c r="D58" s="45" t="n">
        <v>0.036638</v>
      </c>
      <c r="E58" s="46" t="n">
        <v>36.637667</v>
      </c>
      <c r="F58" s="45" t="n">
        <v>0.135028</v>
      </c>
      <c r="G58" s="46" t="n">
        <v>1.388092</v>
      </c>
      <c r="H58" s="45" t="n">
        <v>0.155023</v>
      </c>
      <c r="I58" s="46" t="n">
        <v>134.07551</v>
      </c>
      <c r="J58" s="45" t="n">
        <v>0.057947</v>
      </c>
      <c r="K58" s="46" t="n">
        <v>4.095293</v>
      </c>
      <c r="L58" s="45" t="n">
        <v>0.087141</v>
      </c>
      <c r="M58" s="46" t="n">
        <v>0.89581</v>
      </c>
      <c r="N58" s="45" t="n">
        <v>0.09816999999999999</v>
      </c>
      <c r="O58" s="46" t="n">
        <v>101.78196</v>
      </c>
      <c r="P58" s="45" t="n">
        <v>0.072917</v>
      </c>
      <c r="Q58" s="46" t="n">
        <v>5.25</v>
      </c>
      <c r="R58" s="45" t="n">
        <v>0.067652</v>
      </c>
      <c r="S58" s="46" t="n">
        <v>324.73</v>
      </c>
    </row>
    <row r="59">
      <c r="A59" t="inlineStr">
        <is>
          <t>2024-10</t>
        </is>
      </c>
      <c r="B59" s="45" t="n">
        <v>0.06854200000000001</v>
      </c>
      <c r="C59" s="46" t="n">
        <v>68.541571</v>
      </c>
      <c r="D59" s="45" t="n">
        <v>0.040325</v>
      </c>
      <c r="E59" s="46" t="n">
        <v>40.325161</v>
      </c>
      <c r="F59" s="45" t="n">
        <v>0.134523</v>
      </c>
      <c r="G59" s="46" t="n">
        <v>1.3829</v>
      </c>
      <c r="H59" s="45" t="n">
        <v>0.157514</v>
      </c>
      <c r="I59" s="46" t="n">
        <v>136.229168</v>
      </c>
      <c r="J59" s="45" t="n">
        <v>0.070216</v>
      </c>
      <c r="K59" s="46" t="n">
        <v>5.011868</v>
      </c>
      <c r="L59" s="45" t="n">
        <v>0.088613</v>
      </c>
      <c r="M59" s="46" t="n">
        <v>0.91094</v>
      </c>
      <c r="N59" s="45" t="n">
        <v>0.100128</v>
      </c>
      <c r="O59" s="46" t="n">
        <v>103.8418</v>
      </c>
      <c r="P59" s="45" t="n">
        <v>0.07180599999999999</v>
      </c>
      <c r="Q59" s="46" t="n">
        <v>5.17</v>
      </c>
      <c r="R59" s="45" t="n">
        <v>0.06604</v>
      </c>
      <c r="S59" s="46" t="n">
        <v>316.99</v>
      </c>
    </row>
    <row r="60">
      <c r="A60" t="inlineStr">
        <is>
          <t>2024-11</t>
        </is>
      </c>
      <c r="B60" s="45" t="n">
        <v>0.10443</v>
      </c>
      <c r="C60" s="46" t="n">
        <v>104.430237</v>
      </c>
      <c r="D60" s="45" t="n">
        <v>0.044286</v>
      </c>
      <c r="E60" s="46" t="n">
        <v>44.285667</v>
      </c>
      <c r="F60" s="45" t="n">
        <v>0.136604</v>
      </c>
      <c r="G60" s="46" t="n">
        <v>1.404285</v>
      </c>
      <c r="H60" s="45" t="n">
        <v>0.193926</v>
      </c>
      <c r="I60" s="46" t="n">
        <v>167.721097</v>
      </c>
      <c r="J60" s="45" t="n">
        <v>0.070216</v>
      </c>
      <c r="K60" s="46" t="n">
        <v>5.011868</v>
      </c>
      <c r="L60" s="45" t="n">
        <v>0.089934</v>
      </c>
      <c r="M60" s="46" t="n">
        <v>0.924518</v>
      </c>
      <c r="N60" s="45" t="n">
        <v>0.10184</v>
      </c>
      <c r="O60" s="46" t="n">
        <v>105.6422</v>
      </c>
      <c r="P60" s="45" t="n">
        <v>0.07180599999999999</v>
      </c>
      <c r="Q60" s="46" t="n">
        <v>5.17</v>
      </c>
      <c r="R60" s="45" t="n">
        <v>0.06604</v>
      </c>
      <c r="S60" s="46" t="n">
        <v>316.99</v>
      </c>
    </row>
    <row r="61">
      <c r="A61" t="inlineStr">
        <is>
          <t>2024-12</t>
        </is>
      </c>
      <c r="B61" s="45" t="n">
        <v>0.111238</v>
      </c>
      <c r="C61" s="46" t="n">
        <v>111.23779</v>
      </c>
      <c r="D61" s="45" t="n">
        <v>0.046116</v>
      </c>
      <c r="E61" s="46" t="n">
        <v>46.116129</v>
      </c>
      <c r="F61" s="45" t="n">
        <v>0.139616</v>
      </c>
      <c r="G61" s="46" t="n">
        <v>1.435252</v>
      </c>
      <c r="H61" s="45" t="n">
        <v>0.204042</v>
      </c>
      <c r="I61" s="46" t="n">
        <v>176.470094</v>
      </c>
      <c r="J61" s="45" t="n">
        <v>0.070216</v>
      </c>
      <c r="K61" s="46" t="n">
        <v>5.011868</v>
      </c>
      <c r="L61" s="45" t="n">
        <v>0.091057</v>
      </c>
      <c r="M61" s="46" t="n">
        <v>0.936064</v>
      </c>
      <c r="N61" s="45" t="n">
        <v>0.104407</v>
      </c>
      <c r="O61" s="46" t="n">
        <v>108.3428</v>
      </c>
      <c r="P61" s="45" t="n">
        <v>0.07180599999999999</v>
      </c>
      <c r="Q61" s="46" t="n">
        <v>5.17</v>
      </c>
      <c r="R61" s="45" t="n">
        <v>0.06604</v>
      </c>
      <c r="S61" s="46" t="n">
        <v>316.99</v>
      </c>
    </row>
    <row r="62">
      <c r="A62" t="inlineStr">
        <is>
          <t>2025-01</t>
        </is>
      </c>
      <c r="B62" s="45" t="n">
        <v>0.09669</v>
      </c>
      <c r="C62" s="46" t="n">
        <v>96.68983900000001</v>
      </c>
      <c r="D62" s="45" t="n">
        <v>0.048208</v>
      </c>
      <c r="E62" s="46" t="n">
        <v>48.207742</v>
      </c>
      <c r="F62" s="45" t="n">
        <v>0.144305</v>
      </c>
      <c r="G62" s="46" t="n">
        <v>1.48345</v>
      </c>
      <c r="H62" s="45" t="n">
        <v>0.201511</v>
      </c>
      <c r="I62" s="46" t="n">
        <v>158.437177</v>
      </c>
      <c r="J62" s="45" t="n">
        <v>0.07871400000000001</v>
      </c>
      <c r="K62" s="46" t="n">
        <v>5.646757</v>
      </c>
      <c r="L62" s="45" t="n">
        <v>0.096001</v>
      </c>
      <c r="M62" s="46" t="n">
        <v>0.986887</v>
      </c>
      <c r="N62" s="45" t="n">
        <v>0.104486</v>
      </c>
      <c r="O62" s="46" t="n">
        <v>108.426187</v>
      </c>
      <c r="P62" s="45" t="n">
        <v>0.07000000000000001</v>
      </c>
      <c r="Q62" s="46" t="n">
        <v>5.04</v>
      </c>
      <c r="R62" s="45" t="n">
        <v>0.06428499999999999</v>
      </c>
      <c r="S62" s="46" t="n">
        <v>308.57</v>
      </c>
    </row>
    <row r="63">
      <c r="A63" t="inlineStr">
        <is>
          <t>2025-02</t>
        </is>
      </c>
      <c r="B63" s="45" t="n">
        <v>0.108308</v>
      </c>
      <c r="C63" s="46" t="n">
        <v>108.307836</v>
      </c>
      <c r="D63" s="45" t="n">
        <v>0.050392</v>
      </c>
      <c r="E63" s="46" t="n">
        <v>50.3925</v>
      </c>
      <c r="F63" s="45" t="n">
        <v>0.145909</v>
      </c>
      <c r="G63" s="46" t="n">
        <v>1.49995</v>
      </c>
      <c r="H63" s="45" t="n">
        <v>0.213752</v>
      </c>
      <c r="I63" s="46" t="n">
        <v>168.061782</v>
      </c>
      <c r="J63" s="45" t="n">
        <v>0.07871400000000001</v>
      </c>
      <c r="K63" s="46" t="n">
        <v>5.646757</v>
      </c>
      <c r="L63" s="45" t="n">
        <v>0.096538</v>
      </c>
      <c r="M63" s="46" t="n">
        <v>0.99241</v>
      </c>
      <c r="N63" s="45" t="n">
        <v>0.10463</v>
      </c>
      <c r="O63" s="46" t="n">
        <v>108.5778</v>
      </c>
      <c r="P63" s="45" t="n">
        <v>0.07000000000000001</v>
      </c>
      <c r="Q63" s="46" t="n">
        <v>5.04</v>
      </c>
      <c r="R63" s="45" t="n">
        <v>0.06428499999999999</v>
      </c>
      <c r="S63" s="46" t="n">
        <v>308.57</v>
      </c>
    </row>
    <row r="64">
      <c r="A64" t="inlineStr">
        <is>
          <t>2025-03</t>
        </is>
      </c>
      <c r="B64" s="45" t="n">
        <v>0.053027</v>
      </c>
      <c r="C64" s="46" t="n">
        <v>53.027216</v>
      </c>
      <c r="D64" s="45" t="n">
        <v>0.041511</v>
      </c>
      <c r="E64" s="46" t="n">
        <v>41.510968</v>
      </c>
      <c r="F64" s="45" t="n">
        <v>0.141903</v>
      </c>
      <c r="G64" s="46" t="n">
        <v>1.45876</v>
      </c>
      <c r="H64" s="45" t="n">
        <v>0.156746</v>
      </c>
      <c r="I64" s="46" t="n">
        <v>123.241087</v>
      </c>
      <c r="J64" s="45" t="n">
        <v>0.07871400000000001</v>
      </c>
      <c r="K64" s="46" t="n">
        <v>5.646757</v>
      </c>
      <c r="L64" s="45" t="n">
        <v>0.091825</v>
      </c>
      <c r="M64" s="46" t="n">
        <v>0.943956</v>
      </c>
      <c r="N64" s="45" t="n">
        <v>0.107528</v>
      </c>
      <c r="O64" s="46" t="n">
        <v>111.626594</v>
      </c>
      <c r="P64" s="45" t="n">
        <v>0.07000000000000001</v>
      </c>
      <c r="Q64" s="46" t="n">
        <v>5.04</v>
      </c>
      <c r="R64" s="45" t="n">
        <v>0.06428499999999999</v>
      </c>
      <c r="S64" s="46" t="n">
        <v>308.57</v>
      </c>
    </row>
    <row r="65">
      <c r="A65" t="inlineStr">
        <is>
          <t>2025-04</t>
        </is>
      </c>
      <c r="B65" s="45" t="n">
        <v>0.026809</v>
      </c>
      <c r="C65" s="46" t="n">
        <v>26.809137</v>
      </c>
      <c r="D65" s="45" t="n">
        <v>0.033846</v>
      </c>
      <c r="E65" s="46" t="n">
        <v>33.846333</v>
      </c>
      <c r="F65" s="45" t="n">
        <v>0.136966</v>
      </c>
      <c r="G65" s="46" t="n">
        <v>1.408015</v>
      </c>
      <c r="H65" s="45" t="n">
        <v>0.137953</v>
      </c>
      <c r="I65" s="46" t="n">
        <v>108.465227</v>
      </c>
      <c r="J65" s="45" t="n">
        <v>0.060312</v>
      </c>
      <c r="K65" s="46" t="n">
        <v>4.271925</v>
      </c>
      <c r="L65" s="45" t="n">
        <v>0.086339</v>
      </c>
      <c r="M65" s="46" t="n">
        <v>0.887563</v>
      </c>
      <c r="N65" s="45" t="n">
        <v>0.111047</v>
      </c>
      <c r="O65" s="46" t="n">
        <v>115.3287</v>
      </c>
      <c r="P65" s="45" t="n">
        <v>0.07138899999999999</v>
      </c>
      <c r="Q65" s="46" t="n">
        <v>5.14</v>
      </c>
      <c r="R65" s="45" t="n">
        <v>0.06447899999999999</v>
      </c>
      <c r="S65" s="46" t="n">
        <v>309.5</v>
      </c>
    </row>
    <row r="66">
      <c r="A66" t="inlineStr">
        <is>
          <t>2025-05</t>
        </is>
      </c>
      <c r="B66" s="45" t="n">
        <v>0.016928</v>
      </c>
      <c r="C66" s="46" t="n">
        <v>16.927529</v>
      </c>
      <c r="D66" s="45" t="n">
        <v>0.034006</v>
      </c>
      <c r="E66" s="46" t="n">
        <v>34.006129</v>
      </c>
      <c r="F66" s="45" t="n">
        <v>0.133137</v>
      </c>
      <c r="G66" s="46" t="n">
        <v>1.368653</v>
      </c>
      <c r="H66" s="45" t="n">
        <v>0.14369</v>
      </c>
      <c r="I66" s="46" t="n">
        <v>112.976203</v>
      </c>
      <c r="J66" s="45" t="n">
        <v>0.060312</v>
      </c>
      <c r="K66" s="46" t="n">
        <v>4.271925</v>
      </c>
      <c r="L66" s="45" t="n">
        <v>0.08375199999999999</v>
      </c>
      <c r="M66" s="46" t="n">
        <v>0.860965</v>
      </c>
      <c r="N66" s="45" t="n">
        <v>0.111859</v>
      </c>
      <c r="O66" s="46" t="n">
        <v>116.183023</v>
      </c>
      <c r="P66" s="45" t="n">
        <v>0.07138899999999999</v>
      </c>
      <c r="Q66" s="46" t="n">
        <v>5.14</v>
      </c>
      <c r="R66" s="45" t="n">
        <v>0.06447899999999999</v>
      </c>
      <c r="S66" s="46" t="n">
        <v>309.5</v>
      </c>
    </row>
    <row r="67">
      <c r="A67" t="inlineStr">
        <is>
          <t>2025-06</t>
        </is>
      </c>
      <c r="B67" s="45" t="n">
        <v>0.07259699999999999</v>
      </c>
      <c r="C67" s="46" t="n">
        <v>72.597217</v>
      </c>
      <c r="D67" s="45" t="n">
        <v>0.036582</v>
      </c>
      <c r="E67" s="46" t="n">
        <v>36.582</v>
      </c>
      <c r="F67" s="45" t="n">
        <v>0.13446</v>
      </c>
      <c r="G67" s="46" t="n">
        <v>1.382244</v>
      </c>
      <c r="H67" s="45" t="n">
        <v>0.170175</v>
      </c>
      <c r="I67" s="46" t="n">
        <v>133.800073</v>
      </c>
      <c r="J67" s="45" t="n">
        <v>0.060312</v>
      </c>
      <c r="K67" s="46" t="n">
        <v>4.271925</v>
      </c>
      <c r="L67" s="45" t="n">
        <v>0.08687599999999999</v>
      </c>
      <c r="M67" s="46" t="n">
        <v>0.8930900000000001</v>
      </c>
      <c r="N67" s="45" t="n">
        <v>0.113145</v>
      </c>
      <c r="O67" s="46" t="n">
        <v>117.5357</v>
      </c>
      <c r="P67" s="45" t="n">
        <v>0.07138899999999999</v>
      </c>
      <c r="Q67" s="46" t="n">
        <v>5.14</v>
      </c>
      <c r="R67" s="45" t="n">
        <v>0.06447899999999999</v>
      </c>
      <c r="S67" s="46" t="n">
        <v>309.5</v>
      </c>
    </row>
    <row r="68">
      <c r="A68" t="inlineStr">
        <is>
          <t>2025-07</t>
        </is>
      </c>
      <c r="B68" s="45" t="n">
        <v>0.07001499999999999</v>
      </c>
      <c r="C68" s="46" t="n">
        <v>70.01464199999999</v>
      </c>
      <c r="D68" s="45" t="n">
        <v>0.033914</v>
      </c>
      <c r="E68" s="46" t="n">
        <v>33.913871</v>
      </c>
      <c r="F68" s="45" t="n">
        <v>0.138873</v>
      </c>
      <c r="G68" s="46" t="n">
        <v>1.427608</v>
      </c>
      <c r="H68" s="45" t="n">
        <v>0.174266</v>
      </c>
      <c r="I68" s="46" t="n">
        <v>137.016297</v>
      </c>
      <c r="J68" s="45" t="n">
        <v>0.05692</v>
      </c>
      <c r="K68" s="46" t="n">
        <v>4.018571</v>
      </c>
      <c r="L68" s="45" t="n">
        <v>0.09123299999999999</v>
      </c>
      <c r="M68" s="46" t="n">
        <v>0.937877</v>
      </c>
      <c r="N68" s="45" t="n">
        <v>0.110082</v>
      </c>
      <c r="O68" s="46" t="n">
        <v>114.312939</v>
      </c>
      <c r="P68" s="45" t="n">
        <v>0.07111099999999999</v>
      </c>
      <c r="Q68" s="46" t="n">
        <v>5.12</v>
      </c>
      <c r="R68" s="45" t="n">
        <v>0.065027</v>
      </c>
      <c r="S68" s="46" t="n">
        <v>312.13</v>
      </c>
    </row>
    <row r="69">
      <c r="A69" t="inlineStr">
        <is>
          <t>2025-08</t>
        </is>
      </c>
      <c r="B69" s="45" t="n">
        <v>0.06844500000000001</v>
      </c>
      <c r="C69" s="46" t="n">
        <v>68.444694</v>
      </c>
      <c r="D69" s="45" t="n">
        <v>0.032562</v>
      </c>
      <c r="E69" s="46" t="n">
        <v>32.561613</v>
      </c>
      <c r="F69" s="45" t="n">
        <v>0.138088</v>
      </c>
      <c r="G69" s="46" t="n">
        <v>1.419548</v>
      </c>
      <c r="H69" s="45" t="n">
        <v>0.169511</v>
      </c>
      <c r="I69" s="46" t="n">
        <v>133.277942</v>
      </c>
      <c r="J69" s="45" t="n">
        <v>0.05692</v>
      </c>
      <c r="K69" s="46" t="n">
        <v>4.018571</v>
      </c>
      <c r="L69" s="45" t="n">
        <v>0.08892799999999999</v>
      </c>
      <c r="M69" s="46" t="n">
        <v>0.914177</v>
      </c>
      <c r="N69" s="45" t="n">
        <v>0.107559</v>
      </c>
      <c r="O69" s="46" t="n">
        <v>111.6589</v>
      </c>
      <c r="P69" s="45" t="n">
        <v>0.07111099999999999</v>
      </c>
      <c r="Q69" s="46" t="n">
        <v>5.12</v>
      </c>
      <c r="R69" s="45" t="n">
        <v>0.065027</v>
      </c>
      <c r="S69" s="46" t="n">
        <v>312.13</v>
      </c>
    </row>
    <row r="70">
      <c r="A70" t="inlineStr">
        <is>
          <t>2025-09</t>
        </is>
      </c>
      <c r="B70" s="45" t="n">
        <v>0.061042</v>
      </c>
      <c r="C70" s="46" t="n">
        <v>61.042343</v>
      </c>
      <c r="D70" s="45" t="n">
        <v>0.031802</v>
      </c>
      <c r="E70" s="46" t="n">
        <v>31.802333</v>
      </c>
      <c r="F70" s="45" t="n">
        <v>0.137145</v>
      </c>
      <c r="G70" s="46" t="n">
        <v>1.409848</v>
      </c>
      <c r="H70" s="45" t="n">
        <v>0.170908</v>
      </c>
      <c r="I70" s="46" t="n">
        <v>134.376067</v>
      </c>
      <c r="J70" s="45" t="n">
        <v>0.05692</v>
      </c>
      <c r="K70" s="46" t="n">
        <v>4.018571</v>
      </c>
      <c r="L70" s="45" t="n">
        <v>0.087156</v>
      </c>
      <c r="M70" s="46" t="n">
        <v>0.895964</v>
      </c>
      <c r="N70" s="45" t="n">
        <v>0.104905</v>
      </c>
      <c r="O70" s="46" t="n">
        <v>108.86745</v>
      </c>
      <c r="P70" s="45" t="n">
        <v>0.07111099999999999</v>
      </c>
      <c r="Q70" s="46" t="n">
        <v>5.12</v>
      </c>
      <c r="R70" s="45" t="n">
        <v>0.065027</v>
      </c>
      <c r="S70" s="46" t="n">
        <v>312.13</v>
      </c>
    </row>
    <row r="71">
      <c r="A71" t="inlineStr">
        <is>
          <t>2025-10</t>
        </is>
      </c>
      <c r="B71" s="45" t="n">
        <v>0.075331</v>
      </c>
      <c r="C71" s="46" t="n">
        <v>75.33140299999999</v>
      </c>
      <c r="D71" s="45" t="n">
        <v>0.031166</v>
      </c>
      <c r="E71" s="46" t="n">
        <v>31.166129</v>
      </c>
      <c r="F71" s="45" t="n">
        <v>0.136404</v>
      </c>
      <c r="G71" s="46" t="n">
        <v>1.40224</v>
      </c>
      <c r="H71" s="45" t="n">
        <v>0.186271</v>
      </c>
      <c r="I71" s="46" t="n">
        <v>146.455026</v>
      </c>
      <c r="J71" s="45" t="n">
        <v>0.060606</v>
      </c>
      <c r="K71" s="46" t="n">
        <v>4.293925</v>
      </c>
      <c r="L71" s="45" t="n">
        <v>0.086447</v>
      </c>
      <c r="M71" s="46" t="n">
        <v>0.888678</v>
      </c>
      <c r="N71" s="45" t="n">
        <v>0.102252</v>
      </c>
      <c r="O71" s="46" t="n">
        <v>106.076</v>
      </c>
      <c r="P71" s="45" t="n">
        <v>0.07375</v>
      </c>
      <c r="Q71" s="46" t="n">
        <v>5.31</v>
      </c>
      <c r="R71" s="45" t="n">
        <v>0.068204</v>
      </c>
      <c r="S71" s="46" t="n">
        <v>327.38</v>
      </c>
    </row>
    <row r="72">
      <c r="A72" t="inlineStr">
        <is>
          <t>2025-11</t>
        </is>
      </c>
      <c r="B72" s="45" t="n">
        <v>0.057705</v>
      </c>
      <c r="C72" s="46" t="n">
        <v>57.705455</v>
      </c>
      <c r="D72" s="45" t="n">
        <v>0.030173</v>
      </c>
      <c r="E72" s="46" t="n">
        <v>30.172667</v>
      </c>
      <c r="F72" s="45" t="n">
        <v>0.139436</v>
      </c>
      <c r="G72" s="46" t="n">
        <v>1.433403</v>
      </c>
      <c r="H72" s="45" t="n">
        <v>0.172332</v>
      </c>
      <c r="I72" s="46" t="n">
        <v>135.495617</v>
      </c>
      <c r="J72" s="45" t="n">
        <v>0.060606</v>
      </c>
      <c r="K72" s="46" t="n">
        <v>4.293925</v>
      </c>
      <c r="L72" s="45" t="n">
        <v>0.089849</v>
      </c>
      <c r="M72" s="46" t="n">
        <v>0.923648</v>
      </c>
      <c r="N72" s="45" t="n">
        <v>0.100068</v>
      </c>
      <c r="O72" s="46" t="n">
        <v>103.777687</v>
      </c>
      <c r="P72" s="45" t="n">
        <v>0.07375</v>
      </c>
      <c r="Q72" s="46" t="n">
        <v>5.31</v>
      </c>
      <c r="R72" s="45" t="n">
        <v>0.068204</v>
      </c>
      <c r="S72" s="46" t="n">
        <v>327.38</v>
      </c>
    </row>
    <row r="73">
      <c r="A73" t="inlineStr">
        <is>
          <t>2025-12</t>
        </is>
      </c>
      <c r="B73" s="45" t="n">
        <v>0.077905</v>
      </c>
      <c r="C73" s="46" t="n">
        <v>77.904858</v>
      </c>
      <c r="D73" s="45" t="n">
        <v>0.027721</v>
      </c>
      <c r="E73" s="46" t="n">
        <v>27.720645</v>
      </c>
      <c r="F73" s="45" t="n">
        <v>0.138097</v>
      </c>
      <c r="G73" s="46" t="n">
        <v>1.419634</v>
      </c>
      <c r="H73" s="45" t="n">
        <v>0.187789</v>
      </c>
      <c r="I73" s="46" t="n">
        <v>147.64841</v>
      </c>
      <c r="J73" s="45" t="n">
        <v>0.060606</v>
      </c>
      <c r="K73" s="46" t="n">
        <v>4.293925</v>
      </c>
      <c r="L73" s="45" t="n">
        <v>0.08539099999999999</v>
      </c>
      <c r="M73" s="46" t="n">
        <v>0.877822</v>
      </c>
      <c r="N73" s="45" t="n">
        <v>0.09721100000000001</v>
      </c>
      <c r="O73" s="46" t="n">
        <v>100.7722</v>
      </c>
      <c r="P73" s="45" t="n">
        <v>0.07375</v>
      </c>
      <c r="Q73" s="46" t="n">
        <v>5.31</v>
      </c>
      <c r="R73" s="45" t="n">
        <v>0.068204</v>
      </c>
      <c r="S73" s="46" t="n">
        <v>327.38</v>
      </c>
    </row>
    <row r="74">
      <c r="A74" t="inlineStr">
        <is>
          <t>2026-01</t>
        </is>
      </c>
      <c r="B74" s="45" t="n">
        <v>0.071672</v>
      </c>
      <c r="C74" s="46" t="n">
        <v>71.671871</v>
      </c>
      <c r="D74" s="45" t="n">
        <v>0.035173</v>
      </c>
      <c r="E74" s="46" t="n">
        <v>35.173226</v>
      </c>
      <c r="F74" s="45" t="n">
        <v>0.135016</v>
      </c>
      <c r="G74" s="46" t="n">
        <v>1.387962</v>
      </c>
      <c r="H74" s="45" t="n">
        <v>0.176299</v>
      </c>
      <c r="I74" s="46" t="n">
        <v>138.614545</v>
      </c>
      <c r="J74" s="45" t="n">
        <v>0.057337</v>
      </c>
      <c r="K74" s="46" t="n">
        <v>4.049688</v>
      </c>
      <c r="L74" s="45" t="n">
        <v>0.084171</v>
      </c>
      <c r="M74" s="46" t="n">
        <v>0.865272</v>
      </c>
      <c r="N74" s="45" t="n">
        <v>0.0975</v>
      </c>
      <c r="O74" s="46" t="n">
        <v>101.076497</v>
      </c>
      <c r="P74" s="45" t="n">
        <v>0.073472</v>
      </c>
      <c r="Q74" s="46" t="n">
        <v>5.29</v>
      </c>
      <c r="R74" s="45" t="n">
        <v>0.07226</v>
      </c>
      <c r="S74" s="46" t="n">
        <v>346.85</v>
      </c>
    </row>
    <row r="75">
      <c r="A75" t="inlineStr">
        <is>
          <t>2026-02</t>
        </is>
      </c>
      <c r="B75" s="45" t="n">
        <v>0.01641</v>
      </c>
      <c r="C75" s="46" t="n">
        <v>16.409789</v>
      </c>
      <c r="D75" s="45" t="n">
        <v>0.031677</v>
      </c>
      <c r="E75" s="46" t="n">
        <v>31.676786</v>
      </c>
      <c r="F75" s="45" t="n">
        <v>0.137539</v>
      </c>
      <c r="G75" s="46" t="n">
        <v>1.413905</v>
      </c>
      <c r="H75" s="45" t="n">
        <v>0.149235</v>
      </c>
      <c r="I75" s="46" t="n">
        <v>117.335718</v>
      </c>
      <c r="J75" s="45" t="n">
        <v>0.057337</v>
      </c>
      <c r="K75" s="46" t="n">
        <v>4.049688</v>
      </c>
      <c r="L75" s="45" t="n">
        <v>0.087628</v>
      </c>
      <c r="M75" s="46" t="n">
        <v>0.900815</v>
      </c>
      <c r="N75" s="45" t="n">
        <v>0.097958</v>
      </c>
      <c r="O75" s="46" t="n">
        <v>101.5583</v>
      </c>
      <c r="P75" s="45" t="n">
        <v>0.073472</v>
      </c>
      <c r="Q75" s="46" t="n">
        <v>5.29</v>
      </c>
      <c r="R75" s="45" t="n">
        <v>0.07226</v>
      </c>
      <c r="S75" s="46" t="n">
        <v>346.85</v>
      </c>
    </row>
    <row r="76">
      <c r="A76" t="inlineStr">
        <is>
          <t>2026-03</t>
        </is>
      </c>
      <c r="B76" s="45" t="n">
        <v>0.041711</v>
      </c>
      <c r="C76" s="46" t="n">
        <v>41.710561</v>
      </c>
      <c r="D76" s="45" t="n">
        <v>0.05186</v>
      </c>
      <c r="E76" s="46" t="n">
        <v>51.859677</v>
      </c>
      <c r="F76" s="45" t="n">
        <v>0.167</v>
      </c>
      <c r="G76" s="46" t="n">
        <v>1.716756</v>
      </c>
      <c r="H76" s="45" t="n">
        <v>0.16867</v>
      </c>
      <c r="I76" s="46" t="n">
        <v>137.843065</v>
      </c>
      <c r="J76" s="45" t="n">
        <v>0.057337</v>
      </c>
      <c r="K76" s="46" t="n">
        <v>4.049688</v>
      </c>
      <c r="L76" s="45" t="n">
        <v>0.121232</v>
      </c>
      <c r="M76" s="46" t="n">
        <v>1.246268</v>
      </c>
      <c r="N76" s="45" t="n">
        <v>0.100294</v>
      </c>
      <c r="O76" s="46" t="n">
        <v>104.015348</v>
      </c>
      <c r="P76" s="45" t="n">
        <v>0.073472</v>
      </c>
      <c r="Q76" s="46" t="n">
        <v>5.29</v>
      </c>
      <c r="R76" s="45" t="n">
        <v>0.07226</v>
      </c>
      <c r="S76" s="46" t="n">
        <v>346.85</v>
      </c>
    </row>
    <row r="77">
      <c r="A77" t="inlineStr">
        <is>
          <t>2026-04</t>
        </is>
      </c>
      <c r="B77" s="45" t="n">
        <v>0.042444</v>
      </c>
      <c r="C77" s="46" t="n">
        <v>42.444027</v>
      </c>
      <c r="D77" s="45" t="n">
        <v>0.044115</v>
      </c>
      <c r="E77" s="46" t="n">
        <v>44.115333</v>
      </c>
      <c r="F77" s="45" t="n">
        <v>0.175894</v>
      </c>
      <c r="G77" s="46" t="n">
        <v>1.808197</v>
      </c>
      <c r="H77" s="45" t="n">
        <v>0.136332</v>
      </c>
      <c r="I77" s="46" t="n">
        <v>122.93869</v>
      </c>
      <c r="J77" s="45" t="n">
        <v>0.045278</v>
      </c>
      <c r="K77" s="46" t="n">
        <v>3.613034</v>
      </c>
      <c r="L77" s="45" t="n">
        <v>0.125134</v>
      </c>
      <c r="M77" s="46" t="n">
        <v>1.28638</v>
      </c>
      <c r="N77" s="45" t="n">
        <v>0.102785</v>
      </c>
      <c r="O77" s="46" t="n">
        <v>106.6362</v>
      </c>
      <c r="P77" s="45" t="n">
        <v>0.07875</v>
      </c>
      <c r="Q77" s="46" t="n">
        <v>5.67</v>
      </c>
      <c r="R77" s="45" t="n">
        <v>0.073392</v>
      </c>
      <c r="S77" s="46" t="n">
        <v>352.28</v>
      </c>
    </row>
    <row r="78">
      <c r="A78" t="inlineStr">
        <is>
          <t>2026-05</t>
        </is>
      </c>
      <c r="B78" s="45" t="n">
        <v>0.054225</v>
      </c>
      <c r="C78" s="46" t="n">
        <v>54.225406</v>
      </c>
      <c r="D78" s="45" t="n">
        <v>0.046127</v>
      </c>
      <c r="E78" s="46" t="n">
        <v>46.126774</v>
      </c>
      <c r="F78" s="45" t="n">
        <v>0.165953</v>
      </c>
      <c r="G78" s="46" t="n">
        <v>1.705995</v>
      </c>
      <c r="H78" s="45" t="n">
        <v>0.1345</v>
      </c>
      <c r="I78" s="46" t="n">
        <v>121.272674</v>
      </c>
      <c r="J78" s="45" t="n">
        <v>0.045278</v>
      </c>
      <c r="K78" s="46" t="n">
        <v>3.613034</v>
      </c>
      <c r="L78" s="45" t="n">
        <v>0.116687</v>
      </c>
      <c r="M78" s="46" t="n">
        <v>1.199545</v>
      </c>
      <c r="N78" s="45" t="n">
        <v>0.100255</v>
      </c>
      <c r="O78" s="46" t="n">
        <v>108.872116</v>
      </c>
      <c r="P78" s="45" t="n">
        <v>0.07875</v>
      </c>
      <c r="Q78" s="46" t="n">
        <v>5.67</v>
      </c>
      <c r="R78" s="45" t="n">
        <v>0.073392</v>
      </c>
      <c r="S78" s="46" t="n">
        <v>352.28</v>
      </c>
    </row>
    <row r="79">
      <c r="A79" t="inlineStr">
        <is>
          <t>2026-06</t>
        </is>
      </c>
      <c r="B79" s="45" t="n">
        <v>0.069593</v>
      </c>
      <c r="C79" s="46" t="n">
        <v>69.592613</v>
      </c>
      <c r="D79" s="45" t="n">
        <v>0.044893</v>
      </c>
      <c r="E79" s="46" t="n">
        <v>44.892667</v>
      </c>
      <c r="F79" s="45" t="n">
        <v>0.153671</v>
      </c>
      <c r="G79" s="46" t="n">
        <v>1.579736</v>
      </c>
      <c r="H79" s="45" t="n">
        <v>0.164435</v>
      </c>
      <c r="I79" s="46" t="n">
        <v>129.28689</v>
      </c>
      <c r="J79" s="45" t="n">
        <v>0.045278</v>
      </c>
      <c r="K79" s="46" t="n">
        <v>3.613034</v>
      </c>
      <c r="L79" s="45" t="n">
        <v>0.100928</v>
      </c>
      <c r="M79" s="46" t="n">
        <v>1.037544</v>
      </c>
      <c r="N79" s="45" t="n">
        <v>0.096752</v>
      </c>
      <c r="O79" s="46" t="n">
        <v>111.968</v>
      </c>
      <c r="P79" s="45" t="n">
        <v>0.07875</v>
      </c>
      <c r="Q79" s="46" t="n">
        <v>5.67</v>
      </c>
      <c r="R79" s="45" t="n">
        <v>0.073392</v>
      </c>
      <c r="S79" s="46" t="n">
        <v>352.28</v>
      </c>
    </row>
    <row r="80">
      <c r="A80" t="inlineStr">
        <is>
          <t>2026-07</t>
        </is>
      </c>
      <c r="B80" s="45" t="n">
        <v>0.104747</v>
      </c>
      <c r="C80" s="46" t="n">
        <v>104.74659</v>
      </c>
      <c r="D80" s="45" t="n">
        <v>0.055</v>
      </c>
      <c r="E80" s="46" t="n">
        <v>54.999677</v>
      </c>
      <c r="F80" s="45" t="n">
        <v>0.156342</v>
      </c>
      <c r="G80" s="46" t="n">
        <v>1.607193</v>
      </c>
      <c r="H80" s="45" t="n">
        <v>0.204248</v>
      </c>
      <c r="I80" s="46" t="n">
        <v>160.589639</v>
      </c>
      <c r="J80" s="45" t="n">
        <v>0.057024</v>
      </c>
      <c r="K80" s="46" t="n">
        <v>4.119908</v>
      </c>
      <c r="L80" s="45" t="n">
        <v>0.113334</v>
      </c>
      <c r="M80" s="46" t="n">
        <v>1.165072</v>
      </c>
      <c r="N80" s="45" t="n">
        <v>0.1022</v>
      </c>
      <c r="O80" s="46" t="n">
        <v>113.954529</v>
      </c>
      <c r="P80" s="45" t="n">
        <v>0.082222</v>
      </c>
      <c r="Q80" s="46" t="n">
        <v>5.92</v>
      </c>
      <c r="R80" s="45" t="n">
        <v>0.07713299999999999</v>
      </c>
      <c r="S80" s="46" t="n">
        <v>370.24</v>
      </c>
    </row>
    <row r="81">
      <c r="A81" t="inlineStr">
        <is>
          <t>2026-08</t>
        </is>
      </c>
      <c r="B81" s="45" t="n">
        <v>0.118245</v>
      </c>
      <c r="C81" s="46" t="n">
        <v>118.244948</v>
      </c>
      <c r="D81" s="45" t="n">
        <v>0.061818</v>
      </c>
      <c r="E81" s="46" t="n">
        <v>61.818387</v>
      </c>
      <c r="F81" s="45" t="n">
        <v>0.178418</v>
      </c>
      <c r="G81" s="46" t="n">
        <v>1.83414</v>
      </c>
      <c r="H81" s="45" t="n">
        <v>0.211726</v>
      </c>
      <c r="I81" s="46" t="n">
        <v>166.468942</v>
      </c>
      <c r="J81" s="45" t="n">
        <v>0.057024</v>
      </c>
      <c r="K81" s="46" t="n">
        <v>4.119908</v>
      </c>
      <c r="L81" s="45" t="n">
        <v>0.127534</v>
      </c>
      <c r="M81" s="46" t="n">
        <v>1.31105</v>
      </c>
      <c r="N81" s="45" t="n">
        <v>0.112105</v>
      </c>
      <c r="O81" s="46" t="n">
        <v>117.5664</v>
      </c>
      <c r="P81" s="45" t="n">
        <v>0.082222</v>
      </c>
      <c r="Q81" s="46" t="n">
        <v>5.92</v>
      </c>
      <c r="R81" s="45" t="n">
        <v>0.07713299999999999</v>
      </c>
      <c r="S81" s="46" t="n">
        <v>370.24</v>
      </c>
    </row>
    <row r="82">
      <c r="A82" t="inlineStr">
        <is>
          <t>2026-09</t>
        </is>
      </c>
      <c r="B82" s="45" t="n">
        <v>0.143254</v>
      </c>
      <c r="C82" s="46" t="n">
        <v>143.254043</v>
      </c>
      <c r="D82" s="45" t="n">
        <v>0.07713</v>
      </c>
      <c r="E82" s="46" t="n">
        <v>77.129667</v>
      </c>
      <c r="F82" s="45" t="n">
        <v>0.181955</v>
      </c>
      <c r="G82" s="46" t="n">
        <v>1.870492</v>
      </c>
      <c r="H82" s="45" t="n">
        <v>0.233991</v>
      </c>
      <c r="I82" s="46" t="n">
        <v>183.974657</v>
      </c>
      <c r="J82" s="45" t="n">
        <v>0.057024</v>
      </c>
      <c r="K82" s="46" t="n">
        <v>4.119908</v>
      </c>
      <c r="L82" s="45" t="n">
        <v>0.141957</v>
      </c>
      <c r="M82" s="46" t="n">
        <v>1.45932</v>
      </c>
      <c r="N82" s="45" t="n">
        <v>0.115465</v>
      </c>
      <c r="O82" s="46" t="n">
        <v>120.701493</v>
      </c>
      <c r="P82" s="45" t="n">
        <v>0.082222</v>
      </c>
      <c r="Q82" s="46" t="n">
        <v>5.92</v>
      </c>
      <c r="R82" s="45" t="n">
        <v>0.07713299999999999</v>
      </c>
      <c r="S82" s="46" t="n">
        <v>370.24</v>
      </c>
    </row>
    <row r="83">
      <c r="A83" t="inlineStr">
        <is>
          <t>2026-10</t>
        </is>
      </c>
      <c r="B83" s="45" t="n">
        <v>0.158678</v>
      </c>
      <c r="C83" s="46" t="n">
        <v>158.677889</v>
      </c>
      <c r="D83" s="45" t="n">
        <v>0.08277900000000001</v>
      </c>
      <c r="E83" s="46" t="n">
        <v>82.779231</v>
      </c>
      <c r="F83" s="45" t="n">
        <v>0.184703</v>
      </c>
      <c r="G83" s="46" t="n">
        <v>1.898743</v>
      </c>
      <c r="H83" s="45" t="n">
        <v>0.248657</v>
      </c>
      <c r="I83" s="46" t="n">
        <v>195.505715</v>
      </c>
      <c r="J83" s="45" t="n">
        <v>0.070629</v>
      </c>
      <c r="K83" s="46" t="n">
        <v>5.042762</v>
      </c>
      <c r="L83" s="45" t="n">
        <v>0.144681</v>
      </c>
      <c r="M83" s="46" t="n">
        <v>1.487323</v>
      </c>
      <c r="N83" s="45" t="n">
        <v>0.118405</v>
      </c>
      <c r="O83" s="46" t="n">
        <v>123.4447</v>
      </c>
      <c r="P83" s="45" t="n"/>
      <c r="Q83" s="46" t="n"/>
      <c r="R83" s="45" t="n"/>
      <c r="S83" s="46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>
    <row r="1">
      <c r="A1" s="25" t="inlineStr">
        <is>
          <t>Gráficos vinculados a las hojas «Mensual» y «Anual»: se actualizan si cambian los datos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R96"/>
  <sheetViews>
    <sheetView showGridLines="0" workbookViewId="0">
      <pane xSplit="1" ySplit="14" topLeftCell="B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2" customWidth="1" min="6" max="6"/>
    <col width="18" customWidth="1" min="7" max="7"/>
    <col width="18" customWidth="1" min="8" max="8"/>
    <col width="18" customWidth="1" min="9" max="9"/>
    <col width="18" customWidth="1" min="10" max="10"/>
    <col width="2" customWidth="1" min="11" max="11"/>
    <col width="2" customWidth="1" min="12" max="12"/>
    <col width="2" customWidth="1" min="13" max="13"/>
    <col width="2" customWidth="1" min="14" max="14"/>
    <col width="2" customWidth="1" min="15" max="15"/>
    <col width="20" customWidth="1" min="16" max="16"/>
    <col width="30" customWidth="1" min="17" max="17"/>
    <col width="24" customWidth="1" min="18" max="18"/>
  </cols>
  <sheetData>
    <row r="2">
      <c r="B2" s="1" t="inlineStr">
        <is>
          <t>Comparador de series</t>
        </is>
      </c>
    </row>
    <row r="3">
      <c r="B3" s="2" t="inlineStr">
        <is>
          <t>Elija hasta cuatro series en los desplegables, la frecuencia (mensual o anual) y si quiere verlas en Base 100 (cada serie dividida por su primer valor disponible). La tabla y el gráfico se recalculan con fórmulas sobre las hojas «Mensual» y «Anual».</t>
        </is>
      </c>
    </row>
    <row r="4">
      <c r="P4" s="47" t="inlineStr">
        <is>
          <t>Serie</t>
        </is>
      </c>
      <c r="Q4" s="47" t="inlineStr">
        <is>
          <t>Columna en Mensual</t>
        </is>
      </c>
      <c r="R4" s="47" t="inlineStr">
        <is>
          <t>Columna en Anual</t>
        </is>
      </c>
    </row>
    <row r="5">
      <c r="B5" s="48" t="inlineStr">
        <is>
          <t>Serie 1</t>
        </is>
      </c>
      <c r="C5" s="49" t="inlineStr">
        <is>
          <t>Gasóleo C</t>
        </is>
      </c>
      <c r="D5" s="2" t="inlineStr">
        <is>
          <t>← desplegables (deje en blanco las series que no quiera)</t>
        </is>
      </c>
      <c r="P5" t="inlineStr">
        <is>
          <t>OMIE</t>
        </is>
      </c>
      <c r="Q5" t="inlineStr">
        <is>
          <t>OMIE (€/kWh, sin imp.)</t>
        </is>
      </c>
      <c r="R5" t="inlineStr">
        <is>
          <t>OMIE (sin imp.)</t>
        </is>
      </c>
    </row>
    <row r="6">
      <c r="B6" s="48" t="inlineStr">
        <is>
          <t>Serie 2</t>
        </is>
      </c>
      <c r="C6" s="49" t="inlineStr">
        <is>
          <t>Pellet saco 15 kg</t>
        </is>
      </c>
      <c r="P6" t="inlineStr">
        <is>
          <t>MIBGAS</t>
        </is>
      </c>
      <c r="Q6" t="inlineStr">
        <is>
          <t>MIBGAS (€/kWh, sin imp.)</t>
        </is>
      </c>
      <c r="R6" t="inlineStr">
        <is>
          <t>MIBGAS (sin imp.)</t>
        </is>
      </c>
    </row>
    <row r="7">
      <c r="B7" s="48" t="inlineStr">
        <is>
          <t>Serie 3</t>
        </is>
      </c>
      <c r="C7" s="49" t="inlineStr"/>
      <c r="P7" t="inlineStr">
        <is>
          <t>Gasóleo A</t>
        </is>
      </c>
      <c r="Q7" t="inlineStr">
        <is>
          <t>Gasóleo A (€/kWh, con imp.)</t>
        </is>
      </c>
      <c r="R7" t="inlineStr">
        <is>
          <t>Gasóleo A</t>
        </is>
      </c>
    </row>
    <row r="8">
      <c r="B8" s="48" t="inlineStr">
        <is>
          <t>Serie 4</t>
        </is>
      </c>
      <c r="C8" s="49" t="inlineStr"/>
      <c r="P8" t="inlineStr">
        <is>
          <t>PVPC 2.0TD</t>
        </is>
      </c>
      <c r="Q8" t="inlineStr">
        <is>
          <t>PVPC 2.0TD (€/kWh, con imp.)</t>
        </is>
      </c>
      <c r="R8" t="inlineStr">
        <is>
          <t>PVPC 2.0TD</t>
        </is>
      </c>
    </row>
    <row r="9">
      <c r="B9" s="48" t="inlineStr">
        <is>
          <t>Frecuencia</t>
        </is>
      </c>
      <c r="C9" s="49" t="inlineStr">
        <is>
          <t>Mensual</t>
        </is>
      </c>
      <c r="P9" t="inlineStr">
        <is>
          <t>TUR 2</t>
        </is>
      </c>
      <c r="Q9" t="inlineStr">
        <is>
          <t>TUR 2 (€/kWh, con imp.)</t>
        </is>
      </c>
      <c r="R9" t="inlineStr">
        <is>
          <t>TUR 2</t>
        </is>
      </c>
    </row>
    <row r="10">
      <c r="B10" s="48" t="inlineStr">
        <is>
          <t>Base 100</t>
        </is>
      </c>
      <c r="C10" s="49" t="inlineStr">
        <is>
          <t>No</t>
        </is>
      </c>
      <c r="P10" t="inlineStr">
        <is>
          <t>Gasóleo C</t>
        </is>
      </c>
      <c r="Q10" t="inlineStr">
        <is>
          <t>Gasóleo C (€/kWh, con imp.)</t>
        </is>
      </c>
      <c r="R10" t="inlineStr">
        <is>
          <t>Gasóleo C</t>
        </is>
      </c>
    </row>
    <row r="11">
      <c r="B11" s="2" t="inlineStr">
        <is>
          <t>Unidad: €/kWh (OMIE y MIBGAS sin impuestos; el resto con impuestos). Los huecos (#N/A) son periodos sin dato y no se dibujan.</t>
        </is>
      </c>
      <c r="P11" t="inlineStr">
        <is>
          <t>Butano</t>
        </is>
      </c>
      <c r="Q11" t="inlineStr">
        <is>
          <t>Butano (€/kWh, con imp.)</t>
        </is>
      </c>
      <c r="R11" t="inlineStr">
        <is>
          <t>Butano</t>
        </is>
      </c>
    </row>
    <row r="12">
      <c r="G12" s="2" t="inlineStr">
        <is>
          <t>Columna en la hoja origen (auxiliar)</t>
        </is>
      </c>
      <c r="H12" s="2">
        <f>IF($C$5="",0,IF($C$9="Anual",IFERROR(MATCH(INDEX($R$5:$R$13,MATCH($C$5,$P$5:$P$13,0)),Anual!$B$1:$J$1,0),0),IFERROR(MATCH(INDEX($Q$5:$Q$13,MATCH($C$5,$P$5:$P$13,0)),Mensual!$B$1:$S$1,0),0)))</f>
        <v/>
      </c>
      <c r="I12" s="2">
        <f>IF($C$6="",0,IF($C$9="Anual",IFERROR(MATCH(INDEX($R$5:$R$13,MATCH($C$6,$P$5:$P$13,0)),Anual!$B$1:$J$1,0),0),IFERROR(MATCH(INDEX($Q$5:$Q$13,MATCH($C$6,$P$5:$P$13,0)),Mensual!$B$1:$S$1,0),0)))</f>
        <v/>
      </c>
      <c r="J12" s="2">
        <f>IF($C$7="",0,IF($C$9="Anual",IFERROR(MATCH(INDEX($R$5:$R$13,MATCH($C$7,$P$5:$P$13,0)),Anual!$B$1:$J$1,0),0),IFERROR(MATCH(INDEX($Q$5:$Q$13,MATCH($C$7,$P$5:$P$13,0)),Mensual!$B$1:$S$1,0),0)))</f>
        <v/>
      </c>
      <c r="K12" s="2">
        <f>IF($C$8="",0,IF($C$9="Anual",IFERROR(MATCH(INDEX($R$5:$R$13,MATCH($C$8,$P$5:$P$13,0)),Anual!$B$1:$J$1,0),0),IFERROR(MATCH(INDEX($Q$5:$Q$13,MATCH($C$8,$P$5:$P$13,0)),Mensual!$B$1:$S$1,0),0)))</f>
        <v/>
      </c>
      <c r="P12" t="inlineStr">
        <is>
          <t>Pellet saco 15 kg</t>
        </is>
      </c>
      <c r="Q12" t="inlineStr">
        <is>
          <t>Pellet saco 15 kg (€/kWh, con imp.)</t>
        </is>
      </c>
      <c r="R12" t="inlineStr">
        <is>
          <t>Pellet saco 15 kg</t>
        </is>
      </c>
    </row>
    <row r="13">
      <c r="G13" s="2" t="inlineStr">
        <is>
          <t>Primer valor disponible (auxiliar, Base 100)</t>
        </is>
      </c>
      <c r="H13" s="50">
        <f>IFERROR(INDEX(H15:H96,MATCH(TRUE,INDEX(ISNUMBER(H15:H96),0),0)),NA())</f>
        <v/>
      </c>
      <c r="I13" s="50">
        <f>IFERROR(INDEX(I15:I96,MATCH(TRUE,INDEX(ISNUMBER(I15:I96),0),0)),NA())</f>
        <v/>
      </c>
      <c r="J13" s="50">
        <f>IFERROR(INDEX(J15:J96,MATCH(TRUE,INDEX(ISNUMBER(J15:J96),0),0)),NA())</f>
        <v/>
      </c>
      <c r="K13" s="50">
        <f>IFERROR(INDEX(K15:K96,MATCH(TRUE,INDEX(ISNUMBER(K15:K96),0),0)),NA())</f>
        <v/>
      </c>
      <c r="P13" t="inlineStr">
        <is>
          <t>Pellet granel</t>
        </is>
      </c>
      <c r="Q13" t="inlineStr">
        <is>
          <t>Pellet granel (€/kWh, con imp.)</t>
        </is>
      </c>
      <c r="R13" t="inlineStr">
        <is>
          <t>Pellet granel</t>
        </is>
      </c>
    </row>
    <row r="14">
      <c r="A14" s="51" t="inlineStr">
        <is>
          <t>Periodo</t>
        </is>
      </c>
      <c r="B14" s="51">
        <f>IF($C$5="","(vacía)",$C$5)</f>
        <v/>
      </c>
      <c r="C14" s="51">
        <f>IF($C$6="","(vacía)",$C$6)</f>
        <v/>
      </c>
      <c r="D14" s="51">
        <f>IF($C$7="","(vacía)",$C$7)</f>
        <v/>
      </c>
      <c r="E14" s="51">
        <f>IF($C$8="","(vacía)",$C$8)</f>
        <v/>
      </c>
      <c r="H14" s="2">
        <f>IF($C$5="","(vacía)",$C$5&amp;" (€/kWh)")</f>
        <v/>
      </c>
      <c r="I14" s="2">
        <f>IF($C$6="","(vacía)",$C$6&amp;" (€/kWh)")</f>
        <v/>
      </c>
      <c r="J14" s="2">
        <f>IF($C$7="","(vacía)",$C$7&amp;" (€/kWh)")</f>
        <v/>
      </c>
      <c r="K14" s="2">
        <f>IF($C$8="","(vacía)",$C$8&amp;" (€/kWh)")</f>
        <v/>
      </c>
    </row>
    <row r="15">
      <c r="A15">
        <f>IF($C$9="Anual",IF(1&lt;=7,INDEX(Anual!$A$2:$A$8,1),""),IF(1&lt;=82,INDEX(Mensual!$A$2:$A$83,1),""))</f>
        <v/>
      </c>
      <c r="B15" s="52">
        <f>IF($C$10="Sí",H15/H$13*100,H15)</f>
        <v/>
      </c>
      <c r="C15" s="52">
        <f>IF($C$10="Sí",I15/I$13*100,I15)</f>
        <v/>
      </c>
      <c r="D15" s="52">
        <f>IF($C$10="Sí",J15/J$13*100,J15)</f>
        <v/>
      </c>
      <c r="E15" s="52">
        <f>IF($C$10="Sí",K15/K$13*100,K15)</f>
        <v/>
      </c>
      <c r="H15" s="45">
        <f>IF(OR($A15="",H$12=0),NA(),IF($C$9="Anual",IF(INDEX(Anual!$B$2:$J$8,1,H$12)="",NA(),INDEX(Anual!$B$2:$J$8,1,H$12)),IF(INDEX(Mensual!$B$2:$S$83,1,H$12)="",NA(),INDEX(Mensual!$B$2:$S$83,1,H$12))))</f>
        <v/>
      </c>
      <c r="I15" s="45">
        <f>IF(OR($A15="",I$12=0),NA(),IF($C$9="Anual",IF(INDEX(Anual!$B$2:$J$8,1,I$12)="",NA(),INDEX(Anual!$B$2:$J$8,1,I$12)),IF(INDEX(Mensual!$B$2:$S$83,1,I$12)="",NA(),INDEX(Mensual!$B$2:$S$83,1,I$12))))</f>
        <v/>
      </c>
      <c r="J15" s="45">
        <f>IF(OR($A15="",J$12=0),NA(),IF($C$9="Anual",IF(INDEX(Anual!$B$2:$J$8,1,J$12)="",NA(),INDEX(Anual!$B$2:$J$8,1,J$12)),IF(INDEX(Mensual!$B$2:$S$83,1,J$12)="",NA(),INDEX(Mensual!$B$2:$S$83,1,J$12))))</f>
        <v/>
      </c>
      <c r="K15" s="45">
        <f>IF(OR($A15="",K$12=0),NA(),IF($C$9="Anual",IF(INDEX(Anual!$B$2:$J$8,1,K$12)="",NA(),INDEX(Anual!$B$2:$J$8,1,K$12)),IF(INDEX(Mensual!$B$2:$S$83,1,K$12)="",NA(),INDEX(Mensual!$B$2:$S$83,1,K$12))))</f>
        <v/>
      </c>
    </row>
    <row r="16">
      <c r="A16">
        <f>IF($C$9="Anual",IF(2&lt;=7,INDEX(Anual!$A$2:$A$8,2),""),IF(2&lt;=82,INDEX(Mensual!$A$2:$A$83,2),""))</f>
        <v/>
      </c>
      <c r="B16" s="52">
        <f>IF($C$10="Sí",H16/H$13*100,H16)</f>
        <v/>
      </c>
      <c r="C16" s="52">
        <f>IF($C$10="Sí",I16/I$13*100,I16)</f>
        <v/>
      </c>
      <c r="D16" s="52">
        <f>IF($C$10="Sí",J16/J$13*100,J16)</f>
        <v/>
      </c>
      <c r="E16" s="52">
        <f>IF($C$10="Sí",K16/K$13*100,K16)</f>
        <v/>
      </c>
      <c r="H16" s="45">
        <f>IF(OR($A16="",H$12=0),NA(),IF($C$9="Anual",IF(INDEX(Anual!$B$2:$J$8,2,H$12)="",NA(),INDEX(Anual!$B$2:$J$8,2,H$12)),IF(INDEX(Mensual!$B$2:$S$83,2,H$12)="",NA(),INDEX(Mensual!$B$2:$S$83,2,H$12))))</f>
        <v/>
      </c>
      <c r="I16" s="45">
        <f>IF(OR($A16="",I$12=0),NA(),IF($C$9="Anual",IF(INDEX(Anual!$B$2:$J$8,2,I$12)="",NA(),INDEX(Anual!$B$2:$J$8,2,I$12)),IF(INDEX(Mensual!$B$2:$S$83,2,I$12)="",NA(),INDEX(Mensual!$B$2:$S$83,2,I$12))))</f>
        <v/>
      </c>
      <c r="J16" s="45">
        <f>IF(OR($A16="",J$12=0),NA(),IF($C$9="Anual",IF(INDEX(Anual!$B$2:$J$8,2,J$12)="",NA(),INDEX(Anual!$B$2:$J$8,2,J$12)),IF(INDEX(Mensual!$B$2:$S$83,2,J$12)="",NA(),INDEX(Mensual!$B$2:$S$83,2,J$12))))</f>
        <v/>
      </c>
      <c r="K16" s="45">
        <f>IF(OR($A16="",K$12=0),NA(),IF($C$9="Anual",IF(INDEX(Anual!$B$2:$J$8,2,K$12)="",NA(),INDEX(Anual!$B$2:$J$8,2,K$12)),IF(INDEX(Mensual!$B$2:$S$83,2,K$12)="",NA(),INDEX(Mensual!$B$2:$S$83,2,K$12))))</f>
        <v/>
      </c>
    </row>
    <row r="17">
      <c r="A17">
        <f>IF($C$9="Anual",IF(3&lt;=7,INDEX(Anual!$A$2:$A$8,3),""),IF(3&lt;=82,INDEX(Mensual!$A$2:$A$83,3),""))</f>
        <v/>
      </c>
      <c r="B17" s="52">
        <f>IF($C$10="Sí",H17/H$13*100,H17)</f>
        <v/>
      </c>
      <c r="C17" s="52">
        <f>IF($C$10="Sí",I17/I$13*100,I17)</f>
        <v/>
      </c>
      <c r="D17" s="52">
        <f>IF($C$10="Sí",J17/J$13*100,J17)</f>
        <v/>
      </c>
      <c r="E17" s="52">
        <f>IF($C$10="Sí",K17/K$13*100,K17)</f>
        <v/>
      </c>
      <c r="H17" s="45">
        <f>IF(OR($A17="",H$12=0),NA(),IF($C$9="Anual",IF(INDEX(Anual!$B$2:$J$8,3,H$12)="",NA(),INDEX(Anual!$B$2:$J$8,3,H$12)),IF(INDEX(Mensual!$B$2:$S$83,3,H$12)="",NA(),INDEX(Mensual!$B$2:$S$83,3,H$12))))</f>
        <v/>
      </c>
      <c r="I17" s="45">
        <f>IF(OR($A17="",I$12=0),NA(),IF($C$9="Anual",IF(INDEX(Anual!$B$2:$J$8,3,I$12)="",NA(),INDEX(Anual!$B$2:$J$8,3,I$12)),IF(INDEX(Mensual!$B$2:$S$83,3,I$12)="",NA(),INDEX(Mensual!$B$2:$S$83,3,I$12))))</f>
        <v/>
      </c>
      <c r="J17" s="45">
        <f>IF(OR($A17="",J$12=0),NA(),IF($C$9="Anual",IF(INDEX(Anual!$B$2:$J$8,3,J$12)="",NA(),INDEX(Anual!$B$2:$J$8,3,J$12)),IF(INDEX(Mensual!$B$2:$S$83,3,J$12)="",NA(),INDEX(Mensual!$B$2:$S$83,3,J$12))))</f>
        <v/>
      </c>
      <c r="K17" s="45">
        <f>IF(OR($A17="",K$12=0),NA(),IF($C$9="Anual",IF(INDEX(Anual!$B$2:$J$8,3,K$12)="",NA(),INDEX(Anual!$B$2:$J$8,3,K$12)),IF(INDEX(Mensual!$B$2:$S$83,3,K$12)="",NA(),INDEX(Mensual!$B$2:$S$83,3,K$12))))</f>
        <v/>
      </c>
    </row>
    <row r="18">
      <c r="A18">
        <f>IF($C$9="Anual",IF(4&lt;=7,INDEX(Anual!$A$2:$A$8,4),""),IF(4&lt;=82,INDEX(Mensual!$A$2:$A$83,4),""))</f>
        <v/>
      </c>
      <c r="B18" s="52">
        <f>IF($C$10="Sí",H18/H$13*100,H18)</f>
        <v/>
      </c>
      <c r="C18" s="52">
        <f>IF($C$10="Sí",I18/I$13*100,I18)</f>
        <v/>
      </c>
      <c r="D18" s="52">
        <f>IF($C$10="Sí",J18/J$13*100,J18)</f>
        <v/>
      </c>
      <c r="E18" s="52">
        <f>IF($C$10="Sí",K18/K$13*100,K18)</f>
        <v/>
      </c>
      <c r="H18" s="45">
        <f>IF(OR($A18="",H$12=0),NA(),IF($C$9="Anual",IF(INDEX(Anual!$B$2:$J$8,4,H$12)="",NA(),INDEX(Anual!$B$2:$J$8,4,H$12)),IF(INDEX(Mensual!$B$2:$S$83,4,H$12)="",NA(),INDEX(Mensual!$B$2:$S$83,4,H$12))))</f>
        <v/>
      </c>
      <c r="I18" s="45">
        <f>IF(OR($A18="",I$12=0),NA(),IF($C$9="Anual",IF(INDEX(Anual!$B$2:$J$8,4,I$12)="",NA(),INDEX(Anual!$B$2:$J$8,4,I$12)),IF(INDEX(Mensual!$B$2:$S$83,4,I$12)="",NA(),INDEX(Mensual!$B$2:$S$83,4,I$12))))</f>
        <v/>
      </c>
      <c r="J18" s="45">
        <f>IF(OR($A18="",J$12=0),NA(),IF($C$9="Anual",IF(INDEX(Anual!$B$2:$J$8,4,J$12)="",NA(),INDEX(Anual!$B$2:$J$8,4,J$12)),IF(INDEX(Mensual!$B$2:$S$83,4,J$12)="",NA(),INDEX(Mensual!$B$2:$S$83,4,J$12))))</f>
        <v/>
      </c>
      <c r="K18" s="45">
        <f>IF(OR($A18="",K$12=0),NA(),IF($C$9="Anual",IF(INDEX(Anual!$B$2:$J$8,4,K$12)="",NA(),INDEX(Anual!$B$2:$J$8,4,K$12)),IF(INDEX(Mensual!$B$2:$S$83,4,K$12)="",NA(),INDEX(Mensual!$B$2:$S$83,4,K$12))))</f>
        <v/>
      </c>
    </row>
    <row r="19">
      <c r="A19">
        <f>IF($C$9="Anual",IF(5&lt;=7,INDEX(Anual!$A$2:$A$8,5),""),IF(5&lt;=82,INDEX(Mensual!$A$2:$A$83,5),""))</f>
        <v/>
      </c>
      <c r="B19" s="52">
        <f>IF($C$10="Sí",H19/H$13*100,H19)</f>
        <v/>
      </c>
      <c r="C19" s="52">
        <f>IF($C$10="Sí",I19/I$13*100,I19)</f>
        <v/>
      </c>
      <c r="D19" s="52">
        <f>IF($C$10="Sí",J19/J$13*100,J19)</f>
        <v/>
      </c>
      <c r="E19" s="52">
        <f>IF($C$10="Sí",K19/K$13*100,K19)</f>
        <v/>
      </c>
      <c r="H19" s="45">
        <f>IF(OR($A19="",H$12=0),NA(),IF($C$9="Anual",IF(INDEX(Anual!$B$2:$J$8,5,H$12)="",NA(),INDEX(Anual!$B$2:$J$8,5,H$12)),IF(INDEX(Mensual!$B$2:$S$83,5,H$12)="",NA(),INDEX(Mensual!$B$2:$S$83,5,H$12))))</f>
        <v/>
      </c>
      <c r="I19" s="45">
        <f>IF(OR($A19="",I$12=0),NA(),IF($C$9="Anual",IF(INDEX(Anual!$B$2:$J$8,5,I$12)="",NA(),INDEX(Anual!$B$2:$J$8,5,I$12)),IF(INDEX(Mensual!$B$2:$S$83,5,I$12)="",NA(),INDEX(Mensual!$B$2:$S$83,5,I$12))))</f>
        <v/>
      </c>
      <c r="J19" s="45">
        <f>IF(OR($A19="",J$12=0),NA(),IF($C$9="Anual",IF(INDEX(Anual!$B$2:$J$8,5,J$12)="",NA(),INDEX(Anual!$B$2:$J$8,5,J$12)),IF(INDEX(Mensual!$B$2:$S$83,5,J$12)="",NA(),INDEX(Mensual!$B$2:$S$83,5,J$12))))</f>
        <v/>
      </c>
      <c r="K19" s="45">
        <f>IF(OR($A19="",K$12=0),NA(),IF($C$9="Anual",IF(INDEX(Anual!$B$2:$J$8,5,K$12)="",NA(),INDEX(Anual!$B$2:$J$8,5,K$12)),IF(INDEX(Mensual!$B$2:$S$83,5,K$12)="",NA(),INDEX(Mensual!$B$2:$S$83,5,K$12))))</f>
        <v/>
      </c>
    </row>
    <row r="20">
      <c r="A20">
        <f>IF($C$9="Anual",IF(6&lt;=7,INDEX(Anual!$A$2:$A$8,6),""),IF(6&lt;=82,INDEX(Mensual!$A$2:$A$83,6),""))</f>
        <v/>
      </c>
      <c r="B20" s="52">
        <f>IF($C$10="Sí",H20/H$13*100,H20)</f>
        <v/>
      </c>
      <c r="C20" s="52">
        <f>IF($C$10="Sí",I20/I$13*100,I20)</f>
        <v/>
      </c>
      <c r="D20" s="52">
        <f>IF($C$10="Sí",J20/J$13*100,J20)</f>
        <v/>
      </c>
      <c r="E20" s="52">
        <f>IF($C$10="Sí",K20/K$13*100,K20)</f>
        <v/>
      </c>
      <c r="H20" s="45">
        <f>IF(OR($A20="",H$12=0),NA(),IF($C$9="Anual",IF(INDEX(Anual!$B$2:$J$8,6,H$12)="",NA(),INDEX(Anual!$B$2:$J$8,6,H$12)),IF(INDEX(Mensual!$B$2:$S$83,6,H$12)="",NA(),INDEX(Mensual!$B$2:$S$83,6,H$12))))</f>
        <v/>
      </c>
      <c r="I20" s="45">
        <f>IF(OR($A20="",I$12=0),NA(),IF($C$9="Anual",IF(INDEX(Anual!$B$2:$J$8,6,I$12)="",NA(),INDEX(Anual!$B$2:$J$8,6,I$12)),IF(INDEX(Mensual!$B$2:$S$83,6,I$12)="",NA(),INDEX(Mensual!$B$2:$S$83,6,I$12))))</f>
        <v/>
      </c>
      <c r="J20" s="45">
        <f>IF(OR($A20="",J$12=0),NA(),IF($C$9="Anual",IF(INDEX(Anual!$B$2:$J$8,6,J$12)="",NA(),INDEX(Anual!$B$2:$J$8,6,J$12)),IF(INDEX(Mensual!$B$2:$S$83,6,J$12)="",NA(),INDEX(Mensual!$B$2:$S$83,6,J$12))))</f>
        <v/>
      </c>
      <c r="K20" s="45">
        <f>IF(OR($A20="",K$12=0),NA(),IF($C$9="Anual",IF(INDEX(Anual!$B$2:$J$8,6,K$12)="",NA(),INDEX(Anual!$B$2:$J$8,6,K$12)),IF(INDEX(Mensual!$B$2:$S$83,6,K$12)="",NA(),INDEX(Mensual!$B$2:$S$83,6,K$12))))</f>
        <v/>
      </c>
    </row>
    <row r="21">
      <c r="A21">
        <f>IF($C$9="Anual",IF(7&lt;=7,INDEX(Anual!$A$2:$A$8,7),""),IF(7&lt;=82,INDEX(Mensual!$A$2:$A$83,7),""))</f>
        <v/>
      </c>
      <c r="B21" s="52">
        <f>IF($C$10="Sí",H21/H$13*100,H21)</f>
        <v/>
      </c>
      <c r="C21" s="52">
        <f>IF($C$10="Sí",I21/I$13*100,I21)</f>
        <v/>
      </c>
      <c r="D21" s="52">
        <f>IF($C$10="Sí",J21/J$13*100,J21)</f>
        <v/>
      </c>
      <c r="E21" s="52">
        <f>IF($C$10="Sí",K21/K$13*100,K21)</f>
        <v/>
      </c>
      <c r="H21" s="45">
        <f>IF(OR($A21="",H$12=0),NA(),IF($C$9="Anual",IF(INDEX(Anual!$B$2:$J$8,7,H$12)="",NA(),INDEX(Anual!$B$2:$J$8,7,H$12)),IF(INDEX(Mensual!$B$2:$S$83,7,H$12)="",NA(),INDEX(Mensual!$B$2:$S$83,7,H$12))))</f>
        <v/>
      </c>
      <c r="I21" s="45">
        <f>IF(OR($A21="",I$12=0),NA(),IF($C$9="Anual",IF(INDEX(Anual!$B$2:$J$8,7,I$12)="",NA(),INDEX(Anual!$B$2:$J$8,7,I$12)),IF(INDEX(Mensual!$B$2:$S$83,7,I$12)="",NA(),INDEX(Mensual!$B$2:$S$83,7,I$12))))</f>
        <v/>
      </c>
      <c r="J21" s="45">
        <f>IF(OR($A21="",J$12=0),NA(),IF($C$9="Anual",IF(INDEX(Anual!$B$2:$J$8,7,J$12)="",NA(),INDEX(Anual!$B$2:$J$8,7,J$12)),IF(INDEX(Mensual!$B$2:$S$83,7,J$12)="",NA(),INDEX(Mensual!$B$2:$S$83,7,J$12))))</f>
        <v/>
      </c>
      <c r="K21" s="45">
        <f>IF(OR($A21="",K$12=0),NA(),IF($C$9="Anual",IF(INDEX(Anual!$B$2:$J$8,7,K$12)="",NA(),INDEX(Anual!$B$2:$J$8,7,K$12)),IF(INDEX(Mensual!$B$2:$S$83,7,K$12)="",NA(),INDEX(Mensual!$B$2:$S$83,7,K$12))))</f>
        <v/>
      </c>
    </row>
    <row r="22">
      <c r="A22">
        <f>IF($C$9="Anual",IF(8&lt;=7,INDEX(Anual!$A$2:$A$8,8),""),IF(8&lt;=82,INDEX(Mensual!$A$2:$A$83,8),""))</f>
        <v/>
      </c>
      <c r="B22" s="52">
        <f>IF($C$10="Sí",H22/H$13*100,H22)</f>
        <v/>
      </c>
      <c r="C22" s="52">
        <f>IF($C$10="Sí",I22/I$13*100,I22)</f>
        <v/>
      </c>
      <c r="D22" s="52">
        <f>IF($C$10="Sí",J22/J$13*100,J22)</f>
        <v/>
      </c>
      <c r="E22" s="52">
        <f>IF($C$10="Sí",K22/K$13*100,K22)</f>
        <v/>
      </c>
      <c r="H22" s="45">
        <f>IF(OR($A22="",H$12=0),NA(),IF($C$9="Anual",IF(INDEX(Anual!$B$2:$J$8,8,H$12)="",NA(),INDEX(Anual!$B$2:$J$8,8,H$12)),IF(INDEX(Mensual!$B$2:$S$83,8,H$12)="",NA(),INDEX(Mensual!$B$2:$S$83,8,H$12))))</f>
        <v/>
      </c>
      <c r="I22" s="45">
        <f>IF(OR($A22="",I$12=0),NA(),IF($C$9="Anual",IF(INDEX(Anual!$B$2:$J$8,8,I$12)="",NA(),INDEX(Anual!$B$2:$J$8,8,I$12)),IF(INDEX(Mensual!$B$2:$S$83,8,I$12)="",NA(),INDEX(Mensual!$B$2:$S$83,8,I$12))))</f>
        <v/>
      </c>
      <c r="J22" s="45">
        <f>IF(OR($A22="",J$12=0),NA(),IF($C$9="Anual",IF(INDEX(Anual!$B$2:$J$8,8,J$12)="",NA(),INDEX(Anual!$B$2:$J$8,8,J$12)),IF(INDEX(Mensual!$B$2:$S$83,8,J$12)="",NA(),INDEX(Mensual!$B$2:$S$83,8,J$12))))</f>
        <v/>
      </c>
      <c r="K22" s="45">
        <f>IF(OR($A22="",K$12=0),NA(),IF($C$9="Anual",IF(INDEX(Anual!$B$2:$J$8,8,K$12)="",NA(),INDEX(Anual!$B$2:$J$8,8,K$12)),IF(INDEX(Mensual!$B$2:$S$83,8,K$12)="",NA(),INDEX(Mensual!$B$2:$S$83,8,K$12))))</f>
        <v/>
      </c>
    </row>
    <row r="23">
      <c r="A23">
        <f>IF($C$9="Anual",IF(9&lt;=7,INDEX(Anual!$A$2:$A$8,9),""),IF(9&lt;=82,INDEX(Mensual!$A$2:$A$83,9),""))</f>
        <v/>
      </c>
      <c r="B23" s="52">
        <f>IF($C$10="Sí",H23/H$13*100,H23)</f>
        <v/>
      </c>
      <c r="C23" s="52">
        <f>IF($C$10="Sí",I23/I$13*100,I23)</f>
        <v/>
      </c>
      <c r="D23" s="52">
        <f>IF($C$10="Sí",J23/J$13*100,J23)</f>
        <v/>
      </c>
      <c r="E23" s="52">
        <f>IF($C$10="Sí",K23/K$13*100,K23)</f>
        <v/>
      </c>
      <c r="H23" s="45">
        <f>IF(OR($A23="",H$12=0),NA(),IF($C$9="Anual",IF(INDEX(Anual!$B$2:$J$8,9,H$12)="",NA(),INDEX(Anual!$B$2:$J$8,9,H$12)),IF(INDEX(Mensual!$B$2:$S$83,9,H$12)="",NA(),INDEX(Mensual!$B$2:$S$83,9,H$12))))</f>
        <v/>
      </c>
      <c r="I23" s="45">
        <f>IF(OR($A23="",I$12=0),NA(),IF($C$9="Anual",IF(INDEX(Anual!$B$2:$J$8,9,I$12)="",NA(),INDEX(Anual!$B$2:$J$8,9,I$12)),IF(INDEX(Mensual!$B$2:$S$83,9,I$12)="",NA(),INDEX(Mensual!$B$2:$S$83,9,I$12))))</f>
        <v/>
      </c>
      <c r="J23" s="45">
        <f>IF(OR($A23="",J$12=0),NA(),IF($C$9="Anual",IF(INDEX(Anual!$B$2:$J$8,9,J$12)="",NA(),INDEX(Anual!$B$2:$J$8,9,J$12)),IF(INDEX(Mensual!$B$2:$S$83,9,J$12)="",NA(),INDEX(Mensual!$B$2:$S$83,9,J$12))))</f>
        <v/>
      </c>
      <c r="K23" s="45">
        <f>IF(OR($A23="",K$12=0),NA(),IF($C$9="Anual",IF(INDEX(Anual!$B$2:$J$8,9,K$12)="",NA(),INDEX(Anual!$B$2:$J$8,9,K$12)),IF(INDEX(Mensual!$B$2:$S$83,9,K$12)="",NA(),INDEX(Mensual!$B$2:$S$83,9,K$12))))</f>
        <v/>
      </c>
    </row>
    <row r="24">
      <c r="A24">
        <f>IF($C$9="Anual",IF(10&lt;=7,INDEX(Anual!$A$2:$A$8,10),""),IF(10&lt;=82,INDEX(Mensual!$A$2:$A$83,10),""))</f>
        <v/>
      </c>
      <c r="B24" s="52">
        <f>IF($C$10="Sí",H24/H$13*100,H24)</f>
        <v/>
      </c>
      <c r="C24" s="52">
        <f>IF($C$10="Sí",I24/I$13*100,I24)</f>
        <v/>
      </c>
      <c r="D24" s="52">
        <f>IF($C$10="Sí",J24/J$13*100,J24)</f>
        <v/>
      </c>
      <c r="E24" s="52">
        <f>IF($C$10="Sí",K24/K$13*100,K24)</f>
        <v/>
      </c>
      <c r="H24" s="45">
        <f>IF(OR($A24="",H$12=0),NA(),IF($C$9="Anual",IF(INDEX(Anual!$B$2:$J$8,10,H$12)="",NA(),INDEX(Anual!$B$2:$J$8,10,H$12)),IF(INDEX(Mensual!$B$2:$S$83,10,H$12)="",NA(),INDEX(Mensual!$B$2:$S$83,10,H$12))))</f>
        <v/>
      </c>
      <c r="I24" s="45">
        <f>IF(OR($A24="",I$12=0),NA(),IF($C$9="Anual",IF(INDEX(Anual!$B$2:$J$8,10,I$12)="",NA(),INDEX(Anual!$B$2:$J$8,10,I$12)),IF(INDEX(Mensual!$B$2:$S$83,10,I$12)="",NA(),INDEX(Mensual!$B$2:$S$83,10,I$12))))</f>
        <v/>
      </c>
      <c r="J24" s="45">
        <f>IF(OR($A24="",J$12=0),NA(),IF($C$9="Anual",IF(INDEX(Anual!$B$2:$J$8,10,J$12)="",NA(),INDEX(Anual!$B$2:$J$8,10,J$12)),IF(INDEX(Mensual!$B$2:$S$83,10,J$12)="",NA(),INDEX(Mensual!$B$2:$S$83,10,J$12))))</f>
        <v/>
      </c>
      <c r="K24" s="45">
        <f>IF(OR($A24="",K$12=0),NA(),IF($C$9="Anual",IF(INDEX(Anual!$B$2:$J$8,10,K$12)="",NA(),INDEX(Anual!$B$2:$J$8,10,K$12)),IF(INDEX(Mensual!$B$2:$S$83,10,K$12)="",NA(),INDEX(Mensual!$B$2:$S$83,10,K$12))))</f>
        <v/>
      </c>
    </row>
    <row r="25">
      <c r="A25">
        <f>IF($C$9="Anual",IF(11&lt;=7,INDEX(Anual!$A$2:$A$8,11),""),IF(11&lt;=82,INDEX(Mensual!$A$2:$A$83,11),""))</f>
        <v/>
      </c>
      <c r="B25" s="52">
        <f>IF($C$10="Sí",H25/H$13*100,H25)</f>
        <v/>
      </c>
      <c r="C25" s="52">
        <f>IF($C$10="Sí",I25/I$13*100,I25)</f>
        <v/>
      </c>
      <c r="D25" s="52">
        <f>IF($C$10="Sí",J25/J$13*100,J25)</f>
        <v/>
      </c>
      <c r="E25" s="52">
        <f>IF($C$10="Sí",K25/K$13*100,K25)</f>
        <v/>
      </c>
      <c r="H25" s="45">
        <f>IF(OR($A25="",H$12=0),NA(),IF($C$9="Anual",IF(INDEX(Anual!$B$2:$J$8,11,H$12)="",NA(),INDEX(Anual!$B$2:$J$8,11,H$12)),IF(INDEX(Mensual!$B$2:$S$83,11,H$12)="",NA(),INDEX(Mensual!$B$2:$S$83,11,H$12))))</f>
        <v/>
      </c>
      <c r="I25" s="45">
        <f>IF(OR($A25="",I$12=0),NA(),IF($C$9="Anual",IF(INDEX(Anual!$B$2:$J$8,11,I$12)="",NA(),INDEX(Anual!$B$2:$J$8,11,I$12)),IF(INDEX(Mensual!$B$2:$S$83,11,I$12)="",NA(),INDEX(Mensual!$B$2:$S$83,11,I$12))))</f>
        <v/>
      </c>
      <c r="J25" s="45">
        <f>IF(OR($A25="",J$12=0),NA(),IF($C$9="Anual",IF(INDEX(Anual!$B$2:$J$8,11,J$12)="",NA(),INDEX(Anual!$B$2:$J$8,11,J$12)),IF(INDEX(Mensual!$B$2:$S$83,11,J$12)="",NA(),INDEX(Mensual!$B$2:$S$83,11,J$12))))</f>
        <v/>
      </c>
      <c r="K25" s="45">
        <f>IF(OR($A25="",K$12=0),NA(),IF($C$9="Anual",IF(INDEX(Anual!$B$2:$J$8,11,K$12)="",NA(),INDEX(Anual!$B$2:$J$8,11,K$12)),IF(INDEX(Mensual!$B$2:$S$83,11,K$12)="",NA(),INDEX(Mensual!$B$2:$S$83,11,K$12))))</f>
        <v/>
      </c>
    </row>
    <row r="26">
      <c r="A26">
        <f>IF($C$9="Anual",IF(12&lt;=7,INDEX(Anual!$A$2:$A$8,12),""),IF(12&lt;=82,INDEX(Mensual!$A$2:$A$83,12),""))</f>
        <v/>
      </c>
      <c r="B26" s="52">
        <f>IF($C$10="Sí",H26/H$13*100,H26)</f>
        <v/>
      </c>
      <c r="C26" s="52">
        <f>IF($C$10="Sí",I26/I$13*100,I26)</f>
        <v/>
      </c>
      <c r="D26" s="52">
        <f>IF($C$10="Sí",J26/J$13*100,J26)</f>
        <v/>
      </c>
      <c r="E26" s="52">
        <f>IF($C$10="Sí",K26/K$13*100,K26)</f>
        <v/>
      </c>
      <c r="H26" s="45">
        <f>IF(OR($A26="",H$12=0),NA(),IF($C$9="Anual",IF(INDEX(Anual!$B$2:$J$8,12,H$12)="",NA(),INDEX(Anual!$B$2:$J$8,12,H$12)),IF(INDEX(Mensual!$B$2:$S$83,12,H$12)="",NA(),INDEX(Mensual!$B$2:$S$83,12,H$12))))</f>
        <v/>
      </c>
      <c r="I26" s="45">
        <f>IF(OR($A26="",I$12=0),NA(),IF($C$9="Anual",IF(INDEX(Anual!$B$2:$J$8,12,I$12)="",NA(),INDEX(Anual!$B$2:$J$8,12,I$12)),IF(INDEX(Mensual!$B$2:$S$83,12,I$12)="",NA(),INDEX(Mensual!$B$2:$S$83,12,I$12))))</f>
        <v/>
      </c>
      <c r="J26" s="45">
        <f>IF(OR($A26="",J$12=0),NA(),IF($C$9="Anual",IF(INDEX(Anual!$B$2:$J$8,12,J$12)="",NA(),INDEX(Anual!$B$2:$J$8,12,J$12)),IF(INDEX(Mensual!$B$2:$S$83,12,J$12)="",NA(),INDEX(Mensual!$B$2:$S$83,12,J$12))))</f>
        <v/>
      </c>
      <c r="K26" s="45">
        <f>IF(OR($A26="",K$12=0),NA(),IF($C$9="Anual",IF(INDEX(Anual!$B$2:$J$8,12,K$12)="",NA(),INDEX(Anual!$B$2:$J$8,12,K$12)),IF(INDEX(Mensual!$B$2:$S$83,12,K$12)="",NA(),INDEX(Mensual!$B$2:$S$83,12,K$12))))</f>
        <v/>
      </c>
    </row>
    <row r="27">
      <c r="A27">
        <f>IF($C$9="Anual",IF(13&lt;=7,INDEX(Anual!$A$2:$A$8,13),""),IF(13&lt;=82,INDEX(Mensual!$A$2:$A$83,13),""))</f>
        <v/>
      </c>
      <c r="B27" s="52">
        <f>IF($C$10="Sí",H27/H$13*100,H27)</f>
        <v/>
      </c>
      <c r="C27" s="52">
        <f>IF($C$10="Sí",I27/I$13*100,I27)</f>
        <v/>
      </c>
      <c r="D27" s="52">
        <f>IF($C$10="Sí",J27/J$13*100,J27)</f>
        <v/>
      </c>
      <c r="E27" s="52">
        <f>IF($C$10="Sí",K27/K$13*100,K27)</f>
        <v/>
      </c>
      <c r="H27" s="45">
        <f>IF(OR($A27="",H$12=0),NA(),IF($C$9="Anual",IF(INDEX(Anual!$B$2:$J$8,13,H$12)="",NA(),INDEX(Anual!$B$2:$J$8,13,H$12)),IF(INDEX(Mensual!$B$2:$S$83,13,H$12)="",NA(),INDEX(Mensual!$B$2:$S$83,13,H$12))))</f>
        <v/>
      </c>
      <c r="I27" s="45">
        <f>IF(OR($A27="",I$12=0),NA(),IF($C$9="Anual",IF(INDEX(Anual!$B$2:$J$8,13,I$12)="",NA(),INDEX(Anual!$B$2:$J$8,13,I$12)),IF(INDEX(Mensual!$B$2:$S$83,13,I$12)="",NA(),INDEX(Mensual!$B$2:$S$83,13,I$12))))</f>
        <v/>
      </c>
      <c r="J27" s="45">
        <f>IF(OR($A27="",J$12=0),NA(),IF($C$9="Anual",IF(INDEX(Anual!$B$2:$J$8,13,J$12)="",NA(),INDEX(Anual!$B$2:$J$8,13,J$12)),IF(INDEX(Mensual!$B$2:$S$83,13,J$12)="",NA(),INDEX(Mensual!$B$2:$S$83,13,J$12))))</f>
        <v/>
      </c>
      <c r="K27" s="45">
        <f>IF(OR($A27="",K$12=0),NA(),IF($C$9="Anual",IF(INDEX(Anual!$B$2:$J$8,13,K$12)="",NA(),INDEX(Anual!$B$2:$J$8,13,K$12)),IF(INDEX(Mensual!$B$2:$S$83,13,K$12)="",NA(),INDEX(Mensual!$B$2:$S$83,13,K$12))))</f>
        <v/>
      </c>
    </row>
    <row r="28">
      <c r="A28">
        <f>IF($C$9="Anual",IF(14&lt;=7,INDEX(Anual!$A$2:$A$8,14),""),IF(14&lt;=82,INDEX(Mensual!$A$2:$A$83,14),""))</f>
        <v/>
      </c>
      <c r="B28" s="52">
        <f>IF($C$10="Sí",H28/H$13*100,H28)</f>
        <v/>
      </c>
      <c r="C28" s="52">
        <f>IF($C$10="Sí",I28/I$13*100,I28)</f>
        <v/>
      </c>
      <c r="D28" s="52">
        <f>IF($C$10="Sí",J28/J$13*100,J28)</f>
        <v/>
      </c>
      <c r="E28" s="52">
        <f>IF($C$10="Sí",K28/K$13*100,K28)</f>
        <v/>
      </c>
      <c r="H28" s="45">
        <f>IF(OR($A28="",H$12=0),NA(),IF($C$9="Anual",IF(INDEX(Anual!$B$2:$J$8,14,H$12)="",NA(),INDEX(Anual!$B$2:$J$8,14,H$12)),IF(INDEX(Mensual!$B$2:$S$83,14,H$12)="",NA(),INDEX(Mensual!$B$2:$S$83,14,H$12))))</f>
        <v/>
      </c>
      <c r="I28" s="45">
        <f>IF(OR($A28="",I$12=0),NA(),IF($C$9="Anual",IF(INDEX(Anual!$B$2:$J$8,14,I$12)="",NA(),INDEX(Anual!$B$2:$J$8,14,I$12)),IF(INDEX(Mensual!$B$2:$S$83,14,I$12)="",NA(),INDEX(Mensual!$B$2:$S$83,14,I$12))))</f>
        <v/>
      </c>
      <c r="J28" s="45">
        <f>IF(OR($A28="",J$12=0),NA(),IF($C$9="Anual",IF(INDEX(Anual!$B$2:$J$8,14,J$12)="",NA(),INDEX(Anual!$B$2:$J$8,14,J$12)),IF(INDEX(Mensual!$B$2:$S$83,14,J$12)="",NA(),INDEX(Mensual!$B$2:$S$83,14,J$12))))</f>
        <v/>
      </c>
      <c r="K28" s="45">
        <f>IF(OR($A28="",K$12=0),NA(),IF($C$9="Anual",IF(INDEX(Anual!$B$2:$J$8,14,K$12)="",NA(),INDEX(Anual!$B$2:$J$8,14,K$12)),IF(INDEX(Mensual!$B$2:$S$83,14,K$12)="",NA(),INDEX(Mensual!$B$2:$S$83,14,K$12))))</f>
        <v/>
      </c>
    </row>
    <row r="29">
      <c r="A29">
        <f>IF($C$9="Anual",IF(15&lt;=7,INDEX(Anual!$A$2:$A$8,15),""),IF(15&lt;=82,INDEX(Mensual!$A$2:$A$83,15),""))</f>
        <v/>
      </c>
      <c r="B29" s="52">
        <f>IF($C$10="Sí",H29/H$13*100,H29)</f>
        <v/>
      </c>
      <c r="C29" s="52">
        <f>IF($C$10="Sí",I29/I$13*100,I29)</f>
        <v/>
      </c>
      <c r="D29" s="52">
        <f>IF($C$10="Sí",J29/J$13*100,J29)</f>
        <v/>
      </c>
      <c r="E29" s="52">
        <f>IF($C$10="Sí",K29/K$13*100,K29)</f>
        <v/>
      </c>
      <c r="H29" s="45">
        <f>IF(OR($A29="",H$12=0),NA(),IF($C$9="Anual",IF(INDEX(Anual!$B$2:$J$8,15,H$12)="",NA(),INDEX(Anual!$B$2:$J$8,15,H$12)),IF(INDEX(Mensual!$B$2:$S$83,15,H$12)="",NA(),INDEX(Mensual!$B$2:$S$83,15,H$12))))</f>
        <v/>
      </c>
      <c r="I29" s="45">
        <f>IF(OR($A29="",I$12=0),NA(),IF($C$9="Anual",IF(INDEX(Anual!$B$2:$J$8,15,I$12)="",NA(),INDEX(Anual!$B$2:$J$8,15,I$12)),IF(INDEX(Mensual!$B$2:$S$83,15,I$12)="",NA(),INDEX(Mensual!$B$2:$S$83,15,I$12))))</f>
        <v/>
      </c>
      <c r="J29" s="45">
        <f>IF(OR($A29="",J$12=0),NA(),IF($C$9="Anual",IF(INDEX(Anual!$B$2:$J$8,15,J$12)="",NA(),INDEX(Anual!$B$2:$J$8,15,J$12)),IF(INDEX(Mensual!$B$2:$S$83,15,J$12)="",NA(),INDEX(Mensual!$B$2:$S$83,15,J$12))))</f>
        <v/>
      </c>
      <c r="K29" s="45">
        <f>IF(OR($A29="",K$12=0),NA(),IF($C$9="Anual",IF(INDEX(Anual!$B$2:$J$8,15,K$12)="",NA(),INDEX(Anual!$B$2:$J$8,15,K$12)),IF(INDEX(Mensual!$B$2:$S$83,15,K$12)="",NA(),INDEX(Mensual!$B$2:$S$83,15,K$12))))</f>
        <v/>
      </c>
    </row>
    <row r="30">
      <c r="A30">
        <f>IF($C$9="Anual",IF(16&lt;=7,INDEX(Anual!$A$2:$A$8,16),""),IF(16&lt;=82,INDEX(Mensual!$A$2:$A$83,16),""))</f>
        <v/>
      </c>
      <c r="B30" s="52">
        <f>IF($C$10="Sí",H30/H$13*100,H30)</f>
        <v/>
      </c>
      <c r="C30" s="52">
        <f>IF($C$10="Sí",I30/I$13*100,I30)</f>
        <v/>
      </c>
      <c r="D30" s="52">
        <f>IF($C$10="Sí",J30/J$13*100,J30)</f>
        <v/>
      </c>
      <c r="E30" s="52">
        <f>IF($C$10="Sí",K30/K$13*100,K30)</f>
        <v/>
      </c>
      <c r="H30" s="45">
        <f>IF(OR($A30="",H$12=0),NA(),IF($C$9="Anual",IF(INDEX(Anual!$B$2:$J$8,16,H$12)="",NA(),INDEX(Anual!$B$2:$J$8,16,H$12)),IF(INDEX(Mensual!$B$2:$S$83,16,H$12)="",NA(),INDEX(Mensual!$B$2:$S$83,16,H$12))))</f>
        <v/>
      </c>
      <c r="I30" s="45">
        <f>IF(OR($A30="",I$12=0),NA(),IF($C$9="Anual",IF(INDEX(Anual!$B$2:$J$8,16,I$12)="",NA(),INDEX(Anual!$B$2:$J$8,16,I$12)),IF(INDEX(Mensual!$B$2:$S$83,16,I$12)="",NA(),INDEX(Mensual!$B$2:$S$83,16,I$12))))</f>
        <v/>
      </c>
      <c r="J30" s="45">
        <f>IF(OR($A30="",J$12=0),NA(),IF($C$9="Anual",IF(INDEX(Anual!$B$2:$J$8,16,J$12)="",NA(),INDEX(Anual!$B$2:$J$8,16,J$12)),IF(INDEX(Mensual!$B$2:$S$83,16,J$12)="",NA(),INDEX(Mensual!$B$2:$S$83,16,J$12))))</f>
        <v/>
      </c>
      <c r="K30" s="45">
        <f>IF(OR($A30="",K$12=0),NA(),IF($C$9="Anual",IF(INDEX(Anual!$B$2:$J$8,16,K$12)="",NA(),INDEX(Anual!$B$2:$J$8,16,K$12)),IF(INDEX(Mensual!$B$2:$S$83,16,K$12)="",NA(),INDEX(Mensual!$B$2:$S$83,16,K$12))))</f>
        <v/>
      </c>
    </row>
    <row r="31">
      <c r="A31">
        <f>IF($C$9="Anual",IF(17&lt;=7,INDEX(Anual!$A$2:$A$8,17),""),IF(17&lt;=82,INDEX(Mensual!$A$2:$A$83,17),""))</f>
        <v/>
      </c>
      <c r="B31" s="52">
        <f>IF($C$10="Sí",H31/H$13*100,H31)</f>
        <v/>
      </c>
      <c r="C31" s="52">
        <f>IF($C$10="Sí",I31/I$13*100,I31)</f>
        <v/>
      </c>
      <c r="D31" s="52">
        <f>IF($C$10="Sí",J31/J$13*100,J31)</f>
        <v/>
      </c>
      <c r="E31" s="52">
        <f>IF($C$10="Sí",K31/K$13*100,K31)</f>
        <v/>
      </c>
      <c r="H31" s="45">
        <f>IF(OR($A31="",H$12=0),NA(),IF($C$9="Anual",IF(INDEX(Anual!$B$2:$J$8,17,H$12)="",NA(),INDEX(Anual!$B$2:$J$8,17,H$12)),IF(INDEX(Mensual!$B$2:$S$83,17,H$12)="",NA(),INDEX(Mensual!$B$2:$S$83,17,H$12))))</f>
        <v/>
      </c>
      <c r="I31" s="45">
        <f>IF(OR($A31="",I$12=0),NA(),IF($C$9="Anual",IF(INDEX(Anual!$B$2:$J$8,17,I$12)="",NA(),INDEX(Anual!$B$2:$J$8,17,I$12)),IF(INDEX(Mensual!$B$2:$S$83,17,I$12)="",NA(),INDEX(Mensual!$B$2:$S$83,17,I$12))))</f>
        <v/>
      </c>
      <c r="J31" s="45">
        <f>IF(OR($A31="",J$12=0),NA(),IF($C$9="Anual",IF(INDEX(Anual!$B$2:$J$8,17,J$12)="",NA(),INDEX(Anual!$B$2:$J$8,17,J$12)),IF(INDEX(Mensual!$B$2:$S$83,17,J$12)="",NA(),INDEX(Mensual!$B$2:$S$83,17,J$12))))</f>
        <v/>
      </c>
      <c r="K31" s="45">
        <f>IF(OR($A31="",K$12=0),NA(),IF($C$9="Anual",IF(INDEX(Anual!$B$2:$J$8,17,K$12)="",NA(),INDEX(Anual!$B$2:$J$8,17,K$12)),IF(INDEX(Mensual!$B$2:$S$83,17,K$12)="",NA(),INDEX(Mensual!$B$2:$S$83,17,K$12))))</f>
        <v/>
      </c>
    </row>
    <row r="32">
      <c r="A32">
        <f>IF($C$9="Anual",IF(18&lt;=7,INDEX(Anual!$A$2:$A$8,18),""),IF(18&lt;=82,INDEX(Mensual!$A$2:$A$83,18),""))</f>
        <v/>
      </c>
      <c r="B32" s="52">
        <f>IF($C$10="Sí",H32/H$13*100,H32)</f>
        <v/>
      </c>
      <c r="C32" s="52">
        <f>IF($C$10="Sí",I32/I$13*100,I32)</f>
        <v/>
      </c>
      <c r="D32" s="52">
        <f>IF($C$10="Sí",J32/J$13*100,J32)</f>
        <v/>
      </c>
      <c r="E32" s="52">
        <f>IF($C$10="Sí",K32/K$13*100,K32)</f>
        <v/>
      </c>
      <c r="H32" s="45">
        <f>IF(OR($A32="",H$12=0),NA(),IF($C$9="Anual",IF(INDEX(Anual!$B$2:$J$8,18,H$12)="",NA(),INDEX(Anual!$B$2:$J$8,18,H$12)),IF(INDEX(Mensual!$B$2:$S$83,18,H$12)="",NA(),INDEX(Mensual!$B$2:$S$83,18,H$12))))</f>
        <v/>
      </c>
      <c r="I32" s="45">
        <f>IF(OR($A32="",I$12=0),NA(),IF($C$9="Anual",IF(INDEX(Anual!$B$2:$J$8,18,I$12)="",NA(),INDEX(Anual!$B$2:$J$8,18,I$12)),IF(INDEX(Mensual!$B$2:$S$83,18,I$12)="",NA(),INDEX(Mensual!$B$2:$S$83,18,I$12))))</f>
        <v/>
      </c>
      <c r="J32" s="45">
        <f>IF(OR($A32="",J$12=0),NA(),IF($C$9="Anual",IF(INDEX(Anual!$B$2:$J$8,18,J$12)="",NA(),INDEX(Anual!$B$2:$J$8,18,J$12)),IF(INDEX(Mensual!$B$2:$S$83,18,J$12)="",NA(),INDEX(Mensual!$B$2:$S$83,18,J$12))))</f>
        <v/>
      </c>
      <c r="K32" s="45">
        <f>IF(OR($A32="",K$12=0),NA(),IF($C$9="Anual",IF(INDEX(Anual!$B$2:$J$8,18,K$12)="",NA(),INDEX(Anual!$B$2:$J$8,18,K$12)),IF(INDEX(Mensual!$B$2:$S$83,18,K$12)="",NA(),INDEX(Mensual!$B$2:$S$83,18,K$12))))</f>
        <v/>
      </c>
    </row>
    <row r="33">
      <c r="A33">
        <f>IF($C$9="Anual",IF(19&lt;=7,INDEX(Anual!$A$2:$A$8,19),""),IF(19&lt;=82,INDEX(Mensual!$A$2:$A$83,19),""))</f>
        <v/>
      </c>
      <c r="B33" s="52">
        <f>IF($C$10="Sí",H33/H$13*100,H33)</f>
        <v/>
      </c>
      <c r="C33" s="52">
        <f>IF($C$10="Sí",I33/I$13*100,I33)</f>
        <v/>
      </c>
      <c r="D33" s="52">
        <f>IF($C$10="Sí",J33/J$13*100,J33)</f>
        <v/>
      </c>
      <c r="E33" s="52">
        <f>IF($C$10="Sí",K33/K$13*100,K33)</f>
        <v/>
      </c>
      <c r="H33" s="45">
        <f>IF(OR($A33="",H$12=0),NA(),IF($C$9="Anual",IF(INDEX(Anual!$B$2:$J$8,19,H$12)="",NA(),INDEX(Anual!$B$2:$J$8,19,H$12)),IF(INDEX(Mensual!$B$2:$S$83,19,H$12)="",NA(),INDEX(Mensual!$B$2:$S$83,19,H$12))))</f>
        <v/>
      </c>
      <c r="I33" s="45">
        <f>IF(OR($A33="",I$12=0),NA(),IF($C$9="Anual",IF(INDEX(Anual!$B$2:$J$8,19,I$12)="",NA(),INDEX(Anual!$B$2:$J$8,19,I$12)),IF(INDEX(Mensual!$B$2:$S$83,19,I$12)="",NA(),INDEX(Mensual!$B$2:$S$83,19,I$12))))</f>
        <v/>
      </c>
      <c r="J33" s="45">
        <f>IF(OR($A33="",J$12=0),NA(),IF($C$9="Anual",IF(INDEX(Anual!$B$2:$J$8,19,J$12)="",NA(),INDEX(Anual!$B$2:$J$8,19,J$12)),IF(INDEX(Mensual!$B$2:$S$83,19,J$12)="",NA(),INDEX(Mensual!$B$2:$S$83,19,J$12))))</f>
        <v/>
      </c>
      <c r="K33" s="45">
        <f>IF(OR($A33="",K$12=0),NA(),IF($C$9="Anual",IF(INDEX(Anual!$B$2:$J$8,19,K$12)="",NA(),INDEX(Anual!$B$2:$J$8,19,K$12)),IF(INDEX(Mensual!$B$2:$S$83,19,K$12)="",NA(),INDEX(Mensual!$B$2:$S$83,19,K$12))))</f>
        <v/>
      </c>
    </row>
    <row r="34">
      <c r="A34">
        <f>IF($C$9="Anual",IF(20&lt;=7,INDEX(Anual!$A$2:$A$8,20),""),IF(20&lt;=82,INDEX(Mensual!$A$2:$A$83,20),""))</f>
        <v/>
      </c>
      <c r="B34" s="52">
        <f>IF($C$10="Sí",H34/H$13*100,H34)</f>
        <v/>
      </c>
      <c r="C34" s="52">
        <f>IF($C$10="Sí",I34/I$13*100,I34)</f>
        <v/>
      </c>
      <c r="D34" s="52">
        <f>IF($C$10="Sí",J34/J$13*100,J34)</f>
        <v/>
      </c>
      <c r="E34" s="52">
        <f>IF($C$10="Sí",K34/K$13*100,K34)</f>
        <v/>
      </c>
      <c r="H34" s="45">
        <f>IF(OR($A34="",H$12=0),NA(),IF($C$9="Anual",IF(INDEX(Anual!$B$2:$J$8,20,H$12)="",NA(),INDEX(Anual!$B$2:$J$8,20,H$12)),IF(INDEX(Mensual!$B$2:$S$83,20,H$12)="",NA(),INDEX(Mensual!$B$2:$S$83,20,H$12))))</f>
        <v/>
      </c>
      <c r="I34" s="45">
        <f>IF(OR($A34="",I$12=0),NA(),IF($C$9="Anual",IF(INDEX(Anual!$B$2:$J$8,20,I$12)="",NA(),INDEX(Anual!$B$2:$J$8,20,I$12)),IF(INDEX(Mensual!$B$2:$S$83,20,I$12)="",NA(),INDEX(Mensual!$B$2:$S$83,20,I$12))))</f>
        <v/>
      </c>
      <c r="J34" s="45">
        <f>IF(OR($A34="",J$12=0),NA(),IF($C$9="Anual",IF(INDEX(Anual!$B$2:$J$8,20,J$12)="",NA(),INDEX(Anual!$B$2:$J$8,20,J$12)),IF(INDEX(Mensual!$B$2:$S$83,20,J$12)="",NA(),INDEX(Mensual!$B$2:$S$83,20,J$12))))</f>
        <v/>
      </c>
      <c r="K34" s="45">
        <f>IF(OR($A34="",K$12=0),NA(),IF($C$9="Anual",IF(INDEX(Anual!$B$2:$J$8,20,K$12)="",NA(),INDEX(Anual!$B$2:$J$8,20,K$12)),IF(INDEX(Mensual!$B$2:$S$83,20,K$12)="",NA(),INDEX(Mensual!$B$2:$S$83,20,K$12))))</f>
        <v/>
      </c>
    </row>
    <row r="35">
      <c r="A35">
        <f>IF($C$9="Anual",IF(21&lt;=7,INDEX(Anual!$A$2:$A$8,21),""),IF(21&lt;=82,INDEX(Mensual!$A$2:$A$83,21),""))</f>
        <v/>
      </c>
      <c r="B35" s="52">
        <f>IF($C$10="Sí",H35/H$13*100,H35)</f>
        <v/>
      </c>
      <c r="C35" s="52">
        <f>IF($C$10="Sí",I35/I$13*100,I35)</f>
        <v/>
      </c>
      <c r="D35" s="52">
        <f>IF($C$10="Sí",J35/J$13*100,J35)</f>
        <v/>
      </c>
      <c r="E35" s="52">
        <f>IF($C$10="Sí",K35/K$13*100,K35)</f>
        <v/>
      </c>
      <c r="H35" s="45">
        <f>IF(OR($A35="",H$12=0),NA(),IF($C$9="Anual",IF(INDEX(Anual!$B$2:$J$8,21,H$12)="",NA(),INDEX(Anual!$B$2:$J$8,21,H$12)),IF(INDEX(Mensual!$B$2:$S$83,21,H$12)="",NA(),INDEX(Mensual!$B$2:$S$83,21,H$12))))</f>
        <v/>
      </c>
      <c r="I35" s="45">
        <f>IF(OR($A35="",I$12=0),NA(),IF($C$9="Anual",IF(INDEX(Anual!$B$2:$J$8,21,I$12)="",NA(),INDEX(Anual!$B$2:$J$8,21,I$12)),IF(INDEX(Mensual!$B$2:$S$83,21,I$12)="",NA(),INDEX(Mensual!$B$2:$S$83,21,I$12))))</f>
        <v/>
      </c>
      <c r="J35" s="45">
        <f>IF(OR($A35="",J$12=0),NA(),IF($C$9="Anual",IF(INDEX(Anual!$B$2:$J$8,21,J$12)="",NA(),INDEX(Anual!$B$2:$J$8,21,J$12)),IF(INDEX(Mensual!$B$2:$S$83,21,J$12)="",NA(),INDEX(Mensual!$B$2:$S$83,21,J$12))))</f>
        <v/>
      </c>
      <c r="K35" s="45">
        <f>IF(OR($A35="",K$12=0),NA(),IF($C$9="Anual",IF(INDEX(Anual!$B$2:$J$8,21,K$12)="",NA(),INDEX(Anual!$B$2:$J$8,21,K$12)),IF(INDEX(Mensual!$B$2:$S$83,21,K$12)="",NA(),INDEX(Mensual!$B$2:$S$83,21,K$12))))</f>
        <v/>
      </c>
    </row>
    <row r="36">
      <c r="A36">
        <f>IF($C$9="Anual",IF(22&lt;=7,INDEX(Anual!$A$2:$A$8,22),""),IF(22&lt;=82,INDEX(Mensual!$A$2:$A$83,22),""))</f>
        <v/>
      </c>
      <c r="B36" s="52">
        <f>IF($C$10="Sí",H36/H$13*100,H36)</f>
        <v/>
      </c>
      <c r="C36" s="52">
        <f>IF($C$10="Sí",I36/I$13*100,I36)</f>
        <v/>
      </c>
      <c r="D36" s="52">
        <f>IF($C$10="Sí",J36/J$13*100,J36)</f>
        <v/>
      </c>
      <c r="E36" s="52">
        <f>IF($C$10="Sí",K36/K$13*100,K36)</f>
        <v/>
      </c>
      <c r="H36" s="45">
        <f>IF(OR($A36="",H$12=0),NA(),IF($C$9="Anual",IF(INDEX(Anual!$B$2:$J$8,22,H$12)="",NA(),INDEX(Anual!$B$2:$J$8,22,H$12)),IF(INDEX(Mensual!$B$2:$S$83,22,H$12)="",NA(),INDEX(Mensual!$B$2:$S$83,22,H$12))))</f>
        <v/>
      </c>
      <c r="I36" s="45">
        <f>IF(OR($A36="",I$12=0),NA(),IF($C$9="Anual",IF(INDEX(Anual!$B$2:$J$8,22,I$12)="",NA(),INDEX(Anual!$B$2:$J$8,22,I$12)),IF(INDEX(Mensual!$B$2:$S$83,22,I$12)="",NA(),INDEX(Mensual!$B$2:$S$83,22,I$12))))</f>
        <v/>
      </c>
      <c r="J36" s="45">
        <f>IF(OR($A36="",J$12=0),NA(),IF($C$9="Anual",IF(INDEX(Anual!$B$2:$J$8,22,J$12)="",NA(),INDEX(Anual!$B$2:$J$8,22,J$12)),IF(INDEX(Mensual!$B$2:$S$83,22,J$12)="",NA(),INDEX(Mensual!$B$2:$S$83,22,J$12))))</f>
        <v/>
      </c>
      <c r="K36" s="45">
        <f>IF(OR($A36="",K$12=0),NA(),IF($C$9="Anual",IF(INDEX(Anual!$B$2:$J$8,22,K$12)="",NA(),INDEX(Anual!$B$2:$J$8,22,K$12)),IF(INDEX(Mensual!$B$2:$S$83,22,K$12)="",NA(),INDEX(Mensual!$B$2:$S$83,22,K$12))))</f>
        <v/>
      </c>
    </row>
    <row r="37">
      <c r="A37">
        <f>IF($C$9="Anual",IF(23&lt;=7,INDEX(Anual!$A$2:$A$8,23),""),IF(23&lt;=82,INDEX(Mensual!$A$2:$A$83,23),""))</f>
        <v/>
      </c>
      <c r="B37" s="52">
        <f>IF($C$10="Sí",H37/H$13*100,H37)</f>
        <v/>
      </c>
      <c r="C37" s="52">
        <f>IF($C$10="Sí",I37/I$13*100,I37)</f>
        <v/>
      </c>
      <c r="D37" s="52">
        <f>IF($C$10="Sí",J37/J$13*100,J37)</f>
        <v/>
      </c>
      <c r="E37" s="52">
        <f>IF($C$10="Sí",K37/K$13*100,K37)</f>
        <v/>
      </c>
      <c r="H37" s="45">
        <f>IF(OR($A37="",H$12=0),NA(),IF($C$9="Anual",IF(INDEX(Anual!$B$2:$J$8,23,H$12)="",NA(),INDEX(Anual!$B$2:$J$8,23,H$12)),IF(INDEX(Mensual!$B$2:$S$83,23,H$12)="",NA(),INDEX(Mensual!$B$2:$S$83,23,H$12))))</f>
        <v/>
      </c>
      <c r="I37" s="45">
        <f>IF(OR($A37="",I$12=0),NA(),IF($C$9="Anual",IF(INDEX(Anual!$B$2:$J$8,23,I$12)="",NA(),INDEX(Anual!$B$2:$J$8,23,I$12)),IF(INDEX(Mensual!$B$2:$S$83,23,I$12)="",NA(),INDEX(Mensual!$B$2:$S$83,23,I$12))))</f>
        <v/>
      </c>
      <c r="J37" s="45">
        <f>IF(OR($A37="",J$12=0),NA(),IF($C$9="Anual",IF(INDEX(Anual!$B$2:$J$8,23,J$12)="",NA(),INDEX(Anual!$B$2:$J$8,23,J$12)),IF(INDEX(Mensual!$B$2:$S$83,23,J$12)="",NA(),INDEX(Mensual!$B$2:$S$83,23,J$12))))</f>
        <v/>
      </c>
      <c r="K37" s="45">
        <f>IF(OR($A37="",K$12=0),NA(),IF($C$9="Anual",IF(INDEX(Anual!$B$2:$J$8,23,K$12)="",NA(),INDEX(Anual!$B$2:$J$8,23,K$12)),IF(INDEX(Mensual!$B$2:$S$83,23,K$12)="",NA(),INDEX(Mensual!$B$2:$S$83,23,K$12))))</f>
        <v/>
      </c>
    </row>
    <row r="38">
      <c r="A38">
        <f>IF($C$9="Anual",IF(24&lt;=7,INDEX(Anual!$A$2:$A$8,24),""),IF(24&lt;=82,INDEX(Mensual!$A$2:$A$83,24),""))</f>
        <v/>
      </c>
      <c r="B38" s="52">
        <f>IF($C$10="Sí",H38/H$13*100,H38)</f>
        <v/>
      </c>
      <c r="C38" s="52">
        <f>IF($C$10="Sí",I38/I$13*100,I38)</f>
        <v/>
      </c>
      <c r="D38" s="52">
        <f>IF($C$10="Sí",J38/J$13*100,J38)</f>
        <v/>
      </c>
      <c r="E38" s="52">
        <f>IF($C$10="Sí",K38/K$13*100,K38)</f>
        <v/>
      </c>
      <c r="H38" s="45">
        <f>IF(OR($A38="",H$12=0),NA(),IF($C$9="Anual",IF(INDEX(Anual!$B$2:$J$8,24,H$12)="",NA(),INDEX(Anual!$B$2:$J$8,24,H$12)),IF(INDEX(Mensual!$B$2:$S$83,24,H$12)="",NA(),INDEX(Mensual!$B$2:$S$83,24,H$12))))</f>
        <v/>
      </c>
      <c r="I38" s="45">
        <f>IF(OR($A38="",I$12=0),NA(),IF($C$9="Anual",IF(INDEX(Anual!$B$2:$J$8,24,I$12)="",NA(),INDEX(Anual!$B$2:$J$8,24,I$12)),IF(INDEX(Mensual!$B$2:$S$83,24,I$12)="",NA(),INDEX(Mensual!$B$2:$S$83,24,I$12))))</f>
        <v/>
      </c>
      <c r="J38" s="45">
        <f>IF(OR($A38="",J$12=0),NA(),IF($C$9="Anual",IF(INDEX(Anual!$B$2:$J$8,24,J$12)="",NA(),INDEX(Anual!$B$2:$J$8,24,J$12)),IF(INDEX(Mensual!$B$2:$S$83,24,J$12)="",NA(),INDEX(Mensual!$B$2:$S$83,24,J$12))))</f>
        <v/>
      </c>
      <c r="K38" s="45">
        <f>IF(OR($A38="",K$12=0),NA(),IF($C$9="Anual",IF(INDEX(Anual!$B$2:$J$8,24,K$12)="",NA(),INDEX(Anual!$B$2:$J$8,24,K$12)),IF(INDEX(Mensual!$B$2:$S$83,24,K$12)="",NA(),INDEX(Mensual!$B$2:$S$83,24,K$12))))</f>
        <v/>
      </c>
    </row>
    <row r="39">
      <c r="A39">
        <f>IF($C$9="Anual",IF(25&lt;=7,INDEX(Anual!$A$2:$A$8,25),""),IF(25&lt;=82,INDEX(Mensual!$A$2:$A$83,25),""))</f>
        <v/>
      </c>
      <c r="B39" s="52">
        <f>IF($C$10="Sí",H39/H$13*100,H39)</f>
        <v/>
      </c>
      <c r="C39" s="52">
        <f>IF($C$10="Sí",I39/I$13*100,I39)</f>
        <v/>
      </c>
      <c r="D39" s="52">
        <f>IF($C$10="Sí",J39/J$13*100,J39)</f>
        <v/>
      </c>
      <c r="E39" s="52">
        <f>IF($C$10="Sí",K39/K$13*100,K39)</f>
        <v/>
      </c>
      <c r="H39" s="45">
        <f>IF(OR($A39="",H$12=0),NA(),IF($C$9="Anual",IF(INDEX(Anual!$B$2:$J$8,25,H$12)="",NA(),INDEX(Anual!$B$2:$J$8,25,H$12)),IF(INDEX(Mensual!$B$2:$S$83,25,H$12)="",NA(),INDEX(Mensual!$B$2:$S$83,25,H$12))))</f>
        <v/>
      </c>
      <c r="I39" s="45">
        <f>IF(OR($A39="",I$12=0),NA(),IF($C$9="Anual",IF(INDEX(Anual!$B$2:$J$8,25,I$12)="",NA(),INDEX(Anual!$B$2:$J$8,25,I$12)),IF(INDEX(Mensual!$B$2:$S$83,25,I$12)="",NA(),INDEX(Mensual!$B$2:$S$83,25,I$12))))</f>
        <v/>
      </c>
      <c r="J39" s="45">
        <f>IF(OR($A39="",J$12=0),NA(),IF($C$9="Anual",IF(INDEX(Anual!$B$2:$J$8,25,J$12)="",NA(),INDEX(Anual!$B$2:$J$8,25,J$12)),IF(INDEX(Mensual!$B$2:$S$83,25,J$12)="",NA(),INDEX(Mensual!$B$2:$S$83,25,J$12))))</f>
        <v/>
      </c>
      <c r="K39" s="45">
        <f>IF(OR($A39="",K$12=0),NA(),IF($C$9="Anual",IF(INDEX(Anual!$B$2:$J$8,25,K$12)="",NA(),INDEX(Anual!$B$2:$J$8,25,K$12)),IF(INDEX(Mensual!$B$2:$S$83,25,K$12)="",NA(),INDEX(Mensual!$B$2:$S$83,25,K$12))))</f>
        <v/>
      </c>
    </row>
    <row r="40">
      <c r="A40">
        <f>IF($C$9="Anual",IF(26&lt;=7,INDEX(Anual!$A$2:$A$8,26),""),IF(26&lt;=82,INDEX(Mensual!$A$2:$A$83,26),""))</f>
        <v/>
      </c>
      <c r="B40" s="52">
        <f>IF($C$10="Sí",H40/H$13*100,H40)</f>
        <v/>
      </c>
      <c r="C40" s="52">
        <f>IF($C$10="Sí",I40/I$13*100,I40)</f>
        <v/>
      </c>
      <c r="D40" s="52">
        <f>IF($C$10="Sí",J40/J$13*100,J40)</f>
        <v/>
      </c>
      <c r="E40" s="52">
        <f>IF($C$10="Sí",K40/K$13*100,K40)</f>
        <v/>
      </c>
      <c r="H40" s="45">
        <f>IF(OR($A40="",H$12=0),NA(),IF($C$9="Anual",IF(INDEX(Anual!$B$2:$J$8,26,H$12)="",NA(),INDEX(Anual!$B$2:$J$8,26,H$12)),IF(INDEX(Mensual!$B$2:$S$83,26,H$12)="",NA(),INDEX(Mensual!$B$2:$S$83,26,H$12))))</f>
        <v/>
      </c>
      <c r="I40" s="45">
        <f>IF(OR($A40="",I$12=0),NA(),IF($C$9="Anual",IF(INDEX(Anual!$B$2:$J$8,26,I$12)="",NA(),INDEX(Anual!$B$2:$J$8,26,I$12)),IF(INDEX(Mensual!$B$2:$S$83,26,I$12)="",NA(),INDEX(Mensual!$B$2:$S$83,26,I$12))))</f>
        <v/>
      </c>
      <c r="J40" s="45">
        <f>IF(OR($A40="",J$12=0),NA(),IF($C$9="Anual",IF(INDEX(Anual!$B$2:$J$8,26,J$12)="",NA(),INDEX(Anual!$B$2:$J$8,26,J$12)),IF(INDEX(Mensual!$B$2:$S$83,26,J$12)="",NA(),INDEX(Mensual!$B$2:$S$83,26,J$12))))</f>
        <v/>
      </c>
      <c r="K40" s="45">
        <f>IF(OR($A40="",K$12=0),NA(),IF($C$9="Anual",IF(INDEX(Anual!$B$2:$J$8,26,K$12)="",NA(),INDEX(Anual!$B$2:$J$8,26,K$12)),IF(INDEX(Mensual!$B$2:$S$83,26,K$12)="",NA(),INDEX(Mensual!$B$2:$S$83,26,K$12))))</f>
        <v/>
      </c>
    </row>
    <row r="41">
      <c r="A41">
        <f>IF($C$9="Anual",IF(27&lt;=7,INDEX(Anual!$A$2:$A$8,27),""),IF(27&lt;=82,INDEX(Mensual!$A$2:$A$83,27),""))</f>
        <v/>
      </c>
      <c r="B41" s="52">
        <f>IF($C$10="Sí",H41/H$13*100,H41)</f>
        <v/>
      </c>
      <c r="C41" s="52">
        <f>IF($C$10="Sí",I41/I$13*100,I41)</f>
        <v/>
      </c>
      <c r="D41" s="52">
        <f>IF($C$10="Sí",J41/J$13*100,J41)</f>
        <v/>
      </c>
      <c r="E41" s="52">
        <f>IF($C$10="Sí",K41/K$13*100,K41)</f>
        <v/>
      </c>
      <c r="H41" s="45">
        <f>IF(OR($A41="",H$12=0),NA(),IF($C$9="Anual",IF(INDEX(Anual!$B$2:$J$8,27,H$12)="",NA(),INDEX(Anual!$B$2:$J$8,27,H$12)),IF(INDEX(Mensual!$B$2:$S$83,27,H$12)="",NA(),INDEX(Mensual!$B$2:$S$83,27,H$12))))</f>
        <v/>
      </c>
      <c r="I41" s="45">
        <f>IF(OR($A41="",I$12=0),NA(),IF($C$9="Anual",IF(INDEX(Anual!$B$2:$J$8,27,I$12)="",NA(),INDEX(Anual!$B$2:$J$8,27,I$12)),IF(INDEX(Mensual!$B$2:$S$83,27,I$12)="",NA(),INDEX(Mensual!$B$2:$S$83,27,I$12))))</f>
        <v/>
      </c>
      <c r="J41" s="45">
        <f>IF(OR($A41="",J$12=0),NA(),IF($C$9="Anual",IF(INDEX(Anual!$B$2:$J$8,27,J$12)="",NA(),INDEX(Anual!$B$2:$J$8,27,J$12)),IF(INDEX(Mensual!$B$2:$S$83,27,J$12)="",NA(),INDEX(Mensual!$B$2:$S$83,27,J$12))))</f>
        <v/>
      </c>
      <c r="K41" s="45">
        <f>IF(OR($A41="",K$12=0),NA(),IF($C$9="Anual",IF(INDEX(Anual!$B$2:$J$8,27,K$12)="",NA(),INDEX(Anual!$B$2:$J$8,27,K$12)),IF(INDEX(Mensual!$B$2:$S$83,27,K$12)="",NA(),INDEX(Mensual!$B$2:$S$83,27,K$12))))</f>
        <v/>
      </c>
    </row>
    <row r="42">
      <c r="A42">
        <f>IF($C$9="Anual",IF(28&lt;=7,INDEX(Anual!$A$2:$A$8,28),""),IF(28&lt;=82,INDEX(Mensual!$A$2:$A$83,28),""))</f>
        <v/>
      </c>
      <c r="B42" s="52">
        <f>IF($C$10="Sí",H42/H$13*100,H42)</f>
        <v/>
      </c>
      <c r="C42" s="52">
        <f>IF($C$10="Sí",I42/I$13*100,I42)</f>
        <v/>
      </c>
      <c r="D42" s="52">
        <f>IF($C$10="Sí",J42/J$13*100,J42)</f>
        <v/>
      </c>
      <c r="E42" s="52">
        <f>IF($C$10="Sí",K42/K$13*100,K42)</f>
        <v/>
      </c>
      <c r="H42" s="45">
        <f>IF(OR($A42="",H$12=0),NA(),IF($C$9="Anual",IF(INDEX(Anual!$B$2:$J$8,28,H$12)="",NA(),INDEX(Anual!$B$2:$J$8,28,H$12)),IF(INDEX(Mensual!$B$2:$S$83,28,H$12)="",NA(),INDEX(Mensual!$B$2:$S$83,28,H$12))))</f>
        <v/>
      </c>
      <c r="I42" s="45">
        <f>IF(OR($A42="",I$12=0),NA(),IF($C$9="Anual",IF(INDEX(Anual!$B$2:$J$8,28,I$12)="",NA(),INDEX(Anual!$B$2:$J$8,28,I$12)),IF(INDEX(Mensual!$B$2:$S$83,28,I$12)="",NA(),INDEX(Mensual!$B$2:$S$83,28,I$12))))</f>
        <v/>
      </c>
      <c r="J42" s="45">
        <f>IF(OR($A42="",J$12=0),NA(),IF($C$9="Anual",IF(INDEX(Anual!$B$2:$J$8,28,J$12)="",NA(),INDEX(Anual!$B$2:$J$8,28,J$12)),IF(INDEX(Mensual!$B$2:$S$83,28,J$12)="",NA(),INDEX(Mensual!$B$2:$S$83,28,J$12))))</f>
        <v/>
      </c>
      <c r="K42" s="45">
        <f>IF(OR($A42="",K$12=0),NA(),IF($C$9="Anual",IF(INDEX(Anual!$B$2:$J$8,28,K$12)="",NA(),INDEX(Anual!$B$2:$J$8,28,K$12)),IF(INDEX(Mensual!$B$2:$S$83,28,K$12)="",NA(),INDEX(Mensual!$B$2:$S$83,28,K$12))))</f>
        <v/>
      </c>
    </row>
    <row r="43">
      <c r="A43">
        <f>IF($C$9="Anual",IF(29&lt;=7,INDEX(Anual!$A$2:$A$8,29),""),IF(29&lt;=82,INDEX(Mensual!$A$2:$A$83,29),""))</f>
        <v/>
      </c>
      <c r="B43" s="52">
        <f>IF($C$10="Sí",H43/H$13*100,H43)</f>
        <v/>
      </c>
      <c r="C43" s="52">
        <f>IF($C$10="Sí",I43/I$13*100,I43)</f>
        <v/>
      </c>
      <c r="D43" s="52">
        <f>IF($C$10="Sí",J43/J$13*100,J43)</f>
        <v/>
      </c>
      <c r="E43" s="52">
        <f>IF($C$10="Sí",K43/K$13*100,K43)</f>
        <v/>
      </c>
      <c r="H43" s="45">
        <f>IF(OR($A43="",H$12=0),NA(),IF($C$9="Anual",IF(INDEX(Anual!$B$2:$J$8,29,H$12)="",NA(),INDEX(Anual!$B$2:$J$8,29,H$12)),IF(INDEX(Mensual!$B$2:$S$83,29,H$12)="",NA(),INDEX(Mensual!$B$2:$S$83,29,H$12))))</f>
        <v/>
      </c>
      <c r="I43" s="45">
        <f>IF(OR($A43="",I$12=0),NA(),IF($C$9="Anual",IF(INDEX(Anual!$B$2:$J$8,29,I$12)="",NA(),INDEX(Anual!$B$2:$J$8,29,I$12)),IF(INDEX(Mensual!$B$2:$S$83,29,I$12)="",NA(),INDEX(Mensual!$B$2:$S$83,29,I$12))))</f>
        <v/>
      </c>
      <c r="J43" s="45">
        <f>IF(OR($A43="",J$12=0),NA(),IF($C$9="Anual",IF(INDEX(Anual!$B$2:$J$8,29,J$12)="",NA(),INDEX(Anual!$B$2:$J$8,29,J$12)),IF(INDEX(Mensual!$B$2:$S$83,29,J$12)="",NA(),INDEX(Mensual!$B$2:$S$83,29,J$12))))</f>
        <v/>
      </c>
      <c r="K43" s="45">
        <f>IF(OR($A43="",K$12=0),NA(),IF($C$9="Anual",IF(INDEX(Anual!$B$2:$J$8,29,K$12)="",NA(),INDEX(Anual!$B$2:$J$8,29,K$12)),IF(INDEX(Mensual!$B$2:$S$83,29,K$12)="",NA(),INDEX(Mensual!$B$2:$S$83,29,K$12))))</f>
        <v/>
      </c>
    </row>
    <row r="44">
      <c r="A44">
        <f>IF($C$9="Anual",IF(30&lt;=7,INDEX(Anual!$A$2:$A$8,30),""),IF(30&lt;=82,INDEX(Mensual!$A$2:$A$83,30),""))</f>
        <v/>
      </c>
      <c r="B44" s="52">
        <f>IF($C$10="Sí",H44/H$13*100,H44)</f>
        <v/>
      </c>
      <c r="C44" s="52">
        <f>IF($C$10="Sí",I44/I$13*100,I44)</f>
        <v/>
      </c>
      <c r="D44" s="52">
        <f>IF($C$10="Sí",J44/J$13*100,J44)</f>
        <v/>
      </c>
      <c r="E44" s="52">
        <f>IF($C$10="Sí",K44/K$13*100,K44)</f>
        <v/>
      </c>
      <c r="H44" s="45">
        <f>IF(OR($A44="",H$12=0),NA(),IF($C$9="Anual",IF(INDEX(Anual!$B$2:$J$8,30,H$12)="",NA(),INDEX(Anual!$B$2:$J$8,30,H$12)),IF(INDEX(Mensual!$B$2:$S$83,30,H$12)="",NA(),INDEX(Mensual!$B$2:$S$83,30,H$12))))</f>
        <v/>
      </c>
      <c r="I44" s="45">
        <f>IF(OR($A44="",I$12=0),NA(),IF($C$9="Anual",IF(INDEX(Anual!$B$2:$J$8,30,I$12)="",NA(),INDEX(Anual!$B$2:$J$8,30,I$12)),IF(INDEX(Mensual!$B$2:$S$83,30,I$12)="",NA(),INDEX(Mensual!$B$2:$S$83,30,I$12))))</f>
        <v/>
      </c>
      <c r="J44" s="45">
        <f>IF(OR($A44="",J$12=0),NA(),IF($C$9="Anual",IF(INDEX(Anual!$B$2:$J$8,30,J$12)="",NA(),INDEX(Anual!$B$2:$J$8,30,J$12)),IF(INDEX(Mensual!$B$2:$S$83,30,J$12)="",NA(),INDEX(Mensual!$B$2:$S$83,30,J$12))))</f>
        <v/>
      </c>
      <c r="K44" s="45">
        <f>IF(OR($A44="",K$12=0),NA(),IF($C$9="Anual",IF(INDEX(Anual!$B$2:$J$8,30,K$12)="",NA(),INDEX(Anual!$B$2:$J$8,30,K$12)),IF(INDEX(Mensual!$B$2:$S$83,30,K$12)="",NA(),INDEX(Mensual!$B$2:$S$83,30,K$12))))</f>
        <v/>
      </c>
    </row>
    <row r="45">
      <c r="A45">
        <f>IF($C$9="Anual",IF(31&lt;=7,INDEX(Anual!$A$2:$A$8,31),""),IF(31&lt;=82,INDEX(Mensual!$A$2:$A$83,31),""))</f>
        <v/>
      </c>
      <c r="B45" s="52">
        <f>IF($C$10="Sí",H45/H$13*100,H45)</f>
        <v/>
      </c>
      <c r="C45" s="52">
        <f>IF($C$10="Sí",I45/I$13*100,I45)</f>
        <v/>
      </c>
      <c r="D45" s="52">
        <f>IF($C$10="Sí",J45/J$13*100,J45)</f>
        <v/>
      </c>
      <c r="E45" s="52">
        <f>IF($C$10="Sí",K45/K$13*100,K45)</f>
        <v/>
      </c>
      <c r="H45" s="45">
        <f>IF(OR($A45="",H$12=0),NA(),IF($C$9="Anual",IF(INDEX(Anual!$B$2:$J$8,31,H$12)="",NA(),INDEX(Anual!$B$2:$J$8,31,H$12)),IF(INDEX(Mensual!$B$2:$S$83,31,H$12)="",NA(),INDEX(Mensual!$B$2:$S$83,31,H$12))))</f>
        <v/>
      </c>
      <c r="I45" s="45">
        <f>IF(OR($A45="",I$12=0),NA(),IF($C$9="Anual",IF(INDEX(Anual!$B$2:$J$8,31,I$12)="",NA(),INDEX(Anual!$B$2:$J$8,31,I$12)),IF(INDEX(Mensual!$B$2:$S$83,31,I$12)="",NA(),INDEX(Mensual!$B$2:$S$83,31,I$12))))</f>
        <v/>
      </c>
      <c r="J45" s="45">
        <f>IF(OR($A45="",J$12=0),NA(),IF($C$9="Anual",IF(INDEX(Anual!$B$2:$J$8,31,J$12)="",NA(),INDEX(Anual!$B$2:$J$8,31,J$12)),IF(INDEX(Mensual!$B$2:$S$83,31,J$12)="",NA(),INDEX(Mensual!$B$2:$S$83,31,J$12))))</f>
        <v/>
      </c>
      <c r="K45" s="45">
        <f>IF(OR($A45="",K$12=0),NA(),IF($C$9="Anual",IF(INDEX(Anual!$B$2:$J$8,31,K$12)="",NA(),INDEX(Anual!$B$2:$J$8,31,K$12)),IF(INDEX(Mensual!$B$2:$S$83,31,K$12)="",NA(),INDEX(Mensual!$B$2:$S$83,31,K$12))))</f>
        <v/>
      </c>
    </row>
    <row r="46">
      <c r="A46">
        <f>IF($C$9="Anual",IF(32&lt;=7,INDEX(Anual!$A$2:$A$8,32),""),IF(32&lt;=82,INDEX(Mensual!$A$2:$A$83,32),""))</f>
        <v/>
      </c>
      <c r="B46" s="52">
        <f>IF($C$10="Sí",H46/H$13*100,H46)</f>
        <v/>
      </c>
      <c r="C46" s="52">
        <f>IF($C$10="Sí",I46/I$13*100,I46)</f>
        <v/>
      </c>
      <c r="D46" s="52">
        <f>IF($C$10="Sí",J46/J$13*100,J46)</f>
        <v/>
      </c>
      <c r="E46" s="52">
        <f>IF($C$10="Sí",K46/K$13*100,K46)</f>
        <v/>
      </c>
      <c r="H46" s="45">
        <f>IF(OR($A46="",H$12=0),NA(),IF($C$9="Anual",IF(INDEX(Anual!$B$2:$J$8,32,H$12)="",NA(),INDEX(Anual!$B$2:$J$8,32,H$12)),IF(INDEX(Mensual!$B$2:$S$83,32,H$12)="",NA(),INDEX(Mensual!$B$2:$S$83,32,H$12))))</f>
        <v/>
      </c>
      <c r="I46" s="45">
        <f>IF(OR($A46="",I$12=0),NA(),IF($C$9="Anual",IF(INDEX(Anual!$B$2:$J$8,32,I$12)="",NA(),INDEX(Anual!$B$2:$J$8,32,I$12)),IF(INDEX(Mensual!$B$2:$S$83,32,I$12)="",NA(),INDEX(Mensual!$B$2:$S$83,32,I$12))))</f>
        <v/>
      </c>
      <c r="J46" s="45">
        <f>IF(OR($A46="",J$12=0),NA(),IF($C$9="Anual",IF(INDEX(Anual!$B$2:$J$8,32,J$12)="",NA(),INDEX(Anual!$B$2:$J$8,32,J$12)),IF(INDEX(Mensual!$B$2:$S$83,32,J$12)="",NA(),INDEX(Mensual!$B$2:$S$83,32,J$12))))</f>
        <v/>
      </c>
      <c r="K46" s="45">
        <f>IF(OR($A46="",K$12=0),NA(),IF($C$9="Anual",IF(INDEX(Anual!$B$2:$J$8,32,K$12)="",NA(),INDEX(Anual!$B$2:$J$8,32,K$12)),IF(INDEX(Mensual!$B$2:$S$83,32,K$12)="",NA(),INDEX(Mensual!$B$2:$S$83,32,K$12))))</f>
        <v/>
      </c>
    </row>
    <row r="47">
      <c r="A47">
        <f>IF($C$9="Anual",IF(33&lt;=7,INDEX(Anual!$A$2:$A$8,33),""),IF(33&lt;=82,INDEX(Mensual!$A$2:$A$83,33),""))</f>
        <v/>
      </c>
      <c r="B47" s="52">
        <f>IF($C$10="Sí",H47/H$13*100,H47)</f>
        <v/>
      </c>
      <c r="C47" s="52">
        <f>IF($C$10="Sí",I47/I$13*100,I47)</f>
        <v/>
      </c>
      <c r="D47" s="52">
        <f>IF($C$10="Sí",J47/J$13*100,J47)</f>
        <v/>
      </c>
      <c r="E47" s="52">
        <f>IF($C$10="Sí",K47/K$13*100,K47)</f>
        <v/>
      </c>
      <c r="H47" s="45">
        <f>IF(OR($A47="",H$12=0),NA(),IF($C$9="Anual",IF(INDEX(Anual!$B$2:$J$8,33,H$12)="",NA(),INDEX(Anual!$B$2:$J$8,33,H$12)),IF(INDEX(Mensual!$B$2:$S$83,33,H$12)="",NA(),INDEX(Mensual!$B$2:$S$83,33,H$12))))</f>
        <v/>
      </c>
      <c r="I47" s="45">
        <f>IF(OR($A47="",I$12=0),NA(),IF($C$9="Anual",IF(INDEX(Anual!$B$2:$J$8,33,I$12)="",NA(),INDEX(Anual!$B$2:$J$8,33,I$12)),IF(INDEX(Mensual!$B$2:$S$83,33,I$12)="",NA(),INDEX(Mensual!$B$2:$S$83,33,I$12))))</f>
        <v/>
      </c>
      <c r="J47" s="45">
        <f>IF(OR($A47="",J$12=0),NA(),IF($C$9="Anual",IF(INDEX(Anual!$B$2:$J$8,33,J$12)="",NA(),INDEX(Anual!$B$2:$J$8,33,J$12)),IF(INDEX(Mensual!$B$2:$S$83,33,J$12)="",NA(),INDEX(Mensual!$B$2:$S$83,33,J$12))))</f>
        <v/>
      </c>
      <c r="K47" s="45">
        <f>IF(OR($A47="",K$12=0),NA(),IF($C$9="Anual",IF(INDEX(Anual!$B$2:$J$8,33,K$12)="",NA(),INDEX(Anual!$B$2:$J$8,33,K$12)),IF(INDEX(Mensual!$B$2:$S$83,33,K$12)="",NA(),INDEX(Mensual!$B$2:$S$83,33,K$12))))</f>
        <v/>
      </c>
    </row>
    <row r="48">
      <c r="A48">
        <f>IF($C$9="Anual",IF(34&lt;=7,INDEX(Anual!$A$2:$A$8,34),""),IF(34&lt;=82,INDEX(Mensual!$A$2:$A$83,34),""))</f>
        <v/>
      </c>
      <c r="B48" s="52">
        <f>IF($C$10="Sí",H48/H$13*100,H48)</f>
        <v/>
      </c>
      <c r="C48" s="52">
        <f>IF($C$10="Sí",I48/I$13*100,I48)</f>
        <v/>
      </c>
      <c r="D48" s="52">
        <f>IF($C$10="Sí",J48/J$13*100,J48)</f>
        <v/>
      </c>
      <c r="E48" s="52">
        <f>IF($C$10="Sí",K48/K$13*100,K48)</f>
        <v/>
      </c>
      <c r="H48" s="45">
        <f>IF(OR($A48="",H$12=0),NA(),IF($C$9="Anual",IF(INDEX(Anual!$B$2:$J$8,34,H$12)="",NA(),INDEX(Anual!$B$2:$J$8,34,H$12)),IF(INDEX(Mensual!$B$2:$S$83,34,H$12)="",NA(),INDEX(Mensual!$B$2:$S$83,34,H$12))))</f>
        <v/>
      </c>
      <c r="I48" s="45">
        <f>IF(OR($A48="",I$12=0),NA(),IF($C$9="Anual",IF(INDEX(Anual!$B$2:$J$8,34,I$12)="",NA(),INDEX(Anual!$B$2:$J$8,34,I$12)),IF(INDEX(Mensual!$B$2:$S$83,34,I$12)="",NA(),INDEX(Mensual!$B$2:$S$83,34,I$12))))</f>
        <v/>
      </c>
      <c r="J48" s="45">
        <f>IF(OR($A48="",J$12=0),NA(),IF($C$9="Anual",IF(INDEX(Anual!$B$2:$J$8,34,J$12)="",NA(),INDEX(Anual!$B$2:$J$8,34,J$12)),IF(INDEX(Mensual!$B$2:$S$83,34,J$12)="",NA(),INDEX(Mensual!$B$2:$S$83,34,J$12))))</f>
        <v/>
      </c>
      <c r="K48" s="45">
        <f>IF(OR($A48="",K$12=0),NA(),IF($C$9="Anual",IF(INDEX(Anual!$B$2:$J$8,34,K$12)="",NA(),INDEX(Anual!$B$2:$J$8,34,K$12)),IF(INDEX(Mensual!$B$2:$S$83,34,K$12)="",NA(),INDEX(Mensual!$B$2:$S$83,34,K$12))))</f>
        <v/>
      </c>
    </row>
    <row r="49">
      <c r="A49">
        <f>IF($C$9="Anual",IF(35&lt;=7,INDEX(Anual!$A$2:$A$8,35),""),IF(35&lt;=82,INDEX(Mensual!$A$2:$A$83,35),""))</f>
        <v/>
      </c>
      <c r="B49" s="52">
        <f>IF($C$10="Sí",H49/H$13*100,H49)</f>
        <v/>
      </c>
      <c r="C49" s="52">
        <f>IF($C$10="Sí",I49/I$13*100,I49)</f>
        <v/>
      </c>
      <c r="D49" s="52">
        <f>IF($C$10="Sí",J49/J$13*100,J49)</f>
        <v/>
      </c>
      <c r="E49" s="52">
        <f>IF($C$10="Sí",K49/K$13*100,K49)</f>
        <v/>
      </c>
      <c r="H49" s="45">
        <f>IF(OR($A49="",H$12=0),NA(),IF($C$9="Anual",IF(INDEX(Anual!$B$2:$J$8,35,H$12)="",NA(),INDEX(Anual!$B$2:$J$8,35,H$12)),IF(INDEX(Mensual!$B$2:$S$83,35,H$12)="",NA(),INDEX(Mensual!$B$2:$S$83,35,H$12))))</f>
        <v/>
      </c>
      <c r="I49" s="45">
        <f>IF(OR($A49="",I$12=0),NA(),IF($C$9="Anual",IF(INDEX(Anual!$B$2:$J$8,35,I$12)="",NA(),INDEX(Anual!$B$2:$J$8,35,I$12)),IF(INDEX(Mensual!$B$2:$S$83,35,I$12)="",NA(),INDEX(Mensual!$B$2:$S$83,35,I$12))))</f>
        <v/>
      </c>
      <c r="J49" s="45">
        <f>IF(OR($A49="",J$12=0),NA(),IF($C$9="Anual",IF(INDEX(Anual!$B$2:$J$8,35,J$12)="",NA(),INDEX(Anual!$B$2:$J$8,35,J$12)),IF(INDEX(Mensual!$B$2:$S$83,35,J$12)="",NA(),INDEX(Mensual!$B$2:$S$83,35,J$12))))</f>
        <v/>
      </c>
      <c r="K49" s="45">
        <f>IF(OR($A49="",K$12=0),NA(),IF($C$9="Anual",IF(INDEX(Anual!$B$2:$J$8,35,K$12)="",NA(),INDEX(Anual!$B$2:$J$8,35,K$12)),IF(INDEX(Mensual!$B$2:$S$83,35,K$12)="",NA(),INDEX(Mensual!$B$2:$S$83,35,K$12))))</f>
        <v/>
      </c>
    </row>
    <row r="50">
      <c r="A50">
        <f>IF($C$9="Anual",IF(36&lt;=7,INDEX(Anual!$A$2:$A$8,36),""),IF(36&lt;=82,INDEX(Mensual!$A$2:$A$83,36),""))</f>
        <v/>
      </c>
      <c r="B50" s="52">
        <f>IF($C$10="Sí",H50/H$13*100,H50)</f>
        <v/>
      </c>
      <c r="C50" s="52">
        <f>IF($C$10="Sí",I50/I$13*100,I50)</f>
        <v/>
      </c>
      <c r="D50" s="52">
        <f>IF($C$10="Sí",J50/J$13*100,J50)</f>
        <v/>
      </c>
      <c r="E50" s="52">
        <f>IF($C$10="Sí",K50/K$13*100,K50)</f>
        <v/>
      </c>
      <c r="H50" s="45">
        <f>IF(OR($A50="",H$12=0),NA(),IF($C$9="Anual",IF(INDEX(Anual!$B$2:$J$8,36,H$12)="",NA(),INDEX(Anual!$B$2:$J$8,36,H$12)),IF(INDEX(Mensual!$B$2:$S$83,36,H$12)="",NA(),INDEX(Mensual!$B$2:$S$83,36,H$12))))</f>
        <v/>
      </c>
      <c r="I50" s="45">
        <f>IF(OR($A50="",I$12=0),NA(),IF($C$9="Anual",IF(INDEX(Anual!$B$2:$J$8,36,I$12)="",NA(),INDEX(Anual!$B$2:$J$8,36,I$12)),IF(INDEX(Mensual!$B$2:$S$83,36,I$12)="",NA(),INDEX(Mensual!$B$2:$S$83,36,I$12))))</f>
        <v/>
      </c>
      <c r="J50" s="45">
        <f>IF(OR($A50="",J$12=0),NA(),IF($C$9="Anual",IF(INDEX(Anual!$B$2:$J$8,36,J$12)="",NA(),INDEX(Anual!$B$2:$J$8,36,J$12)),IF(INDEX(Mensual!$B$2:$S$83,36,J$12)="",NA(),INDEX(Mensual!$B$2:$S$83,36,J$12))))</f>
        <v/>
      </c>
      <c r="K50" s="45">
        <f>IF(OR($A50="",K$12=0),NA(),IF($C$9="Anual",IF(INDEX(Anual!$B$2:$J$8,36,K$12)="",NA(),INDEX(Anual!$B$2:$J$8,36,K$12)),IF(INDEX(Mensual!$B$2:$S$83,36,K$12)="",NA(),INDEX(Mensual!$B$2:$S$83,36,K$12))))</f>
        <v/>
      </c>
    </row>
    <row r="51">
      <c r="A51">
        <f>IF($C$9="Anual",IF(37&lt;=7,INDEX(Anual!$A$2:$A$8,37),""),IF(37&lt;=82,INDEX(Mensual!$A$2:$A$83,37),""))</f>
        <v/>
      </c>
      <c r="B51" s="52">
        <f>IF($C$10="Sí",H51/H$13*100,H51)</f>
        <v/>
      </c>
      <c r="C51" s="52">
        <f>IF($C$10="Sí",I51/I$13*100,I51)</f>
        <v/>
      </c>
      <c r="D51" s="52">
        <f>IF($C$10="Sí",J51/J$13*100,J51)</f>
        <v/>
      </c>
      <c r="E51" s="52">
        <f>IF($C$10="Sí",K51/K$13*100,K51)</f>
        <v/>
      </c>
      <c r="H51" s="45">
        <f>IF(OR($A51="",H$12=0),NA(),IF($C$9="Anual",IF(INDEX(Anual!$B$2:$J$8,37,H$12)="",NA(),INDEX(Anual!$B$2:$J$8,37,H$12)),IF(INDEX(Mensual!$B$2:$S$83,37,H$12)="",NA(),INDEX(Mensual!$B$2:$S$83,37,H$12))))</f>
        <v/>
      </c>
      <c r="I51" s="45">
        <f>IF(OR($A51="",I$12=0),NA(),IF($C$9="Anual",IF(INDEX(Anual!$B$2:$J$8,37,I$12)="",NA(),INDEX(Anual!$B$2:$J$8,37,I$12)),IF(INDEX(Mensual!$B$2:$S$83,37,I$12)="",NA(),INDEX(Mensual!$B$2:$S$83,37,I$12))))</f>
        <v/>
      </c>
      <c r="J51" s="45">
        <f>IF(OR($A51="",J$12=0),NA(),IF($C$9="Anual",IF(INDEX(Anual!$B$2:$J$8,37,J$12)="",NA(),INDEX(Anual!$B$2:$J$8,37,J$12)),IF(INDEX(Mensual!$B$2:$S$83,37,J$12)="",NA(),INDEX(Mensual!$B$2:$S$83,37,J$12))))</f>
        <v/>
      </c>
      <c r="K51" s="45">
        <f>IF(OR($A51="",K$12=0),NA(),IF($C$9="Anual",IF(INDEX(Anual!$B$2:$J$8,37,K$12)="",NA(),INDEX(Anual!$B$2:$J$8,37,K$12)),IF(INDEX(Mensual!$B$2:$S$83,37,K$12)="",NA(),INDEX(Mensual!$B$2:$S$83,37,K$12))))</f>
        <v/>
      </c>
    </row>
    <row r="52">
      <c r="A52">
        <f>IF($C$9="Anual",IF(38&lt;=7,INDEX(Anual!$A$2:$A$8,38),""),IF(38&lt;=82,INDEX(Mensual!$A$2:$A$83,38),""))</f>
        <v/>
      </c>
      <c r="B52" s="52">
        <f>IF($C$10="Sí",H52/H$13*100,H52)</f>
        <v/>
      </c>
      <c r="C52" s="52">
        <f>IF($C$10="Sí",I52/I$13*100,I52)</f>
        <v/>
      </c>
      <c r="D52" s="52">
        <f>IF($C$10="Sí",J52/J$13*100,J52)</f>
        <v/>
      </c>
      <c r="E52" s="52">
        <f>IF($C$10="Sí",K52/K$13*100,K52)</f>
        <v/>
      </c>
      <c r="H52" s="45">
        <f>IF(OR($A52="",H$12=0),NA(),IF($C$9="Anual",IF(INDEX(Anual!$B$2:$J$8,38,H$12)="",NA(),INDEX(Anual!$B$2:$J$8,38,H$12)),IF(INDEX(Mensual!$B$2:$S$83,38,H$12)="",NA(),INDEX(Mensual!$B$2:$S$83,38,H$12))))</f>
        <v/>
      </c>
      <c r="I52" s="45">
        <f>IF(OR($A52="",I$12=0),NA(),IF($C$9="Anual",IF(INDEX(Anual!$B$2:$J$8,38,I$12)="",NA(),INDEX(Anual!$B$2:$J$8,38,I$12)),IF(INDEX(Mensual!$B$2:$S$83,38,I$12)="",NA(),INDEX(Mensual!$B$2:$S$83,38,I$12))))</f>
        <v/>
      </c>
      <c r="J52" s="45">
        <f>IF(OR($A52="",J$12=0),NA(),IF($C$9="Anual",IF(INDEX(Anual!$B$2:$J$8,38,J$12)="",NA(),INDEX(Anual!$B$2:$J$8,38,J$12)),IF(INDEX(Mensual!$B$2:$S$83,38,J$12)="",NA(),INDEX(Mensual!$B$2:$S$83,38,J$12))))</f>
        <v/>
      </c>
      <c r="K52" s="45">
        <f>IF(OR($A52="",K$12=0),NA(),IF($C$9="Anual",IF(INDEX(Anual!$B$2:$J$8,38,K$12)="",NA(),INDEX(Anual!$B$2:$J$8,38,K$12)),IF(INDEX(Mensual!$B$2:$S$83,38,K$12)="",NA(),INDEX(Mensual!$B$2:$S$83,38,K$12))))</f>
        <v/>
      </c>
    </row>
    <row r="53">
      <c r="A53">
        <f>IF($C$9="Anual",IF(39&lt;=7,INDEX(Anual!$A$2:$A$8,39),""),IF(39&lt;=82,INDEX(Mensual!$A$2:$A$83,39),""))</f>
        <v/>
      </c>
      <c r="B53" s="52">
        <f>IF($C$10="Sí",H53/H$13*100,H53)</f>
        <v/>
      </c>
      <c r="C53" s="52">
        <f>IF($C$10="Sí",I53/I$13*100,I53)</f>
        <v/>
      </c>
      <c r="D53" s="52">
        <f>IF($C$10="Sí",J53/J$13*100,J53)</f>
        <v/>
      </c>
      <c r="E53" s="52">
        <f>IF($C$10="Sí",K53/K$13*100,K53)</f>
        <v/>
      </c>
      <c r="H53" s="45">
        <f>IF(OR($A53="",H$12=0),NA(),IF($C$9="Anual",IF(INDEX(Anual!$B$2:$J$8,39,H$12)="",NA(),INDEX(Anual!$B$2:$J$8,39,H$12)),IF(INDEX(Mensual!$B$2:$S$83,39,H$12)="",NA(),INDEX(Mensual!$B$2:$S$83,39,H$12))))</f>
        <v/>
      </c>
      <c r="I53" s="45">
        <f>IF(OR($A53="",I$12=0),NA(),IF($C$9="Anual",IF(INDEX(Anual!$B$2:$J$8,39,I$12)="",NA(),INDEX(Anual!$B$2:$J$8,39,I$12)),IF(INDEX(Mensual!$B$2:$S$83,39,I$12)="",NA(),INDEX(Mensual!$B$2:$S$83,39,I$12))))</f>
        <v/>
      </c>
      <c r="J53" s="45">
        <f>IF(OR($A53="",J$12=0),NA(),IF($C$9="Anual",IF(INDEX(Anual!$B$2:$J$8,39,J$12)="",NA(),INDEX(Anual!$B$2:$J$8,39,J$12)),IF(INDEX(Mensual!$B$2:$S$83,39,J$12)="",NA(),INDEX(Mensual!$B$2:$S$83,39,J$12))))</f>
        <v/>
      </c>
      <c r="K53" s="45">
        <f>IF(OR($A53="",K$12=0),NA(),IF($C$9="Anual",IF(INDEX(Anual!$B$2:$J$8,39,K$12)="",NA(),INDEX(Anual!$B$2:$J$8,39,K$12)),IF(INDEX(Mensual!$B$2:$S$83,39,K$12)="",NA(),INDEX(Mensual!$B$2:$S$83,39,K$12))))</f>
        <v/>
      </c>
    </row>
    <row r="54">
      <c r="A54">
        <f>IF($C$9="Anual",IF(40&lt;=7,INDEX(Anual!$A$2:$A$8,40),""),IF(40&lt;=82,INDEX(Mensual!$A$2:$A$83,40),""))</f>
        <v/>
      </c>
      <c r="B54" s="52">
        <f>IF($C$10="Sí",H54/H$13*100,H54)</f>
        <v/>
      </c>
      <c r="C54" s="52">
        <f>IF($C$10="Sí",I54/I$13*100,I54)</f>
        <v/>
      </c>
      <c r="D54" s="52">
        <f>IF($C$10="Sí",J54/J$13*100,J54)</f>
        <v/>
      </c>
      <c r="E54" s="52">
        <f>IF($C$10="Sí",K54/K$13*100,K54)</f>
        <v/>
      </c>
      <c r="H54" s="45">
        <f>IF(OR($A54="",H$12=0),NA(),IF($C$9="Anual",IF(INDEX(Anual!$B$2:$J$8,40,H$12)="",NA(),INDEX(Anual!$B$2:$J$8,40,H$12)),IF(INDEX(Mensual!$B$2:$S$83,40,H$12)="",NA(),INDEX(Mensual!$B$2:$S$83,40,H$12))))</f>
        <v/>
      </c>
      <c r="I54" s="45">
        <f>IF(OR($A54="",I$12=0),NA(),IF($C$9="Anual",IF(INDEX(Anual!$B$2:$J$8,40,I$12)="",NA(),INDEX(Anual!$B$2:$J$8,40,I$12)),IF(INDEX(Mensual!$B$2:$S$83,40,I$12)="",NA(),INDEX(Mensual!$B$2:$S$83,40,I$12))))</f>
        <v/>
      </c>
      <c r="J54" s="45">
        <f>IF(OR($A54="",J$12=0),NA(),IF($C$9="Anual",IF(INDEX(Anual!$B$2:$J$8,40,J$12)="",NA(),INDEX(Anual!$B$2:$J$8,40,J$12)),IF(INDEX(Mensual!$B$2:$S$83,40,J$12)="",NA(),INDEX(Mensual!$B$2:$S$83,40,J$12))))</f>
        <v/>
      </c>
      <c r="K54" s="45">
        <f>IF(OR($A54="",K$12=0),NA(),IF($C$9="Anual",IF(INDEX(Anual!$B$2:$J$8,40,K$12)="",NA(),INDEX(Anual!$B$2:$J$8,40,K$12)),IF(INDEX(Mensual!$B$2:$S$83,40,K$12)="",NA(),INDEX(Mensual!$B$2:$S$83,40,K$12))))</f>
        <v/>
      </c>
    </row>
    <row r="55">
      <c r="A55">
        <f>IF($C$9="Anual",IF(41&lt;=7,INDEX(Anual!$A$2:$A$8,41),""),IF(41&lt;=82,INDEX(Mensual!$A$2:$A$83,41),""))</f>
        <v/>
      </c>
      <c r="B55" s="52">
        <f>IF($C$10="Sí",H55/H$13*100,H55)</f>
        <v/>
      </c>
      <c r="C55" s="52">
        <f>IF($C$10="Sí",I55/I$13*100,I55)</f>
        <v/>
      </c>
      <c r="D55" s="52">
        <f>IF($C$10="Sí",J55/J$13*100,J55)</f>
        <v/>
      </c>
      <c r="E55" s="52">
        <f>IF($C$10="Sí",K55/K$13*100,K55)</f>
        <v/>
      </c>
      <c r="H55" s="45">
        <f>IF(OR($A55="",H$12=0),NA(),IF($C$9="Anual",IF(INDEX(Anual!$B$2:$J$8,41,H$12)="",NA(),INDEX(Anual!$B$2:$J$8,41,H$12)),IF(INDEX(Mensual!$B$2:$S$83,41,H$12)="",NA(),INDEX(Mensual!$B$2:$S$83,41,H$12))))</f>
        <v/>
      </c>
      <c r="I55" s="45">
        <f>IF(OR($A55="",I$12=0),NA(),IF($C$9="Anual",IF(INDEX(Anual!$B$2:$J$8,41,I$12)="",NA(),INDEX(Anual!$B$2:$J$8,41,I$12)),IF(INDEX(Mensual!$B$2:$S$83,41,I$12)="",NA(),INDEX(Mensual!$B$2:$S$83,41,I$12))))</f>
        <v/>
      </c>
      <c r="J55" s="45">
        <f>IF(OR($A55="",J$12=0),NA(),IF($C$9="Anual",IF(INDEX(Anual!$B$2:$J$8,41,J$12)="",NA(),INDEX(Anual!$B$2:$J$8,41,J$12)),IF(INDEX(Mensual!$B$2:$S$83,41,J$12)="",NA(),INDEX(Mensual!$B$2:$S$83,41,J$12))))</f>
        <v/>
      </c>
      <c r="K55" s="45">
        <f>IF(OR($A55="",K$12=0),NA(),IF($C$9="Anual",IF(INDEX(Anual!$B$2:$J$8,41,K$12)="",NA(),INDEX(Anual!$B$2:$J$8,41,K$12)),IF(INDEX(Mensual!$B$2:$S$83,41,K$12)="",NA(),INDEX(Mensual!$B$2:$S$83,41,K$12))))</f>
        <v/>
      </c>
    </row>
    <row r="56">
      <c r="A56">
        <f>IF($C$9="Anual",IF(42&lt;=7,INDEX(Anual!$A$2:$A$8,42),""),IF(42&lt;=82,INDEX(Mensual!$A$2:$A$83,42),""))</f>
        <v/>
      </c>
      <c r="B56" s="52">
        <f>IF($C$10="Sí",H56/H$13*100,H56)</f>
        <v/>
      </c>
      <c r="C56" s="52">
        <f>IF($C$10="Sí",I56/I$13*100,I56)</f>
        <v/>
      </c>
      <c r="D56" s="52">
        <f>IF($C$10="Sí",J56/J$13*100,J56)</f>
        <v/>
      </c>
      <c r="E56" s="52">
        <f>IF($C$10="Sí",K56/K$13*100,K56)</f>
        <v/>
      </c>
      <c r="H56" s="45">
        <f>IF(OR($A56="",H$12=0),NA(),IF($C$9="Anual",IF(INDEX(Anual!$B$2:$J$8,42,H$12)="",NA(),INDEX(Anual!$B$2:$J$8,42,H$12)),IF(INDEX(Mensual!$B$2:$S$83,42,H$12)="",NA(),INDEX(Mensual!$B$2:$S$83,42,H$12))))</f>
        <v/>
      </c>
      <c r="I56" s="45">
        <f>IF(OR($A56="",I$12=0),NA(),IF($C$9="Anual",IF(INDEX(Anual!$B$2:$J$8,42,I$12)="",NA(),INDEX(Anual!$B$2:$J$8,42,I$12)),IF(INDEX(Mensual!$B$2:$S$83,42,I$12)="",NA(),INDEX(Mensual!$B$2:$S$83,42,I$12))))</f>
        <v/>
      </c>
      <c r="J56" s="45">
        <f>IF(OR($A56="",J$12=0),NA(),IF($C$9="Anual",IF(INDEX(Anual!$B$2:$J$8,42,J$12)="",NA(),INDEX(Anual!$B$2:$J$8,42,J$12)),IF(INDEX(Mensual!$B$2:$S$83,42,J$12)="",NA(),INDEX(Mensual!$B$2:$S$83,42,J$12))))</f>
        <v/>
      </c>
      <c r="K56" s="45">
        <f>IF(OR($A56="",K$12=0),NA(),IF($C$9="Anual",IF(INDEX(Anual!$B$2:$J$8,42,K$12)="",NA(),INDEX(Anual!$B$2:$J$8,42,K$12)),IF(INDEX(Mensual!$B$2:$S$83,42,K$12)="",NA(),INDEX(Mensual!$B$2:$S$83,42,K$12))))</f>
        <v/>
      </c>
    </row>
    <row r="57">
      <c r="A57">
        <f>IF($C$9="Anual",IF(43&lt;=7,INDEX(Anual!$A$2:$A$8,43),""),IF(43&lt;=82,INDEX(Mensual!$A$2:$A$83,43),""))</f>
        <v/>
      </c>
      <c r="B57" s="52">
        <f>IF($C$10="Sí",H57/H$13*100,H57)</f>
        <v/>
      </c>
      <c r="C57" s="52">
        <f>IF($C$10="Sí",I57/I$13*100,I57)</f>
        <v/>
      </c>
      <c r="D57" s="52">
        <f>IF($C$10="Sí",J57/J$13*100,J57)</f>
        <v/>
      </c>
      <c r="E57" s="52">
        <f>IF($C$10="Sí",K57/K$13*100,K57)</f>
        <v/>
      </c>
      <c r="H57" s="45">
        <f>IF(OR($A57="",H$12=0),NA(),IF($C$9="Anual",IF(INDEX(Anual!$B$2:$J$8,43,H$12)="",NA(),INDEX(Anual!$B$2:$J$8,43,H$12)),IF(INDEX(Mensual!$B$2:$S$83,43,H$12)="",NA(),INDEX(Mensual!$B$2:$S$83,43,H$12))))</f>
        <v/>
      </c>
      <c r="I57" s="45">
        <f>IF(OR($A57="",I$12=0),NA(),IF($C$9="Anual",IF(INDEX(Anual!$B$2:$J$8,43,I$12)="",NA(),INDEX(Anual!$B$2:$J$8,43,I$12)),IF(INDEX(Mensual!$B$2:$S$83,43,I$12)="",NA(),INDEX(Mensual!$B$2:$S$83,43,I$12))))</f>
        <v/>
      </c>
      <c r="J57" s="45">
        <f>IF(OR($A57="",J$12=0),NA(),IF($C$9="Anual",IF(INDEX(Anual!$B$2:$J$8,43,J$12)="",NA(),INDEX(Anual!$B$2:$J$8,43,J$12)),IF(INDEX(Mensual!$B$2:$S$83,43,J$12)="",NA(),INDEX(Mensual!$B$2:$S$83,43,J$12))))</f>
        <v/>
      </c>
      <c r="K57" s="45">
        <f>IF(OR($A57="",K$12=0),NA(),IF($C$9="Anual",IF(INDEX(Anual!$B$2:$J$8,43,K$12)="",NA(),INDEX(Anual!$B$2:$J$8,43,K$12)),IF(INDEX(Mensual!$B$2:$S$83,43,K$12)="",NA(),INDEX(Mensual!$B$2:$S$83,43,K$12))))</f>
        <v/>
      </c>
    </row>
    <row r="58">
      <c r="A58">
        <f>IF($C$9="Anual",IF(44&lt;=7,INDEX(Anual!$A$2:$A$8,44),""),IF(44&lt;=82,INDEX(Mensual!$A$2:$A$83,44),""))</f>
        <v/>
      </c>
      <c r="B58" s="52">
        <f>IF($C$10="Sí",H58/H$13*100,H58)</f>
        <v/>
      </c>
      <c r="C58" s="52">
        <f>IF($C$10="Sí",I58/I$13*100,I58)</f>
        <v/>
      </c>
      <c r="D58" s="52">
        <f>IF($C$10="Sí",J58/J$13*100,J58)</f>
        <v/>
      </c>
      <c r="E58" s="52">
        <f>IF($C$10="Sí",K58/K$13*100,K58)</f>
        <v/>
      </c>
      <c r="H58" s="45">
        <f>IF(OR($A58="",H$12=0),NA(),IF($C$9="Anual",IF(INDEX(Anual!$B$2:$J$8,44,H$12)="",NA(),INDEX(Anual!$B$2:$J$8,44,H$12)),IF(INDEX(Mensual!$B$2:$S$83,44,H$12)="",NA(),INDEX(Mensual!$B$2:$S$83,44,H$12))))</f>
        <v/>
      </c>
      <c r="I58" s="45">
        <f>IF(OR($A58="",I$12=0),NA(),IF($C$9="Anual",IF(INDEX(Anual!$B$2:$J$8,44,I$12)="",NA(),INDEX(Anual!$B$2:$J$8,44,I$12)),IF(INDEX(Mensual!$B$2:$S$83,44,I$12)="",NA(),INDEX(Mensual!$B$2:$S$83,44,I$12))))</f>
        <v/>
      </c>
      <c r="J58" s="45">
        <f>IF(OR($A58="",J$12=0),NA(),IF($C$9="Anual",IF(INDEX(Anual!$B$2:$J$8,44,J$12)="",NA(),INDEX(Anual!$B$2:$J$8,44,J$12)),IF(INDEX(Mensual!$B$2:$S$83,44,J$12)="",NA(),INDEX(Mensual!$B$2:$S$83,44,J$12))))</f>
        <v/>
      </c>
      <c r="K58" s="45">
        <f>IF(OR($A58="",K$12=0),NA(),IF($C$9="Anual",IF(INDEX(Anual!$B$2:$J$8,44,K$12)="",NA(),INDEX(Anual!$B$2:$J$8,44,K$12)),IF(INDEX(Mensual!$B$2:$S$83,44,K$12)="",NA(),INDEX(Mensual!$B$2:$S$83,44,K$12))))</f>
        <v/>
      </c>
    </row>
    <row r="59">
      <c r="A59">
        <f>IF($C$9="Anual",IF(45&lt;=7,INDEX(Anual!$A$2:$A$8,45),""),IF(45&lt;=82,INDEX(Mensual!$A$2:$A$83,45),""))</f>
        <v/>
      </c>
      <c r="B59" s="52">
        <f>IF($C$10="Sí",H59/H$13*100,H59)</f>
        <v/>
      </c>
      <c r="C59" s="52">
        <f>IF($C$10="Sí",I59/I$13*100,I59)</f>
        <v/>
      </c>
      <c r="D59" s="52">
        <f>IF($C$10="Sí",J59/J$13*100,J59)</f>
        <v/>
      </c>
      <c r="E59" s="52">
        <f>IF($C$10="Sí",K59/K$13*100,K59)</f>
        <v/>
      </c>
      <c r="H59" s="45">
        <f>IF(OR($A59="",H$12=0),NA(),IF($C$9="Anual",IF(INDEX(Anual!$B$2:$J$8,45,H$12)="",NA(),INDEX(Anual!$B$2:$J$8,45,H$12)),IF(INDEX(Mensual!$B$2:$S$83,45,H$12)="",NA(),INDEX(Mensual!$B$2:$S$83,45,H$12))))</f>
        <v/>
      </c>
      <c r="I59" s="45">
        <f>IF(OR($A59="",I$12=0),NA(),IF($C$9="Anual",IF(INDEX(Anual!$B$2:$J$8,45,I$12)="",NA(),INDEX(Anual!$B$2:$J$8,45,I$12)),IF(INDEX(Mensual!$B$2:$S$83,45,I$12)="",NA(),INDEX(Mensual!$B$2:$S$83,45,I$12))))</f>
        <v/>
      </c>
      <c r="J59" s="45">
        <f>IF(OR($A59="",J$12=0),NA(),IF($C$9="Anual",IF(INDEX(Anual!$B$2:$J$8,45,J$12)="",NA(),INDEX(Anual!$B$2:$J$8,45,J$12)),IF(INDEX(Mensual!$B$2:$S$83,45,J$12)="",NA(),INDEX(Mensual!$B$2:$S$83,45,J$12))))</f>
        <v/>
      </c>
      <c r="K59" s="45">
        <f>IF(OR($A59="",K$12=0),NA(),IF($C$9="Anual",IF(INDEX(Anual!$B$2:$J$8,45,K$12)="",NA(),INDEX(Anual!$B$2:$J$8,45,K$12)),IF(INDEX(Mensual!$B$2:$S$83,45,K$12)="",NA(),INDEX(Mensual!$B$2:$S$83,45,K$12))))</f>
        <v/>
      </c>
    </row>
    <row r="60">
      <c r="A60">
        <f>IF($C$9="Anual",IF(46&lt;=7,INDEX(Anual!$A$2:$A$8,46),""),IF(46&lt;=82,INDEX(Mensual!$A$2:$A$83,46),""))</f>
        <v/>
      </c>
      <c r="B60" s="52">
        <f>IF($C$10="Sí",H60/H$13*100,H60)</f>
        <v/>
      </c>
      <c r="C60" s="52">
        <f>IF($C$10="Sí",I60/I$13*100,I60)</f>
        <v/>
      </c>
      <c r="D60" s="52">
        <f>IF($C$10="Sí",J60/J$13*100,J60)</f>
        <v/>
      </c>
      <c r="E60" s="52">
        <f>IF($C$10="Sí",K60/K$13*100,K60)</f>
        <v/>
      </c>
      <c r="H60" s="45">
        <f>IF(OR($A60="",H$12=0),NA(),IF($C$9="Anual",IF(INDEX(Anual!$B$2:$J$8,46,H$12)="",NA(),INDEX(Anual!$B$2:$J$8,46,H$12)),IF(INDEX(Mensual!$B$2:$S$83,46,H$12)="",NA(),INDEX(Mensual!$B$2:$S$83,46,H$12))))</f>
        <v/>
      </c>
      <c r="I60" s="45">
        <f>IF(OR($A60="",I$12=0),NA(),IF($C$9="Anual",IF(INDEX(Anual!$B$2:$J$8,46,I$12)="",NA(),INDEX(Anual!$B$2:$J$8,46,I$12)),IF(INDEX(Mensual!$B$2:$S$83,46,I$12)="",NA(),INDEX(Mensual!$B$2:$S$83,46,I$12))))</f>
        <v/>
      </c>
      <c r="J60" s="45">
        <f>IF(OR($A60="",J$12=0),NA(),IF($C$9="Anual",IF(INDEX(Anual!$B$2:$J$8,46,J$12)="",NA(),INDEX(Anual!$B$2:$J$8,46,J$12)),IF(INDEX(Mensual!$B$2:$S$83,46,J$12)="",NA(),INDEX(Mensual!$B$2:$S$83,46,J$12))))</f>
        <v/>
      </c>
      <c r="K60" s="45">
        <f>IF(OR($A60="",K$12=0),NA(),IF($C$9="Anual",IF(INDEX(Anual!$B$2:$J$8,46,K$12)="",NA(),INDEX(Anual!$B$2:$J$8,46,K$12)),IF(INDEX(Mensual!$B$2:$S$83,46,K$12)="",NA(),INDEX(Mensual!$B$2:$S$83,46,K$12))))</f>
        <v/>
      </c>
    </row>
    <row r="61">
      <c r="A61">
        <f>IF($C$9="Anual",IF(47&lt;=7,INDEX(Anual!$A$2:$A$8,47),""),IF(47&lt;=82,INDEX(Mensual!$A$2:$A$83,47),""))</f>
        <v/>
      </c>
      <c r="B61" s="52">
        <f>IF($C$10="Sí",H61/H$13*100,H61)</f>
        <v/>
      </c>
      <c r="C61" s="52">
        <f>IF($C$10="Sí",I61/I$13*100,I61)</f>
        <v/>
      </c>
      <c r="D61" s="52">
        <f>IF($C$10="Sí",J61/J$13*100,J61)</f>
        <v/>
      </c>
      <c r="E61" s="52">
        <f>IF($C$10="Sí",K61/K$13*100,K61)</f>
        <v/>
      </c>
      <c r="H61" s="45">
        <f>IF(OR($A61="",H$12=0),NA(),IF($C$9="Anual",IF(INDEX(Anual!$B$2:$J$8,47,H$12)="",NA(),INDEX(Anual!$B$2:$J$8,47,H$12)),IF(INDEX(Mensual!$B$2:$S$83,47,H$12)="",NA(),INDEX(Mensual!$B$2:$S$83,47,H$12))))</f>
        <v/>
      </c>
      <c r="I61" s="45">
        <f>IF(OR($A61="",I$12=0),NA(),IF($C$9="Anual",IF(INDEX(Anual!$B$2:$J$8,47,I$12)="",NA(),INDEX(Anual!$B$2:$J$8,47,I$12)),IF(INDEX(Mensual!$B$2:$S$83,47,I$12)="",NA(),INDEX(Mensual!$B$2:$S$83,47,I$12))))</f>
        <v/>
      </c>
      <c r="J61" s="45">
        <f>IF(OR($A61="",J$12=0),NA(),IF($C$9="Anual",IF(INDEX(Anual!$B$2:$J$8,47,J$12)="",NA(),INDEX(Anual!$B$2:$J$8,47,J$12)),IF(INDEX(Mensual!$B$2:$S$83,47,J$12)="",NA(),INDEX(Mensual!$B$2:$S$83,47,J$12))))</f>
        <v/>
      </c>
      <c r="K61" s="45">
        <f>IF(OR($A61="",K$12=0),NA(),IF($C$9="Anual",IF(INDEX(Anual!$B$2:$J$8,47,K$12)="",NA(),INDEX(Anual!$B$2:$J$8,47,K$12)),IF(INDEX(Mensual!$B$2:$S$83,47,K$12)="",NA(),INDEX(Mensual!$B$2:$S$83,47,K$12))))</f>
        <v/>
      </c>
    </row>
    <row r="62">
      <c r="A62">
        <f>IF($C$9="Anual",IF(48&lt;=7,INDEX(Anual!$A$2:$A$8,48),""),IF(48&lt;=82,INDEX(Mensual!$A$2:$A$83,48),""))</f>
        <v/>
      </c>
      <c r="B62" s="52">
        <f>IF($C$10="Sí",H62/H$13*100,H62)</f>
        <v/>
      </c>
      <c r="C62" s="52">
        <f>IF($C$10="Sí",I62/I$13*100,I62)</f>
        <v/>
      </c>
      <c r="D62" s="52">
        <f>IF($C$10="Sí",J62/J$13*100,J62)</f>
        <v/>
      </c>
      <c r="E62" s="52">
        <f>IF($C$10="Sí",K62/K$13*100,K62)</f>
        <v/>
      </c>
      <c r="H62" s="45">
        <f>IF(OR($A62="",H$12=0),NA(),IF($C$9="Anual",IF(INDEX(Anual!$B$2:$J$8,48,H$12)="",NA(),INDEX(Anual!$B$2:$J$8,48,H$12)),IF(INDEX(Mensual!$B$2:$S$83,48,H$12)="",NA(),INDEX(Mensual!$B$2:$S$83,48,H$12))))</f>
        <v/>
      </c>
      <c r="I62" s="45">
        <f>IF(OR($A62="",I$12=0),NA(),IF($C$9="Anual",IF(INDEX(Anual!$B$2:$J$8,48,I$12)="",NA(),INDEX(Anual!$B$2:$J$8,48,I$12)),IF(INDEX(Mensual!$B$2:$S$83,48,I$12)="",NA(),INDEX(Mensual!$B$2:$S$83,48,I$12))))</f>
        <v/>
      </c>
      <c r="J62" s="45">
        <f>IF(OR($A62="",J$12=0),NA(),IF($C$9="Anual",IF(INDEX(Anual!$B$2:$J$8,48,J$12)="",NA(),INDEX(Anual!$B$2:$J$8,48,J$12)),IF(INDEX(Mensual!$B$2:$S$83,48,J$12)="",NA(),INDEX(Mensual!$B$2:$S$83,48,J$12))))</f>
        <v/>
      </c>
      <c r="K62" s="45">
        <f>IF(OR($A62="",K$12=0),NA(),IF($C$9="Anual",IF(INDEX(Anual!$B$2:$J$8,48,K$12)="",NA(),INDEX(Anual!$B$2:$J$8,48,K$12)),IF(INDEX(Mensual!$B$2:$S$83,48,K$12)="",NA(),INDEX(Mensual!$B$2:$S$83,48,K$12))))</f>
        <v/>
      </c>
    </row>
    <row r="63">
      <c r="A63">
        <f>IF($C$9="Anual",IF(49&lt;=7,INDEX(Anual!$A$2:$A$8,49),""),IF(49&lt;=82,INDEX(Mensual!$A$2:$A$83,49),""))</f>
        <v/>
      </c>
      <c r="B63" s="52">
        <f>IF($C$10="Sí",H63/H$13*100,H63)</f>
        <v/>
      </c>
      <c r="C63" s="52">
        <f>IF($C$10="Sí",I63/I$13*100,I63)</f>
        <v/>
      </c>
      <c r="D63" s="52">
        <f>IF($C$10="Sí",J63/J$13*100,J63)</f>
        <v/>
      </c>
      <c r="E63" s="52">
        <f>IF($C$10="Sí",K63/K$13*100,K63)</f>
        <v/>
      </c>
      <c r="H63" s="45">
        <f>IF(OR($A63="",H$12=0),NA(),IF($C$9="Anual",IF(INDEX(Anual!$B$2:$J$8,49,H$12)="",NA(),INDEX(Anual!$B$2:$J$8,49,H$12)),IF(INDEX(Mensual!$B$2:$S$83,49,H$12)="",NA(),INDEX(Mensual!$B$2:$S$83,49,H$12))))</f>
        <v/>
      </c>
      <c r="I63" s="45">
        <f>IF(OR($A63="",I$12=0),NA(),IF($C$9="Anual",IF(INDEX(Anual!$B$2:$J$8,49,I$12)="",NA(),INDEX(Anual!$B$2:$J$8,49,I$12)),IF(INDEX(Mensual!$B$2:$S$83,49,I$12)="",NA(),INDEX(Mensual!$B$2:$S$83,49,I$12))))</f>
        <v/>
      </c>
      <c r="J63" s="45">
        <f>IF(OR($A63="",J$12=0),NA(),IF($C$9="Anual",IF(INDEX(Anual!$B$2:$J$8,49,J$12)="",NA(),INDEX(Anual!$B$2:$J$8,49,J$12)),IF(INDEX(Mensual!$B$2:$S$83,49,J$12)="",NA(),INDEX(Mensual!$B$2:$S$83,49,J$12))))</f>
        <v/>
      </c>
      <c r="K63" s="45">
        <f>IF(OR($A63="",K$12=0),NA(),IF($C$9="Anual",IF(INDEX(Anual!$B$2:$J$8,49,K$12)="",NA(),INDEX(Anual!$B$2:$J$8,49,K$12)),IF(INDEX(Mensual!$B$2:$S$83,49,K$12)="",NA(),INDEX(Mensual!$B$2:$S$83,49,K$12))))</f>
        <v/>
      </c>
    </row>
    <row r="64">
      <c r="A64">
        <f>IF($C$9="Anual",IF(50&lt;=7,INDEX(Anual!$A$2:$A$8,50),""),IF(50&lt;=82,INDEX(Mensual!$A$2:$A$83,50),""))</f>
        <v/>
      </c>
      <c r="B64" s="52">
        <f>IF($C$10="Sí",H64/H$13*100,H64)</f>
        <v/>
      </c>
      <c r="C64" s="52">
        <f>IF($C$10="Sí",I64/I$13*100,I64)</f>
        <v/>
      </c>
      <c r="D64" s="52">
        <f>IF($C$10="Sí",J64/J$13*100,J64)</f>
        <v/>
      </c>
      <c r="E64" s="52">
        <f>IF($C$10="Sí",K64/K$13*100,K64)</f>
        <v/>
      </c>
      <c r="H64" s="45">
        <f>IF(OR($A64="",H$12=0),NA(),IF($C$9="Anual",IF(INDEX(Anual!$B$2:$J$8,50,H$12)="",NA(),INDEX(Anual!$B$2:$J$8,50,H$12)),IF(INDEX(Mensual!$B$2:$S$83,50,H$12)="",NA(),INDEX(Mensual!$B$2:$S$83,50,H$12))))</f>
        <v/>
      </c>
      <c r="I64" s="45">
        <f>IF(OR($A64="",I$12=0),NA(),IF($C$9="Anual",IF(INDEX(Anual!$B$2:$J$8,50,I$12)="",NA(),INDEX(Anual!$B$2:$J$8,50,I$12)),IF(INDEX(Mensual!$B$2:$S$83,50,I$12)="",NA(),INDEX(Mensual!$B$2:$S$83,50,I$12))))</f>
        <v/>
      </c>
      <c r="J64" s="45">
        <f>IF(OR($A64="",J$12=0),NA(),IF($C$9="Anual",IF(INDEX(Anual!$B$2:$J$8,50,J$12)="",NA(),INDEX(Anual!$B$2:$J$8,50,J$12)),IF(INDEX(Mensual!$B$2:$S$83,50,J$12)="",NA(),INDEX(Mensual!$B$2:$S$83,50,J$12))))</f>
        <v/>
      </c>
      <c r="K64" s="45">
        <f>IF(OR($A64="",K$12=0),NA(),IF($C$9="Anual",IF(INDEX(Anual!$B$2:$J$8,50,K$12)="",NA(),INDEX(Anual!$B$2:$J$8,50,K$12)),IF(INDEX(Mensual!$B$2:$S$83,50,K$12)="",NA(),INDEX(Mensual!$B$2:$S$83,50,K$12))))</f>
        <v/>
      </c>
    </row>
    <row r="65">
      <c r="A65">
        <f>IF($C$9="Anual",IF(51&lt;=7,INDEX(Anual!$A$2:$A$8,51),""),IF(51&lt;=82,INDEX(Mensual!$A$2:$A$83,51),""))</f>
        <v/>
      </c>
      <c r="B65" s="52">
        <f>IF($C$10="Sí",H65/H$13*100,H65)</f>
        <v/>
      </c>
      <c r="C65" s="52">
        <f>IF($C$10="Sí",I65/I$13*100,I65)</f>
        <v/>
      </c>
      <c r="D65" s="52">
        <f>IF($C$10="Sí",J65/J$13*100,J65)</f>
        <v/>
      </c>
      <c r="E65" s="52">
        <f>IF($C$10="Sí",K65/K$13*100,K65)</f>
        <v/>
      </c>
      <c r="H65" s="45">
        <f>IF(OR($A65="",H$12=0),NA(),IF($C$9="Anual",IF(INDEX(Anual!$B$2:$J$8,51,H$12)="",NA(),INDEX(Anual!$B$2:$J$8,51,H$12)),IF(INDEX(Mensual!$B$2:$S$83,51,H$12)="",NA(),INDEX(Mensual!$B$2:$S$83,51,H$12))))</f>
        <v/>
      </c>
      <c r="I65" s="45">
        <f>IF(OR($A65="",I$12=0),NA(),IF($C$9="Anual",IF(INDEX(Anual!$B$2:$J$8,51,I$12)="",NA(),INDEX(Anual!$B$2:$J$8,51,I$12)),IF(INDEX(Mensual!$B$2:$S$83,51,I$12)="",NA(),INDEX(Mensual!$B$2:$S$83,51,I$12))))</f>
        <v/>
      </c>
      <c r="J65" s="45">
        <f>IF(OR($A65="",J$12=0),NA(),IF($C$9="Anual",IF(INDEX(Anual!$B$2:$J$8,51,J$12)="",NA(),INDEX(Anual!$B$2:$J$8,51,J$12)),IF(INDEX(Mensual!$B$2:$S$83,51,J$12)="",NA(),INDEX(Mensual!$B$2:$S$83,51,J$12))))</f>
        <v/>
      </c>
      <c r="K65" s="45">
        <f>IF(OR($A65="",K$12=0),NA(),IF($C$9="Anual",IF(INDEX(Anual!$B$2:$J$8,51,K$12)="",NA(),INDEX(Anual!$B$2:$J$8,51,K$12)),IF(INDEX(Mensual!$B$2:$S$83,51,K$12)="",NA(),INDEX(Mensual!$B$2:$S$83,51,K$12))))</f>
        <v/>
      </c>
    </row>
    <row r="66">
      <c r="A66">
        <f>IF($C$9="Anual",IF(52&lt;=7,INDEX(Anual!$A$2:$A$8,52),""),IF(52&lt;=82,INDEX(Mensual!$A$2:$A$83,52),""))</f>
        <v/>
      </c>
      <c r="B66" s="52">
        <f>IF($C$10="Sí",H66/H$13*100,H66)</f>
        <v/>
      </c>
      <c r="C66" s="52">
        <f>IF($C$10="Sí",I66/I$13*100,I66)</f>
        <v/>
      </c>
      <c r="D66" s="52">
        <f>IF($C$10="Sí",J66/J$13*100,J66)</f>
        <v/>
      </c>
      <c r="E66" s="52">
        <f>IF($C$10="Sí",K66/K$13*100,K66)</f>
        <v/>
      </c>
      <c r="H66" s="45">
        <f>IF(OR($A66="",H$12=0),NA(),IF($C$9="Anual",IF(INDEX(Anual!$B$2:$J$8,52,H$12)="",NA(),INDEX(Anual!$B$2:$J$8,52,H$12)),IF(INDEX(Mensual!$B$2:$S$83,52,H$12)="",NA(),INDEX(Mensual!$B$2:$S$83,52,H$12))))</f>
        <v/>
      </c>
      <c r="I66" s="45">
        <f>IF(OR($A66="",I$12=0),NA(),IF($C$9="Anual",IF(INDEX(Anual!$B$2:$J$8,52,I$12)="",NA(),INDEX(Anual!$B$2:$J$8,52,I$12)),IF(INDEX(Mensual!$B$2:$S$83,52,I$12)="",NA(),INDEX(Mensual!$B$2:$S$83,52,I$12))))</f>
        <v/>
      </c>
      <c r="J66" s="45">
        <f>IF(OR($A66="",J$12=0),NA(),IF($C$9="Anual",IF(INDEX(Anual!$B$2:$J$8,52,J$12)="",NA(),INDEX(Anual!$B$2:$J$8,52,J$12)),IF(INDEX(Mensual!$B$2:$S$83,52,J$12)="",NA(),INDEX(Mensual!$B$2:$S$83,52,J$12))))</f>
        <v/>
      </c>
      <c r="K66" s="45">
        <f>IF(OR($A66="",K$12=0),NA(),IF($C$9="Anual",IF(INDEX(Anual!$B$2:$J$8,52,K$12)="",NA(),INDEX(Anual!$B$2:$J$8,52,K$12)),IF(INDEX(Mensual!$B$2:$S$83,52,K$12)="",NA(),INDEX(Mensual!$B$2:$S$83,52,K$12))))</f>
        <v/>
      </c>
    </row>
    <row r="67">
      <c r="A67">
        <f>IF($C$9="Anual",IF(53&lt;=7,INDEX(Anual!$A$2:$A$8,53),""),IF(53&lt;=82,INDEX(Mensual!$A$2:$A$83,53),""))</f>
        <v/>
      </c>
      <c r="B67" s="52">
        <f>IF($C$10="Sí",H67/H$13*100,H67)</f>
        <v/>
      </c>
      <c r="C67" s="52">
        <f>IF($C$10="Sí",I67/I$13*100,I67)</f>
        <v/>
      </c>
      <c r="D67" s="52">
        <f>IF($C$10="Sí",J67/J$13*100,J67)</f>
        <v/>
      </c>
      <c r="E67" s="52">
        <f>IF($C$10="Sí",K67/K$13*100,K67)</f>
        <v/>
      </c>
      <c r="H67" s="45">
        <f>IF(OR($A67="",H$12=0),NA(),IF($C$9="Anual",IF(INDEX(Anual!$B$2:$J$8,53,H$12)="",NA(),INDEX(Anual!$B$2:$J$8,53,H$12)),IF(INDEX(Mensual!$B$2:$S$83,53,H$12)="",NA(),INDEX(Mensual!$B$2:$S$83,53,H$12))))</f>
        <v/>
      </c>
      <c r="I67" s="45">
        <f>IF(OR($A67="",I$12=0),NA(),IF($C$9="Anual",IF(INDEX(Anual!$B$2:$J$8,53,I$12)="",NA(),INDEX(Anual!$B$2:$J$8,53,I$12)),IF(INDEX(Mensual!$B$2:$S$83,53,I$12)="",NA(),INDEX(Mensual!$B$2:$S$83,53,I$12))))</f>
        <v/>
      </c>
      <c r="J67" s="45">
        <f>IF(OR($A67="",J$12=0),NA(),IF($C$9="Anual",IF(INDEX(Anual!$B$2:$J$8,53,J$12)="",NA(),INDEX(Anual!$B$2:$J$8,53,J$12)),IF(INDEX(Mensual!$B$2:$S$83,53,J$12)="",NA(),INDEX(Mensual!$B$2:$S$83,53,J$12))))</f>
        <v/>
      </c>
      <c r="K67" s="45">
        <f>IF(OR($A67="",K$12=0),NA(),IF($C$9="Anual",IF(INDEX(Anual!$B$2:$J$8,53,K$12)="",NA(),INDEX(Anual!$B$2:$J$8,53,K$12)),IF(INDEX(Mensual!$B$2:$S$83,53,K$12)="",NA(),INDEX(Mensual!$B$2:$S$83,53,K$12))))</f>
        <v/>
      </c>
    </row>
    <row r="68">
      <c r="A68">
        <f>IF($C$9="Anual",IF(54&lt;=7,INDEX(Anual!$A$2:$A$8,54),""),IF(54&lt;=82,INDEX(Mensual!$A$2:$A$83,54),""))</f>
        <v/>
      </c>
      <c r="B68" s="52">
        <f>IF($C$10="Sí",H68/H$13*100,H68)</f>
        <v/>
      </c>
      <c r="C68" s="52">
        <f>IF($C$10="Sí",I68/I$13*100,I68)</f>
        <v/>
      </c>
      <c r="D68" s="52">
        <f>IF($C$10="Sí",J68/J$13*100,J68)</f>
        <v/>
      </c>
      <c r="E68" s="52">
        <f>IF($C$10="Sí",K68/K$13*100,K68)</f>
        <v/>
      </c>
      <c r="H68" s="45">
        <f>IF(OR($A68="",H$12=0),NA(),IF($C$9="Anual",IF(INDEX(Anual!$B$2:$J$8,54,H$12)="",NA(),INDEX(Anual!$B$2:$J$8,54,H$12)),IF(INDEX(Mensual!$B$2:$S$83,54,H$12)="",NA(),INDEX(Mensual!$B$2:$S$83,54,H$12))))</f>
        <v/>
      </c>
      <c r="I68" s="45">
        <f>IF(OR($A68="",I$12=0),NA(),IF($C$9="Anual",IF(INDEX(Anual!$B$2:$J$8,54,I$12)="",NA(),INDEX(Anual!$B$2:$J$8,54,I$12)),IF(INDEX(Mensual!$B$2:$S$83,54,I$12)="",NA(),INDEX(Mensual!$B$2:$S$83,54,I$12))))</f>
        <v/>
      </c>
      <c r="J68" s="45">
        <f>IF(OR($A68="",J$12=0),NA(),IF($C$9="Anual",IF(INDEX(Anual!$B$2:$J$8,54,J$12)="",NA(),INDEX(Anual!$B$2:$J$8,54,J$12)),IF(INDEX(Mensual!$B$2:$S$83,54,J$12)="",NA(),INDEX(Mensual!$B$2:$S$83,54,J$12))))</f>
        <v/>
      </c>
      <c r="K68" s="45">
        <f>IF(OR($A68="",K$12=0),NA(),IF($C$9="Anual",IF(INDEX(Anual!$B$2:$J$8,54,K$12)="",NA(),INDEX(Anual!$B$2:$J$8,54,K$12)),IF(INDEX(Mensual!$B$2:$S$83,54,K$12)="",NA(),INDEX(Mensual!$B$2:$S$83,54,K$12))))</f>
        <v/>
      </c>
    </row>
    <row r="69">
      <c r="A69">
        <f>IF($C$9="Anual",IF(55&lt;=7,INDEX(Anual!$A$2:$A$8,55),""),IF(55&lt;=82,INDEX(Mensual!$A$2:$A$83,55),""))</f>
        <v/>
      </c>
      <c r="B69" s="52">
        <f>IF($C$10="Sí",H69/H$13*100,H69)</f>
        <v/>
      </c>
      <c r="C69" s="52">
        <f>IF($C$10="Sí",I69/I$13*100,I69)</f>
        <v/>
      </c>
      <c r="D69" s="52">
        <f>IF($C$10="Sí",J69/J$13*100,J69)</f>
        <v/>
      </c>
      <c r="E69" s="52">
        <f>IF($C$10="Sí",K69/K$13*100,K69)</f>
        <v/>
      </c>
      <c r="H69" s="45">
        <f>IF(OR($A69="",H$12=0),NA(),IF($C$9="Anual",IF(INDEX(Anual!$B$2:$J$8,55,H$12)="",NA(),INDEX(Anual!$B$2:$J$8,55,H$12)),IF(INDEX(Mensual!$B$2:$S$83,55,H$12)="",NA(),INDEX(Mensual!$B$2:$S$83,55,H$12))))</f>
        <v/>
      </c>
      <c r="I69" s="45">
        <f>IF(OR($A69="",I$12=0),NA(),IF($C$9="Anual",IF(INDEX(Anual!$B$2:$J$8,55,I$12)="",NA(),INDEX(Anual!$B$2:$J$8,55,I$12)),IF(INDEX(Mensual!$B$2:$S$83,55,I$12)="",NA(),INDEX(Mensual!$B$2:$S$83,55,I$12))))</f>
        <v/>
      </c>
      <c r="J69" s="45">
        <f>IF(OR($A69="",J$12=0),NA(),IF($C$9="Anual",IF(INDEX(Anual!$B$2:$J$8,55,J$12)="",NA(),INDEX(Anual!$B$2:$J$8,55,J$12)),IF(INDEX(Mensual!$B$2:$S$83,55,J$12)="",NA(),INDEX(Mensual!$B$2:$S$83,55,J$12))))</f>
        <v/>
      </c>
      <c r="K69" s="45">
        <f>IF(OR($A69="",K$12=0),NA(),IF($C$9="Anual",IF(INDEX(Anual!$B$2:$J$8,55,K$12)="",NA(),INDEX(Anual!$B$2:$J$8,55,K$12)),IF(INDEX(Mensual!$B$2:$S$83,55,K$12)="",NA(),INDEX(Mensual!$B$2:$S$83,55,K$12))))</f>
        <v/>
      </c>
    </row>
    <row r="70">
      <c r="A70">
        <f>IF($C$9="Anual",IF(56&lt;=7,INDEX(Anual!$A$2:$A$8,56),""),IF(56&lt;=82,INDEX(Mensual!$A$2:$A$83,56),""))</f>
        <v/>
      </c>
      <c r="B70" s="52">
        <f>IF($C$10="Sí",H70/H$13*100,H70)</f>
        <v/>
      </c>
      <c r="C70" s="52">
        <f>IF($C$10="Sí",I70/I$13*100,I70)</f>
        <v/>
      </c>
      <c r="D70" s="52">
        <f>IF($C$10="Sí",J70/J$13*100,J70)</f>
        <v/>
      </c>
      <c r="E70" s="52">
        <f>IF($C$10="Sí",K70/K$13*100,K70)</f>
        <v/>
      </c>
      <c r="H70" s="45">
        <f>IF(OR($A70="",H$12=0),NA(),IF($C$9="Anual",IF(INDEX(Anual!$B$2:$J$8,56,H$12)="",NA(),INDEX(Anual!$B$2:$J$8,56,H$12)),IF(INDEX(Mensual!$B$2:$S$83,56,H$12)="",NA(),INDEX(Mensual!$B$2:$S$83,56,H$12))))</f>
        <v/>
      </c>
      <c r="I70" s="45">
        <f>IF(OR($A70="",I$12=0),NA(),IF($C$9="Anual",IF(INDEX(Anual!$B$2:$J$8,56,I$12)="",NA(),INDEX(Anual!$B$2:$J$8,56,I$12)),IF(INDEX(Mensual!$B$2:$S$83,56,I$12)="",NA(),INDEX(Mensual!$B$2:$S$83,56,I$12))))</f>
        <v/>
      </c>
      <c r="J70" s="45">
        <f>IF(OR($A70="",J$12=0),NA(),IF($C$9="Anual",IF(INDEX(Anual!$B$2:$J$8,56,J$12)="",NA(),INDEX(Anual!$B$2:$J$8,56,J$12)),IF(INDEX(Mensual!$B$2:$S$83,56,J$12)="",NA(),INDEX(Mensual!$B$2:$S$83,56,J$12))))</f>
        <v/>
      </c>
      <c r="K70" s="45">
        <f>IF(OR($A70="",K$12=0),NA(),IF($C$9="Anual",IF(INDEX(Anual!$B$2:$J$8,56,K$12)="",NA(),INDEX(Anual!$B$2:$J$8,56,K$12)),IF(INDEX(Mensual!$B$2:$S$83,56,K$12)="",NA(),INDEX(Mensual!$B$2:$S$83,56,K$12))))</f>
        <v/>
      </c>
    </row>
    <row r="71">
      <c r="A71">
        <f>IF($C$9="Anual",IF(57&lt;=7,INDEX(Anual!$A$2:$A$8,57),""),IF(57&lt;=82,INDEX(Mensual!$A$2:$A$83,57),""))</f>
        <v/>
      </c>
      <c r="B71" s="52">
        <f>IF($C$10="Sí",H71/H$13*100,H71)</f>
        <v/>
      </c>
      <c r="C71" s="52">
        <f>IF($C$10="Sí",I71/I$13*100,I71)</f>
        <v/>
      </c>
      <c r="D71" s="52">
        <f>IF($C$10="Sí",J71/J$13*100,J71)</f>
        <v/>
      </c>
      <c r="E71" s="52">
        <f>IF($C$10="Sí",K71/K$13*100,K71)</f>
        <v/>
      </c>
      <c r="H71" s="45">
        <f>IF(OR($A71="",H$12=0),NA(),IF($C$9="Anual",IF(INDEX(Anual!$B$2:$J$8,57,H$12)="",NA(),INDEX(Anual!$B$2:$J$8,57,H$12)),IF(INDEX(Mensual!$B$2:$S$83,57,H$12)="",NA(),INDEX(Mensual!$B$2:$S$83,57,H$12))))</f>
        <v/>
      </c>
      <c r="I71" s="45">
        <f>IF(OR($A71="",I$12=0),NA(),IF($C$9="Anual",IF(INDEX(Anual!$B$2:$J$8,57,I$12)="",NA(),INDEX(Anual!$B$2:$J$8,57,I$12)),IF(INDEX(Mensual!$B$2:$S$83,57,I$12)="",NA(),INDEX(Mensual!$B$2:$S$83,57,I$12))))</f>
        <v/>
      </c>
      <c r="J71" s="45">
        <f>IF(OR($A71="",J$12=0),NA(),IF($C$9="Anual",IF(INDEX(Anual!$B$2:$J$8,57,J$12)="",NA(),INDEX(Anual!$B$2:$J$8,57,J$12)),IF(INDEX(Mensual!$B$2:$S$83,57,J$12)="",NA(),INDEX(Mensual!$B$2:$S$83,57,J$12))))</f>
        <v/>
      </c>
      <c r="K71" s="45">
        <f>IF(OR($A71="",K$12=0),NA(),IF($C$9="Anual",IF(INDEX(Anual!$B$2:$J$8,57,K$12)="",NA(),INDEX(Anual!$B$2:$J$8,57,K$12)),IF(INDEX(Mensual!$B$2:$S$83,57,K$12)="",NA(),INDEX(Mensual!$B$2:$S$83,57,K$12))))</f>
        <v/>
      </c>
    </row>
    <row r="72">
      <c r="A72">
        <f>IF($C$9="Anual",IF(58&lt;=7,INDEX(Anual!$A$2:$A$8,58),""),IF(58&lt;=82,INDEX(Mensual!$A$2:$A$83,58),""))</f>
        <v/>
      </c>
      <c r="B72" s="52">
        <f>IF($C$10="Sí",H72/H$13*100,H72)</f>
        <v/>
      </c>
      <c r="C72" s="52">
        <f>IF($C$10="Sí",I72/I$13*100,I72)</f>
        <v/>
      </c>
      <c r="D72" s="52">
        <f>IF($C$10="Sí",J72/J$13*100,J72)</f>
        <v/>
      </c>
      <c r="E72" s="52">
        <f>IF($C$10="Sí",K72/K$13*100,K72)</f>
        <v/>
      </c>
      <c r="H72" s="45">
        <f>IF(OR($A72="",H$12=0),NA(),IF($C$9="Anual",IF(INDEX(Anual!$B$2:$J$8,58,H$12)="",NA(),INDEX(Anual!$B$2:$J$8,58,H$12)),IF(INDEX(Mensual!$B$2:$S$83,58,H$12)="",NA(),INDEX(Mensual!$B$2:$S$83,58,H$12))))</f>
        <v/>
      </c>
      <c r="I72" s="45">
        <f>IF(OR($A72="",I$12=0),NA(),IF($C$9="Anual",IF(INDEX(Anual!$B$2:$J$8,58,I$12)="",NA(),INDEX(Anual!$B$2:$J$8,58,I$12)),IF(INDEX(Mensual!$B$2:$S$83,58,I$12)="",NA(),INDEX(Mensual!$B$2:$S$83,58,I$12))))</f>
        <v/>
      </c>
      <c r="J72" s="45">
        <f>IF(OR($A72="",J$12=0),NA(),IF($C$9="Anual",IF(INDEX(Anual!$B$2:$J$8,58,J$12)="",NA(),INDEX(Anual!$B$2:$J$8,58,J$12)),IF(INDEX(Mensual!$B$2:$S$83,58,J$12)="",NA(),INDEX(Mensual!$B$2:$S$83,58,J$12))))</f>
        <v/>
      </c>
      <c r="K72" s="45">
        <f>IF(OR($A72="",K$12=0),NA(),IF($C$9="Anual",IF(INDEX(Anual!$B$2:$J$8,58,K$12)="",NA(),INDEX(Anual!$B$2:$J$8,58,K$12)),IF(INDEX(Mensual!$B$2:$S$83,58,K$12)="",NA(),INDEX(Mensual!$B$2:$S$83,58,K$12))))</f>
        <v/>
      </c>
    </row>
    <row r="73">
      <c r="A73">
        <f>IF($C$9="Anual",IF(59&lt;=7,INDEX(Anual!$A$2:$A$8,59),""),IF(59&lt;=82,INDEX(Mensual!$A$2:$A$83,59),""))</f>
        <v/>
      </c>
      <c r="B73" s="52">
        <f>IF($C$10="Sí",H73/H$13*100,H73)</f>
        <v/>
      </c>
      <c r="C73" s="52">
        <f>IF($C$10="Sí",I73/I$13*100,I73)</f>
        <v/>
      </c>
      <c r="D73" s="52">
        <f>IF($C$10="Sí",J73/J$13*100,J73)</f>
        <v/>
      </c>
      <c r="E73" s="52">
        <f>IF($C$10="Sí",K73/K$13*100,K73)</f>
        <v/>
      </c>
      <c r="H73" s="45">
        <f>IF(OR($A73="",H$12=0),NA(),IF($C$9="Anual",IF(INDEX(Anual!$B$2:$J$8,59,H$12)="",NA(),INDEX(Anual!$B$2:$J$8,59,H$12)),IF(INDEX(Mensual!$B$2:$S$83,59,H$12)="",NA(),INDEX(Mensual!$B$2:$S$83,59,H$12))))</f>
        <v/>
      </c>
      <c r="I73" s="45">
        <f>IF(OR($A73="",I$12=0),NA(),IF($C$9="Anual",IF(INDEX(Anual!$B$2:$J$8,59,I$12)="",NA(),INDEX(Anual!$B$2:$J$8,59,I$12)),IF(INDEX(Mensual!$B$2:$S$83,59,I$12)="",NA(),INDEX(Mensual!$B$2:$S$83,59,I$12))))</f>
        <v/>
      </c>
      <c r="J73" s="45">
        <f>IF(OR($A73="",J$12=0),NA(),IF($C$9="Anual",IF(INDEX(Anual!$B$2:$J$8,59,J$12)="",NA(),INDEX(Anual!$B$2:$J$8,59,J$12)),IF(INDEX(Mensual!$B$2:$S$83,59,J$12)="",NA(),INDEX(Mensual!$B$2:$S$83,59,J$12))))</f>
        <v/>
      </c>
      <c r="K73" s="45">
        <f>IF(OR($A73="",K$12=0),NA(),IF($C$9="Anual",IF(INDEX(Anual!$B$2:$J$8,59,K$12)="",NA(),INDEX(Anual!$B$2:$J$8,59,K$12)),IF(INDEX(Mensual!$B$2:$S$83,59,K$12)="",NA(),INDEX(Mensual!$B$2:$S$83,59,K$12))))</f>
        <v/>
      </c>
    </row>
    <row r="74">
      <c r="A74">
        <f>IF($C$9="Anual",IF(60&lt;=7,INDEX(Anual!$A$2:$A$8,60),""),IF(60&lt;=82,INDEX(Mensual!$A$2:$A$83,60),""))</f>
        <v/>
      </c>
      <c r="B74" s="52">
        <f>IF($C$10="Sí",H74/H$13*100,H74)</f>
        <v/>
      </c>
      <c r="C74" s="52">
        <f>IF($C$10="Sí",I74/I$13*100,I74)</f>
        <v/>
      </c>
      <c r="D74" s="52">
        <f>IF($C$10="Sí",J74/J$13*100,J74)</f>
        <v/>
      </c>
      <c r="E74" s="52">
        <f>IF($C$10="Sí",K74/K$13*100,K74)</f>
        <v/>
      </c>
      <c r="H74" s="45">
        <f>IF(OR($A74="",H$12=0),NA(),IF($C$9="Anual",IF(INDEX(Anual!$B$2:$J$8,60,H$12)="",NA(),INDEX(Anual!$B$2:$J$8,60,H$12)),IF(INDEX(Mensual!$B$2:$S$83,60,H$12)="",NA(),INDEX(Mensual!$B$2:$S$83,60,H$12))))</f>
        <v/>
      </c>
      <c r="I74" s="45">
        <f>IF(OR($A74="",I$12=0),NA(),IF($C$9="Anual",IF(INDEX(Anual!$B$2:$J$8,60,I$12)="",NA(),INDEX(Anual!$B$2:$J$8,60,I$12)),IF(INDEX(Mensual!$B$2:$S$83,60,I$12)="",NA(),INDEX(Mensual!$B$2:$S$83,60,I$12))))</f>
        <v/>
      </c>
      <c r="J74" s="45">
        <f>IF(OR($A74="",J$12=0),NA(),IF($C$9="Anual",IF(INDEX(Anual!$B$2:$J$8,60,J$12)="",NA(),INDEX(Anual!$B$2:$J$8,60,J$12)),IF(INDEX(Mensual!$B$2:$S$83,60,J$12)="",NA(),INDEX(Mensual!$B$2:$S$83,60,J$12))))</f>
        <v/>
      </c>
      <c r="K74" s="45">
        <f>IF(OR($A74="",K$12=0),NA(),IF($C$9="Anual",IF(INDEX(Anual!$B$2:$J$8,60,K$12)="",NA(),INDEX(Anual!$B$2:$J$8,60,K$12)),IF(INDEX(Mensual!$B$2:$S$83,60,K$12)="",NA(),INDEX(Mensual!$B$2:$S$83,60,K$12))))</f>
        <v/>
      </c>
    </row>
    <row r="75">
      <c r="A75">
        <f>IF($C$9="Anual",IF(61&lt;=7,INDEX(Anual!$A$2:$A$8,61),""),IF(61&lt;=82,INDEX(Mensual!$A$2:$A$83,61),""))</f>
        <v/>
      </c>
      <c r="B75" s="52">
        <f>IF($C$10="Sí",H75/H$13*100,H75)</f>
        <v/>
      </c>
      <c r="C75" s="52">
        <f>IF($C$10="Sí",I75/I$13*100,I75)</f>
        <v/>
      </c>
      <c r="D75" s="52">
        <f>IF($C$10="Sí",J75/J$13*100,J75)</f>
        <v/>
      </c>
      <c r="E75" s="52">
        <f>IF($C$10="Sí",K75/K$13*100,K75)</f>
        <v/>
      </c>
      <c r="H75" s="45">
        <f>IF(OR($A75="",H$12=0),NA(),IF($C$9="Anual",IF(INDEX(Anual!$B$2:$J$8,61,H$12)="",NA(),INDEX(Anual!$B$2:$J$8,61,H$12)),IF(INDEX(Mensual!$B$2:$S$83,61,H$12)="",NA(),INDEX(Mensual!$B$2:$S$83,61,H$12))))</f>
        <v/>
      </c>
      <c r="I75" s="45">
        <f>IF(OR($A75="",I$12=0),NA(),IF($C$9="Anual",IF(INDEX(Anual!$B$2:$J$8,61,I$12)="",NA(),INDEX(Anual!$B$2:$J$8,61,I$12)),IF(INDEX(Mensual!$B$2:$S$83,61,I$12)="",NA(),INDEX(Mensual!$B$2:$S$83,61,I$12))))</f>
        <v/>
      </c>
      <c r="J75" s="45">
        <f>IF(OR($A75="",J$12=0),NA(),IF($C$9="Anual",IF(INDEX(Anual!$B$2:$J$8,61,J$12)="",NA(),INDEX(Anual!$B$2:$J$8,61,J$12)),IF(INDEX(Mensual!$B$2:$S$83,61,J$12)="",NA(),INDEX(Mensual!$B$2:$S$83,61,J$12))))</f>
        <v/>
      </c>
      <c r="K75" s="45">
        <f>IF(OR($A75="",K$12=0),NA(),IF($C$9="Anual",IF(INDEX(Anual!$B$2:$J$8,61,K$12)="",NA(),INDEX(Anual!$B$2:$J$8,61,K$12)),IF(INDEX(Mensual!$B$2:$S$83,61,K$12)="",NA(),INDEX(Mensual!$B$2:$S$83,61,K$12))))</f>
        <v/>
      </c>
    </row>
    <row r="76">
      <c r="A76">
        <f>IF($C$9="Anual",IF(62&lt;=7,INDEX(Anual!$A$2:$A$8,62),""),IF(62&lt;=82,INDEX(Mensual!$A$2:$A$83,62),""))</f>
        <v/>
      </c>
      <c r="B76" s="52">
        <f>IF($C$10="Sí",H76/H$13*100,H76)</f>
        <v/>
      </c>
      <c r="C76" s="52">
        <f>IF($C$10="Sí",I76/I$13*100,I76)</f>
        <v/>
      </c>
      <c r="D76" s="52">
        <f>IF($C$10="Sí",J76/J$13*100,J76)</f>
        <v/>
      </c>
      <c r="E76" s="52">
        <f>IF($C$10="Sí",K76/K$13*100,K76)</f>
        <v/>
      </c>
      <c r="H76" s="45">
        <f>IF(OR($A76="",H$12=0),NA(),IF($C$9="Anual",IF(INDEX(Anual!$B$2:$J$8,62,H$12)="",NA(),INDEX(Anual!$B$2:$J$8,62,H$12)),IF(INDEX(Mensual!$B$2:$S$83,62,H$12)="",NA(),INDEX(Mensual!$B$2:$S$83,62,H$12))))</f>
        <v/>
      </c>
      <c r="I76" s="45">
        <f>IF(OR($A76="",I$12=0),NA(),IF($C$9="Anual",IF(INDEX(Anual!$B$2:$J$8,62,I$12)="",NA(),INDEX(Anual!$B$2:$J$8,62,I$12)),IF(INDEX(Mensual!$B$2:$S$83,62,I$12)="",NA(),INDEX(Mensual!$B$2:$S$83,62,I$12))))</f>
        <v/>
      </c>
      <c r="J76" s="45">
        <f>IF(OR($A76="",J$12=0),NA(),IF($C$9="Anual",IF(INDEX(Anual!$B$2:$J$8,62,J$12)="",NA(),INDEX(Anual!$B$2:$J$8,62,J$12)),IF(INDEX(Mensual!$B$2:$S$83,62,J$12)="",NA(),INDEX(Mensual!$B$2:$S$83,62,J$12))))</f>
        <v/>
      </c>
      <c r="K76" s="45">
        <f>IF(OR($A76="",K$12=0),NA(),IF($C$9="Anual",IF(INDEX(Anual!$B$2:$J$8,62,K$12)="",NA(),INDEX(Anual!$B$2:$J$8,62,K$12)),IF(INDEX(Mensual!$B$2:$S$83,62,K$12)="",NA(),INDEX(Mensual!$B$2:$S$83,62,K$12))))</f>
        <v/>
      </c>
    </row>
    <row r="77">
      <c r="A77">
        <f>IF($C$9="Anual",IF(63&lt;=7,INDEX(Anual!$A$2:$A$8,63),""),IF(63&lt;=82,INDEX(Mensual!$A$2:$A$83,63),""))</f>
        <v/>
      </c>
      <c r="B77" s="52">
        <f>IF($C$10="Sí",H77/H$13*100,H77)</f>
        <v/>
      </c>
      <c r="C77" s="52">
        <f>IF($C$10="Sí",I77/I$13*100,I77)</f>
        <v/>
      </c>
      <c r="D77" s="52">
        <f>IF($C$10="Sí",J77/J$13*100,J77)</f>
        <v/>
      </c>
      <c r="E77" s="52">
        <f>IF($C$10="Sí",K77/K$13*100,K77)</f>
        <v/>
      </c>
      <c r="H77" s="45">
        <f>IF(OR($A77="",H$12=0),NA(),IF($C$9="Anual",IF(INDEX(Anual!$B$2:$J$8,63,H$12)="",NA(),INDEX(Anual!$B$2:$J$8,63,H$12)),IF(INDEX(Mensual!$B$2:$S$83,63,H$12)="",NA(),INDEX(Mensual!$B$2:$S$83,63,H$12))))</f>
        <v/>
      </c>
      <c r="I77" s="45">
        <f>IF(OR($A77="",I$12=0),NA(),IF($C$9="Anual",IF(INDEX(Anual!$B$2:$J$8,63,I$12)="",NA(),INDEX(Anual!$B$2:$J$8,63,I$12)),IF(INDEX(Mensual!$B$2:$S$83,63,I$12)="",NA(),INDEX(Mensual!$B$2:$S$83,63,I$12))))</f>
        <v/>
      </c>
      <c r="J77" s="45">
        <f>IF(OR($A77="",J$12=0),NA(),IF($C$9="Anual",IF(INDEX(Anual!$B$2:$J$8,63,J$12)="",NA(),INDEX(Anual!$B$2:$J$8,63,J$12)),IF(INDEX(Mensual!$B$2:$S$83,63,J$12)="",NA(),INDEX(Mensual!$B$2:$S$83,63,J$12))))</f>
        <v/>
      </c>
      <c r="K77" s="45">
        <f>IF(OR($A77="",K$12=0),NA(),IF($C$9="Anual",IF(INDEX(Anual!$B$2:$J$8,63,K$12)="",NA(),INDEX(Anual!$B$2:$J$8,63,K$12)),IF(INDEX(Mensual!$B$2:$S$83,63,K$12)="",NA(),INDEX(Mensual!$B$2:$S$83,63,K$12))))</f>
        <v/>
      </c>
    </row>
    <row r="78">
      <c r="A78">
        <f>IF($C$9="Anual",IF(64&lt;=7,INDEX(Anual!$A$2:$A$8,64),""),IF(64&lt;=82,INDEX(Mensual!$A$2:$A$83,64),""))</f>
        <v/>
      </c>
      <c r="B78" s="52">
        <f>IF($C$10="Sí",H78/H$13*100,H78)</f>
        <v/>
      </c>
      <c r="C78" s="52">
        <f>IF($C$10="Sí",I78/I$13*100,I78)</f>
        <v/>
      </c>
      <c r="D78" s="52">
        <f>IF($C$10="Sí",J78/J$13*100,J78)</f>
        <v/>
      </c>
      <c r="E78" s="52">
        <f>IF($C$10="Sí",K78/K$13*100,K78)</f>
        <v/>
      </c>
      <c r="H78" s="45">
        <f>IF(OR($A78="",H$12=0),NA(),IF($C$9="Anual",IF(INDEX(Anual!$B$2:$J$8,64,H$12)="",NA(),INDEX(Anual!$B$2:$J$8,64,H$12)),IF(INDEX(Mensual!$B$2:$S$83,64,H$12)="",NA(),INDEX(Mensual!$B$2:$S$83,64,H$12))))</f>
        <v/>
      </c>
      <c r="I78" s="45">
        <f>IF(OR($A78="",I$12=0),NA(),IF($C$9="Anual",IF(INDEX(Anual!$B$2:$J$8,64,I$12)="",NA(),INDEX(Anual!$B$2:$J$8,64,I$12)),IF(INDEX(Mensual!$B$2:$S$83,64,I$12)="",NA(),INDEX(Mensual!$B$2:$S$83,64,I$12))))</f>
        <v/>
      </c>
      <c r="J78" s="45">
        <f>IF(OR($A78="",J$12=0),NA(),IF($C$9="Anual",IF(INDEX(Anual!$B$2:$J$8,64,J$12)="",NA(),INDEX(Anual!$B$2:$J$8,64,J$12)),IF(INDEX(Mensual!$B$2:$S$83,64,J$12)="",NA(),INDEX(Mensual!$B$2:$S$83,64,J$12))))</f>
        <v/>
      </c>
      <c r="K78" s="45">
        <f>IF(OR($A78="",K$12=0),NA(),IF($C$9="Anual",IF(INDEX(Anual!$B$2:$J$8,64,K$12)="",NA(),INDEX(Anual!$B$2:$J$8,64,K$12)),IF(INDEX(Mensual!$B$2:$S$83,64,K$12)="",NA(),INDEX(Mensual!$B$2:$S$83,64,K$12))))</f>
        <v/>
      </c>
    </row>
    <row r="79">
      <c r="A79">
        <f>IF($C$9="Anual",IF(65&lt;=7,INDEX(Anual!$A$2:$A$8,65),""),IF(65&lt;=82,INDEX(Mensual!$A$2:$A$83,65),""))</f>
        <v/>
      </c>
      <c r="B79" s="52">
        <f>IF($C$10="Sí",H79/H$13*100,H79)</f>
        <v/>
      </c>
      <c r="C79" s="52">
        <f>IF($C$10="Sí",I79/I$13*100,I79)</f>
        <v/>
      </c>
      <c r="D79" s="52">
        <f>IF($C$10="Sí",J79/J$13*100,J79)</f>
        <v/>
      </c>
      <c r="E79" s="52">
        <f>IF($C$10="Sí",K79/K$13*100,K79)</f>
        <v/>
      </c>
      <c r="H79" s="45">
        <f>IF(OR($A79="",H$12=0),NA(),IF($C$9="Anual",IF(INDEX(Anual!$B$2:$J$8,65,H$12)="",NA(),INDEX(Anual!$B$2:$J$8,65,H$12)),IF(INDEX(Mensual!$B$2:$S$83,65,H$12)="",NA(),INDEX(Mensual!$B$2:$S$83,65,H$12))))</f>
        <v/>
      </c>
      <c r="I79" s="45">
        <f>IF(OR($A79="",I$12=0),NA(),IF($C$9="Anual",IF(INDEX(Anual!$B$2:$J$8,65,I$12)="",NA(),INDEX(Anual!$B$2:$J$8,65,I$12)),IF(INDEX(Mensual!$B$2:$S$83,65,I$12)="",NA(),INDEX(Mensual!$B$2:$S$83,65,I$12))))</f>
        <v/>
      </c>
      <c r="J79" s="45">
        <f>IF(OR($A79="",J$12=0),NA(),IF($C$9="Anual",IF(INDEX(Anual!$B$2:$J$8,65,J$12)="",NA(),INDEX(Anual!$B$2:$J$8,65,J$12)),IF(INDEX(Mensual!$B$2:$S$83,65,J$12)="",NA(),INDEX(Mensual!$B$2:$S$83,65,J$12))))</f>
        <v/>
      </c>
      <c r="K79" s="45">
        <f>IF(OR($A79="",K$12=0),NA(),IF($C$9="Anual",IF(INDEX(Anual!$B$2:$J$8,65,K$12)="",NA(),INDEX(Anual!$B$2:$J$8,65,K$12)),IF(INDEX(Mensual!$B$2:$S$83,65,K$12)="",NA(),INDEX(Mensual!$B$2:$S$83,65,K$12))))</f>
        <v/>
      </c>
    </row>
    <row r="80">
      <c r="A80">
        <f>IF($C$9="Anual",IF(66&lt;=7,INDEX(Anual!$A$2:$A$8,66),""),IF(66&lt;=82,INDEX(Mensual!$A$2:$A$83,66),""))</f>
        <v/>
      </c>
      <c r="B80" s="52">
        <f>IF($C$10="Sí",H80/H$13*100,H80)</f>
        <v/>
      </c>
      <c r="C80" s="52">
        <f>IF($C$10="Sí",I80/I$13*100,I80)</f>
        <v/>
      </c>
      <c r="D80" s="52">
        <f>IF($C$10="Sí",J80/J$13*100,J80)</f>
        <v/>
      </c>
      <c r="E80" s="52">
        <f>IF($C$10="Sí",K80/K$13*100,K80)</f>
        <v/>
      </c>
      <c r="H80" s="45">
        <f>IF(OR($A80="",H$12=0),NA(),IF($C$9="Anual",IF(INDEX(Anual!$B$2:$J$8,66,H$12)="",NA(),INDEX(Anual!$B$2:$J$8,66,H$12)),IF(INDEX(Mensual!$B$2:$S$83,66,H$12)="",NA(),INDEX(Mensual!$B$2:$S$83,66,H$12))))</f>
        <v/>
      </c>
      <c r="I80" s="45">
        <f>IF(OR($A80="",I$12=0),NA(),IF($C$9="Anual",IF(INDEX(Anual!$B$2:$J$8,66,I$12)="",NA(),INDEX(Anual!$B$2:$J$8,66,I$12)),IF(INDEX(Mensual!$B$2:$S$83,66,I$12)="",NA(),INDEX(Mensual!$B$2:$S$83,66,I$12))))</f>
        <v/>
      </c>
      <c r="J80" s="45">
        <f>IF(OR($A80="",J$12=0),NA(),IF($C$9="Anual",IF(INDEX(Anual!$B$2:$J$8,66,J$12)="",NA(),INDEX(Anual!$B$2:$J$8,66,J$12)),IF(INDEX(Mensual!$B$2:$S$83,66,J$12)="",NA(),INDEX(Mensual!$B$2:$S$83,66,J$12))))</f>
        <v/>
      </c>
      <c r="K80" s="45">
        <f>IF(OR($A80="",K$12=0),NA(),IF($C$9="Anual",IF(INDEX(Anual!$B$2:$J$8,66,K$12)="",NA(),INDEX(Anual!$B$2:$J$8,66,K$12)),IF(INDEX(Mensual!$B$2:$S$83,66,K$12)="",NA(),INDEX(Mensual!$B$2:$S$83,66,K$12))))</f>
        <v/>
      </c>
    </row>
    <row r="81">
      <c r="A81">
        <f>IF($C$9="Anual",IF(67&lt;=7,INDEX(Anual!$A$2:$A$8,67),""),IF(67&lt;=82,INDEX(Mensual!$A$2:$A$83,67),""))</f>
        <v/>
      </c>
      <c r="B81" s="52">
        <f>IF($C$10="Sí",H81/H$13*100,H81)</f>
        <v/>
      </c>
      <c r="C81" s="52">
        <f>IF($C$10="Sí",I81/I$13*100,I81)</f>
        <v/>
      </c>
      <c r="D81" s="52">
        <f>IF($C$10="Sí",J81/J$13*100,J81)</f>
        <v/>
      </c>
      <c r="E81" s="52">
        <f>IF($C$10="Sí",K81/K$13*100,K81)</f>
        <v/>
      </c>
      <c r="H81" s="45">
        <f>IF(OR($A81="",H$12=0),NA(),IF($C$9="Anual",IF(INDEX(Anual!$B$2:$J$8,67,H$12)="",NA(),INDEX(Anual!$B$2:$J$8,67,H$12)),IF(INDEX(Mensual!$B$2:$S$83,67,H$12)="",NA(),INDEX(Mensual!$B$2:$S$83,67,H$12))))</f>
        <v/>
      </c>
      <c r="I81" s="45">
        <f>IF(OR($A81="",I$12=0),NA(),IF($C$9="Anual",IF(INDEX(Anual!$B$2:$J$8,67,I$12)="",NA(),INDEX(Anual!$B$2:$J$8,67,I$12)),IF(INDEX(Mensual!$B$2:$S$83,67,I$12)="",NA(),INDEX(Mensual!$B$2:$S$83,67,I$12))))</f>
        <v/>
      </c>
      <c r="J81" s="45">
        <f>IF(OR($A81="",J$12=0),NA(),IF($C$9="Anual",IF(INDEX(Anual!$B$2:$J$8,67,J$12)="",NA(),INDEX(Anual!$B$2:$J$8,67,J$12)),IF(INDEX(Mensual!$B$2:$S$83,67,J$12)="",NA(),INDEX(Mensual!$B$2:$S$83,67,J$12))))</f>
        <v/>
      </c>
      <c r="K81" s="45">
        <f>IF(OR($A81="",K$12=0),NA(),IF($C$9="Anual",IF(INDEX(Anual!$B$2:$J$8,67,K$12)="",NA(),INDEX(Anual!$B$2:$J$8,67,K$12)),IF(INDEX(Mensual!$B$2:$S$83,67,K$12)="",NA(),INDEX(Mensual!$B$2:$S$83,67,K$12))))</f>
        <v/>
      </c>
    </row>
    <row r="82">
      <c r="A82">
        <f>IF($C$9="Anual",IF(68&lt;=7,INDEX(Anual!$A$2:$A$8,68),""),IF(68&lt;=82,INDEX(Mensual!$A$2:$A$83,68),""))</f>
        <v/>
      </c>
      <c r="B82" s="52">
        <f>IF($C$10="Sí",H82/H$13*100,H82)</f>
        <v/>
      </c>
      <c r="C82" s="52">
        <f>IF($C$10="Sí",I82/I$13*100,I82)</f>
        <v/>
      </c>
      <c r="D82" s="52">
        <f>IF($C$10="Sí",J82/J$13*100,J82)</f>
        <v/>
      </c>
      <c r="E82" s="52">
        <f>IF($C$10="Sí",K82/K$13*100,K82)</f>
        <v/>
      </c>
      <c r="H82" s="45">
        <f>IF(OR($A82="",H$12=0),NA(),IF($C$9="Anual",IF(INDEX(Anual!$B$2:$J$8,68,H$12)="",NA(),INDEX(Anual!$B$2:$J$8,68,H$12)),IF(INDEX(Mensual!$B$2:$S$83,68,H$12)="",NA(),INDEX(Mensual!$B$2:$S$83,68,H$12))))</f>
        <v/>
      </c>
      <c r="I82" s="45">
        <f>IF(OR($A82="",I$12=0),NA(),IF($C$9="Anual",IF(INDEX(Anual!$B$2:$J$8,68,I$12)="",NA(),INDEX(Anual!$B$2:$J$8,68,I$12)),IF(INDEX(Mensual!$B$2:$S$83,68,I$12)="",NA(),INDEX(Mensual!$B$2:$S$83,68,I$12))))</f>
        <v/>
      </c>
      <c r="J82" s="45">
        <f>IF(OR($A82="",J$12=0),NA(),IF($C$9="Anual",IF(INDEX(Anual!$B$2:$J$8,68,J$12)="",NA(),INDEX(Anual!$B$2:$J$8,68,J$12)),IF(INDEX(Mensual!$B$2:$S$83,68,J$12)="",NA(),INDEX(Mensual!$B$2:$S$83,68,J$12))))</f>
        <v/>
      </c>
      <c r="K82" s="45">
        <f>IF(OR($A82="",K$12=0),NA(),IF($C$9="Anual",IF(INDEX(Anual!$B$2:$J$8,68,K$12)="",NA(),INDEX(Anual!$B$2:$J$8,68,K$12)),IF(INDEX(Mensual!$B$2:$S$83,68,K$12)="",NA(),INDEX(Mensual!$B$2:$S$83,68,K$12))))</f>
        <v/>
      </c>
    </row>
    <row r="83">
      <c r="A83">
        <f>IF($C$9="Anual",IF(69&lt;=7,INDEX(Anual!$A$2:$A$8,69),""),IF(69&lt;=82,INDEX(Mensual!$A$2:$A$83,69),""))</f>
        <v/>
      </c>
      <c r="B83" s="52">
        <f>IF($C$10="Sí",H83/H$13*100,H83)</f>
        <v/>
      </c>
      <c r="C83" s="52">
        <f>IF($C$10="Sí",I83/I$13*100,I83)</f>
        <v/>
      </c>
      <c r="D83" s="52">
        <f>IF($C$10="Sí",J83/J$13*100,J83)</f>
        <v/>
      </c>
      <c r="E83" s="52">
        <f>IF($C$10="Sí",K83/K$13*100,K83)</f>
        <v/>
      </c>
      <c r="H83" s="45">
        <f>IF(OR($A83="",H$12=0),NA(),IF($C$9="Anual",IF(INDEX(Anual!$B$2:$J$8,69,H$12)="",NA(),INDEX(Anual!$B$2:$J$8,69,H$12)),IF(INDEX(Mensual!$B$2:$S$83,69,H$12)="",NA(),INDEX(Mensual!$B$2:$S$83,69,H$12))))</f>
        <v/>
      </c>
      <c r="I83" s="45">
        <f>IF(OR($A83="",I$12=0),NA(),IF($C$9="Anual",IF(INDEX(Anual!$B$2:$J$8,69,I$12)="",NA(),INDEX(Anual!$B$2:$J$8,69,I$12)),IF(INDEX(Mensual!$B$2:$S$83,69,I$12)="",NA(),INDEX(Mensual!$B$2:$S$83,69,I$12))))</f>
        <v/>
      </c>
      <c r="J83" s="45">
        <f>IF(OR($A83="",J$12=0),NA(),IF($C$9="Anual",IF(INDEX(Anual!$B$2:$J$8,69,J$12)="",NA(),INDEX(Anual!$B$2:$J$8,69,J$12)),IF(INDEX(Mensual!$B$2:$S$83,69,J$12)="",NA(),INDEX(Mensual!$B$2:$S$83,69,J$12))))</f>
        <v/>
      </c>
      <c r="K83" s="45">
        <f>IF(OR($A83="",K$12=0),NA(),IF($C$9="Anual",IF(INDEX(Anual!$B$2:$J$8,69,K$12)="",NA(),INDEX(Anual!$B$2:$J$8,69,K$12)),IF(INDEX(Mensual!$B$2:$S$83,69,K$12)="",NA(),INDEX(Mensual!$B$2:$S$83,69,K$12))))</f>
        <v/>
      </c>
    </row>
    <row r="84">
      <c r="A84">
        <f>IF($C$9="Anual",IF(70&lt;=7,INDEX(Anual!$A$2:$A$8,70),""),IF(70&lt;=82,INDEX(Mensual!$A$2:$A$83,70),""))</f>
        <v/>
      </c>
      <c r="B84" s="52">
        <f>IF($C$10="Sí",H84/H$13*100,H84)</f>
        <v/>
      </c>
      <c r="C84" s="52">
        <f>IF($C$10="Sí",I84/I$13*100,I84)</f>
        <v/>
      </c>
      <c r="D84" s="52">
        <f>IF($C$10="Sí",J84/J$13*100,J84)</f>
        <v/>
      </c>
      <c r="E84" s="52">
        <f>IF($C$10="Sí",K84/K$13*100,K84)</f>
        <v/>
      </c>
      <c r="H84" s="45">
        <f>IF(OR($A84="",H$12=0),NA(),IF($C$9="Anual",IF(INDEX(Anual!$B$2:$J$8,70,H$12)="",NA(),INDEX(Anual!$B$2:$J$8,70,H$12)),IF(INDEX(Mensual!$B$2:$S$83,70,H$12)="",NA(),INDEX(Mensual!$B$2:$S$83,70,H$12))))</f>
        <v/>
      </c>
      <c r="I84" s="45">
        <f>IF(OR($A84="",I$12=0),NA(),IF($C$9="Anual",IF(INDEX(Anual!$B$2:$J$8,70,I$12)="",NA(),INDEX(Anual!$B$2:$J$8,70,I$12)),IF(INDEX(Mensual!$B$2:$S$83,70,I$12)="",NA(),INDEX(Mensual!$B$2:$S$83,70,I$12))))</f>
        <v/>
      </c>
      <c r="J84" s="45">
        <f>IF(OR($A84="",J$12=0),NA(),IF($C$9="Anual",IF(INDEX(Anual!$B$2:$J$8,70,J$12)="",NA(),INDEX(Anual!$B$2:$J$8,70,J$12)),IF(INDEX(Mensual!$B$2:$S$83,70,J$12)="",NA(),INDEX(Mensual!$B$2:$S$83,70,J$12))))</f>
        <v/>
      </c>
      <c r="K84" s="45">
        <f>IF(OR($A84="",K$12=0),NA(),IF($C$9="Anual",IF(INDEX(Anual!$B$2:$J$8,70,K$12)="",NA(),INDEX(Anual!$B$2:$J$8,70,K$12)),IF(INDEX(Mensual!$B$2:$S$83,70,K$12)="",NA(),INDEX(Mensual!$B$2:$S$83,70,K$12))))</f>
        <v/>
      </c>
    </row>
    <row r="85">
      <c r="A85">
        <f>IF($C$9="Anual",IF(71&lt;=7,INDEX(Anual!$A$2:$A$8,71),""),IF(71&lt;=82,INDEX(Mensual!$A$2:$A$83,71),""))</f>
        <v/>
      </c>
      <c r="B85" s="52">
        <f>IF($C$10="Sí",H85/H$13*100,H85)</f>
        <v/>
      </c>
      <c r="C85" s="52">
        <f>IF($C$10="Sí",I85/I$13*100,I85)</f>
        <v/>
      </c>
      <c r="D85" s="52">
        <f>IF($C$10="Sí",J85/J$13*100,J85)</f>
        <v/>
      </c>
      <c r="E85" s="52">
        <f>IF($C$10="Sí",K85/K$13*100,K85)</f>
        <v/>
      </c>
      <c r="H85" s="45">
        <f>IF(OR($A85="",H$12=0),NA(),IF($C$9="Anual",IF(INDEX(Anual!$B$2:$J$8,71,H$12)="",NA(),INDEX(Anual!$B$2:$J$8,71,H$12)),IF(INDEX(Mensual!$B$2:$S$83,71,H$12)="",NA(),INDEX(Mensual!$B$2:$S$83,71,H$12))))</f>
        <v/>
      </c>
      <c r="I85" s="45">
        <f>IF(OR($A85="",I$12=0),NA(),IF($C$9="Anual",IF(INDEX(Anual!$B$2:$J$8,71,I$12)="",NA(),INDEX(Anual!$B$2:$J$8,71,I$12)),IF(INDEX(Mensual!$B$2:$S$83,71,I$12)="",NA(),INDEX(Mensual!$B$2:$S$83,71,I$12))))</f>
        <v/>
      </c>
      <c r="J85" s="45">
        <f>IF(OR($A85="",J$12=0),NA(),IF($C$9="Anual",IF(INDEX(Anual!$B$2:$J$8,71,J$12)="",NA(),INDEX(Anual!$B$2:$J$8,71,J$12)),IF(INDEX(Mensual!$B$2:$S$83,71,J$12)="",NA(),INDEX(Mensual!$B$2:$S$83,71,J$12))))</f>
        <v/>
      </c>
      <c r="K85" s="45">
        <f>IF(OR($A85="",K$12=0),NA(),IF($C$9="Anual",IF(INDEX(Anual!$B$2:$J$8,71,K$12)="",NA(),INDEX(Anual!$B$2:$J$8,71,K$12)),IF(INDEX(Mensual!$B$2:$S$83,71,K$12)="",NA(),INDEX(Mensual!$B$2:$S$83,71,K$12))))</f>
        <v/>
      </c>
    </row>
    <row r="86">
      <c r="A86">
        <f>IF($C$9="Anual",IF(72&lt;=7,INDEX(Anual!$A$2:$A$8,72),""),IF(72&lt;=82,INDEX(Mensual!$A$2:$A$83,72),""))</f>
        <v/>
      </c>
      <c r="B86" s="52">
        <f>IF($C$10="Sí",H86/H$13*100,H86)</f>
        <v/>
      </c>
      <c r="C86" s="52">
        <f>IF($C$10="Sí",I86/I$13*100,I86)</f>
        <v/>
      </c>
      <c r="D86" s="52">
        <f>IF($C$10="Sí",J86/J$13*100,J86)</f>
        <v/>
      </c>
      <c r="E86" s="52">
        <f>IF($C$10="Sí",K86/K$13*100,K86)</f>
        <v/>
      </c>
      <c r="H86" s="45">
        <f>IF(OR($A86="",H$12=0),NA(),IF($C$9="Anual",IF(INDEX(Anual!$B$2:$J$8,72,H$12)="",NA(),INDEX(Anual!$B$2:$J$8,72,H$12)),IF(INDEX(Mensual!$B$2:$S$83,72,H$12)="",NA(),INDEX(Mensual!$B$2:$S$83,72,H$12))))</f>
        <v/>
      </c>
      <c r="I86" s="45">
        <f>IF(OR($A86="",I$12=0),NA(),IF($C$9="Anual",IF(INDEX(Anual!$B$2:$J$8,72,I$12)="",NA(),INDEX(Anual!$B$2:$J$8,72,I$12)),IF(INDEX(Mensual!$B$2:$S$83,72,I$12)="",NA(),INDEX(Mensual!$B$2:$S$83,72,I$12))))</f>
        <v/>
      </c>
      <c r="J86" s="45">
        <f>IF(OR($A86="",J$12=0),NA(),IF($C$9="Anual",IF(INDEX(Anual!$B$2:$J$8,72,J$12)="",NA(),INDEX(Anual!$B$2:$J$8,72,J$12)),IF(INDEX(Mensual!$B$2:$S$83,72,J$12)="",NA(),INDEX(Mensual!$B$2:$S$83,72,J$12))))</f>
        <v/>
      </c>
      <c r="K86" s="45">
        <f>IF(OR($A86="",K$12=0),NA(),IF($C$9="Anual",IF(INDEX(Anual!$B$2:$J$8,72,K$12)="",NA(),INDEX(Anual!$B$2:$J$8,72,K$12)),IF(INDEX(Mensual!$B$2:$S$83,72,K$12)="",NA(),INDEX(Mensual!$B$2:$S$83,72,K$12))))</f>
        <v/>
      </c>
    </row>
    <row r="87">
      <c r="A87">
        <f>IF($C$9="Anual",IF(73&lt;=7,INDEX(Anual!$A$2:$A$8,73),""),IF(73&lt;=82,INDEX(Mensual!$A$2:$A$83,73),""))</f>
        <v/>
      </c>
      <c r="B87" s="52">
        <f>IF($C$10="Sí",H87/H$13*100,H87)</f>
        <v/>
      </c>
      <c r="C87" s="52">
        <f>IF($C$10="Sí",I87/I$13*100,I87)</f>
        <v/>
      </c>
      <c r="D87" s="52">
        <f>IF($C$10="Sí",J87/J$13*100,J87)</f>
        <v/>
      </c>
      <c r="E87" s="52">
        <f>IF($C$10="Sí",K87/K$13*100,K87)</f>
        <v/>
      </c>
      <c r="H87" s="45">
        <f>IF(OR($A87="",H$12=0),NA(),IF($C$9="Anual",IF(INDEX(Anual!$B$2:$J$8,73,H$12)="",NA(),INDEX(Anual!$B$2:$J$8,73,H$12)),IF(INDEX(Mensual!$B$2:$S$83,73,H$12)="",NA(),INDEX(Mensual!$B$2:$S$83,73,H$12))))</f>
        <v/>
      </c>
      <c r="I87" s="45">
        <f>IF(OR($A87="",I$12=0),NA(),IF($C$9="Anual",IF(INDEX(Anual!$B$2:$J$8,73,I$12)="",NA(),INDEX(Anual!$B$2:$J$8,73,I$12)),IF(INDEX(Mensual!$B$2:$S$83,73,I$12)="",NA(),INDEX(Mensual!$B$2:$S$83,73,I$12))))</f>
        <v/>
      </c>
      <c r="J87" s="45">
        <f>IF(OR($A87="",J$12=0),NA(),IF($C$9="Anual",IF(INDEX(Anual!$B$2:$J$8,73,J$12)="",NA(),INDEX(Anual!$B$2:$J$8,73,J$12)),IF(INDEX(Mensual!$B$2:$S$83,73,J$12)="",NA(),INDEX(Mensual!$B$2:$S$83,73,J$12))))</f>
        <v/>
      </c>
      <c r="K87" s="45">
        <f>IF(OR($A87="",K$12=0),NA(),IF($C$9="Anual",IF(INDEX(Anual!$B$2:$J$8,73,K$12)="",NA(),INDEX(Anual!$B$2:$J$8,73,K$12)),IF(INDEX(Mensual!$B$2:$S$83,73,K$12)="",NA(),INDEX(Mensual!$B$2:$S$83,73,K$12))))</f>
        <v/>
      </c>
    </row>
    <row r="88">
      <c r="A88">
        <f>IF($C$9="Anual",IF(74&lt;=7,INDEX(Anual!$A$2:$A$8,74),""),IF(74&lt;=82,INDEX(Mensual!$A$2:$A$83,74),""))</f>
        <v/>
      </c>
      <c r="B88" s="52">
        <f>IF($C$10="Sí",H88/H$13*100,H88)</f>
        <v/>
      </c>
      <c r="C88" s="52">
        <f>IF($C$10="Sí",I88/I$13*100,I88)</f>
        <v/>
      </c>
      <c r="D88" s="52">
        <f>IF($C$10="Sí",J88/J$13*100,J88)</f>
        <v/>
      </c>
      <c r="E88" s="52">
        <f>IF($C$10="Sí",K88/K$13*100,K88)</f>
        <v/>
      </c>
      <c r="H88" s="45">
        <f>IF(OR($A88="",H$12=0),NA(),IF($C$9="Anual",IF(INDEX(Anual!$B$2:$J$8,74,H$12)="",NA(),INDEX(Anual!$B$2:$J$8,74,H$12)),IF(INDEX(Mensual!$B$2:$S$83,74,H$12)="",NA(),INDEX(Mensual!$B$2:$S$83,74,H$12))))</f>
        <v/>
      </c>
      <c r="I88" s="45">
        <f>IF(OR($A88="",I$12=0),NA(),IF($C$9="Anual",IF(INDEX(Anual!$B$2:$J$8,74,I$12)="",NA(),INDEX(Anual!$B$2:$J$8,74,I$12)),IF(INDEX(Mensual!$B$2:$S$83,74,I$12)="",NA(),INDEX(Mensual!$B$2:$S$83,74,I$12))))</f>
        <v/>
      </c>
      <c r="J88" s="45">
        <f>IF(OR($A88="",J$12=0),NA(),IF($C$9="Anual",IF(INDEX(Anual!$B$2:$J$8,74,J$12)="",NA(),INDEX(Anual!$B$2:$J$8,74,J$12)),IF(INDEX(Mensual!$B$2:$S$83,74,J$12)="",NA(),INDEX(Mensual!$B$2:$S$83,74,J$12))))</f>
        <v/>
      </c>
      <c r="K88" s="45">
        <f>IF(OR($A88="",K$12=0),NA(),IF($C$9="Anual",IF(INDEX(Anual!$B$2:$J$8,74,K$12)="",NA(),INDEX(Anual!$B$2:$J$8,74,K$12)),IF(INDEX(Mensual!$B$2:$S$83,74,K$12)="",NA(),INDEX(Mensual!$B$2:$S$83,74,K$12))))</f>
        <v/>
      </c>
    </row>
    <row r="89">
      <c r="A89">
        <f>IF($C$9="Anual",IF(75&lt;=7,INDEX(Anual!$A$2:$A$8,75),""),IF(75&lt;=82,INDEX(Mensual!$A$2:$A$83,75),""))</f>
        <v/>
      </c>
      <c r="B89" s="52">
        <f>IF($C$10="Sí",H89/H$13*100,H89)</f>
        <v/>
      </c>
      <c r="C89" s="52">
        <f>IF($C$10="Sí",I89/I$13*100,I89)</f>
        <v/>
      </c>
      <c r="D89" s="52">
        <f>IF($C$10="Sí",J89/J$13*100,J89)</f>
        <v/>
      </c>
      <c r="E89" s="52">
        <f>IF($C$10="Sí",K89/K$13*100,K89)</f>
        <v/>
      </c>
      <c r="H89" s="45">
        <f>IF(OR($A89="",H$12=0),NA(),IF($C$9="Anual",IF(INDEX(Anual!$B$2:$J$8,75,H$12)="",NA(),INDEX(Anual!$B$2:$J$8,75,H$12)),IF(INDEX(Mensual!$B$2:$S$83,75,H$12)="",NA(),INDEX(Mensual!$B$2:$S$83,75,H$12))))</f>
        <v/>
      </c>
      <c r="I89" s="45">
        <f>IF(OR($A89="",I$12=0),NA(),IF($C$9="Anual",IF(INDEX(Anual!$B$2:$J$8,75,I$12)="",NA(),INDEX(Anual!$B$2:$J$8,75,I$12)),IF(INDEX(Mensual!$B$2:$S$83,75,I$12)="",NA(),INDEX(Mensual!$B$2:$S$83,75,I$12))))</f>
        <v/>
      </c>
      <c r="J89" s="45">
        <f>IF(OR($A89="",J$12=0),NA(),IF($C$9="Anual",IF(INDEX(Anual!$B$2:$J$8,75,J$12)="",NA(),INDEX(Anual!$B$2:$J$8,75,J$12)),IF(INDEX(Mensual!$B$2:$S$83,75,J$12)="",NA(),INDEX(Mensual!$B$2:$S$83,75,J$12))))</f>
        <v/>
      </c>
      <c r="K89" s="45">
        <f>IF(OR($A89="",K$12=0),NA(),IF($C$9="Anual",IF(INDEX(Anual!$B$2:$J$8,75,K$12)="",NA(),INDEX(Anual!$B$2:$J$8,75,K$12)),IF(INDEX(Mensual!$B$2:$S$83,75,K$12)="",NA(),INDEX(Mensual!$B$2:$S$83,75,K$12))))</f>
        <v/>
      </c>
    </row>
    <row r="90">
      <c r="A90">
        <f>IF($C$9="Anual",IF(76&lt;=7,INDEX(Anual!$A$2:$A$8,76),""),IF(76&lt;=82,INDEX(Mensual!$A$2:$A$83,76),""))</f>
        <v/>
      </c>
      <c r="B90" s="52">
        <f>IF($C$10="Sí",H90/H$13*100,H90)</f>
        <v/>
      </c>
      <c r="C90" s="52">
        <f>IF($C$10="Sí",I90/I$13*100,I90)</f>
        <v/>
      </c>
      <c r="D90" s="52">
        <f>IF($C$10="Sí",J90/J$13*100,J90)</f>
        <v/>
      </c>
      <c r="E90" s="52">
        <f>IF($C$10="Sí",K90/K$13*100,K90)</f>
        <v/>
      </c>
      <c r="H90" s="45">
        <f>IF(OR($A90="",H$12=0),NA(),IF($C$9="Anual",IF(INDEX(Anual!$B$2:$J$8,76,H$12)="",NA(),INDEX(Anual!$B$2:$J$8,76,H$12)),IF(INDEX(Mensual!$B$2:$S$83,76,H$12)="",NA(),INDEX(Mensual!$B$2:$S$83,76,H$12))))</f>
        <v/>
      </c>
      <c r="I90" s="45">
        <f>IF(OR($A90="",I$12=0),NA(),IF($C$9="Anual",IF(INDEX(Anual!$B$2:$J$8,76,I$12)="",NA(),INDEX(Anual!$B$2:$J$8,76,I$12)),IF(INDEX(Mensual!$B$2:$S$83,76,I$12)="",NA(),INDEX(Mensual!$B$2:$S$83,76,I$12))))</f>
        <v/>
      </c>
      <c r="J90" s="45">
        <f>IF(OR($A90="",J$12=0),NA(),IF($C$9="Anual",IF(INDEX(Anual!$B$2:$J$8,76,J$12)="",NA(),INDEX(Anual!$B$2:$J$8,76,J$12)),IF(INDEX(Mensual!$B$2:$S$83,76,J$12)="",NA(),INDEX(Mensual!$B$2:$S$83,76,J$12))))</f>
        <v/>
      </c>
      <c r="K90" s="45">
        <f>IF(OR($A90="",K$12=0),NA(),IF($C$9="Anual",IF(INDEX(Anual!$B$2:$J$8,76,K$12)="",NA(),INDEX(Anual!$B$2:$J$8,76,K$12)),IF(INDEX(Mensual!$B$2:$S$83,76,K$12)="",NA(),INDEX(Mensual!$B$2:$S$83,76,K$12))))</f>
        <v/>
      </c>
    </row>
    <row r="91">
      <c r="A91">
        <f>IF($C$9="Anual",IF(77&lt;=7,INDEX(Anual!$A$2:$A$8,77),""),IF(77&lt;=82,INDEX(Mensual!$A$2:$A$83,77),""))</f>
        <v/>
      </c>
      <c r="B91" s="52">
        <f>IF($C$10="Sí",H91/H$13*100,H91)</f>
        <v/>
      </c>
      <c r="C91" s="52">
        <f>IF($C$10="Sí",I91/I$13*100,I91)</f>
        <v/>
      </c>
      <c r="D91" s="52">
        <f>IF($C$10="Sí",J91/J$13*100,J91)</f>
        <v/>
      </c>
      <c r="E91" s="52">
        <f>IF($C$10="Sí",K91/K$13*100,K91)</f>
        <v/>
      </c>
      <c r="H91" s="45">
        <f>IF(OR($A91="",H$12=0),NA(),IF($C$9="Anual",IF(INDEX(Anual!$B$2:$J$8,77,H$12)="",NA(),INDEX(Anual!$B$2:$J$8,77,H$12)),IF(INDEX(Mensual!$B$2:$S$83,77,H$12)="",NA(),INDEX(Mensual!$B$2:$S$83,77,H$12))))</f>
        <v/>
      </c>
      <c r="I91" s="45">
        <f>IF(OR($A91="",I$12=0),NA(),IF($C$9="Anual",IF(INDEX(Anual!$B$2:$J$8,77,I$12)="",NA(),INDEX(Anual!$B$2:$J$8,77,I$12)),IF(INDEX(Mensual!$B$2:$S$83,77,I$12)="",NA(),INDEX(Mensual!$B$2:$S$83,77,I$12))))</f>
        <v/>
      </c>
      <c r="J91" s="45">
        <f>IF(OR($A91="",J$12=0),NA(),IF($C$9="Anual",IF(INDEX(Anual!$B$2:$J$8,77,J$12)="",NA(),INDEX(Anual!$B$2:$J$8,77,J$12)),IF(INDEX(Mensual!$B$2:$S$83,77,J$12)="",NA(),INDEX(Mensual!$B$2:$S$83,77,J$12))))</f>
        <v/>
      </c>
      <c r="K91" s="45">
        <f>IF(OR($A91="",K$12=0),NA(),IF($C$9="Anual",IF(INDEX(Anual!$B$2:$J$8,77,K$12)="",NA(),INDEX(Anual!$B$2:$J$8,77,K$12)),IF(INDEX(Mensual!$B$2:$S$83,77,K$12)="",NA(),INDEX(Mensual!$B$2:$S$83,77,K$12))))</f>
        <v/>
      </c>
    </row>
    <row r="92">
      <c r="A92">
        <f>IF($C$9="Anual",IF(78&lt;=7,INDEX(Anual!$A$2:$A$8,78),""),IF(78&lt;=82,INDEX(Mensual!$A$2:$A$83,78),""))</f>
        <v/>
      </c>
      <c r="B92" s="52">
        <f>IF($C$10="Sí",H92/H$13*100,H92)</f>
        <v/>
      </c>
      <c r="C92" s="52">
        <f>IF($C$10="Sí",I92/I$13*100,I92)</f>
        <v/>
      </c>
      <c r="D92" s="52">
        <f>IF($C$10="Sí",J92/J$13*100,J92)</f>
        <v/>
      </c>
      <c r="E92" s="52">
        <f>IF($C$10="Sí",K92/K$13*100,K92)</f>
        <v/>
      </c>
      <c r="H92" s="45">
        <f>IF(OR($A92="",H$12=0),NA(),IF($C$9="Anual",IF(INDEX(Anual!$B$2:$J$8,78,H$12)="",NA(),INDEX(Anual!$B$2:$J$8,78,H$12)),IF(INDEX(Mensual!$B$2:$S$83,78,H$12)="",NA(),INDEX(Mensual!$B$2:$S$83,78,H$12))))</f>
        <v/>
      </c>
      <c r="I92" s="45">
        <f>IF(OR($A92="",I$12=0),NA(),IF($C$9="Anual",IF(INDEX(Anual!$B$2:$J$8,78,I$12)="",NA(),INDEX(Anual!$B$2:$J$8,78,I$12)),IF(INDEX(Mensual!$B$2:$S$83,78,I$12)="",NA(),INDEX(Mensual!$B$2:$S$83,78,I$12))))</f>
        <v/>
      </c>
      <c r="J92" s="45">
        <f>IF(OR($A92="",J$12=0),NA(),IF($C$9="Anual",IF(INDEX(Anual!$B$2:$J$8,78,J$12)="",NA(),INDEX(Anual!$B$2:$J$8,78,J$12)),IF(INDEX(Mensual!$B$2:$S$83,78,J$12)="",NA(),INDEX(Mensual!$B$2:$S$83,78,J$12))))</f>
        <v/>
      </c>
      <c r="K92" s="45">
        <f>IF(OR($A92="",K$12=0),NA(),IF($C$9="Anual",IF(INDEX(Anual!$B$2:$J$8,78,K$12)="",NA(),INDEX(Anual!$B$2:$J$8,78,K$12)),IF(INDEX(Mensual!$B$2:$S$83,78,K$12)="",NA(),INDEX(Mensual!$B$2:$S$83,78,K$12))))</f>
        <v/>
      </c>
    </row>
    <row r="93">
      <c r="A93">
        <f>IF($C$9="Anual",IF(79&lt;=7,INDEX(Anual!$A$2:$A$8,79),""),IF(79&lt;=82,INDEX(Mensual!$A$2:$A$83,79),""))</f>
        <v/>
      </c>
      <c r="B93" s="52">
        <f>IF($C$10="Sí",H93/H$13*100,H93)</f>
        <v/>
      </c>
      <c r="C93" s="52">
        <f>IF($C$10="Sí",I93/I$13*100,I93)</f>
        <v/>
      </c>
      <c r="D93" s="52">
        <f>IF($C$10="Sí",J93/J$13*100,J93)</f>
        <v/>
      </c>
      <c r="E93" s="52">
        <f>IF($C$10="Sí",K93/K$13*100,K93)</f>
        <v/>
      </c>
      <c r="H93" s="45">
        <f>IF(OR($A93="",H$12=0),NA(),IF($C$9="Anual",IF(INDEX(Anual!$B$2:$J$8,79,H$12)="",NA(),INDEX(Anual!$B$2:$J$8,79,H$12)),IF(INDEX(Mensual!$B$2:$S$83,79,H$12)="",NA(),INDEX(Mensual!$B$2:$S$83,79,H$12))))</f>
        <v/>
      </c>
      <c r="I93" s="45">
        <f>IF(OR($A93="",I$12=0),NA(),IF($C$9="Anual",IF(INDEX(Anual!$B$2:$J$8,79,I$12)="",NA(),INDEX(Anual!$B$2:$J$8,79,I$12)),IF(INDEX(Mensual!$B$2:$S$83,79,I$12)="",NA(),INDEX(Mensual!$B$2:$S$83,79,I$12))))</f>
        <v/>
      </c>
      <c r="J93" s="45">
        <f>IF(OR($A93="",J$12=0),NA(),IF($C$9="Anual",IF(INDEX(Anual!$B$2:$J$8,79,J$12)="",NA(),INDEX(Anual!$B$2:$J$8,79,J$12)),IF(INDEX(Mensual!$B$2:$S$83,79,J$12)="",NA(),INDEX(Mensual!$B$2:$S$83,79,J$12))))</f>
        <v/>
      </c>
      <c r="K93" s="45">
        <f>IF(OR($A93="",K$12=0),NA(),IF($C$9="Anual",IF(INDEX(Anual!$B$2:$J$8,79,K$12)="",NA(),INDEX(Anual!$B$2:$J$8,79,K$12)),IF(INDEX(Mensual!$B$2:$S$83,79,K$12)="",NA(),INDEX(Mensual!$B$2:$S$83,79,K$12))))</f>
        <v/>
      </c>
    </row>
    <row r="94">
      <c r="A94">
        <f>IF($C$9="Anual",IF(80&lt;=7,INDEX(Anual!$A$2:$A$8,80),""),IF(80&lt;=82,INDEX(Mensual!$A$2:$A$83,80),""))</f>
        <v/>
      </c>
      <c r="B94" s="52">
        <f>IF($C$10="Sí",H94/H$13*100,H94)</f>
        <v/>
      </c>
      <c r="C94" s="52">
        <f>IF($C$10="Sí",I94/I$13*100,I94)</f>
        <v/>
      </c>
      <c r="D94" s="52">
        <f>IF($C$10="Sí",J94/J$13*100,J94)</f>
        <v/>
      </c>
      <c r="E94" s="52">
        <f>IF($C$10="Sí",K94/K$13*100,K94)</f>
        <v/>
      </c>
      <c r="H94" s="45">
        <f>IF(OR($A94="",H$12=0),NA(),IF($C$9="Anual",IF(INDEX(Anual!$B$2:$J$8,80,H$12)="",NA(),INDEX(Anual!$B$2:$J$8,80,H$12)),IF(INDEX(Mensual!$B$2:$S$83,80,H$12)="",NA(),INDEX(Mensual!$B$2:$S$83,80,H$12))))</f>
        <v/>
      </c>
      <c r="I94" s="45">
        <f>IF(OR($A94="",I$12=0),NA(),IF($C$9="Anual",IF(INDEX(Anual!$B$2:$J$8,80,I$12)="",NA(),INDEX(Anual!$B$2:$J$8,80,I$12)),IF(INDEX(Mensual!$B$2:$S$83,80,I$12)="",NA(),INDEX(Mensual!$B$2:$S$83,80,I$12))))</f>
        <v/>
      </c>
      <c r="J94" s="45">
        <f>IF(OR($A94="",J$12=0),NA(),IF($C$9="Anual",IF(INDEX(Anual!$B$2:$J$8,80,J$12)="",NA(),INDEX(Anual!$B$2:$J$8,80,J$12)),IF(INDEX(Mensual!$B$2:$S$83,80,J$12)="",NA(),INDEX(Mensual!$B$2:$S$83,80,J$12))))</f>
        <v/>
      </c>
      <c r="K94" s="45">
        <f>IF(OR($A94="",K$12=0),NA(),IF($C$9="Anual",IF(INDEX(Anual!$B$2:$J$8,80,K$12)="",NA(),INDEX(Anual!$B$2:$J$8,80,K$12)),IF(INDEX(Mensual!$B$2:$S$83,80,K$12)="",NA(),INDEX(Mensual!$B$2:$S$83,80,K$12))))</f>
        <v/>
      </c>
    </row>
    <row r="95">
      <c r="A95">
        <f>IF($C$9="Anual",IF(81&lt;=7,INDEX(Anual!$A$2:$A$8,81),""),IF(81&lt;=82,INDEX(Mensual!$A$2:$A$83,81),""))</f>
        <v/>
      </c>
      <c r="B95" s="52">
        <f>IF($C$10="Sí",H95/H$13*100,H95)</f>
        <v/>
      </c>
      <c r="C95" s="52">
        <f>IF($C$10="Sí",I95/I$13*100,I95)</f>
        <v/>
      </c>
      <c r="D95" s="52">
        <f>IF($C$10="Sí",J95/J$13*100,J95)</f>
        <v/>
      </c>
      <c r="E95" s="52">
        <f>IF($C$10="Sí",K95/K$13*100,K95)</f>
        <v/>
      </c>
      <c r="H95" s="45">
        <f>IF(OR($A95="",H$12=0),NA(),IF($C$9="Anual",IF(INDEX(Anual!$B$2:$J$8,81,H$12)="",NA(),INDEX(Anual!$B$2:$J$8,81,H$12)),IF(INDEX(Mensual!$B$2:$S$83,81,H$12)="",NA(),INDEX(Mensual!$B$2:$S$83,81,H$12))))</f>
        <v/>
      </c>
      <c r="I95" s="45">
        <f>IF(OR($A95="",I$12=0),NA(),IF($C$9="Anual",IF(INDEX(Anual!$B$2:$J$8,81,I$12)="",NA(),INDEX(Anual!$B$2:$J$8,81,I$12)),IF(INDEX(Mensual!$B$2:$S$83,81,I$12)="",NA(),INDEX(Mensual!$B$2:$S$83,81,I$12))))</f>
        <v/>
      </c>
      <c r="J95" s="45">
        <f>IF(OR($A95="",J$12=0),NA(),IF($C$9="Anual",IF(INDEX(Anual!$B$2:$J$8,81,J$12)="",NA(),INDEX(Anual!$B$2:$J$8,81,J$12)),IF(INDEX(Mensual!$B$2:$S$83,81,J$12)="",NA(),INDEX(Mensual!$B$2:$S$83,81,J$12))))</f>
        <v/>
      </c>
      <c r="K95" s="45">
        <f>IF(OR($A95="",K$12=0),NA(),IF($C$9="Anual",IF(INDEX(Anual!$B$2:$J$8,81,K$12)="",NA(),INDEX(Anual!$B$2:$J$8,81,K$12)),IF(INDEX(Mensual!$B$2:$S$83,81,K$12)="",NA(),INDEX(Mensual!$B$2:$S$83,81,K$12))))</f>
        <v/>
      </c>
    </row>
    <row r="96">
      <c r="A96">
        <f>IF($C$9="Anual",IF(82&lt;=7,INDEX(Anual!$A$2:$A$8,82),""),IF(82&lt;=82,INDEX(Mensual!$A$2:$A$83,82),""))</f>
        <v/>
      </c>
      <c r="B96" s="52">
        <f>IF($C$10="Sí",H96/H$13*100,H96)</f>
        <v/>
      </c>
      <c r="C96" s="52">
        <f>IF($C$10="Sí",I96/I$13*100,I96)</f>
        <v/>
      </c>
      <c r="D96" s="52">
        <f>IF($C$10="Sí",J96/J$13*100,J96)</f>
        <v/>
      </c>
      <c r="E96" s="52">
        <f>IF($C$10="Sí",K96/K$13*100,K96)</f>
        <v/>
      </c>
      <c r="H96" s="45">
        <f>IF(OR($A96="",H$12=0),NA(),IF($C$9="Anual",IF(INDEX(Anual!$B$2:$J$8,82,H$12)="",NA(),INDEX(Anual!$B$2:$J$8,82,H$12)),IF(INDEX(Mensual!$B$2:$S$83,82,H$12)="",NA(),INDEX(Mensual!$B$2:$S$83,82,H$12))))</f>
        <v/>
      </c>
      <c r="I96" s="45">
        <f>IF(OR($A96="",I$12=0),NA(),IF($C$9="Anual",IF(INDEX(Anual!$B$2:$J$8,82,I$12)="",NA(),INDEX(Anual!$B$2:$J$8,82,I$12)),IF(INDEX(Mensual!$B$2:$S$83,82,I$12)="",NA(),INDEX(Mensual!$B$2:$S$83,82,I$12))))</f>
        <v/>
      </c>
      <c r="J96" s="45">
        <f>IF(OR($A96="",J$12=0),NA(),IF($C$9="Anual",IF(INDEX(Anual!$B$2:$J$8,82,J$12)="",NA(),INDEX(Anual!$B$2:$J$8,82,J$12)),IF(INDEX(Mensual!$B$2:$S$83,82,J$12)="",NA(),INDEX(Mensual!$B$2:$S$83,82,J$12))))</f>
        <v/>
      </c>
      <c r="K96" s="45">
        <f>IF(OR($A96="",K$12=0),NA(),IF($C$9="Anual",IF(INDEX(Anual!$B$2:$J$8,82,K$12)="",NA(),INDEX(Anual!$B$2:$J$8,82,K$12)),IF(INDEX(Mensual!$B$2:$S$83,82,K$12)="",NA(),INDEX(Mensual!$B$2:$S$83,82,K$12))))</f>
        <v/>
      </c>
    </row>
  </sheetData>
  <dataValidations count="3">
    <dataValidation sqref="C5 C6 C7 C8" showDropDown="0" showInputMessage="0" showErrorMessage="0" allowBlank="1" type="list">
      <formula1>=$P$5:$P$13</formula1>
    </dataValidation>
    <dataValidation sqref="C9" showDropDown="0" showInputMessage="0" showErrorMessage="0" allowBlank="0" type="list">
      <formula1>"Mensual,Anual"</formula1>
    </dataValidation>
    <dataValidation sqref="C10" showDropDown="0" showInputMessage="0" showErrorMessage="0" allowBlank="0" type="list">
      <formula1>"No,Sí"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49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16" customWidth="1" min="4" max="4"/>
    <col width="13" customWidth="1" min="5" max="5"/>
    <col width="13" customWidth="1" min="6" max="6"/>
    <col width="24" customWidth="1" min="7" max="7"/>
    <col width="55" customWidth="1" min="8" max="8"/>
    <col width="30" customWidth="1" min="9" max="9"/>
    <col width="15" customWidth="1" min="10" max="10"/>
    <col width="30" customWidth="1" min="11" max="11"/>
    <col width="55" customWidth="1" min="12" max="12"/>
  </cols>
  <sheetData>
    <row r="1">
      <c r="A1" s="25" t="inlineStr">
        <is>
          <t>1. Electricidad: precio del mercado diario OMIE, España</t>
        </is>
      </c>
    </row>
    <row r="2">
      <c r="A2" s="2" t="inlineStr">
        <is>
          <t>Fuente: OMIE, ficheros marginalpdbc (precio marginal del mercado diario). Unidad original: €/MWh. Frecuencia: diaria (media aritmética de los periodos horarios o cuarto-horarios del día). Impuestos del dato original: sin impuestos (precio mayorista). Conversión: €/MWh ÷ 1.000 = €/kWh</t>
        </is>
      </c>
    </row>
    <row r="4">
      <c r="A4" t="inlineStr">
        <is>
          <t>Fecha</t>
        </is>
      </c>
      <c r="B4" t="inlineStr">
        <is>
          <t>Periodo</t>
        </is>
      </c>
      <c r="C4" t="inlineStr">
        <is>
          <t>Valor original</t>
        </is>
      </c>
      <c r="D4" t="inlineStr">
        <is>
          <t>Unidad</t>
        </is>
      </c>
      <c r="E4" t="inlineStr">
        <is>
          <t>€/kWh sin impuestos</t>
        </is>
      </c>
      <c r="F4" t="inlineStr">
        <is>
          <t>€/kWh con impuestos</t>
        </is>
      </c>
      <c r="G4" t="inlineStr">
        <is>
          <t>Origen del precio con impuestos</t>
        </is>
      </c>
      <c r="H4" t="inlineStr">
        <is>
          <t>Impuestos aplicados</t>
        </is>
      </c>
      <c r="I4" t="inlineStr">
        <is>
          <t>Pendiente</t>
        </is>
      </c>
      <c r="J4" t="inlineStr">
        <is>
          <t>Fecha de publicación</t>
        </is>
      </c>
      <c r="K4" t="inlineStr">
        <is>
          <t>Referencia (fichero / BOE / PDF)</t>
        </is>
      </c>
      <c r="L4" t="inlineStr">
        <is>
          <t>Nota</t>
        </is>
      </c>
    </row>
    <row r="5">
      <c r="A5" s="53" t="n">
        <v>43831</v>
      </c>
      <c r="B5" t="inlineStr">
        <is>
          <t>2020-01-01</t>
        </is>
      </c>
      <c r="C5" s="45" t="n">
        <v>35.5404</v>
      </c>
      <c r="D5" t="inlineStr">
        <is>
          <t>€/MWh</t>
        </is>
      </c>
      <c r="E5" s="54" t="n">
        <v>0.03554</v>
      </c>
      <c r="F5" s="54" t="n"/>
      <c r="G5" t="inlineStr">
        <is>
          <t>no aplica (precio mayorista)</t>
        </is>
      </c>
      <c r="J5" t="inlineStr">
        <is>
          <t>2019-12-31</t>
        </is>
      </c>
      <c r="K5" t="inlineStr">
        <is>
          <t>marginalpdbc_20200101.1</t>
        </is>
      </c>
      <c r="L5" t="inlineStr">
        <is>
          <t>24 periodos; mín 30.00, máx 46.16 €/MWh</t>
        </is>
      </c>
    </row>
    <row r="6">
      <c r="A6" s="53" t="n">
        <v>43832</v>
      </c>
      <c r="B6" t="inlineStr">
        <is>
          <t>2020-01-02</t>
        </is>
      </c>
      <c r="C6" s="45" t="n">
        <v>39.995</v>
      </c>
      <c r="D6" t="inlineStr">
        <is>
          <t>€/MWh</t>
        </is>
      </c>
      <c r="E6" s="54" t="n">
        <v>0.039995</v>
      </c>
      <c r="F6" s="54" t="n"/>
      <c r="G6" t="inlineStr">
        <is>
          <t>no aplica (precio mayorista)</t>
        </is>
      </c>
      <c r="J6" t="inlineStr">
        <is>
          <t>2020-01-01</t>
        </is>
      </c>
      <c r="K6" t="inlineStr">
        <is>
          <t>marginalpdbc_20200102.1</t>
        </is>
      </c>
      <c r="L6" t="inlineStr">
        <is>
          <t>24 periodos; mín 28.42, máx 46.72 €/MWh</t>
        </is>
      </c>
    </row>
    <row r="7">
      <c r="A7" s="53" t="n">
        <v>43833</v>
      </c>
      <c r="B7" t="inlineStr">
        <is>
          <t>2020-01-03</t>
        </is>
      </c>
      <c r="C7" s="45" t="n">
        <v>39.5063</v>
      </c>
      <c r="D7" t="inlineStr">
        <is>
          <t>€/MWh</t>
        </is>
      </c>
      <c r="E7" s="54" t="n">
        <v>0.039506</v>
      </c>
      <c r="F7" s="54" t="n"/>
      <c r="G7" t="inlineStr">
        <is>
          <t>no aplica (precio mayorista)</t>
        </is>
      </c>
      <c r="J7" t="inlineStr">
        <is>
          <t>2020-01-02</t>
        </is>
      </c>
      <c r="K7" t="inlineStr">
        <is>
          <t>marginalpdbc_20200103.1</t>
        </is>
      </c>
      <c r="L7" t="inlineStr">
        <is>
          <t>24 periodos; mín 29.74, máx 47.23 €/MWh</t>
        </is>
      </c>
    </row>
    <row r="8">
      <c r="A8" s="53" t="n">
        <v>43834</v>
      </c>
      <c r="B8" t="inlineStr">
        <is>
          <t>2020-01-04</t>
        </is>
      </c>
      <c r="C8" s="45" t="n">
        <v>35.6708</v>
      </c>
      <c r="D8" t="inlineStr">
        <is>
          <t>€/MWh</t>
        </is>
      </c>
      <c r="E8" s="54" t="n">
        <v>0.035671</v>
      </c>
      <c r="F8" s="54" t="n"/>
      <c r="G8" t="inlineStr">
        <is>
          <t>no aplica (precio mayorista)</t>
        </is>
      </c>
      <c r="J8" t="inlineStr">
        <is>
          <t>2020-01-03</t>
        </is>
      </c>
      <c r="K8" t="inlineStr">
        <is>
          <t>marginalpdbc_20200104.1</t>
        </is>
      </c>
      <c r="L8" t="inlineStr">
        <is>
          <t>24 periodos; mín 29.84, máx 44.44 €/MWh</t>
        </is>
      </c>
    </row>
    <row r="9">
      <c r="A9" s="53" t="n">
        <v>43835</v>
      </c>
      <c r="B9" t="inlineStr">
        <is>
          <t>2020-01-05</t>
        </is>
      </c>
      <c r="C9" s="45" t="n">
        <v>38.1754</v>
      </c>
      <c r="D9" t="inlineStr">
        <is>
          <t>€/MWh</t>
        </is>
      </c>
      <c r="E9" s="54" t="n">
        <v>0.038175</v>
      </c>
      <c r="F9" s="54" t="n"/>
      <c r="G9" t="inlineStr">
        <is>
          <t>no aplica (precio mayorista)</t>
        </is>
      </c>
      <c r="J9" t="inlineStr">
        <is>
          <t>2020-01-04</t>
        </is>
      </c>
      <c r="K9" t="inlineStr">
        <is>
          <t>marginalpdbc_20200105.1</t>
        </is>
      </c>
      <c r="L9" t="inlineStr">
        <is>
          <t>24 periodos; mín 29.88, máx 53.29 €/MWh</t>
        </is>
      </c>
    </row>
    <row r="10">
      <c r="A10" s="53" t="n">
        <v>43836</v>
      </c>
      <c r="B10" t="inlineStr">
        <is>
          <t>2020-01-06</t>
        </is>
      </c>
      <c r="C10" s="45" t="n">
        <v>42.1662</v>
      </c>
      <c r="D10" t="inlineStr">
        <is>
          <t>€/MWh</t>
        </is>
      </c>
      <c r="E10" s="54" t="n">
        <v>0.042166</v>
      </c>
      <c r="F10" s="54" t="n"/>
      <c r="G10" t="inlineStr">
        <is>
          <t>no aplica (precio mayorista)</t>
        </is>
      </c>
      <c r="J10" t="inlineStr">
        <is>
          <t>2020-01-05</t>
        </is>
      </c>
      <c r="K10" t="inlineStr">
        <is>
          <t>marginalpdbc_20200106.1</t>
        </is>
      </c>
      <c r="L10" t="inlineStr">
        <is>
          <t>24 periodos; mín 31.50, máx 49.01 €/MWh</t>
        </is>
      </c>
    </row>
    <row r="11">
      <c r="A11" s="53" t="n">
        <v>43837</v>
      </c>
      <c r="B11" t="inlineStr">
        <is>
          <t>2020-01-07</t>
        </is>
      </c>
      <c r="C11" s="45" t="n">
        <v>47.0125</v>
      </c>
      <c r="D11" t="inlineStr">
        <is>
          <t>€/MWh</t>
        </is>
      </c>
      <c r="E11" s="54" t="n">
        <v>0.047012</v>
      </c>
      <c r="F11" s="54" t="n"/>
      <c r="G11" t="inlineStr">
        <is>
          <t>no aplica (precio mayorista)</t>
        </is>
      </c>
      <c r="J11" t="inlineStr">
        <is>
          <t>2020-01-06</t>
        </is>
      </c>
      <c r="K11" t="inlineStr">
        <is>
          <t>marginalpdbc_20200107.1</t>
        </is>
      </c>
      <c r="L11" t="inlineStr">
        <is>
          <t>24 periodos; mín 33.01, máx 56.26 €/MWh</t>
        </is>
      </c>
    </row>
    <row r="12">
      <c r="A12" s="53" t="n">
        <v>43838</v>
      </c>
      <c r="B12" t="inlineStr">
        <is>
          <t>2020-01-08</t>
        </is>
      </c>
      <c r="C12" s="45" t="n">
        <v>46.8062</v>
      </c>
      <c r="D12" t="inlineStr">
        <is>
          <t>€/MWh</t>
        </is>
      </c>
      <c r="E12" s="54" t="n">
        <v>0.046806</v>
      </c>
      <c r="F12" s="54" t="n"/>
      <c r="G12" t="inlineStr">
        <is>
          <t>no aplica (precio mayorista)</t>
        </is>
      </c>
      <c r="J12" t="inlineStr">
        <is>
          <t>2020-01-07</t>
        </is>
      </c>
      <c r="K12" t="inlineStr">
        <is>
          <t>marginalpdbc_20200108.1</t>
        </is>
      </c>
      <c r="L12" t="inlineStr">
        <is>
          <t>24 periodos; mín 33.07, máx 55.92 €/MWh</t>
        </is>
      </c>
    </row>
    <row r="13">
      <c r="A13" s="53" t="n">
        <v>43839</v>
      </c>
      <c r="B13" t="inlineStr">
        <is>
          <t>2020-01-09</t>
        </is>
      </c>
      <c r="C13" s="45" t="n">
        <v>44.2058</v>
      </c>
      <c r="D13" t="inlineStr">
        <is>
          <t>€/MWh</t>
        </is>
      </c>
      <c r="E13" s="54" t="n">
        <v>0.044206</v>
      </c>
      <c r="F13" s="54" t="n"/>
      <c r="G13" t="inlineStr">
        <is>
          <t>no aplica (precio mayorista)</t>
        </is>
      </c>
      <c r="J13" t="inlineStr">
        <is>
          <t>2020-01-08</t>
        </is>
      </c>
      <c r="K13" t="inlineStr">
        <is>
          <t>marginalpdbc_20200109.1</t>
        </is>
      </c>
      <c r="L13" t="inlineStr">
        <is>
          <t>24 periodos; mín 33.56, máx 53.31 €/MWh</t>
        </is>
      </c>
    </row>
    <row r="14">
      <c r="A14" s="53" t="n">
        <v>43840</v>
      </c>
      <c r="B14" t="inlineStr">
        <is>
          <t>2020-01-10</t>
        </is>
      </c>
      <c r="C14" s="45" t="n">
        <v>40.5692</v>
      </c>
      <c r="D14" t="inlineStr">
        <is>
          <t>€/MWh</t>
        </is>
      </c>
      <c r="E14" s="54" t="n">
        <v>0.040569</v>
      </c>
      <c r="F14" s="54" t="n"/>
      <c r="G14" t="inlineStr">
        <is>
          <t>no aplica (precio mayorista)</t>
        </is>
      </c>
      <c r="J14" t="inlineStr">
        <is>
          <t>2020-01-09</t>
        </is>
      </c>
      <c r="K14" t="inlineStr">
        <is>
          <t>marginalpdbc_20200110.1</t>
        </is>
      </c>
      <c r="L14" t="inlineStr">
        <is>
          <t>24 periodos; mín 27.65, máx 50.85 €/MWh</t>
        </is>
      </c>
    </row>
    <row r="15">
      <c r="A15" s="53" t="n">
        <v>43841</v>
      </c>
      <c r="B15" t="inlineStr">
        <is>
          <t>2020-01-11</t>
        </is>
      </c>
      <c r="C15" s="45" t="n">
        <v>41.8392</v>
      </c>
      <c r="D15" t="inlineStr">
        <is>
          <t>€/MWh</t>
        </is>
      </c>
      <c r="E15" s="54" t="n">
        <v>0.041839</v>
      </c>
      <c r="F15" s="54" t="n"/>
      <c r="G15" t="inlineStr">
        <is>
          <t>no aplica (precio mayorista)</t>
        </is>
      </c>
      <c r="J15" t="inlineStr">
        <is>
          <t>2020-01-10</t>
        </is>
      </c>
      <c r="K15" t="inlineStr">
        <is>
          <t>marginalpdbc_20200111.1</t>
        </is>
      </c>
      <c r="L15" t="inlineStr">
        <is>
          <t>24 periodos; mín 34.13, máx 56.26 €/MWh</t>
        </is>
      </c>
    </row>
    <row r="16">
      <c r="A16" s="53" t="n">
        <v>43842</v>
      </c>
      <c r="B16" t="inlineStr">
        <is>
          <t>2020-01-12</t>
        </is>
      </c>
      <c r="C16" s="45" t="n">
        <v>42.3596</v>
      </c>
      <c r="D16" t="inlineStr">
        <is>
          <t>€/MWh</t>
        </is>
      </c>
      <c r="E16" s="54" t="n">
        <v>0.04236</v>
      </c>
      <c r="F16" s="54" t="n"/>
      <c r="G16" t="inlineStr">
        <is>
          <t>no aplica (precio mayorista)</t>
        </is>
      </c>
      <c r="J16" t="inlineStr">
        <is>
          <t>2020-01-11</t>
        </is>
      </c>
      <c r="K16" t="inlineStr">
        <is>
          <t>marginalpdbc_20200112.1</t>
        </is>
      </c>
      <c r="L16" t="inlineStr">
        <is>
          <t>24 periodos; mín 37.03, máx 55.98 €/MWh</t>
        </is>
      </c>
    </row>
    <row r="17">
      <c r="A17" s="53" t="n">
        <v>43843</v>
      </c>
      <c r="B17" t="inlineStr">
        <is>
          <t>2020-01-13</t>
        </is>
      </c>
      <c r="C17" s="45" t="n">
        <v>46.4871</v>
      </c>
      <c r="D17" t="inlineStr">
        <is>
          <t>€/MWh</t>
        </is>
      </c>
      <c r="E17" s="54" t="n">
        <v>0.046487</v>
      </c>
      <c r="F17" s="54" t="n"/>
      <c r="G17" t="inlineStr">
        <is>
          <t>no aplica (precio mayorista)</t>
        </is>
      </c>
      <c r="J17" t="inlineStr">
        <is>
          <t>2020-01-12</t>
        </is>
      </c>
      <c r="K17" t="inlineStr">
        <is>
          <t>marginalpdbc_20200113.1</t>
        </is>
      </c>
      <c r="L17" t="inlineStr">
        <is>
          <t>24 periodos; mín 34.10, máx 52.93 €/MWh</t>
        </is>
      </c>
    </row>
    <row r="18">
      <c r="A18" s="53" t="n">
        <v>43844</v>
      </c>
      <c r="B18" t="inlineStr">
        <is>
          <t>2020-01-14</t>
        </is>
      </c>
      <c r="C18" s="45" t="n">
        <v>38.6779</v>
      </c>
      <c r="D18" t="inlineStr">
        <is>
          <t>€/MWh</t>
        </is>
      </c>
      <c r="E18" s="54" t="n">
        <v>0.038678</v>
      </c>
      <c r="F18" s="54" t="n"/>
      <c r="G18" t="inlineStr">
        <is>
          <t>no aplica (precio mayorista)</t>
        </is>
      </c>
      <c r="J18" t="inlineStr">
        <is>
          <t>2020-01-13</t>
        </is>
      </c>
      <c r="K18" t="inlineStr">
        <is>
          <t>marginalpdbc_20200114.1</t>
        </is>
      </c>
      <c r="L18" t="inlineStr">
        <is>
          <t>24 periodos; mín 29.53, máx 46.75 €/MWh</t>
        </is>
      </c>
    </row>
    <row r="19">
      <c r="A19" s="53" t="n">
        <v>43845</v>
      </c>
      <c r="B19" t="inlineStr">
        <is>
          <t>2020-01-15</t>
        </is>
      </c>
      <c r="C19" s="45" t="n">
        <v>38.4513</v>
      </c>
      <c r="D19" t="inlineStr">
        <is>
          <t>€/MWh</t>
        </is>
      </c>
      <c r="E19" s="54" t="n">
        <v>0.038451</v>
      </c>
      <c r="F19" s="54" t="n"/>
      <c r="G19" t="inlineStr">
        <is>
          <t>no aplica (precio mayorista)</t>
        </is>
      </c>
      <c r="J19" t="inlineStr">
        <is>
          <t>2020-01-14</t>
        </is>
      </c>
      <c r="K19" t="inlineStr">
        <is>
          <t>marginalpdbc_20200115.1</t>
        </is>
      </c>
      <c r="L19" t="inlineStr">
        <is>
          <t>24 periodos; mín 16.67, máx 52.80 €/MWh</t>
        </is>
      </c>
    </row>
    <row r="20">
      <c r="A20" s="53" t="n">
        <v>43846</v>
      </c>
      <c r="B20" t="inlineStr">
        <is>
          <t>2020-01-16</t>
        </is>
      </c>
      <c r="C20" s="45" t="n">
        <v>38.53</v>
      </c>
      <c r="D20" t="inlineStr">
        <is>
          <t>€/MWh</t>
        </is>
      </c>
      <c r="E20" s="54" t="n">
        <v>0.03853</v>
      </c>
      <c r="F20" s="54" t="n"/>
      <c r="G20" t="inlineStr">
        <is>
          <t>no aplica (precio mayorista)</t>
        </is>
      </c>
      <c r="J20" t="inlineStr">
        <is>
          <t>2020-01-15</t>
        </is>
      </c>
      <c r="K20" t="inlineStr">
        <is>
          <t>marginalpdbc_20200116.1</t>
        </is>
      </c>
      <c r="L20" t="inlineStr">
        <is>
          <t>24 periodos; mín 29.72, máx 52.40 €/MWh</t>
        </is>
      </c>
    </row>
    <row r="21">
      <c r="A21" s="53" t="n">
        <v>43847</v>
      </c>
      <c r="B21" t="inlineStr">
        <is>
          <t>2020-01-17</t>
        </is>
      </c>
      <c r="C21" s="45" t="n">
        <v>39.3967</v>
      </c>
      <c r="D21" t="inlineStr">
        <is>
          <t>€/MWh</t>
        </is>
      </c>
      <c r="E21" s="54" t="n">
        <v>0.039397</v>
      </c>
      <c r="F21" s="54" t="n"/>
      <c r="G21" t="inlineStr">
        <is>
          <t>no aplica (precio mayorista)</t>
        </is>
      </c>
      <c r="J21" t="inlineStr">
        <is>
          <t>2020-01-16</t>
        </is>
      </c>
      <c r="K21" t="inlineStr">
        <is>
          <t>marginalpdbc_20200117.1</t>
        </is>
      </c>
      <c r="L21" t="inlineStr">
        <is>
          <t>24 periodos; mín 25.71, máx 51.75 €/MWh</t>
        </is>
      </c>
    </row>
    <row r="22">
      <c r="A22" s="53" t="n">
        <v>43848</v>
      </c>
      <c r="B22" t="inlineStr">
        <is>
          <t>2020-01-18</t>
        </is>
      </c>
      <c r="C22" s="45" t="n">
        <v>38.2954</v>
      </c>
      <c r="D22" t="inlineStr">
        <is>
          <t>€/MWh</t>
        </is>
      </c>
      <c r="E22" s="54" t="n">
        <v>0.038295</v>
      </c>
      <c r="F22" s="54" t="n"/>
      <c r="G22" t="inlineStr">
        <is>
          <t>no aplica (precio mayorista)</t>
        </is>
      </c>
      <c r="J22" t="inlineStr">
        <is>
          <t>2020-01-17</t>
        </is>
      </c>
      <c r="K22" t="inlineStr">
        <is>
          <t>marginalpdbc_20200118.1</t>
        </is>
      </c>
      <c r="L22" t="inlineStr">
        <is>
          <t>24 periodos; mín 32.05, máx 45.00 €/MWh</t>
        </is>
      </c>
    </row>
    <row r="23">
      <c r="A23" s="53" t="n">
        <v>43849</v>
      </c>
      <c r="B23" t="inlineStr">
        <is>
          <t>2020-01-19</t>
        </is>
      </c>
      <c r="C23" s="45" t="n">
        <v>29.7646</v>
      </c>
      <c r="D23" t="inlineStr">
        <is>
          <t>€/MWh</t>
        </is>
      </c>
      <c r="E23" s="54" t="n">
        <v>0.029765</v>
      </c>
      <c r="F23" s="54" t="n"/>
      <c r="G23" t="inlineStr">
        <is>
          <t>no aplica (precio mayorista)</t>
        </is>
      </c>
      <c r="J23" t="inlineStr">
        <is>
          <t>2020-01-18</t>
        </is>
      </c>
      <c r="K23" t="inlineStr">
        <is>
          <t>marginalpdbc_20200119.1</t>
        </is>
      </c>
      <c r="L23" t="inlineStr">
        <is>
          <t>24 periodos; mín 25.80, máx 37.43 €/MWh</t>
        </is>
      </c>
    </row>
    <row r="24">
      <c r="A24" s="53" t="n">
        <v>43850</v>
      </c>
      <c r="B24" t="inlineStr">
        <is>
          <t>2020-01-20</t>
        </is>
      </c>
      <c r="C24" s="45" t="n">
        <v>35.7108</v>
      </c>
      <c r="D24" t="inlineStr">
        <is>
          <t>€/MWh</t>
        </is>
      </c>
      <c r="E24" s="54" t="n">
        <v>0.035711</v>
      </c>
      <c r="F24" s="54" t="n"/>
      <c r="G24" t="inlineStr">
        <is>
          <t>no aplica (precio mayorista)</t>
        </is>
      </c>
      <c r="J24" t="inlineStr">
        <is>
          <t>2020-01-19</t>
        </is>
      </c>
      <c r="K24" t="inlineStr">
        <is>
          <t>marginalpdbc_20200120.1</t>
        </is>
      </c>
      <c r="L24" t="inlineStr">
        <is>
          <t>24 periodos; mín 14.00, máx 50.70 €/MWh</t>
        </is>
      </c>
    </row>
    <row r="25">
      <c r="A25" s="53" t="n">
        <v>43851</v>
      </c>
      <c r="B25" t="inlineStr">
        <is>
          <t>2020-01-21</t>
        </is>
      </c>
      <c r="C25" s="45" t="n">
        <v>39.1046</v>
      </c>
      <c r="D25" t="inlineStr">
        <is>
          <t>€/MWh</t>
        </is>
      </c>
      <c r="E25" s="54" t="n">
        <v>0.039105</v>
      </c>
      <c r="F25" s="54" t="n"/>
      <c r="G25" t="inlineStr">
        <is>
          <t>no aplica (precio mayorista)</t>
        </is>
      </c>
      <c r="J25" t="inlineStr">
        <is>
          <t>2020-01-20</t>
        </is>
      </c>
      <c r="K25" t="inlineStr">
        <is>
          <t>marginalpdbc_20200121.1</t>
        </is>
      </c>
      <c r="L25" t="inlineStr">
        <is>
          <t>24 periodos; mín 28.28, máx 50.00 €/MWh</t>
        </is>
      </c>
    </row>
    <row r="26">
      <c r="A26" s="53" t="n">
        <v>43852</v>
      </c>
      <c r="B26" t="inlineStr">
        <is>
          <t>2020-01-22</t>
        </is>
      </c>
      <c r="C26" s="45" t="n">
        <v>47.2713</v>
      </c>
      <c r="D26" t="inlineStr">
        <is>
          <t>€/MWh</t>
        </is>
      </c>
      <c r="E26" s="54" t="n">
        <v>0.047271</v>
      </c>
      <c r="F26" s="54" t="n"/>
      <c r="G26" t="inlineStr">
        <is>
          <t>no aplica (precio mayorista)</t>
        </is>
      </c>
      <c r="J26" t="inlineStr">
        <is>
          <t>2020-01-21</t>
        </is>
      </c>
      <c r="K26" t="inlineStr">
        <is>
          <t>marginalpdbc_20200122.1</t>
        </is>
      </c>
      <c r="L26" t="inlineStr">
        <is>
          <t>24 periodos; mín 33.70, máx 59.58 €/MWh</t>
        </is>
      </c>
    </row>
    <row r="27">
      <c r="A27" s="53" t="n">
        <v>43853</v>
      </c>
      <c r="B27" t="inlineStr">
        <is>
          <t>2020-01-23</t>
        </is>
      </c>
      <c r="C27" s="45" t="n">
        <v>53.9542</v>
      </c>
      <c r="D27" t="inlineStr">
        <is>
          <t>€/MWh</t>
        </is>
      </c>
      <c r="E27" s="54" t="n">
        <v>0.053954</v>
      </c>
      <c r="F27" s="54" t="n"/>
      <c r="G27" t="inlineStr">
        <is>
          <t>no aplica (precio mayorista)</t>
        </is>
      </c>
      <c r="J27" t="inlineStr">
        <is>
          <t>2020-01-22</t>
        </is>
      </c>
      <c r="K27" t="inlineStr">
        <is>
          <t>marginalpdbc_20200123.1</t>
        </is>
      </c>
      <c r="L27" t="inlineStr">
        <is>
          <t>24 periodos; mín 44.94, máx 62.48 €/MWh</t>
        </is>
      </c>
    </row>
    <row r="28">
      <c r="A28" s="53" t="n">
        <v>43854</v>
      </c>
      <c r="B28" t="inlineStr">
        <is>
          <t>2020-01-24</t>
        </is>
      </c>
      <c r="C28" s="45" t="n">
        <v>53.7058</v>
      </c>
      <c r="D28" t="inlineStr">
        <is>
          <t>€/MWh</t>
        </is>
      </c>
      <c r="E28" s="54" t="n">
        <v>0.053706</v>
      </c>
      <c r="F28" s="54" t="n"/>
      <c r="G28" t="inlineStr">
        <is>
          <t>no aplica (precio mayorista)</t>
        </is>
      </c>
      <c r="J28" t="inlineStr">
        <is>
          <t>2020-01-23</t>
        </is>
      </c>
      <c r="K28" t="inlineStr">
        <is>
          <t>marginalpdbc_20200124.1</t>
        </is>
      </c>
      <c r="L28" t="inlineStr">
        <is>
          <t>24 periodos; mín 42.04, máx 62.30 €/MWh</t>
        </is>
      </c>
    </row>
    <row r="29">
      <c r="A29" s="53" t="n">
        <v>43855</v>
      </c>
      <c r="B29" t="inlineStr">
        <is>
          <t>2020-01-25</t>
        </is>
      </c>
      <c r="C29" s="45" t="n">
        <v>48.1754</v>
      </c>
      <c r="D29" t="inlineStr">
        <is>
          <t>€/MWh</t>
        </is>
      </c>
      <c r="E29" s="54" t="n">
        <v>0.048175</v>
      </c>
      <c r="F29" s="54" t="n"/>
      <c r="G29" t="inlineStr">
        <is>
          <t>no aplica (precio mayorista)</t>
        </is>
      </c>
      <c r="J29" t="inlineStr">
        <is>
          <t>2020-01-24</t>
        </is>
      </c>
      <c r="K29" t="inlineStr">
        <is>
          <t>marginalpdbc_20200125.1</t>
        </is>
      </c>
      <c r="L29" t="inlineStr">
        <is>
          <t>24 periodos; mín 41.96, máx 53.70 €/MWh</t>
        </is>
      </c>
    </row>
    <row r="30">
      <c r="A30" s="53" t="n">
        <v>43856</v>
      </c>
      <c r="B30" t="inlineStr">
        <is>
          <t>2020-01-26</t>
        </is>
      </c>
      <c r="C30" s="45" t="n">
        <v>40.0079</v>
      </c>
      <c r="D30" t="inlineStr">
        <is>
          <t>€/MWh</t>
        </is>
      </c>
      <c r="E30" s="54" t="n">
        <v>0.040008</v>
      </c>
      <c r="F30" s="54" t="n"/>
      <c r="G30" t="inlineStr">
        <is>
          <t>no aplica (precio mayorista)</t>
        </is>
      </c>
      <c r="J30" t="inlineStr">
        <is>
          <t>2020-01-25</t>
        </is>
      </c>
      <c r="K30" t="inlineStr">
        <is>
          <t>marginalpdbc_20200126.1</t>
        </is>
      </c>
      <c r="L30" t="inlineStr">
        <is>
          <t>24 periodos; mín 33.43, máx 48.00 €/MWh</t>
        </is>
      </c>
    </row>
    <row r="31">
      <c r="A31" s="53" t="n">
        <v>43857</v>
      </c>
      <c r="B31" t="inlineStr">
        <is>
          <t>2020-01-27</t>
        </is>
      </c>
      <c r="C31" s="45" t="n">
        <v>39.3404</v>
      </c>
      <c r="D31" t="inlineStr">
        <is>
          <t>€/MWh</t>
        </is>
      </c>
      <c r="E31" s="54" t="n">
        <v>0.03934</v>
      </c>
      <c r="F31" s="54" t="n"/>
      <c r="G31" t="inlineStr">
        <is>
          <t>no aplica (precio mayorista)</t>
        </is>
      </c>
      <c r="J31" t="inlineStr">
        <is>
          <t>2020-01-26</t>
        </is>
      </c>
      <c r="K31" t="inlineStr">
        <is>
          <t>marginalpdbc_20200127.1</t>
        </is>
      </c>
      <c r="L31" t="inlineStr">
        <is>
          <t>24 periodos; mín 31.60, máx 47.12 €/MWh</t>
        </is>
      </c>
    </row>
    <row r="32">
      <c r="A32" s="53" t="n">
        <v>43858</v>
      </c>
      <c r="B32" t="inlineStr">
        <is>
          <t>2020-01-28</t>
        </is>
      </c>
      <c r="C32" s="45" t="n">
        <v>38.4704</v>
      </c>
      <c r="D32" t="inlineStr">
        <is>
          <t>€/MWh</t>
        </is>
      </c>
      <c r="E32" s="54" t="n">
        <v>0.03847</v>
      </c>
      <c r="F32" s="54" t="n"/>
      <c r="G32" t="inlineStr">
        <is>
          <t>no aplica (precio mayorista)</t>
        </is>
      </c>
      <c r="J32" t="inlineStr">
        <is>
          <t>2020-01-27</t>
        </is>
      </c>
      <c r="K32" t="inlineStr">
        <is>
          <t>marginalpdbc_20200128.1</t>
        </is>
      </c>
      <c r="L32" t="inlineStr">
        <is>
          <t>24 periodos; mín 24.99, máx 51.00 €/MWh</t>
        </is>
      </c>
    </row>
    <row r="33">
      <c r="A33" s="53" t="n">
        <v>43859</v>
      </c>
      <c r="B33" t="inlineStr">
        <is>
          <t>2020-01-29</t>
        </is>
      </c>
      <c r="C33" s="45" t="n">
        <v>39.7713</v>
      </c>
      <c r="D33" t="inlineStr">
        <is>
          <t>€/MWh</t>
        </is>
      </c>
      <c r="E33" s="54" t="n">
        <v>0.039771</v>
      </c>
      <c r="F33" s="54" t="n"/>
      <c r="G33" t="inlineStr">
        <is>
          <t>no aplica (precio mayorista)</t>
        </is>
      </c>
      <c r="J33" t="inlineStr">
        <is>
          <t>2020-01-28</t>
        </is>
      </c>
      <c r="K33" t="inlineStr">
        <is>
          <t>marginalpdbc_20200129.1</t>
        </is>
      </c>
      <c r="L33" t="inlineStr">
        <is>
          <t>24 periodos; mín 29.99, máx 46.47 €/MWh</t>
        </is>
      </c>
    </row>
    <row r="34">
      <c r="A34" s="53" t="n">
        <v>43860</v>
      </c>
      <c r="B34" t="inlineStr">
        <is>
          <t>2020-01-30</t>
        </is>
      </c>
      <c r="C34" s="45" t="n">
        <v>37.9487</v>
      </c>
      <c r="D34" t="inlineStr">
        <is>
          <t>€/MWh</t>
        </is>
      </c>
      <c r="E34" s="54" t="n">
        <v>0.037949</v>
      </c>
      <c r="F34" s="54" t="n"/>
      <c r="G34" t="inlineStr">
        <is>
          <t>no aplica (precio mayorista)</t>
        </is>
      </c>
      <c r="J34" t="inlineStr">
        <is>
          <t>2020-01-29</t>
        </is>
      </c>
      <c r="K34" t="inlineStr">
        <is>
          <t>marginalpdbc_20200130.1</t>
        </is>
      </c>
      <c r="L34" t="inlineStr">
        <is>
          <t>24 periodos; mín 25.90, máx 45.29 €/MWh</t>
        </is>
      </c>
    </row>
    <row r="35">
      <c r="A35" s="53" t="n">
        <v>43861</v>
      </c>
      <c r="B35" t="inlineStr">
        <is>
          <t>2020-01-31</t>
        </is>
      </c>
      <c r="C35" s="45" t="n">
        <v>37.2329</v>
      </c>
      <c r="D35" t="inlineStr">
        <is>
          <t>€/MWh</t>
        </is>
      </c>
      <c r="E35" s="54" t="n">
        <v>0.037233</v>
      </c>
      <c r="F35" s="54" t="n"/>
      <c r="G35" t="inlineStr">
        <is>
          <t>no aplica (precio mayorista)</t>
        </is>
      </c>
      <c r="J35" t="inlineStr">
        <is>
          <t>2020-01-30</t>
        </is>
      </c>
      <c r="K35" t="inlineStr">
        <is>
          <t>marginalpdbc_20200131.1</t>
        </is>
      </c>
      <c r="L35" t="inlineStr">
        <is>
          <t>24 periodos; mín 27.00, máx 43.20 €/MWh</t>
        </is>
      </c>
    </row>
    <row r="36">
      <c r="A36" s="53" t="n">
        <v>43862</v>
      </c>
      <c r="B36" t="inlineStr">
        <is>
          <t>2020-02-01</t>
        </is>
      </c>
      <c r="C36" s="45" t="n">
        <v>29.2317</v>
      </c>
      <c r="D36" t="inlineStr">
        <is>
          <t>€/MWh</t>
        </is>
      </c>
      <c r="E36" s="54" t="n">
        <v>0.029232</v>
      </c>
      <c r="F36" s="54" t="n"/>
      <c r="G36" t="inlineStr">
        <is>
          <t>no aplica (precio mayorista)</t>
        </is>
      </c>
      <c r="J36" t="inlineStr">
        <is>
          <t>2020-01-31</t>
        </is>
      </c>
      <c r="K36" t="inlineStr">
        <is>
          <t>marginalpdbc_20200201.1</t>
        </is>
      </c>
      <c r="L36" t="inlineStr">
        <is>
          <t>24 periodos; mín 18.69, máx 40.10 €/MWh</t>
        </is>
      </c>
    </row>
    <row r="37">
      <c r="A37" s="53" t="n">
        <v>43863</v>
      </c>
      <c r="B37" t="inlineStr">
        <is>
          <t>2020-02-02</t>
        </is>
      </c>
      <c r="C37" s="45" t="n">
        <v>27.8471</v>
      </c>
      <c r="D37" t="inlineStr">
        <is>
          <t>€/MWh</t>
        </is>
      </c>
      <c r="E37" s="54" t="n">
        <v>0.027847</v>
      </c>
      <c r="F37" s="54" t="n"/>
      <c r="G37" t="inlineStr">
        <is>
          <t>no aplica (precio mayorista)</t>
        </is>
      </c>
      <c r="J37" t="inlineStr">
        <is>
          <t>2020-02-01</t>
        </is>
      </c>
      <c r="K37" t="inlineStr">
        <is>
          <t>marginalpdbc_20200202.1</t>
        </is>
      </c>
      <c r="L37" t="inlineStr">
        <is>
          <t>24 periodos; mín 11.00, máx 45.19 €/MWh</t>
        </is>
      </c>
    </row>
    <row r="38">
      <c r="A38" s="53" t="n">
        <v>43864</v>
      </c>
      <c r="B38" t="inlineStr">
        <is>
          <t>2020-02-03</t>
        </is>
      </c>
      <c r="C38" s="45" t="n">
        <v>40.66</v>
      </c>
      <c r="D38" t="inlineStr">
        <is>
          <t>€/MWh</t>
        </is>
      </c>
      <c r="E38" s="54" t="n">
        <v>0.04066</v>
      </c>
      <c r="F38" s="54" t="n"/>
      <c r="G38" t="inlineStr">
        <is>
          <t>no aplica (precio mayorista)</t>
        </is>
      </c>
      <c r="J38" t="inlineStr">
        <is>
          <t>2020-02-02</t>
        </is>
      </c>
      <c r="K38" t="inlineStr">
        <is>
          <t>marginalpdbc_20200203.1</t>
        </is>
      </c>
      <c r="L38" t="inlineStr">
        <is>
          <t>24 periodos; mín 26.49, máx 50.77 €/MWh</t>
        </is>
      </c>
    </row>
    <row r="39">
      <c r="A39" s="53" t="n">
        <v>43865</v>
      </c>
      <c r="B39" t="inlineStr">
        <is>
          <t>2020-02-04</t>
        </is>
      </c>
      <c r="C39" s="45" t="n">
        <v>37.8217</v>
      </c>
      <c r="D39" t="inlineStr">
        <is>
          <t>€/MWh</t>
        </is>
      </c>
      <c r="E39" s="54" t="n">
        <v>0.037822</v>
      </c>
      <c r="F39" s="54" t="n"/>
      <c r="G39" t="inlineStr">
        <is>
          <t>no aplica (precio mayorista)</t>
        </is>
      </c>
      <c r="J39" t="inlineStr">
        <is>
          <t>2020-02-03</t>
        </is>
      </c>
      <c r="K39" t="inlineStr">
        <is>
          <t>marginalpdbc_20200204.1</t>
        </is>
      </c>
      <c r="L39" t="inlineStr">
        <is>
          <t>24 periodos; mín 30.23, máx 43.50 €/MWh</t>
        </is>
      </c>
    </row>
    <row r="40">
      <c r="A40" s="53" t="n">
        <v>43866</v>
      </c>
      <c r="B40" t="inlineStr">
        <is>
          <t>2020-02-05</t>
        </is>
      </c>
      <c r="C40" s="45" t="n">
        <v>36.82</v>
      </c>
      <c r="D40" t="inlineStr">
        <is>
          <t>€/MWh</t>
        </is>
      </c>
      <c r="E40" s="54" t="n">
        <v>0.03682</v>
      </c>
      <c r="F40" s="54" t="n"/>
      <c r="G40" t="inlineStr">
        <is>
          <t>no aplica (precio mayorista)</t>
        </is>
      </c>
      <c r="J40" t="inlineStr">
        <is>
          <t>2020-02-04</t>
        </is>
      </c>
      <c r="K40" t="inlineStr">
        <is>
          <t>marginalpdbc_20200205.1</t>
        </is>
      </c>
      <c r="L40" t="inlineStr">
        <is>
          <t>24 periodos; mín 23.63, máx 45.66 €/MWh</t>
        </is>
      </c>
    </row>
    <row r="41">
      <c r="A41" s="53" t="n">
        <v>43867</v>
      </c>
      <c r="B41" t="inlineStr">
        <is>
          <t>2020-02-06</t>
        </is>
      </c>
      <c r="C41" s="45" t="n">
        <v>38.6375</v>
      </c>
      <c r="D41" t="inlineStr">
        <is>
          <t>€/MWh</t>
        </is>
      </c>
      <c r="E41" s="54" t="n">
        <v>0.038637</v>
      </c>
      <c r="F41" s="54" t="n"/>
      <c r="G41" t="inlineStr">
        <is>
          <t>no aplica (precio mayorista)</t>
        </is>
      </c>
      <c r="J41" t="inlineStr">
        <is>
          <t>2020-02-05</t>
        </is>
      </c>
      <c r="K41" t="inlineStr">
        <is>
          <t>marginalpdbc_20200206.1</t>
        </is>
      </c>
      <c r="L41" t="inlineStr">
        <is>
          <t>24 periodos; mín 26.00, máx 47.21 €/MWh</t>
        </is>
      </c>
    </row>
    <row r="42">
      <c r="A42" s="53" t="n">
        <v>43868</v>
      </c>
      <c r="B42" t="inlineStr">
        <is>
          <t>2020-02-07</t>
        </is>
      </c>
      <c r="C42" s="45" t="n">
        <v>39.8729</v>
      </c>
      <c r="D42" t="inlineStr">
        <is>
          <t>€/MWh</t>
        </is>
      </c>
      <c r="E42" s="54" t="n">
        <v>0.039873</v>
      </c>
      <c r="F42" s="54" t="n"/>
      <c r="G42" t="inlineStr">
        <is>
          <t>no aplica (precio mayorista)</t>
        </is>
      </c>
      <c r="J42" t="inlineStr">
        <is>
          <t>2020-02-06</t>
        </is>
      </c>
      <c r="K42" t="inlineStr">
        <is>
          <t>marginalpdbc_20200207.1</t>
        </is>
      </c>
      <c r="L42" t="inlineStr">
        <is>
          <t>24 periodos; mín 30.55, máx 48.11 €/MWh</t>
        </is>
      </c>
    </row>
    <row r="43">
      <c r="A43" s="53" t="n">
        <v>43869</v>
      </c>
      <c r="B43" t="inlineStr">
        <is>
          <t>2020-02-08</t>
        </is>
      </c>
      <c r="C43" s="45" t="n">
        <v>39.0546</v>
      </c>
      <c r="D43" t="inlineStr">
        <is>
          <t>€/MWh</t>
        </is>
      </c>
      <c r="E43" s="54" t="n">
        <v>0.039055</v>
      </c>
      <c r="F43" s="54" t="n"/>
      <c r="G43" t="inlineStr">
        <is>
          <t>no aplica (precio mayorista)</t>
        </is>
      </c>
      <c r="J43" t="inlineStr">
        <is>
          <t>2020-02-07</t>
        </is>
      </c>
      <c r="K43" t="inlineStr">
        <is>
          <t>marginalpdbc_20200208.1</t>
        </is>
      </c>
      <c r="L43" t="inlineStr">
        <is>
          <t>24 periodos; mín 32.75, máx 43.28 €/MWh</t>
        </is>
      </c>
    </row>
    <row r="44">
      <c r="A44" s="53" t="n">
        <v>43870</v>
      </c>
      <c r="B44" t="inlineStr">
        <is>
          <t>2020-02-09</t>
        </is>
      </c>
      <c r="C44" s="45" t="n">
        <v>30.0804</v>
      </c>
      <c r="D44" t="inlineStr">
        <is>
          <t>€/MWh</t>
        </is>
      </c>
      <c r="E44" s="54" t="n">
        <v>0.03008</v>
      </c>
      <c r="F44" s="54" t="n"/>
      <c r="G44" t="inlineStr">
        <is>
          <t>no aplica (precio mayorista)</t>
        </is>
      </c>
      <c r="J44" t="inlineStr">
        <is>
          <t>2020-02-08</t>
        </is>
      </c>
      <c r="K44" t="inlineStr">
        <is>
          <t>marginalpdbc_20200209.1</t>
        </is>
      </c>
      <c r="L44" t="inlineStr">
        <is>
          <t>24 periodos; mín 23.60, máx 37.05 €/MWh</t>
        </is>
      </c>
    </row>
    <row r="45">
      <c r="A45" s="53" t="n">
        <v>43871</v>
      </c>
      <c r="B45" t="inlineStr">
        <is>
          <t>2020-02-10</t>
        </is>
      </c>
      <c r="C45" s="45" t="n">
        <v>31.8129</v>
      </c>
      <c r="D45" t="inlineStr">
        <is>
          <t>€/MWh</t>
        </is>
      </c>
      <c r="E45" s="54" t="n">
        <v>0.031813</v>
      </c>
      <c r="F45" s="54" t="n"/>
      <c r="G45" t="inlineStr">
        <is>
          <t>no aplica (precio mayorista)</t>
        </is>
      </c>
      <c r="J45" t="inlineStr">
        <is>
          <t>2020-02-09</t>
        </is>
      </c>
      <c r="K45" t="inlineStr">
        <is>
          <t>marginalpdbc_20200210.1</t>
        </is>
      </c>
      <c r="L45" t="inlineStr">
        <is>
          <t>24 periodos; mín 16.00, máx 48.05 €/MWh</t>
        </is>
      </c>
    </row>
    <row r="46">
      <c r="A46" s="53" t="n">
        <v>43872</v>
      </c>
      <c r="B46" t="inlineStr">
        <is>
          <t>2020-02-11</t>
        </is>
      </c>
      <c r="C46" s="45" t="n">
        <v>41.9888</v>
      </c>
      <c r="D46" t="inlineStr">
        <is>
          <t>€/MWh</t>
        </is>
      </c>
      <c r="E46" s="54" t="n">
        <v>0.041989</v>
      </c>
      <c r="F46" s="54" t="n"/>
      <c r="G46" t="inlineStr">
        <is>
          <t>no aplica (precio mayorista)</t>
        </is>
      </c>
      <c r="J46" t="inlineStr">
        <is>
          <t>2020-02-10</t>
        </is>
      </c>
      <c r="K46" t="inlineStr">
        <is>
          <t>marginalpdbc_20200211.1</t>
        </is>
      </c>
      <c r="L46" t="inlineStr">
        <is>
          <t>24 periodos; mín 37.00, máx 49.15 €/MWh</t>
        </is>
      </c>
    </row>
    <row r="47">
      <c r="A47" s="53" t="n">
        <v>43873</v>
      </c>
      <c r="B47" t="inlineStr">
        <is>
          <t>2020-02-12</t>
        </is>
      </c>
      <c r="C47" s="45" t="n">
        <v>44.2829</v>
      </c>
      <c r="D47" t="inlineStr">
        <is>
          <t>€/MWh</t>
        </is>
      </c>
      <c r="E47" s="54" t="n">
        <v>0.044283</v>
      </c>
      <c r="F47" s="54" t="n"/>
      <c r="G47" t="inlineStr">
        <is>
          <t>no aplica (precio mayorista)</t>
        </is>
      </c>
      <c r="J47" t="inlineStr">
        <is>
          <t>2020-02-11</t>
        </is>
      </c>
      <c r="K47" t="inlineStr">
        <is>
          <t>marginalpdbc_20200212.1</t>
        </is>
      </c>
      <c r="L47" t="inlineStr">
        <is>
          <t>24 periodos; mín 39.46, máx 48.05 €/MWh</t>
        </is>
      </c>
    </row>
    <row r="48">
      <c r="A48" s="53" t="n">
        <v>43874</v>
      </c>
      <c r="B48" t="inlineStr">
        <is>
          <t>2020-02-13</t>
        </is>
      </c>
      <c r="C48" s="45" t="n">
        <v>38.2292</v>
      </c>
      <c r="D48" t="inlineStr">
        <is>
          <t>€/MWh</t>
        </is>
      </c>
      <c r="E48" s="54" t="n">
        <v>0.038229</v>
      </c>
      <c r="F48" s="54" t="n"/>
      <c r="G48" t="inlineStr">
        <is>
          <t>no aplica (precio mayorista)</t>
        </is>
      </c>
      <c r="J48" t="inlineStr">
        <is>
          <t>2020-02-12</t>
        </is>
      </c>
      <c r="K48" t="inlineStr">
        <is>
          <t>marginalpdbc_20200213.1</t>
        </is>
      </c>
      <c r="L48" t="inlineStr">
        <is>
          <t>24 periodos; mín 30.65, máx 46.46 €/MWh</t>
        </is>
      </c>
    </row>
    <row r="49">
      <c r="A49" s="53" t="n">
        <v>43875</v>
      </c>
      <c r="B49" t="inlineStr">
        <is>
          <t>2020-02-14</t>
        </is>
      </c>
      <c r="C49" s="45" t="n">
        <v>41.7413</v>
      </c>
      <c r="D49" t="inlineStr">
        <is>
          <t>€/MWh</t>
        </is>
      </c>
      <c r="E49" s="54" t="n">
        <v>0.041741</v>
      </c>
      <c r="F49" s="54" t="n"/>
      <c r="G49" t="inlineStr">
        <is>
          <t>no aplica (precio mayorista)</t>
        </is>
      </c>
      <c r="J49" t="inlineStr">
        <is>
          <t>2020-02-13</t>
        </is>
      </c>
      <c r="K49" t="inlineStr">
        <is>
          <t>marginalpdbc_20200214.1</t>
        </is>
      </c>
      <c r="L49" t="inlineStr">
        <is>
          <t>24 periodos; mín 37.23, máx 47.43 €/MWh</t>
        </is>
      </c>
    </row>
    <row r="50">
      <c r="A50" s="53" t="n">
        <v>43876</v>
      </c>
      <c r="B50" t="inlineStr">
        <is>
          <t>2020-02-15</t>
        </is>
      </c>
      <c r="C50" s="45" t="n">
        <v>35.1721</v>
      </c>
      <c r="D50" t="inlineStr">
        <is>
          <t>€/MWh</t>
        </is>
      </c>
      <c r="E50" s="54" t="n">
        <v>0.035172</v>
      </c>
      <c r="F50" s="54" t="n"/>
      <c r="G50" t="inlineStr">
        <is>
          <t>no aplica (precio mayorista)</t>
        </is>
      </c>
      <c r="J50" t="inlineStr">
        <is>
          <t>2020-02-14</t>
        </is>
      </c>
      <c r="K50" t="inlineStr">
        <is>
          <t>marginalpdbc_20200215.1</t>
        </is>
      </c>
      <c r="L50" t="inlineStr">
        <is>
          <t>24 periodos; mín 27.50, máx 41.35 €/MWh</t>
        </is>
      </c>
    </row>
    <row r="51">
      <c r="A51" s="53" t="n">
        <v>43877</v>
      </c>
      <c r="B51" t="inlineStr">
        <is>
          <t>2020-02-16</t>
        </is>
      </c>
      <c r="C51" s="45" t="n">
        <v>24.4775</v>
      </c>
      <c r="D51" t="inlineStr">
        <is>
          <t>€/MWh</t>
        </is>
      </c>
      <c r="E51" s="54" t="n">
        <v>0.024478</v>
      </c>
      <c r="F51" s="54" t="n"/>
      <c r="G51" t="inlineStr">
        <is>
          <t>no aplica (precio mayorista)</t>
        </is>
      </c>
      <c r="J51" t="inlineStr">
        <is>
          <t>2020-02-15</t>
        </is>
      </c>
      <c r="K51" t="inlineStr">
        <is>
          <t>marginalpdbc_20200216.1</t>
        </is>
      </c>
      <c r="L51" t="inlineStr">
        <is>
          <t>24 periodos; mín 5.10, máx 37.69 €/MWh</t>
        </is>
      </c>
    </row>
    <row r="52">
      <c r="A52" s="53" t="n">
        <v>43878</v>
      </c>
      <c r="B52" t="inlineStr">
        <is>
          <t>2020-02-17</t>
        </is>
      </c>
      <c r="C52" s="45" t="n">
        <v>35.9583</v>
      </c>
      <c r="D52" t="inlineStr">
        <is>
          <t>€/MWh</t>
        </is>
      </c>
      <c r="E52" s="54" t="n">
        <v>0.035958</v>
      </c>
      <c r="F52" s="54" t="n"/>
      <c r="G52" t="inlineStr">
        <is>
          <t>no aplica (precio mayorista)</t>
        </is>
      </c>
      <c r="J52" t="inlineStr">
        <is>
          <t>2020-02-16</t>
        </is>
      </c>
      <c r="K52" t="inlineStr">
        <is>
          <t>marginalpdbc_20200217.1</t>
        </is>
      </c>
      <c r="L52" t="inlineStr">
        <is>
          <t>24 periodos; mín 27.00, máx 43.40 €/MWh</t>
        </is>
      </c>
    </row>
    <row r="53">
      <c r="A53" s="53" t="n">
        <v>43879</v>
      </c>
      <c r="B53" t="inlineStr">
        <is>
          <t>2020-02-18</t>
        </is>
      </c>
      <c r="C53" s="45" t="n">
        <v>38.2304</v>
      </c>
      <c r="D53" t="inlineStr">
        <is>
          <t>€/MWh</t>
        </is>
      </c>
      <c r="E53" s="54" t="n">
        <v>0.03823</v>
      </c>
      <c r="F53" s="54" t="n"/>
      <c r="G53" t="inlineStr">
        <is>
          <t>no aplica (precio mayorista)</t>
        </is>
      </c>
      <c r="J53" t="inlineStr">
        <is>
          <t>2020-02-17</t>
        </is>
      </c>
      <c r="K53" t="inlineStr">
        <is>
          <t>marginalpdbc_20200218.1</t>
        </is>
      </c>
      <c r="L53" t="inlineStr">
        <is>
          <t>24 periodos; mín 31.69, máx 43.50 €/MWh</t>
        </is>
      </c>
    </row>
    <row r="54">
      <c r="A54" s="53" t="n">
        <v>43880</v>
      </c>
      <c r="B54" t="inlineStr">
        <is>
          <t>2020-02-19</t>
        </is>
      </c>
      <c r="C54" s="45" t="n">
        <v>42.755</v>
      </c>
      <c r="D54" t="inlineStr">
        <is>
          <t>€/MWh</t>
        </is>
      </c>
      <c r="E54" s="54" t="n">
        <v>0.042755</v>
      </c>
      <c r="F54" s="54" t="n"/>
      <c r="G54" t="inlineStr">
        <is>
          <t>no aplica (precio mayorista)</t>
        </is>
      </c>
      <c r="J54" t="inlineStr">
        <is>
          <t>2020-02-18</t>
        </is>
      </c>
      <c r="K54" t="inlineStr">
        <is>
          <t>marginalpdbc_20200219.1</t>
        </is>
      </c>
      <c r="L54" t="inlineStr">
        <is>
          <t>24 periodos; mín 37.58, máx 50.33 €/MWh</t>
        </is>
      </c>
    </row>
    <row r="55">
      <c r="A55" s="53" t="n">
        <v>43881</v>
      </c>
      <c r="B55" t="inlineStr">
        <is>
          <t>2020-02-20</t>
        </is>
      </c>
      <c r="C55" s="45" t="n">
        <v>42.5287</v>
      </c>
      <c r="D55" t="inlineStr">
        <is>
          <t>€/MWh</t>
        </is>
      </c>
      <c r="E55" s="54" t="n">
        <v>0.042529</v>
      </c>
      <c r="F55" s="54" t="n"/>
      <c r="G55" t="inlineStr">
        <is>
          <t>no aplica (precio mayorista)</t>
        </is>
      </c>
      <c r="J55" t="inlineStr">
        <is>
          <t>2020-02-19</t>
        </is>
      </c>
      <c r="K55" t="inlineStr">
        <is>
          <t>marginalpdbc_20200220.1</t>
        </is>
      </c>
      <c r="L55" t="inlineStr">
        <is>
          <t>24 periodos; mín 37.22, máx 47.66 €/MWh</t>
        </is>
      </c>
    </row>
    <row r="56">
      <c r="A56" s="53" t="n">
        <v>43882</v>
      </c>
      <c r="B56" t="inlineStr">
        <is>
          <t>2020-02-21</t>
        </is>
      </c>
      <c r="C56" s="45" t="n">
        <v>39.2867</v>
      </c>
      <c r="D56" t="inlineStr">
        <is>
          <t>€/MWh</t>
        </is>
      </c>
      <c r="E56" s="54" t="n">
        <v>0.039287</v>
      </c>
      <c r="F56" s="54" t="n"/>
      <c r="G56" t="inlineStr">
        <is>
          <t>no aplica (precio mayorista)</t>
        </is>
      </c>
      <c r="J56" t="inlineStr">
        <is>
          <t>2020-02-20</t>
        </is>
      </c>
      <c r="K56" t="inlineStr">
        <is>
          <t>marginalpdbc_20200221.1</t>
        </is>
      </c>
      <c r="L56" t="inlineStr">
        <is>
          <t>24 periodos; mín 29.95, máx 50.24 €/MWh</t>
        </is>
      </c>
    </row>
    <row r="57">
      <c r="A57" s="53" t="n">
        <v>43883</v>
      </c>
      <c r="B57" t="inlineStr">
        <is>
          <t>2020-02-22</t>
        </is>
      </c>
      <c r="C57" s="45" t="n">
        <v>39.7233</v>
      </c>
      <c r="D57" t="inlineStr">
        <is>
          <t>€/MWh</t>
        </is>
      </c>
      <c r="E57" s="54" t="n">
        <v>0.039723</v>
      </c>
      <c r="F57" s="54" t="n"/>
      <c r="G57" t="inlineStr">
        <is>
          <t>no aplica (precio mayorista)</t>
        </is>
      </c>
      <c r="J57" t="inlineStr">
        <is>
          <t>2020-02-21</t>
        </is>
      </c>
      <c r="K57" t="inlineStr">
        <is>
          <t>marginalpdbc_20200222.1</t>
        </is>
      </c>
      <c r="L57" t="inlineStr">
        <is>
          <t>24 periodos; mín 36.85, máx 46.50 €/MWh</t>
        </is>
      </c>
    </row>
    <row r="58">
      <c r="A58" s="53" t="n">
        <v>43884</v>
      </c>
      <c r="B58" t="inlineStr">
        <is>
          <t>2020-02-23</t>
        </is>
      </c>
      <c r="C58" s="45" t="n">
        <v>36.4767</v>
      </c>
      <c r="D58" t="inlineStr">
        <is>
          <t>€/MWh</t>
        </is>
      </c>
      <c r="E58" s="54" t="n">
        <v>0.036477</v>
      </c>
      <c r="F58" s="54" t="n"/>
      <c r="G58" t="inlineStr">
        <is>
          <t>no aplica (precio mayorista)</t>
        </is>
      </c>
      <c r="J58" t="inlineStr">
        <is>
          <t>2020-02-22</t>
        </is>
      </c>
      <c r="K58" t="inlineStr">
        <is>
          <t>marginalpdbc_20200223.1</t>
        </is>
      </c>
      <c r="L58" t="inlineStr">
        <is>
          <t>24 periodos; mín 30.01, máx 48.38 €/MWh</t>
        </is>
      </c>
    </row>
    <row r="59">
      <c r="A59" s="53" t="n">
        <v>43885</v>
      </c>
      <c r="B59" t="inlineStr">
        <is>
          <t>2020-02-24</t>
        </is>
      </c>
      <c r="C59" s="45" t="n">
        <v>41.615</v>
      </c>
      <c r="D59" t="inlineStr">
        <is>
          <t>€/MWh</t>
        </is>
      </c>
      <c r="E59" s="54" t="n">
        <v>0.041615</v>
      </c>
      <c r="F59" s="54" t="n"/>
      <c r="G59" t="inlineStr">
        <is>
          <t>no aplica (precio mayorista)</t>
        </is>
      </c>
      <c r="J59" t="inlineStr">
        <is>
          <t>2020-02-23</t>
        </is>
      </c>
      <c r="K59" t="inlineStr">
        <is>
          <t>marginalpdbc_20200224.1</t>
        </is>
      </c>
      <c r="L59" t="inlineStr">
        <is>
          <t>24 periodos; mín 35.00, máx 47.20 €/MWh</t>
        </is>
      </c>
    </row>
    <row r="60">
      <c r="A60" s="53" t="n">
        <v>43886</v>
      </c>
      <c r="B60" t="inlineStr">
        <is>
          <t>2020-02-25</t>
        </is>
      </c>
      <c r="C60" s="45" t="n">
        <v>32.7842</v>
      </c>
      <c r="D60" t="inlineStr">
        <is>
          <t>€/MWh</t>
        </is>
      </c>
      <c r="E60" s="54" t="n">
        <v>0.032784</v>
      </c>
      <c r="F60" s="54" t="n"/>
      <c r="G60" t="inlineStr">
        <is>
          <t>no aplica (precio mayorista)</t>
        </is>
      </c>
      <c r="J60" t="inlineStr">
        <is>
          <t>2020-02-24</t>
        </is>
      </c>
      <c r="K60" t="inlineStr">
        <is>
          <t>marginalpdbc_20200225.1</t>
        </is>
      </c>
      <c r="L60" t="inlineStr">
        <is>
          <t>24 periodos; mín 25.97, máx 41.82 €/MWh</t>
        </is>
      </c>
    </row>
    <row r="61">
      <c r="A61" s="53" t="n">
        <v>43887</v>
      </c>
      <c r="B61" t="inlineStr">
        <is>
          <t>2020-02-26</t>
        </is>
      </c>
      <c r="C61" s="45" t="n">
        <v>31.9733</v>
      </c>
      <c r="D61" t="inlineStr">
        <is>
          <t>€/MWh</t>
        </is>
      </c>
      <c r="E61" s="54" t="n">
        <v>0.031973</v>
      </c>
      <c r="F61" s="54" t="n"/>
      <c r="G61" t="inlineStr">
        <is>
          <t>no aplica (precio mayorista)</t>
        </is>
      </c>
      <c r="J61" t="inlineStr">
        <is>
          <t>2020-02-25</t>
        </is>
      </c>
      <c r="K61" t="inlineStr">
        <is>
          <t>marginalpdbc_20200226.1</t>
        </is>
      </c>
      <c r="L61" t="inlineStr">
        <is>
          <t>24 periodos; mín 24.48, máx 42.17 €/MWh</t>
        </is>
      </c>
    </row>
    <row r="62">
      <c r="A62" s="53" t="n">
        <v>43888</v>
      </c>
      <c r="B62" t="inlineStr">
        <is>
          <t>2020-02-27</t>
        </is>
      </c>
      <c r="C62" s="45" t="n">
        <v>30.6196</v>
      </c>
      <c r="D62" t="inlineStr">
        <is>
          <t>€/MWh</t>
        </is>
      </c>
      <c r="E62" s="54" t="n">
        <v>0.03062</v>
      </c>
      <c r="F62" s="54" t="n"/>
      <c r="G62" t="inlineStr">
        <is>
          <t>no aplica (precio mayorista)</t>
        </is>
      </c>
      <c r="J62" t="inlineStr">
        <is>
          <t>2020-02-26</t>
        </is>
      </c>
      <c r="K62" t="inlineStr">
        <is>
          <t>marginalpdbc_20200227.1</t>
        </is>
      </c>
      <c r="L62" t="inlineStr">
        <is>
          <t>24 periodos; mín 20.87, máx 41.23 €/MWh</t>
        </is>
      </c>
    </row>
    <row r="63">
      <c r="A63" s="53" t="n">
        <v>43889</v>
      </c>
      <c r="B63" t="inlineStr">
        <is>
          <t>2020-02-28</t>
        </is>
      </c>
      <c r="C63" s="45" t="n">
        <v>33.9154</v>
      </c>
      <c r="D63" t="inlineStr">
        <is>
          <t>€/MWh</t>
        </is>
      </c>
      <c r="E63" s="54" t="n">
        <v>0.033915</v>
      </c>
      <c r="F63" s="54" t="n"/>
      <c r="G63" t="inlineStr">
        <is>
          <t>no aplica (precio mayorista)</t>
        </is>
      </c>
      <c r="J63" t="inlineStr">
        <is>
          <t>2020-02-27</t>
        </is>
      </c>
      <c r="K63" t="inlineStr">
        <is>
          <t>marginalpdbc_20200228.1</t>
        </is>
      </c>
      <c r="L63" t="inlineStr">
        <is>
          <t>24 periodos; mín 26.50, máx 43.88 €/MWh</t>
        </is>
      </c>
    </row>
    <row r="64">
      <c r="A64" s="53" t="n">
        <v>43890</v>
      </c>
      <c r="B64" t="inlineStr">
        <is>
          <t>2020-02-29</t>
        </is>
      </c>
      <c r="C64" s="45" t="n">
        <v>16.595</v>
      </c>
      <c r="D64" t="inlineStr">
        <is>
          <t>€/MWh</t>
        </is>
      </c>
      <c r="E64" s="54" t="n">
        <v>0.016595</v>
      </c>
      <c r="F64" s="54" t="n"/>
      <c r="G64" t="inlineStr">
        <is>
          <t>no aplica (precio mayorista)</t>
        </is>
      </c>
      <c r="J64" t="inlineStr">
        <is>
          <t>2020-02-28</t>
        </is>
      </c>
      <c r="K64" t="inlineStr">
        <is>
          <t>marginalpdbc_20200229.1</t>
        </is>
      </c>
      <c r="L64" t="inlineStr">
        <is>
          <t>24 periodos; mín 9.04, máx 24.03 €/MWh</t>
        </is>
      </c>
    </row>
    <row r="65">
      <c r="A65" s="53" t="n">
        <v>43891</v>
      </c>
      <c r="B65" t="inlineStr">
        <is>
          <t>2020-03-01</t>
        </is>
      </c>
      <c r="C65" s="45" t="n">
        <v>14.2192</v>
      </c>
      <c r="D65" t="inlineStr">
        <is>
          <t>€/MWh</t>
        </is>
      </c>
      <c r="E65" s="54" t="n">
        <v>0.014219</v>
      </c>
      <c r="F65" s="54" t="n"/>
      <c r="G65" t="inlineStr">
        <is>
          <t>no aplica (precio mayorista)</t>
        </is>
      </c>
      <c r="J65" t="inlineStr">
        <is>
          <t>2020-02-29</t>
        </is>
      </c>
      <c r="K65" t="inlineStr">
        <is>
          <t>marginalpdbc_20200301.1</t>
        </is>
      </c>
      <c r="L65" t="inlineStr">
        <is>
          <t>24 periodos; mín 5.64, máx 28.00 €/MWh</t>
        </is>
      </c>
    </row>
    <row r="66">
      <c r="A66" s="53" t="n">
        <v>43892</v>
      </c>
      <c r="B66" t="inlineStr">
        <is>
          <t>2020-03-02</t>
        </is>
      </c>
      <c r="C66" s="45" t="n">
        <v>21.8938</v>
      </c>
      <c r="D66" t="inlineStr">
        <is>
          <t>€/MWh</t>
        </is>
      </c>
      <c r="E66" s="54" t="n">
        <v>0.021894</v>
      </c>
      <c r="F66" s="54" t="n"/>
      <c r="G66" t="inlineStr">
        <is>
          <t>no aplica (precio mayorista)</t>
        </is>
      </c>
      <c r="J66" t="inlineStr">
        <is>
          <t>2020-03-01</t>
        </is>
      </c>
      <c r="K66" t="inlineStr">
        <is>
          <t>marginalpdbc_20200302.1</t>
        </is>
      </c>
      <c r="L66" t="inlineStr">
        <is>
          <t>24 periodos; mín 9.25, máx 37.75 €/MWh</t>
        </is>
      </c>
    </row>
    <row r="67">
      <c r="A67" s="53" t="n">
        <v>43893</v>
      </c>
      <c r="B67" t="inlineStr">
        <is>
          <t>2020-03-03</t>
        </is>
      </c>
      <c r="C67" s="45" t="n">
        <v>26.1425</v>
      </c>
      <c r="D67" t="inlineStr">
        <is>
          <t>€/MWh</t>
        </is>
      </c>
      <c r="E67" s="54" t="n">
        <v>0.026142</v>
      </c>
      <c r="F67" s="54" t="n"/>
      <c r="G67" t="inlineStr">
        <is>
          <t>no aplica (precio mayorista)</t>
        </is>
      </c>
      <c r="J67" t="inlineStr">
        <is>
          <t>2020-03-02</t>
        </is>
      </c>
      <c r="K67" t="inlineStr">
        <is>
          <t>marginalpdbc_20200303.1</t>
        </is>
      </c>
      <c r="L67" t="inlineStr">
        <is>
          <t>24 periodos; mín 18.96, máx 40.20 €/MWh</t>
        </is>
      </c>
    </row>
    <row r="68">
      <c r="A68" s="53" t="n">
        <v>43894</v>
      </c>
      <c r="B68" t="inlineStr">
        <is>
          <t>2020-03-04</t>
        </is>
      </c>
      <c r="C68" s="45" t="n">
        <v>32.6</v>
      </c>
      <c r="D68" t="inlineStr">
        <is>
          <t>€/MWh</t>
        </is>
      </c>
      <c r="E68" s="54" t="n">
        <v>0.0326</v>
      </c>
      <c r="F68" s="54" t="n"/>
      <c r="G68" t="inlineStr">
        <is>
          <t>no aplica (precio mayorista)</t>
        </is>
      </c>
      <c r="J68" t="inlineStr">
        <is>
          <t>2020-03-03</t>
        </is>
      </c>
      <c r="K68" t="inlineStr">
        <is>
          <t>marginalpdbc_20200304.1</t>
        </is>
      </c>
      <c r="L68" t="inlineStr">
        <is>
          <t>24 periodos; mín 23.57, máx 43.58 €/MWh</t>
        </is>
      </c>
    </row>
    <row r="69">
      <c r="A69" s="53" t="n">
        <v>43895</v>
      </c>
      <c r="B69" t="inlineStr">
        <is>
          <t>2020-03-05</t>
        </is>
      </c>
      <c r="C69" s="45" t="n">
        <v>25.1513</v>
      </c>
      <c r="D69" t="inlineStr">
        <is>
          <t>€/MWh</t>
        </is>
      </c>
      <c r="E69" s="54" t="n">
        <v>0.025151</v>
      </c>
      <c r="F69" s="54" t="n"/>
      <c r="G69" t="inlineStr">
        <is>
          <t>no aplica (precio mayorista)</t>
        </is>
      </c>
      <c r="J69" t="inlineStr">
        <is>
          <t>2020-03-04</t>
        </is>
      </c>
      <c r="K69" t="inlineStr">
        <is>
          <t>marginalpdbc_20200305.1</t>
        </is>
      </c>
      <c r="L69" t="inlineStr">
        <is>
          <t>24 periodos; mín 21.41, máx 30.24 €/MWh</t>
        </is>
      </c>
    </row>
    <row r="70">
      <c r="A70" s="53" t="n">
        <v>43896</v>
      </c>
      <c r="B70" t="inlineStr">
        <is>
          <t>2020-03-06</t>
        </is>
      </c>
      <c r="C70" s="45" t="n">
        <v>21.4279</v>
      </c>
      <c r="D70" t="inlineStr">
        <is>
          <t>€/MWh</t>
        </is>
      </c>
      <c r="E70" s="54" t="n">
        <v>0.021428</v>
      </c>
      <c r="F70" s="54" t="n"/>
      <c r="G70" t="inlineStr">
        <is>
          <t>no aplica (precio mayorista)</t>
        </is>
      </c>
      <c r="J70" t="inlineStr">
        <is>
          <t>2020-03-05</t>
        </is>
      </c>
      <c r="K70" t="inlineStr">
        <is>
          <t>marginalpdbc_20200306.1</t>
        </is>
      </c>
      <c r="L70" t="inlineStr">
        <is>
          <t>24 periodos; mín 9.56, máx 35.46 €/MWh</t>
        </is>
      </c>
    </row>
    <row r="71">
      <c r="A71" s="53" t="n">
        <v>43897</v>
      </c>
      <c r="B71" t="inlineStr">
        <is>
          <t>2020-03-07</t>
        </is>
      </c>
      <c r="C71" s="45" t="n">
        <v>27.7321</v>
      </c>
      <c r="D71" t="inlineStr">
        <is>
          <t>€/MWh</t>
        </is>
      </c>
      <c r="E71" s="54" t="n">
        <v>0.027732</v>
      </c>
      <c r="F71" s="54" t="n"/>
      <c r="G71" t="inlineStr">
        <is>
          <t>no aplica (precio mayorista)</t>
        </is>
      </c>
      <c r="J71" t="inlineStr">
        <is>
          <t>2020-03-06</t>
        </is>
      </c>
      <c r="K71" t="inlineStr">
        <is>
          <t>marginalpdbc_20200307.1</t>
        </is>
      </c>
      <c r="L71" t="inlineStr">
        <is>
          <t>24 periodos; mín 24.00, máx 37.61 €/MWh</t>
        </is>
      </c>
    </row>
    <row r="72">
      <c r="A72" s="53" t="n">
        <v>43898</v>
      </c>
      <c r="B72" t="inlineStr">
        <is>
          <t>2020-03-08</t>
        </is>
      </c>
      <c r="C72" s="45" t="n">
        <v>26.8775</v>
      </c>
      <c r="D72" t="inlineStr">
        <is>
          <t>€/MWh</t>
        </is>
      </c>
      <c r="E72" s="54" t="n">
        <v>0.026877</v>
      </c>
      <c r="F72" s="54" t="n"/>
      <c r="G72" t="inlineStr">
        <is>
          <t>no aplica (precio mayorista)</t>
        </is>
      </c>
      <c r="J72" t="inlineStr">
        <is>
          <t>2020-03-07</t>
        </is>
      </c>
      <c r="K72" t="inlineStr">
        <is>
          <t>marginalpdbc_20200308.1</t>
        </is>
      </c>
      <c r="L72" t="inlineStr">
        <is>
          <t>24 periodos; mín 22.90, máx 34.86 €/MWh</t>
        </is>
      </c>
    </row>
    <row r="73">
      <c r="A73" s="53" t="n">
        <v>43899</v>
      </c>
      <c r="B73" t="inlineStr">
        <is>
          <t>2020-03-09</t>
        </is>
      </c>
      <c r="C73" s="45" t="n">
        <v>32.5221</v>
      </c>
      <c r="D73" t="inlineStr">
        <is>
          <t>€/MWh</t>
        </is>
      </c>
      <c r="E73" s="54" t="n">
        <v>0.032522</v>
      </c>
      <c r="F73" s="54" t="n"/>
      <c r="G73" t="inlineStr">
        <is>
          <t>no aplica (precio mayorista)</t>
        </is>
      </c>
      <c r="J73" t="inlineStr">
        <is>
          <t>2020-03-08</t>
        </is>
      </c>
      <c r="K73" t="inlineStr">
        <is>
          <t>marginalpdbc_20200309.1</t>
        </is>
      </c>
      <c r="L73" t="inlineStr">
        <is>
          <t>24 periodos; mín 24.47, máx 40.50 €/MWh</t>
        </is>
      </c>
    </row>
    <row r="74">
      <c r="A74" s="53" t="n">
        <v>43900</v>
      </c>
      <c r="B74" t="inlineStr">
        <is>
          <t>2020-03-10</t>
        </is>
      </c>
      <c r="C74" s="45" t="n">
        <v>34.5425</v>
      </c>
      <c r="D74" t="inlineStr">
        <is>
          <t>€/MWh</t>
        </is>
      </c>
      <c r="E74" s="54" t="n">
        <v>0.034542</v>
      </c>
      <c r="F74" s="54" t="n"/>
      <c r="G74" t="inlineStr">
        <is>
          <t>no aplica (precio mayorista)</t>
        </is>
      </c>
      <c r="J74" t="inlineStr">
        <is>
          <t>2020-03-09</t>
        </is>
      </c>
      <c r="K74" t="inlineStr">
        <is>
          <t>marginalpdbc_20200310.1</t>
        </is>
      </c>
      <c r="L74" t="inlineStr">
        <is>
          <t>24 periodos; mín 25.50, máx 44.50 €/MWh</t>
        </is>
      </c>
    </row>
    <row r="75">
      <c r="A75" s="53" t="n">
        <v>43901</v>
      </c>
      <c r="B75" t="inlineStr">
        <is>
          <t>2020-03-11</t>
        </is>
      </c>
      <c r="C75" s="45" t="n">
        <v>38.6337</v>
      </c>
      <c r="D75" t="inlineStr">
        <is>
          <t>€/MWh</t>
        </is>
      </c>
      <c r="E75" s="54" t="n">
        <v>0.038634</v>
      </c>
      <c r="F75" s="54" t="n"/>
      <c r="G75" t="inlineStr">
        <is>
          <t>no aplica (precio mayorista)</t>
        </is>
      </c>
      <c r="J75" t="inlineStr">
        <is>
          <t>2020-03-10</t>
        </is>
      </c>
      <c r="K75" t="inlineStr">
        <is>
          <t>marginalpdbc_20200311.1</t>
        </is>
      </c>
      <c r="L75" t="inlineStr">
        <is>
          <t>24 periodos; mín 36.19, máx 48.28 €/MWh</t>
        </is>
      </c>
    </row>
    <row r="76">
      <c r="A76" s="53" t="n">
        <v>43902</v>
      </c>
      <c r="B76" t="inlineStr">
        <is>
          <t>2020-03-12</t>
        </is>
      </c>
      <c r="C76" s="45" t="n">
        <v>38.7837</v>
      </c>
      <c r="D76" t="inlineStr">
        <is>
          <t>€/MWh</t>
        </is>
      </c>
      <c r="E76" s="54" t="n">
        <v>0.038784</v>
      </c>
      <c r="F76" s="54" t="n"/>
      <c r="G76" t="inlineStr">
        <is>
          <t>no aplica (precio mayorista)</t>
        </is>
      </c>
      <c r="J76" t="inlineStr">
        <is>
          <t>2020-03-11</t>
        </is>
      </c>
      <c r="K76" t="inlineStr">
        <is>
          <t>marginalpdbc_20200312.1</t>
        </is>
      </c>
      <c r="L76" t="inlineStr">
        <is>
          <t>24 periodos; mín 36.38, máx 41.58 €/MWh</t>
        </is>
      </c>
    </row>
    <row r="77">
      <c r="A77" s="53" t="n">
        <v>43903</v>
      </c>
      <c r="B77" t="inlineStr">
        <is>
          <t>2020-03-13</t>
        </is>
      </c>
      <c r="C77" s="45" t="n">
        <v>33.9875</v>
      </c>
      <c r="D77" t="inlineStr">
        <is>
          <t>€/MWh</t>
        </is>
      </c>
      <c r="E77" s="54" t="n">
        <v>0.033988</v>
      </c>
      <c r="F77" s="54" t="n"/>
      <c r="G77" t="inlineStr">
        <is>
          <t>no aplica (precio mayorista)</t>
        </is>
      </c>
      <c r="J77" t="inlineStr">
        <is>
          <t>2020-03-12</t>
        </is>
      </c>
      <c r="K77" t="inlineStr">
        <is>
          <t>marginalpdbc_20200313.1</t>
        </is>
      </c>
      <c r="L77" t="inlineStr">
        <is>
          <t>24 periodos; mín 22.81, máx 42.50 €/MWh</t>
        </is>
      </c>
    </row>
    <row r="78">
      <c r="A78" s="53" t="n">
        <v>43904</v>
      </c>
      <c r="B78" t="inlineStr">
        <is>
          <t>2020-03-14</t>
        </is>
      </c>
      <c r="C78" s="45" t="n">
        <v>35.5913</v>
      </c>
      <c r="D78" t="inlineStr">
        <is>
          <t>€/MWh</t>
        </is>
      </c>
      <c r="E78" s="54" t="n">
        <v>0.035591</v>
      </c>
      <c r="F78" s="54" t="n"/>
      <c r="G78" t="inlineStr">
        <is>
          <t>no aplica (precio mayorista)</t>
        </is>
      </c>
      <c r="J78" t="inlineStr">
        <is>
          <t>2020-03-13</t>
        </is>
      </c>
      <c r="K78" t="inlineStr">
        <is>
          <t>marginalpdbc_20200314.1</t>
        </is>
      </c>
      <c r="L78" t="inlineStr">
        <is>
          <t>24 periodos; mín 30.07, máx 40.67 €/MWh</t>
        </is>
      </c>
    </row>
    <row r="79">
      <c r="A79" s="53" t="n">
        <v>43905</v>
      </c>
      <c r="B79" t="inlineStr">
        <is>
          <t>2020-03-15</t>
        </is>
      </c>
      <c r="C79" s="45" t="n">
        <v>26.8017</v>
      </c>
      <c r="D79" t="inlineStr">
        <is>
          <t>€/MWh</t>
        </is>
      </c>
      <c r="E79" s="54" t="n">
        <v>0.026802</v>
      </c>
      <c r="F79" s="54" t="n"/>
      <c r="G79" t="inlineStr">
        <is>
          <t>no aplica (precio mayorista)</t>
        </is>
      </c>
      <c r="J79" t="inlineStr">
        <is>
          <t>2020-03-14</t>
        </is>
      </c>
      <c r="K79" t="inlineStr">
        <is>
          <t>marginalpdbc_20200315.1</t>
        </is>
      </c>
      <c r="L79" t="inlineStr">
        <is>
          <t>24 periodos; mín 14.00, máx 37.68 €/MWh</t>
        </is>
      </c>
    </row>
    <row r="80">
      <c r="A80" s="53" t="n">
        <v>43906</v>
      </c>
      <c r="B80" t="inlineStr">
        <is>
          <t>2020-03-16</t>
        </is>
      </c>
      <c r="C80" s="45" t="n">
        <v>27.0196</v>
      </c>
      <c r="D80" t="inlineStr">
        <is>
          <t>€/MWh</t>
        </is>
      </c>
      <c r="E80" s="54" t="n">
        <v>0.02702</v>
      </c>
      <c r="F80" s="54" t="n"/>
      <c r="G80" t="inlineStr">
        <is>
          <t>no aplica (precio mayorista)</t>
        </is>
      </c>
      <c r="J80" t="inlineStr">
        <is>
          <t>2020-03-15</t>
        </is>
      </c>
      <c r="K80" t="inlineStr">
        <is>
          <t>marginalpdbc_20200316.1</t>
        </is>
      </c>
      <c r="L80" t="inlineStr">
        <is>
          <t>24 periodos; mín 19.92, máx 37.03 €/MWh</t>
        </is>
      </c>
    </row>
    <row r="81">
      <c r="A81" s="53" t="n">
        <v>43907</v>
      </c>
      <c r="B81" t="inlineStr">
        <is>
          <t>2020-03-17</t>
        </is>
      </c>
      <c r="C81" s="45" t="n">
        <v>28.4275</v>
      </c>
      <c r="D81" t="inlineStr">
        <is>
          <t>€/MWh</t>
        </is>
      </c>
      <c r="E81" s="54" t="n">
        <v>0.028427</v>
      </c>
      <c r="F81" s="54" t="n"/>
      <c r="G81" t="inlineStr">
        <is>
          <t>no aplica (precio mayorista)</t>
        </is>
      </c>
      <c r="J81" t="inlineStr">
        <is>
          <t>2020-03-16</t>
        </is>
      </c>
      <c r="K81" t="inlineStr">
        <is>
          <t>marginalpdbc_20200317.1</t>
        </is>
      </c>
      <c r="L81" t="inlineStr">
        <is>
          <t>24 periodos; mín 21.80, máx 39.43 €/MWh</t>
        </is>
      </c>
    </row>
    <row r="82">
      <c r="A82" s="53" t="n">
        <v>43908</v>
      </c>
      <c r="B82" t="inlineStr">
        <is>
          <t>2020-03-18</t>
        </is>
      </c>
      <c r="C82" s="45" t="n">
        <v>30.6929</v>
      </c>
      <c r="D82" t="inlineStr">
        <is>
          <t>€/MWh</t>
        </is>
      </c>
      <c r="E82" s="54" t="n">
        <v>0.030693</v>
      </c>
      <c r="F82" s="54" t="n"/>
      <c r="G82" t="inlineStr">
        <is>
          <t>no aplica (precio mayorista)</t>
        </is>
      </c>
      <c r="J82" t="inlineStr">
        <is>
          <t>2020-03-17</t>
        </is>
      </c>
      <c r="K82" t="inlineStr">
        <is>
          <t>marginalpdbc_20200318.1</t>
        </is>
      </c>
      <c r="L82" t="inlineStr">
        <is>
          <t>24 periodos; mín 23.69, máx 40.38 €/MWh</t>
        </is>
      </c>
    </row>
    <row r="83">
      <c r="A83" s="53" t="n">
        <v>43909</v>
      </c>
      <c r="B83" t="inlineStr">
        <is>
          <t>2020-03-19</t>
        </is>
      </c>
      <c r="C83" s="45" t="n">
        <v>30.4254</v>
      </c>
      <c r="D83" t="inlineStr">
        <is>
          <t>€/MWh</t>
        </is>
      </c>
      <c r="E83" s="54" t="n">
        <v>0.030425</v>
      </c>
      <c r="F83" s="54" t="n"/>
      <c r="G83" t="inlineStr">
        <is>
          <t>no aplica (precio mayorista)</t>
        </is>
      </c>
      <c r="J83" t="inlineStr">
        <is>
          <t>2020-03-18</t>
        </is>
      </c>
      <c r="K83" t="inlineStr">
        <is>
          <t>marginalpdbc_20200319.1</t>
        </is>
      </c>
      <c r="L83" t="inlineStr">
        <is>
          <t>24 periodos; mín 28.29, máx 36.42 €/MWh</t>
        </is>
      </c>
    </row>
    <row r="84">
      <c r="A84" s="53" t="n">
        <v>43910</v>
      </c>
      <c r="B84" t="inlineStr">
        <is>
          <t>2020-03-20</t>
        </is>
      </c>
      <c r="C84" s="45" t="n">
        <v>28.0804</v>
      </c>
      <c r="D84" t="inlineStr">
        <is>
          <t>€/MWh</t>
        </is>
      </c>
      <c r="E84" s="54" t="n">
        <v>0.02808</v>
      </c>
      <c r="F84" s="54" t="n"/>
      <c r="G84" t="inlineStr">
        <is>
          <t>no aplica (precio mayorista)</t>
        </is>
      </c>
      <c r="J84" t="inlineStr">
        <is>
          <t>2020-03-19</t>
        </is>
      </c>
      <c r="K84" t="inlineStr">
        <is>
          <t>marginalpdbc_20200320.1</t>
        </is>
      </c>
      <c r="L84" t="inlineStr">
        <is>
          <t>24 periodos; mín 24.09, máx 35.03 €/MWh</t>
        </is>
      </c>
    </row>
    <row r="85">
      <c r="A85" s="53" t="n">
        <v>43911</v>
      </c>
      <c r="B85" t="inlineStr">
        <is>
          <t>2020-03-21</t>
        </is>
      </c>
      <c r="C85" s="45" t="n">
        <v>27.6538</v>
      </c>
      <c r="D85" t="inlineStr">
        <is>
          <t>€/MWh</t>
        </is>
      </c>
      <c r="E85" s="54" t="n">
        <v>0.027654</v>
      </c>
      <c r="F85" s="54" t="n"/>
      <c r="G85" t="inlineStr">
        <is>
          <t>no aplica (precio mayorista)</t>
        </is>
      </c>
      <c r="J85" t="inlineStr">
        <is>
          <t>2020-03-20</t>
        </is>
      </c>
      <c r="K85" t="inlineStr">
        <is>
          <t>marginalpdbc_20200321.1</t>
        </is>
      </c>
      <c r="L85" t="inlineStr">
        <is>
          <t>24 periodos; mín 22.54, máx 34.83 €/MWh</t>
        </is>
      </c>
    </row>
    <row r="86">
      <c r="A86" s="53" t="n">
        <v>43912</v>
      </c>
      <c r="B86" t="inlineStr">
        <is>
          <t>2020-03-22</t>
        </is>
      </c>
      <c r="C86" s="45" t="n">
        <v>27.5292</v>
      </c>
      <c r="D86" t="inlineStr">
        <is>
          <t>€/MWh</t>
        </is>
      </c>
      <c r="E86" s="54" t="n">
        <v>0.027529</v>
      </c>
      <c r="F86" s="54" t="n"/>
      <c r="G86" t="inlineStr">
        <is>
          <t>no aplica (precio mayorista)</t>
        </is>
      </c>
      <c r="J86" t="inlineStr">
        <is>
          <t>2020-03-21</t>
        </is>
      </c>
      <c r="K86" t="inlineStr">
        <is>
          <t>marginalpdbc_20200322.1</t>
        </is>
      </c>
      <c r="L86" t="inlineStr">
        <is>
          <t>24 periodos; mín 23.50, máx 32.57 €/MWh</t>
        </is>
      </c>
    </row>
    <row r="87">
      <c r="A87" s="53" t="n">
        <v>43913</v>
      </c>
      <c r="B87" t="inlineStr">
        <is>
          <t>2020-03-23</t>
        </is>
      </c>
      <c r="C87" s="45" t="n">
        <v>29.0442</v>
      </c>
      <c r="D87" t="inlineStr">
        <is>
          <t>€/MWh</t>
        </is>
      </c>
      <c r="E87" s="54" t="n">
        <v>0.029044</v>
      </c>
      <c r="F87" s="54" t="n"/>
      <c r="G87" t="inlineStr">
        <is>
          <t>no aplica (precio mayorista)</t>
        </is>
      </c>
      <c r="J87" t="inlineStr">
        <is>
          <t>2020-03-22</t>
        </is>
      </c>
      <c r="K87" t="inlineStr">
        <is>
          <t>marginalpdbc_20200323.1</t>
        </is>
      </c>
      <c r="L87" t="inlineStr">
        <is>
          <t>24 periodos; mín 23.50, máx 33.99 €/MWh</t>
        </is>
      </c>
    </row>
    <row r="88">
      <c r="A88" s="53" t="n">
        <v>43914</v>
      </c>
      <c r="B88" t="inlineStr">
        <is>
          <t>2020-03-24</t>
        </is>
      </c>
      <c r="C88" s="45" t="n">
        <v>27.4146</v>
      </c>
      <c r="D88" t="inlineStr">
        <is>
          <t>€/MWh</t>
        </is>
      </c>
      <c r="E88" s="54" t="n">
        <v>0.027415</v>
      </c>
      <c r="F88" s="54" t="n"/>
      <c r="G88" t="inlineStr">
        <is>
          <t>no aplica (precio mayorista)</t>
        </is>
      </c>
      <c r="J88" t="inlineStr">
        <is>
          <t>2020-03-23</t>
        </is>
      </c>
      <c r="K88" t="inlineStr">
        <is>
          <t>marginalpdbc_20200324.1</t>
        </is>
      </c>
      <c r="L88" t="inlineStr">
        <is>
          <t>24 periodos; mín 20.74, máx 34.06 €/MWh</t>
        </is>
      </c>
    </row>
    <row r="89">
      <c r="A89" s="53" t="n">
        <v>43915</v>
      </c>
      <c r="B89" t="inlineStr">
        <is>
          <t>2020-03-25</t>
        </is>
      </c>
      <c r="C89" s="45" t="n">
        <v>31.5896</v>
      </c>
      <c r="D89" t="inlineStr">
        <is>
          <t>€/MWh</t>
        </is>
      </c>
      <c r="E89" s="54" t="n">
        <v>0.03159</v>
      </c>
      <c r="F89" s="54" t="n"/>
      <c r="G89" t="inlineStr">
        <is>
          <t>no aplica (precio mayorista)</t>
        </is>
      </c>
      <c r="J89" t="inlineStr">
        <is>
          <t>2020-03-24</t>
        </is>
      </c>
      <c r="K89" t="inlineStr">
        <is>
          <t>marginalpdbc_20200325.1</t>
        </is>
      </c>
      <c r="L89" t="inlineStr">
        <is>
          <t>24 periodos; mín 28.51, máx 34.48 €/MWh</t>
        </is>
      </c>
    </row>
    <row r="90">
      <c r="A90" s="53" t="n">
        <v>43916</v>
      </c>
      <c r="B90" t="inlineStr">
        <is>
          <t>2020-03-26</t>
        </is>
      </c>
      <c r="C90" s="45" t="n">
        <v>22.8233</v>
      </c>
      <c r="D90" t="inlineStr">
        <is>
          <t>€/MWh</t>
        </is>
      </c>
      <c r="E90" s="54" t="n">
        <v>0.022823</v>
      </c>
      <c r="F90" s="54" t="n"/>
      <c r="G90" t="inlineStr">
        <is>
          <t>no aplica (precio mayorista)</t>
        </is>
      </c>
      <c r="J90" t="inlineStr">
        <is>
          <t>2020-03-25</t>
        </is>
      </c>
      <c r="K90" t="inlineStr">
        <is>
          <t>marginalpdbc_20200326.1</t>
        </is>
      </c>
      <c r="L90" t="inlineStr">
        <is>
          <t>24 periodos; mín 16.82, máx 32.46 €/MWh</t>
        </is>
      </c>
    </row>
    <row r="91">
      <c r="A91" s="53" t="n">
        <v>43917</v>
      </c>
      <c r="B91" t="inlineStr">
        <is>
          <t>2020-03-27</t>
        </is>
      </c>
      <c r="C91" s="45" t="n">
        <v>25.0721</v>
      </c>
      <c r="D91" t="inlineStr">
        <is>
          <t>€/MWh</t>
        </is>
      </c>
      <c r="E91" s="54" t="n">
        <v>0.025072</v>
      </c>
      <c r="F91" s="54" t="n"/>
      <c r="G91" t="inlineStr">
        <is>
          <t>no aplica (precio mayorista)</t>
        </is>
      </c>
      <c r="J91" t="inlineStr">
        <is>
          <t>2020-03-26</t>
        </is>
      </c>
      <c r="K91" t="inlineStr">
        <is>
          <t>marginalpdbc_20200327.1</t>
        </is>
      </c>
      <c r="L91" t="inlineStr">
        <is>
          <t>24 periodos; mín 18.25, máx 30.75 €/MWh</t>
        </is>
      </c>
    </row>
    <row r="92">
      <c r="A92" s="53" t="n">
        <v>43918</v>
      </c>
      <c r="B92" t="inlineStr">
        <is>
          <t>2020-03-28</t>
        </is>
      </c>
      <c r="C92" s="45" t="n">
        <v>27.9413</v>
      </c>
      <c r="D92" t="inlineStr">
        <is>
          <t>€/MWh</t>
        </is>
      </c>
      <c r="E92" s="54" t="n">
        <v>0.027941</v>
      </c>
      <c r="F92" s="54" t="n"/>
      <c r="G92" t="inlineStr">
        <is>
          <t>no aplica (precio mayorista)</t>
        </is>
      </c>
      <c r="J92" t="inlineStr">
        <is>
          <t>2020-03-27</t>
        </is>
      </c>
      <c r="K92" t="inlineStr">
        <is>
          <t>marginalpdbc_20200328.1</t>
        </is>
      </c>
      <c r="L92" t="inlineStr">
        <is>
          <t>24 periodos; mín 24.00, máx 31.48 €/MWh</t>
        </is>
      </c>
    </row>
    <row r="93">
      <c r="A93" s="53" t="n">
        <v>43919</v>
      </c>
      <c r="B93" t="inlineStr">
        <is>
          <t>2020-03-29</t>
        </is>
      </c>
      <c r="C93" s="45" t="n">
        <v>19.3722</v>
      </c>
      <c r="D93" t="inlineStr">
        <is>
          <t>€/MWh</t>
        </is>
      </c>
      <c r="E93" s="54" t="n">
        <v>0.019372</v>
      </c>
      <c r="F93" s="54" t="n"/>
      <c r="G93" t="inlineStr">
        <is>
          <t>no aplica (precio mayorista)</t>
        </is>
      </c>
      <c r="J93" t="inlineStr">
        <is>
          <t>2020-03-28</t>
        </is>
      </c>
      <c r="K93" t="inlineStr">
        <is>
          <t>marginalpdbc_20200329.1</t>
        </is>
      </c>
      <c r="L93" t="inlineStr">
        <is>
          <t>23 periodos; mín 14.00, máx 27.13 €/MWh</t>
        </is>
      </c>
    </row>
    <row r="94">
      <c r="A94" s="53" t="n">
        <v>43920</v>
      </c>
      <c r="B94" t="inlineStr">
        <is>
          <t>2020-03-30</t>
        </is>
      </c>
      <c r="C94" s="45" t="n">
        <v>19.0496</v>
      </c>
      <c r="D94" t="inlineStr">
        <is>
          <t>€/MWh</t>
        </is>
      </c>
      <c r="E94" s="54" t="n">
        <v>0.01905</v>
      </c>
      <c r="F94" s="54" t="n"/>
      <c r="G94" t="inlineStr">
        <is>
          <t>no aplica (precio mayorista)</t>
        </is>
      </c>
      <c r="J94" t="inlineStr">
        <is>
          <t>2020-03-29</t>
        </is>
      </c>
      <c r="K94" t="inlineStr">
        <is>
          <t>marginalpdbc_20200330.1</t>
        </is>
      </c>
      <c r="L94" t="inlineStr">
        <is>
          <t>24 periodos; mín 13.00, máx 28.98 €/MWh</t>
        </is>
      </c>
    </row>
    <row r="95">
      <c r="A95" s="53" t="n">
        <v>43921</v>
      </c>
      <c r="B95" t="inlineStr">
        <is>
          <t>2020-03-31</t>
        </is>
      </c>
      <c r="C95" s="45" t="n">
        <v>20.55</v>
      </c>
      <c r="D95" t="inlineStr">
        <is>
          <t>€/MWh</t>
        </is>
      </c>
      <c r="E95" s="54" t="n">
        <v>0.02055</v>
      </c>
      <c r="F95" s="54" t="n"/>
      <c r="G95" t="inlineStr">
        <is>
          <t>no aplica (precio mayorista)</t>
        </is>
      </c>
      <c r="J95" t="inlineStr">
        <is>
          <t>2020-03-30</t>
        </is>
      </c>
      <c r="K95" t="inlineStr">
        <is>
          <t>marginalpdbc_20200331.1</t>
        </is>
      </c>
      <c r="L95" t="inlineStr">
        <is>
          <t>24 periodos; mín 10.70, máx 30.01 €/MWh</t>
        </is>
      </c>
    </row>
    <row r="96">
      <c r="A96" s="53" t="n">
        <v>43922</v>
      </c>
      <c r="B96" t="inlineStr">
        <is>
          <t>2020-04-01</t>
        </is>
      </c>
      <c r="C96" s="45" t="n">
        <v>26.2017</v>
      </c>
      <c r="D96" t="inlineStr">
        <is>
          <t>€/MWh</t>
        </is>
      </c>
      <c r="E96" s="54" t="n">
        <v>0.026202</v>
      </c>
      <c r="F96" s="54" t="n"/>
      <c r="G96" t="inlineStr">
        <is>
          <t>no aplica (precio mayorista)</t>
        </is>
      </c>
      <c r="J96" t="inlineStr">
        <is>
          <t>2020-03-31</t>
        </is>
      </c>
      <c r="K96" t="inlineStr">
        <is>
          <t>marginalpdbc_20200401.1</t>
        </is>
      </c>
      <c r="L96" t="inlineStr">
        <is>
          <t>24 periodos; mín 19.25, máx 31.01 €/MWh</t>
        </is>
      </c>
    </row>
    <row r="97">
      <c r="A97" s="53" t="n">
        <v>43923</v>
      </c>
      <c r="B97" t="inlineStr">
        <is>
          <t>2020-04-02</t>
        </is>
      </c>
      <c r="C97" s="45" t="n">
        <v>23.8975</v>
      </c>
      <c r="D97" t="inlineStr">
        <is>
          <t>€/MWh</t>
        </is>
      </c>
      <c r="E97" s="54" t="n">
        <v>0.023897</v>
      </c>
      <c r="F97" s="54" t="n"/>
      <c r="G97" t="inlineStr">
        <is>
          <t>no aplica (precio mayorista)</t>
        </is>
      </c>
      <c r="J97" t="inlineStr">
        <is>
          <t>2020-04-01</t>
        </is>
      </c>
      <c r="K97" t="inlineStr">
        <is>
          <t>marginalpdbc_20200402.1</t>
        </is>
      </c>
      <c r="L97" t="inlineStr">
        <is>
          <t>24 periodos; mín 17.07, máx 28.10 €/MWh</t>
        </is>
      </c>
    </row>
    <row r="98">
      <c r="A98" s="53" t="n">
        <v>43924</v>
      </c>
      <c r="B98" t="inlineStr">
        <is>
          <t>2020-04-03</t>
        </is>
      </c>
      <c r="C98" s="45" t="n">
        <v>23.7288</v>
      </c>
      <c r="D98" t="inlineStr">
        <is>
          <t>€/MWh</t>
        </is>
      </c>
      <c r="E98" s="54" t="n">
        <v>0.023729</v>
      </c>
      <c r="F98" s="54" t="n"/>
      <c r="G98" t="inlineStr">
        <is>
          <t>no aplica (precio mayorista)</t>
        </is>
      </c>
      <c r="J98" t="inlineStr">
        <is>
          <t>2020-04-02</t>
        </is>
      </c>
      <c r="K98" t="inlineStr">
        <is>
          <t>marginalpdbc_20200403.1</t>
        </is>
      </c>
      <c r="L98" t="inlineStr">
        <is>
          <t>24 periodos; mín 18.15, máx 30.11 €/MWh</t>
        </is>
      </c>
    </row>
    <row r="99">
      <c r="A99" s="53" t="n">
        <v>43925</v>
      </c>
      <c r="B99" t="inlineStr">
        <is>
          <t>2020-04-04</t>
        </is>
      </c>
      <c r="C99" s="45" t="n">
        <v>16.24</v>
      </c>
      <c r="D99" t="inlineStr">
        <is>
          <t>€/MWh</t>
        </is>
      </c>
      <c r="E99" s="54" t="n">
        <v>0.01624</v>
      </c>
      <c r="F99" s="54" t="n"/>
      <c r="G99" t="inlineStr">
        <is>
          <t>no aplica (precio mayorista)</t>
        </is>
      </c>
      <c r="J99" t="inlineStr">
        <is>
          <t>2020-04-03</t>
        </is>
      </c>
      <c r="K99" t="inlineStr">
        <is>
          <t>marginalpdbc_20200404.1</t>
        </is>
      </c>
      <c r="L99" t="inlineStr">
        <is>
          <t>24 periodos; mín 8.60, máx 25.10 €/MWh</t>
        </is>
      </c>
    </row>
    <row r="100">
      <c r="A100" s="53" t="n">
        <v>43926</v>
      </c>
      <c r="B100" t="inlineStr">
        <is>
          <t>2020-04-05</t>
        </is>
      </c>
      <c r="C100" s="45" t="n">
        <v>8.164199999999999</v>
      </c>
      <c r="D100" t="inlineStr">
        <is>
          <t>€/MWh</t>
        </is>
      </c>
      <c r="E100" s="54" t="n">
        <v>0.008163999999999999</v>
      </c>
      <c r="F100" s="54" t="n"/>
      <c r="G100" t="inlineStr">
        <is>
          <t>no aplica (precio mayorista)</t>
        </is>
      </c>
      <c r="J100" t="inlineStr">
        <is>
          <t>2020-04-04</t>
        </is>
      </c>
      <c r="K100" t="inlineStr">
        <is>
          <t>marginalpdbc_20200405.1</t>
        </is>
      </c>
      <c r="L100" t="inlineStr">
        <is>
          <t>24 periodos; mín 1.95, máx 22.65 €/MWh</t>
        </is>
      </c>
    </row>
    <row r="101">
      <c r="A101" s="53" t="n">
        <v>43927</v>
      </c>
      <c r="B101" t="inlineStr">
        <is>
          <t>2020-04-06</t>
        </is>
      </c>
      <c r="C101" s="45" t="n">
        <v>24.8313</v>
      </c>
      <c r="D101" t="inlineStr">
        <is>
          <t>€/MWh</t>
        </is>
      </c>
      <c r="E101" s="54" t="n">
        <v>0.024831</v>
      </c>
      <c r="F101" s="54" t="n"/>
      <c r="G101" t="inlineStr">
        <is>
          <t>no aplica (precio mayorista)</t>
        </is>
      </c>
      <c r="J101" t="inlineStr">
        <is>
          <t>2020-04-05</t>
        </is>
      </c>
      <c r="K101" t="inlineStr">
        <is>
          <t>marginalpdbc_20200406.1</t>
        </is>
      </c>
      <c r="L101" t="inlineStr">
        <is>
          <t>24 periodos; mín 15.00, máx 30.19 €/MWh</t>
        </is>
      </c>
    </row>
    <row r="102">
      <c r="A102" s="53" t="n">
        <v>43928</v>
      </c>
      <c r="B102" t="inlineStr">
        <is>
          <t>2020-04-07</t>
        </is>
      </c>
      <c r="C102" s="45" t="n">
        <v>22.4546</v>
      </c>
      <c r="D102" t="inlineStr">
        <is>
          <t>€/MWh</t>
        </is>
      </c>
      <c r="E102" s="54" t="n">
        <v>0.022455</v>
      </c>
      <c r="F102" s="54" t="n"/>
      <c r="G102" t="inlineStr">
        <is>
          <t>no aplica (precio mayorista)</t>
        </is>
      </c>
      <c r="J102" t="inlineStr">
        <is>
          <t>2020-04-06</t>
        </is>
      </c>
      <c r="K102" t="inlineStr">
        <is>
          <t>marginalpdbc_20200407.1</t>
        </is>
      </c>
      <c r="L102" t="inlineStr">
        <is>
          <t>24 periodos; mín 16.25, máx 28.51 €/MWh</t>
        </is>
      </c>
    </row>
    <row r="103">
      <c r="A103" s="53" t="n">
        <v>43929</v>
      </c>
      <c r="B103" t="inlineStr">
        <is>
          <t>2020-04-08</t>
        </is>
      </c>
      <c r="C103" s="45" t="n">
        <v>23.6171</v>
      </c>
      <c r="D103" t="inlineStr">
        <is>
          <t>€/MWh</t>
        </is>
      </c>
      <c r="E103" s="54" t="n">
        <v>0.023617</v>
      </c>
      <c r="F103" s="54" t="n"/>
      <c r="G103" t="inlineStr">
        <is>
          <t>no aplica (precio mayorista)</t>
        </is>
      </c>
      <c r="J103" t="inlineStr">
        <is>
          <t>2020-04-07</t>
        </is>
      </c>
      <c r="K103" t="inlineStr">
        <is>
          <t>marginalpdbc_20200408.1</t>
        </is>
      </c>
      <c r="L103" t="inlineStr">
        <is>
          <t>24 periodos; mín 20.00, máx 30.00 €/MWh</t>
        </is>
      </c>
    </row>
    <row r="104">
      <c r="A104" s="53" t="n">
        <v>43930</v>
      </c>
      <c r="B104" t="inlineStr">
        <is>
          <t>2020-04-09</t>
        </is>
      </c>
      <c r="C104" s="45" t="n">
        <v>22.3163</v>
      </c>
      <c r="D104" t="inlineStr">
        <is>
          <t>€/MWh</t>
        </is>
      </c>
      <c r="E104" s="54" t="n">
        <v>0.022316</v>
      </c>
      <c r="F104" s="54" t="n"/>
      <c r="G104" t="inlineStr">
        <is>
          <t>no aplica (precio mayorista)</t>
        </is>
      </c>
      <c r="J104" t="inlineStr">
        <is>
          <t>2020-04-08</t>
        </is>
      </c>
      <c r="K104" t="inlineStr">
        <is>
          <t>marginalpdbc_20200409.1</t>
        </is>
      </c>
      <c r="L104" t="inlineStr">
        <is>
          <t>24 periodos; mín 15.59, máx 27.99 €/MWh</t>
        </is>
      </c>
    </row>
    <row r="105">
      <c r="A105" s="53" t="n">
        <v>43931</v>
      </c>
      <c r="B105" t="inlineStr">
        <is>
          <t>2020-04-10</t>
        </is>
      </c>
      <c r="C105" s="45" t="n">
        <v>19.0712</v>
      </c>
      <c r="D105" t="inlineStr">
        <is>
          <t>€/MWh</t>
        </is>
      </c>
      <c r="E105" s="54" t="n">
        <v>0.019071</v>
      </c>
      <c r="F105" s="54" t="n"/>
      <c r="G105" t="inlineStr">
        <is>
          <t>no aplica (precio mayorista)</t>
        </is>
      </c>
      <c r="J105" t="inlineStr">
        <is>
          <t>2020-04-09</t>
        </is>
      </c>
      <c r="K105" t="inlineStr">
        <is>
          <t>marginalpdbc_20200410.1</t>
        </is>
      </c>
      <c r="L105" t="inlineStr">
        <is>
          <t>24 periodos; mín 14.81, máx 27.69 €/MWh</t>
        </is>
      </c>
    </row>
    <row r="106">
      <c r="A106" s="53" t="n">
        <v>43932</v>
      </c>
      <c r="B106" t="inlineStr">
        <is>
          <t>2020-04-11</t>
        </is>
      </c>
      <c r="C106" s="45" t="n">
        <v>22.0242</v>
      </c>
      <c r="D106" t="inlineStr">
        <is>
          <t>€/MWh</t>
        </is>
      </c>
      <c r="E106" s="54" t="n">
        <v>0.022024</v>
      </c>
      <c r="F106" s="54" t="n"/>
      <c r="G106" t="inlineStr">
        <is>
          <t>no aplica (precio mayorista)</t>
        </is>
      </c>
      <c r="J106" t="inlineStr">
        <is>
          <t>2020-04-10</t>
        </is>
      </c>
      <c r="K106" t="inlineStr">
        <is>
          <t>marginalpdbc_20200411.1</t>
        </is>
      </c>
      <c r="L106" t="inlineStr">
        <is>
          <t>24 periodos; mín 17.99, máx 29.00 €/MWh</t>
        </is>
      </c>
    </row>
    <row r="107">
      <c r="A107" s="53" t="n">
        <v>43933</v>
      </c>
      <c r="B107" t="inlineStr">
        <is>
          <t>2020-04-12</t>
        </is>
      </c>
      <c r="C107" s="45" t="n">
        <v>17.8179</v>
      </c>
      <c r="D107" t="inlineStr">
        <is>
          <t>€/MWh</t>
        </is>
      </c>
      <c r="E107" s="54" t="n">
        <v>0.017818</v>
      </c>
      <c r="F107" s="54" t="n"/>
      <c r="G107" t="inlineStr">
        <is>
          <t>no aplica (precio mayorista)</t>
        </is>
      </c>
      <c r="J107" t="inlineStr">
        <is>
          <t>2020-04-11</t>
        </is>
      </c>
      <c r="K107" t="inlineStr">
        <is>
          <t>marginalpdbc_20200412.1</t>
        </is>
      </c>
      <c r="L107" t="inlineStr">
        <is>
          <t>24 periodos; mín 13.50, máx 28.03 €/MWh</t>
        </is>
      </c>
    </row>
    <row r="108">
      <c r="A108" s="53" t="n">
        <v>43934</v>
      </c>
      <c r="B108" t="inlineStr">
        <is>
          <t>2020-04-13</t>
        </is>
      </c>
      <c r="C108" s="45" t="n">
        <v>22.2579</v>
      </c>
      <c r="D108" t="inlineStr">
        <is>
          <t>€/MWh</t>
        </is>
      </c>
      <c r="E108" s="54" t="n">
        <v>0.022258</v>
      </c>
      <c r="F108" s="54" t="n"/>
      <c r="G108" t="inlineStr">
        <is>
          <t>no aplica (precio mayorista)</t>
        </is>
      </c>
      <c r="J108" t="inlineStr">
        <is>
          <t>2020-04-12</t>
        </is>
      </c>
      <c r="K108" t="inlineStr">
        <is>
          <t>marginalpdbc_20200413.1</t>
        </is>
      </c>
      <c r="L108" t="inlineStr">
        <is>
          <t>24 periodos; mín 16.01, máx 29.51 €/MWh</t>
        </is>
      </c>
    </row>
    <row r="109">
      <c r="A109" s="53" t="n">
        <v>43935</v>
      </c>
      <c r="B109" t="inlineStr">
        <is>
          <t>2020-04-14</t>
        </is>
      </c>
      <c r="C109" s="45" t="n">
        <v>21.9517</v>
      </c>
      <c r="D109" t="inlineStr">
        <is>
          <t>€/MWh</t>
        </is>
      </c>
      <c r="E109" s="54" t="n">
        <v>0.021952</v>
      </c>
      <c r="F109" s="54" t="n"/>
      <c r="G109" t="inlineStr">
        <is>
          <t>no aplica (precio mayorista)</t>
        </is>
      </c>
      <c r="J109" t="inlineStr">
        <is>
          <t>2020-04-13</t>
        </is>
      </c>
      <c r="K109" t="inlineStr">
        <is>
          <t>marginalpdbc_20200414.1</t>
        </is>
      </c>
      <c r="L109" t="inlineStr">
        <is>
          <t>24 periodos; mín 16.00, máx 26.90 €/MWh</t>
        </is>
      </c>
    </row>
    <row r="110">
      <c r="A110" s="53" t="n">
        <v>43936</v>
      </c>
      <c r="B110" t="inlineStr">
        <is>
          <t>2020-04-15</t>
        </is>
      </c>
      <c r="C110" s="45" t="n">
        <v>16.6146</v>
      </c>
      <c r="D110" t="inlineStr">
        <is>
          <t>€/MWh</t>
        </is>
      </c>
      <c r="E110" s="54" t="n">
        <v>0.016615</v>
      </c>
      <c r="F110" s="54" t="n"/>
      <c r="G110" t="inlineStr">
        <is>
          <t>no aplica (precio mayorista)</t>
        </is>
      </c>
      <c r="J110" t="inlineStr">
        <is>
          <t>2020-04-14</t>
        </is>
      </c>
      <c r="K110" t="inlineStr">
        <is>
          <t>marginalpdbc_20200415.1</t>
        </is>
      </c>
      <c r="L110" t="inlineStr">
        <is>
          <t>24 periodos; mín 12.13, máx 25.50 €/MWh</t>
        </is>
      </c>
    </row>
    <row r="111">
      <c r="A111" s="53" t="n">
        <v>43937</v>
      </c>
      <c r="B111" t="inlineStr">
        <is>
          <t>2020-04-16</t>
        </is>
      </c>
      <c r="C111" s="45" t="n">
        <v>12.7338</v>
      </c>
      <c r="D111" t="inlineStr">
        <is>
          <t>€/MWh</t>
        </is>
      </c>
      <c r="E111" s="54" t="n">
        <v>0.012734</v>
      </c>
      <c r="F111" s="54" t="n"/>
      <c r="G111" t="inlineStr">
        <is>
          <t>no aplica (precio mayorista)</t>
        </is>
      </c>
      <c r="J111" t="inlineStr">
        <is>
          <t>2020-04-15</t>
        </is>
      </c>
      <c r="K111" t="inlineStr">
        <is>
          <t>marginalpdbc_20200416.1</t>
        </is>
      </c>
      <c r="L111" t="inlineStr">
        <is>
          <t>24 periodos; mín 7.96, máx 19.50 €/MWh</t>
        </is>
      </c>
    </row>
    <row r="112">
      <c r="A112" s="53" t="n">
        <v>43938</v>
      </c>
      <c r="B112" t="inlineStr">
        <is>
          <t>2020-04-17</t>
        </is>
      </c>
      <c r="C112" s="45" t="n">
        <v>14.54</v>
      </c>
      <c r="D112" t="inlineStr">
        <is>
          <t>€/MWh</t>
        </is>
      </c>
      <c r="E112" s="54" t="n">
        <v>0.01454</v>
      </c>
      <c r="F112" s="54" t="n"/>
      <c r="G112" t="inlineStr">
        <is>
          <t>no aplica (precio mayorista)</t>
        </is>
      </c>
      <c r="J112" t="inlineStr">
        <is>
          <t>2020-04-16</t>
        </is>
      </c>
      <c r="K112" t="inlineStr">
        <is>
          <t>marginalpdbc_20200417.1</t>
        </is>
      </c>
      <c r="L112" t="inlineStr">
        <is>
          <t>24 periodos; mín 9.55, máx 24.67 €/MWh</t>
        </is>
      </c>
    </row>
    <row r="113">
      <c r="A113" s="53" t="n">
        <v>43939</v>
      </c>
      <c r="B113" t="inlineStr">
        <is>
          <t>2020-04-18</t>
        </is>
      </c>
      <c r="C113" s="45" t="n">
        <v>21.2833</v>
      </c>
      <c r="D113" t="inlineStr">
        <is>
          <t>€/MWh</t>
        </is>
      </c>
      <c r="E113" s="54" t="n">
        <v>0.021283</v>
      </c>
      <c r="F113" s="54" t="n"/>
      <c r="G113" t="inlineStr">
        <is>
          <t>no aplica (precio mayorista)</t>
        </is>
      </c>
      <c r="J113" t="inlineStr">
        <is>
          <t>2020-04-17</t>
        </is>
      </c>
      <c r="K113" t="inlineStr">
        <is>
          <t>marginalpdbc_20200418.1</t>
        </is>
      </c>
      <c r="L113" t="inlineStr">
        <is>
          <t>24 periodos; mín 17.50, máx 26.01 €/MWh</t>
        </is>
      </c>
    </row>
    <row r="114">
      <c r="A114" s="53" t="n">
        <v>43940</v>
      </c>
      <c r="B114" t="inlineStr">
        <is>
          <t>2020-04-19</t>
        </is>
      </c>
      <c r="C114" s="45" t="n">
        <v>13.3029</v>
      </c>
      <c r="D114" t="inlineStr">
        <is>
          <t>€/MWh</t>
        </is>
      </c>
      <c r="E114" s="54" t="n">
        <v>0.013303</v>
      </c>
      <c r="F114" s="54" t="n"/>
      <c r="G114" t="inlineStr">
        <is>
          <t>no aplica (precio mayorista)</t>
        </is>
      </c>
      <c r="J114" t="inlineStr">
        <is>
          <t>2020-04-18</t>
        </is>
      </c>
      <c r="K114" t="inlineStr">
        <is>
          <t>marginalpdbc_20200419.1</t>
        </is>
      </c>
      <c r="L114" t="inlineStr">
        <is>
          <t>24 periodos; mín 5.33, máx 16.51 €/MWh</t>
        </is>
      </c>
    </row>
    <row r="115">
      <c r="A115" s="53" t="n">
        <v>43941</v>
      </c>
      <c r="B115" t="inlineStr">
        <is>
          <t>2020-04-20</t>
        </is>
      </c>
      <c r="C115" s="45" t="n">
        <v>11.1192</v>
      </c>
      <c r="D115" t="inlineStr">
        <is>
          <t>€/MWh</t>
        </is>
      </c>
      <c r="E115" s="54" t="n">
        <v>0.011119</v>
      </c>
      <c r="F115" s="54" t="n"/>
      <c r="G115" t="inlineStr">
        <is>
          <t>no aplica (precio mayorista)</t>
        </is>
      </c>
      <c r="J115" t="inlineStr">
        <is>
          <t>2020-04-19</t>
        </is>
      </c>
      <c r="K115" t="inlineStr">
        <is>
          <t>marginalpdbc_20200420.1</t>
        </is>
      </c>
      <c r="L115" t="inlineStr">
        <is>
          <t>24 periodos; mín 3.97, máx 18.33 €/MWh</t>
        </is>
      </c>
    </row>
    <row r="116">
      <c r="A116" s="53" t="n">
        <v>43942</v>
      </c>
      <c r="B116" t="inlineStr">
        <is>
          <t>2020-04-21</t>
        </is>
      </c>
      <c r="C116" s="45" t="n">
        <v>9.2363</v>
      </c>
      <c r="D116" t="inlineStr">
        <is>
          <t>€/MWh</t>
        </is>
      </c>
      <c r="E116" s="54" t="n">
        <v>0.009235999999999999</v>
      </c>
      <c r="F116" s="54" t="n"/>
      <c r="G116" t="inlineStr">
        <is>
          <t>no aplica (precio mayorista)</t>
        </is>
      </c>
      <c r="J116" t="inlineStr">
        <is>
          <t>2020-04-20</t>
        </is>
      </c>
      <c r="K116" t="inlineStr">
        <is>
          <t>marginalpdbc_20200421.1</t>
        </is>
      </c>
      <c r="L116" t="inlineStr">
        <is>
          <t>24 periodos; mín 5.00, máx 11.43 €/MWh</t>
        </is>
      </c>
    </row>
    <row r="117">
      <c r="A117" s="53" t="n">
        <v>43943</v>
      </c>
      <c r="B117" t="inlineStr">
        <is>
          <t>2020-04-22</t>
        </is>
      </c>
      <c r="C117" s="45" t="n">
        <v>9.984999999999999</v>
      </c>
      <c r="D117" t="inlineStr">
        <is>
          <t>€/MWh</t>
        </is>
      </c>
      <c r="E117" s="54" t="n">
        <v>0.009985000000000001</v>
      </c>
      <c r="F117" s="54" t="n"/>
      <c r="G117" t="inlineStr">
        <is>
          <t>no aplica (precio mayorista)</t>
        </is>
      </c>
      <c r="J117" t="inlineStr">
        <is>
          <t>2020-04-21</t>
        </is>
      </c>
      <c r="K117" t="inlineStr">
        <is>
          <t>marginalpdbc_20200422.1</t>
        </is>
      </c>
      <c r="L117" t="inlineStr">
        <is>
          <t>24 periodos; mín 3.50, máx 22.19 €/MWh</t>
        </is>
      </c>
    </row>
    <row r="118">
      <c r="A118" s="53" t="n">
        <v>43944</v>
      </c>
      <c r="B118" t="inlineStr">
        <is>
          <t>2020-04-23</t>
        </is>
      </c>
      <c r="C118" s="45" t="n">
        <v>17.7533</v>
      </c>
      <c r="D118" t="inlineStr">
        <is>
          <t>€/MWh</t>
        </is>
      </c>
      <c r="E118" s="54" t="n">
        <v>0.017753</v>
      </c>
      <c r="F118" s="54" t="n"/>
      <c r="G118" t="inlineStr">
        <is>
          <t>no aplica (precio mayorista)</t>
        </is>
      </c>
      <c r="J118" t="inlineStr">
        <is>
          <t>2020-04-22</t>
        </is>
      </c>
      <c r="K118" t="inlineStr">
        <is>
          <t>marginalpdbc_20200423.1</t>
        </is>
      </c>
      <c r="L118" t="inlineStr">
        <is>
          <t>24 periodos; mín 12.69, máx 23.94 €/MWh</t>
        </is>
      </c>
    </row>
    <row r="119">
      <c r="A119" s="53" t="n">
        <v>43945</v>
      </c>
      <c r="B119" t="inlineStr">
        <is>
          <t>2020-04-24</t>
        </is>
      </c>
      <c r="C119" s="45" t="n">
        <v>18.8204</v>
      </c>
      <c r="D119" t="inlineStr">
        <is>
          <t>€/MWh</t>
        </is>
      </c>
      <c r="E119" s="54" t="n">
        <v>0.01882</v>
      </c>
      <c r="F119" s="54" t="n"/>
      <c r="G119" t="inlineStr">
        <is>
          <t>no aplica (precio mayorista)</t>
        </is>
      </c>
      <c r="J119" t="inlineStr">
        <is>
          <t>2020-04-23</t>
        </is>
      </c>
      <c r="K119" t="inlineStr">
        <is>
          <t>marginalpdbc_20200424.1</t>
        </is>
      </c>
      <c r="L119" t="inlineStr">
        <is>
          <t>24 periodos; mín 10.00, máx 23.87 €/MWh</t>
        </is>
      </c>
    </row>
    <row r="120">
      <c r="A120" s="53" t="n">
        <v>43946</v>
      </c>
      <c r="B120" t="inlineStr">
        <is>
          <t>2020-04-25</t>
        </is>
      </c>
      <c r="C120" s="45" t="n">
        <v>17.6342</v>
      </c>
      <c r="D120" t="inlineStr">
        <is>
          <t>€/MWh</t>
        </is>
      </c>
      <c r="E120" s="54" t="n">
        <v>0.017634</v>
      </c>
      <c r="F120" s="54" t="n"/>
      <c r="G120" t="inlineStr">
        <is>
          <t>no aplica (precio mayorista)</t>
        </is>
      </c>
      <c r="J120" t="inlineStr">
        <is>
          <t>2020-04-24</t>
        </is>
      </c>
      <c r="K120" t="inlineStr">
        <is>
          <t>marginalpdbc_20200425.1</t>
        </is>
      </c>
      <c r="L120" t="inlineStr">
        <is>
          <t>24 periodos; mín 14.01, máx 22.70 €/MWh</t>
        </is>
      </c>
    </row>
    <row r="121">
      <c r="A121" s="53" t="n">
        <v>43947</v>
      </c>
      <c r="B121" t="inlineStr">
        <is>
          <t>2020-04-26</t>
        </is>
      </c>
      <c r="C121" s="45" t="n">
        <v>15.2171</v>
      </c>
      <c r="D121" t="inlineStr">
        <is>
          <t>€/MWh</t>
        </is>
      </c>
      <c r="E121" s="54" t="n">
        <v>0.015217</v>
      </c>
      <c r="F121" s="54" t="n"/>
      <c r="G121" t="inlineStr">
        <is>
          <t>no aplica (precio mayorista)</t>
        </is>
      </c>
      <c r="J121" t="inlineStr">
        <is>
          <t>2020-04-25</t>
        </is>
      </c>
      <c r="K121" t="inlineStr">
        <is>
          <t>marginalpdbc_20200426.1</t>
        </is>
      </c>
      <c r="L121" t="inlineStr">
        <is>
          <t>24 periodos; mín 11.80, máx 25.15 €/MWh</t>
        </is>
      </c>
    </row>
    <row r="122">
      <c r="A122" s="53" t="n">
        <v>43948</v>
      </c>
      <c r="B122" t="inlineStr">
        <is>
          <t>2020-04-27</t>
        </is>
      </c>
      <c r="C122" s="45" t="n">
        <v>19.9887</v>
      </c>
      <c r="D122" t="inlineStr">
        <is>
          <t>€/MWh</t>
        </is>
      </c>
      <c r="E122" s="54" t="n">
        <v>0.019989</v>
      </c>
      <c r="F122" s="54" t="n"/>
      <c r="G122" t="inlineStr">
        <is>
          <t>no aplica (precio mayorista)</t>
        </is>
      </c>
      <c r="J122" t="inlineStr">
        <is>
          <t>2020-04-26</t>
        </is>
      </c>
      <c r="K122" t="inlineStr">
        <is>
          <t>marginalpdbc_20200427.1</t>
        </is>
      </c>
      <c r="L122" t="inlineStr">
        <is>
          <t>24 periodos; mín 13.64, máx 24.10 €/MWh</t>
        </is>
      </c>
    </row>
    <row r="123">
      <c r="A123" s="53" t="n">
        <v>43949</v>
      </c>
      <c r="B123" t="inlineStr">
        <is>
          <t>2020-04-28</t>
        </is>
      </c>
      <c r="C123" s="45" t="n">
        <v>18.5942</v>
      </c>
      <c r="D123" t="inlineStr">
        <is>
          <t>€/MWh</t>
        </is>
      </c>
      <c r="E123" s="54" t="n">
        <v>0.018594</v>
      </c>
      <c r="F123" s="54" t="n"/>
      <c r="G123" t="inlineStr">
        <is>
          <t>no aplica (precio mayorista)</t>
        </is>
      </c>
      <c r="J123" t="inlineStr">
        <is>
          <t>2020-04-27</t>
        </is>
      </c>
      <c r="K123" t="inlineStr">
        <is>
          <t>marginalpdbc_20200428.1</t>
        </is>
      </c>
      <c r="L123" t="inlineStr">
        <is>
          <t>24 periodos; mín 12.21, máx 24.56 €/MWh</t>
        </is>
      </c>
    </row>
    <row r="124">
      <c r="A124" s="53" t="n">
        <v>43950</v>
      </c>
      <c r="B124" t="inlineStr">
        <is>
          <t>2020-04-29</t>
        </is>
      </c>
      <c r="C124" s="45" t="n">
        <v>10.6908</v>
      </c>
      <c r="D124" t="inlineStr">
        <is>
          <t>€/MWh</t>
        </is>
      </c>
      <c r="E124" s="54" t="n">
        <v>0.010691</v>
      </c>
      <c r="F124" s="54" t="n"/>
      <c r="G124" t="inlineStr">
        <is>
          <t>no aplica (precio mayorista)</t>
        </is>
      </c>
      <c r="J124" t="inlineStr">
        <is>
          <t>2020-04-28</t>
        </is>
      </c>
      <c r="K124" t="inlineStr">
        <is>
          <t>marginalpdbc_20200429.1</t>
        </is>
      </c>
      <c r="L124" t="inlineStr">
        <is>
          <t>24 periodos; mín 5.69, máx 15.50 €/MWh</t>
        </is>
      </c>
    </row>
    <row r="125">
      <c r="A125" s="53" t="n">
        <v>43951</v>
      </c>
      <c r="B125" t="inlineStr">
        <is>
          <t>2020-04-30</t>
        </is>
      </c>
      <c r="C125" s="45" t="n">
        <v>7.5008</v>
      </c>
      <c r="D125" t="inlineStr">
        <is>
          <t>€/MWh</t>
        </is>
      </c>
      <c r="E125" s="54" t="n">
        <v>0.007501</v>
      </c>
      <c r="F125" s="54" t="n"/>
      <c r="G125" t="inlineStr">
        <is>
          <t>no aplica (precio mayorista)</t>
        </is>
      </c>
      <c r="J125" t="inlineStr">
        <is>
          <t>2020-04-29</t>
        </is>
      </c>
      <c r="K125" t="inlineStr">
        <is>
          <t>marginalpdbc_20200430.1</t>
        </is>
      </c>
      <c r="L125" t="inlineStr">
        <is>
          <t>24 periodos; mín 5.30, máx 12.04 €/MWh</t>
        </is>
      </c>
    </row>
    <row r="126">
      <c r="A126" s="53" t="n">
        <v>43952</v>
      </c>
      <c r="B126" t="inlineStr">
        <is>
          <t>2020-05-01</t>
        </is>
      </c>
      <c r="C126" s="45" t="n">
        <v>4.6296</v>
      </c>
      <c r="D126" t="inlineStr">
        <is>
          <t>€/MWh</t>
        </is>
      </c>
      <c r="E126" s="54" t="n">
        <v>0.00463</v>
      </c>
      <c r="F126" s="54" t="n"/>
      <c r="G126" t="inlineStr">
        <is>
          <t>no aplica (precio mayorista)</t>
        </is>
      </c>
      <c r="J126" t="inlineStr">
        <is>
          <t>2020-04-30</t>
        </is>
      </c>
      <c r="K126" t="inlineStr">
        <is>
          <t>marginalpdbc_20200501.1</t>
        </is>
      </c>
      <c r="L126" t="inlineStr">
        <is>
          <t>24 periodos; mín 1.02, máx 15.39 €/MWh</t>
        </is>
      </c>
    </row>
    <row r="127">
      <c r="A127" s="53" t="n">
        <v>43953</v>
      </c>
      <c r="B127" t="inlineStr">
        <is>
          <t>2020-05-02</t>
        </is>
      </c>
      <c r="C127" s="45" t="n">
        <v>11.3054</v>
      </c>
      <c r="D127" t="inlineStr">
        <is>
          <t>€/MWh</t>
        </is>
      </c>
      <c r="E127" s="54" t="n">
        <v>0.011305</v>
      </c>
      <c r="F127" s="54" t="n"/>
      <c r="G127" t="inlineStr">
        <is>
          <t>no aplica (precio mayorista)</t>
        </is>
      </c>
      <c r="J127" t="inlineStr">
        <is>
          <t>2020-05-01</t>
        </is>
      </c>
      <c r="K127" t="inlineStr">
        <is>
          <t>marginalpdbc_20200502.1</t>
        </is>
      </c>
      <c r="L127" t="inlineStr">
        <is>
          <t>24 periodos; mín 5.25, máx 24.38 €/MWh</t>
        </is>
      </c>
    </row>
    <row r="128">
      <c r="A128" s="53" t="n">
        <v>43954</v>
      </c>
      <c r="B128" t="inlineStr">
        <is>
          <t>2020-05-03</t>
        </is>
      </c>
      <c r="C128" s="45" t="n">
        <v>14.1525</v>
      </c>
      <c r="D128" t="inlineStr">
        <is>
          <t>€/MWh</t>
        </is>
      </c>
      <c r="E128" s="54" t="n">
        <v>0.014153</v>
      </c>
      <c r="F128" s="54" t="n"/>
      <c r="G128" t="inlineStr">
        <is>
          <t>no aplica (precio mayorista)</t>
        </is>
      </c>
      <c r="J128" t="inlineStr">
        <is>
          <t>2020-05-02</t>
        </is>
      </c>
      <c r="K128" t="inlineStr">
        <is>
          <t>marginalpdbc_20200503.1</t>
        </is>
      </c>
      <c r="L128" t="inlineStr">
        <is>
          <t>24 periodos; mín 7.65, máx 23.01 €/MWh</t>
        </is>
      </c>
    </row>
    <row r="129">
      <c r="A129" s="53" t="n">
        <v>43955</v>
      </c>
      <c r="B129" t="inlineStr">
        <is>
          <t>2020-05-04</t>
        </is>
      </c>
      <c r="C129" s="45" t="n">
        <v>16.1458</v>
      </c>
      <c r="D129" t="inlineStr">
        <is>
          <t>€/MWh</t>
        </is>
      </c>
      <c r="E129" s="54" t="n">
        <v>0.016146</v>
      </c>
      <c r="F129" s="54" t="n"/>
      <c r="G129" t="inlineStr">
        <is>
          <t>no aplica (precio mayorista)</t>
        </is>
      </c>
      <c r="J129" t="inlineStr">
        <is>
          <t>2020-05-03</t>
        </is>
      </c>
      <c r="K129" t="inlineStr">
        <is>
          <t>marginalpdbc_20200504.1</t>
        </is>
      </c>
      <c r="L129" t="inlineStr">
        <is>
          <t>24 periodos; mín 10.50, máx 22.51 €/MWh</t>
        </is>
      </c>
    </row>
    <row r="130">
      <c r="A130" s="53" t="n">
        <v>43956</v>
      </c>
      <c r="B130" t="inlineStr">
        <is>
          <t>2020-05-05</t>
        </is>
      </c>
      <c r="C130" s="45" t="n">
        <v>18.2354</v>
      </c>
      <c r="D130" t="inlineStr">
        <is>
          <t>€/MWh</t>
        </is>
      </c>
      <c r="E130" s="54" t="n">
        <v>0.018235</v>
      </c>
      <c r="F130" s="54" t="n"/>
      <c r="G130" t="inlineStr">
        <is>
          <t>no aplica (precio mayorista)</t>
        </is>
      </c>
      <c r="J130" t="inlineStr">
        <is>
          <t>2020-05-04</t>
        </is>
      </c>
      <c r="K130" t="inlineStr">
        <is>
          <t>marginalpdbc_20200505.1</t>
        </is>
      </c>
      <c r="L130" t="inlineStr">
        <is>
          <t>24 periodos; mín 14.27, máx 25.34 €/MWh</t>
        </is>
      </c>
    </row>
    <row r="131">
      <c r="A131" s="53" t="n">
        <v>43957</v>
      </c>
      <c r="B131" t="inlineStr">
        <is>
          <t>2020-05-06</t>
        </is>
      </c>
      <c r="C131" s="45" t="n">
        <v>22.3917</v>
      </c>
      <c r="D131" t="inlineStr">
        <is>
          <t>€/MWh</t>
        </is>
      </c>
      <c r="E131" s="54" t="n">
        <v>0.022392</v>
      </c>
      <c r="F131" s="54" t="n"/>
      <c r="G131" t="inlineStr">
        <is>
          <t>no aplica (precio mayorista)</t>
        </is>
      </c>
      <c r="J131" t="inlineStr">
        <is>
          <t>2020-05-05</t>
        </is>
      </c>
      <c r="K131" t="inlineStr">
        <is>
          <t>marginalpdbc_20200506.1</t>
        </is>
      </c>
      <c r="L131" t="inlineStr">
        <is>
          <t>24 periodos; mín 20.01, máx 26.55 €/MWh</t>
        </is>
      </c>
    </row>
    <row r="132">
      <c r="A132" s="53" t="n">
        <v>43958</v>
      </c>
      <c r="B132" t="inlineStr">
        <is>
          <t>2020-05-07</t>
        </is>
      </c>
      <c r="C132" s="45" t="n">
        <v>20.9367</v>
      </c>
      <c r="D132" t="inlineStr">
        <is>
          <t>€/MWh</t>
        </is>
      </c>
      <c r="E132" s="54" t="n">
        <v>0.020937</v>
      </c>
      <c r="F132" s="54" t="n"/>
      <c r="G132" t="inlineStr">
        <is>
          <t>no aplica (precio mayorista)</t>
        </is>
      </c>
      <c r="J132" t="inlineStr">
        <is>
          <t>2020-05-06</t>
        </is>
      </c>
      <c r="K132" t="inlineStr">
        <is>
          <t>marginalpdbc_20200507.1</t>
        </is>
      </c>
      <c r="L132" t="inlineStr">
        <is>
          <t>24 periodos; mín 17.04, máx 25.77 €/MWh</t>
        </is>
      </c>
    </row>
    <row r="133">
      <c r="A133" s="53" t="n">
        <v>43959</v>
      </c>
      <c r="B133" t="inlineStr">
        <is>
          <t>2020-05-08</t>
        </is>
      </c>
      <c r="C133" s="45" t="n">
        <v>20.0483</v>
      </c>
      <c r="D133" t="inlineStr">
        <is>
          <t>€/MWh</t>
        </is>
      </c>
      <c r="E133" s="54" t="n">
        <v>0.020048</v>
      </c>
      <c r="F133" s="54" t="n"/>
      <c r="G133" t="inlineStr">
        <is>
          <t>no aplica (precio mayorista)</t>
        </is>
      </c>
      <c r="J133" t="inlineStr">
        <is>
          <t>2020-05-07</t>
        </is>
      </c>
      <c r="K133" t="inlineStr">
        <is>
          <t>marginalpdbc_20200508.1</t>
        </is>
      </c>
      <c r="L133" t="inlineStr">
        <is>
          <t>24 periodos; mín 15.74, máx 26.12 €/MWh</t>
        </is>
      </c>
    </row>
    <row r="134">
      <c r="A134" s="53" t="n">
        <v>43960</v>
      </c>
      <c r="B134" t="inlineStr">
        <is>
          <t>2020-05-09</t>
        </is>
      </c>
      <c r="C134" s="45" t="n">
        <v>18.7096</v>
      </c>
      <c r="D134" t="inlineStr">
        <is>
          <t>€/MWh</t>
        </is>
      </c>
      <c r="E134" s="54" t="n">
        <v>0.01871</v>
      </c>
      <c r="F134" s="54" t="n"/>
      <c r="G134" t="inlineStr">
        <is>
          <t>no aplica (precio mayorista)</t>
        </is>
      </c>
      <c r="J134" t="inlineStr">
        <is>
          <t>2020-05-08</t>
        </is>
      </c>
      <c r="K134" t="inlineStr">
        <is>
          <t>marginalpdbc_20200509.1</t>
        </is>
      </c>
      <c r="L134" t="inlineStr">
        <is>
          <t>24 periodos; mín 12.50, máx 22.93 €/MWh</t>
        </is>
      </c>
    </row>
    <row r="135">
      <c r="A135" s="53" t="n">
        <v>43961</v>
      </c>
      <c r="B135" t="inlineStr">
        <is>
          <t>2020-05-10</t>
        </is>
      </c>
      <c r="C135" s="45" t="n">
        <v>12.7054</v>
      </c>
      <c r="D135" t="inlineStr">
        <is>
          <t>€/MWh</t>
        </is>
      </c>
      <c r="E135" s="54" t="n">
        <v>0.012705</v>
      </c>
      <c r="F135" s="54" t="n"/>
      <c r="G135" t="inlineStr">
        <is>
          <t>no aplica (precio mayorista)</t>
        </is>
      </c>
      <c r="J135" t="inlineStr">
        <is>
          <t>2020-05-09</t>
        </is>
      </c>
      <c r="K135" t="inlineStr">
        <is>
          <t>marginalpdbc_20200510.1</t>
        </is>
      </c>
      <c r="L135" t="inlineStr">
        <is>
          <t>24 periodos; mín 2.97, máx 20.70 €/MWh</t>
        </is>
      </c>
    </row>
    <row r="136">
      <c r="A136" s="53" t="n">
        <v>43962</v>
      </c>
      <c r="B136" t="inlineStr">
        <is>
          <t>2020-05-11</t>
        </is>
      </c>
      <c r="C136" s="45" t="n">
        <v>15.3225</v>
      </c>
      <c r="D136" t="inlineStr">
        <is>
          <t>€/MWh</t>
        </is>
      </c>
      <c r="E136" s="54" t="n">
        <v>0.015322</v>
      </c>
      <c r="F136" s="54" t="n"/>
      <c r="G136" t="inlineStr">
        <is>
          <t>no aplica (precio mayorista)</t>
        </is>
      </c>
      <c r="J136" t="inlineStr">
        <is>
          <t>2020-05-10</t>
        </is>
      </c>
      <c r="K136" t="inlineStr">
        <is>
          <t>marginalpdbc_20200511.1</t>
        </is>
      </c>
      <c r="L136" t="inlineStr">
        <is>
          <t>24 periodos; mín 10.70, máx 21.85 €/MWh</t>
        </is>
      </c>
    </row>
    <row r="137">
      <c r="A137" s="53" t="n">
        <v>43963</v>
      </c>
      <c r="B137" t="inlineStr">
        <is>
          <t>2020-05-12</t>
        </is>
      </c>
      <c r="C137" s="45" t="n">
        <v>24.2433</v>
      </c>
      <c r="D137" t="inlineStr">
        <is>
          <t>€/MWh</t>
        </is>
      </c>
      <c r="E137" s="54" t="n">
        <v>0.024243</v>
      </c>
      <c r="F137" s="54" t="n"/>
      <c r="G137" t="inlineStr">
        <is>
          <t>no aplica (precio mayorista)</t>
        </is>
      </c>
      <c r="J137" t="inlineStr">
        <is>
          <t>2020-05-11</t>
        </is>
      </c>
      <c r="K137" t="inlineStr">
        <is>
          <t>marginalpdbc_20200512.1</t>
        </is>
      </c>
      <c r="L137" t="inlineStr">
        <is>
          <t>24 periodos; mín 22.26, máx 27.94 €/MWh</t>
        </is>
      </c>
    </row>
    <row r="138">
      <c r="A138" s="53" t="n">
        <v>43964</v>
      </c>
      <c r="B138" t="inlineStr">
        <is>
          <t>2020-05-13</t>
        </is>
      </c>
      <c r="C138" s="45" t="n">
        <v>25.295</v>
      </c>
      <c r="D138" t="inlineStr">
        <is>
          <t>€/MWh</t>
        </is>
      </c>
      <c r="E138" s="54" t="n">
        <v>0.025295</v>
      </c>
      <c r="F138" s="54" t="n"/>
      <c r="G138" t="inlineStr">
        <is>
          <t>no aplica (precio mayorista)</t>
        </is>
      </c>
      <c r="J138" t="inlineStr">
        <is>
          <t>2020-05-12</t>
        </is>
      </c>
      <c r="K138" t="inlineStr">
        <is>
          <t>marginalpdbc_20200513.1</t>
        </is>
      </c>
      <c r="L138" t="inlineStr">
        <is>
          <t>24 periodos; mín 22.67, máx 28.01 €/MWh</t>
        </is>
      </c>
    </row>
    <row r="139">
      <c r="A139" s="53" t="n">
        <v>43965</v>
      </c>
      <c r="B139" t="inlineStr">
        <is>
          <t>2020-05-14</t>
        </is>
      </c>
      <c r="C139" s="45" t="n">
        <v>24.4729</v>
      </c>
      <c r="D139" t="inlineStr">
        <is>
          <t>€/MWh</t>
        </is>
      </c>
      <c r="E139" s="54" t="n">
        <v>0.024473</v>
      </c>
      <c r="F139" s="54" t="n"/>
      <c r="G139" t="inlineStr">
        <is>
          <t>no aplica (precio mayorista)</t>
        </is>
      </c>
      <c r="J139" t="inlineStr">
        <is>
          <t>2020-05-13</t>
        </is>
      </c>
      <c r="K139" t="inlineStr">
        <is>
          <t>marginalpdbc_20200514.1</t>
        </is>
      </c>
      <c r="L139" t="inlineStr">
        <is>
          <t>24 periodos; mín 21.89, máx 29.11 €/MWh</t>
        </is>
      </c>
    </row>
    <row r="140">
      <c r="A140" s="53" t="n">
        <v>43966</v>
      </c>
      <c r="B140" t="inlineStr">
        <is>
          <t>2020-05-15</t>
        </is>
      </c>
      <c r="C140" s="45" t="n">
        <v>20.1375</v>
      </c>
      <c r="D140" t="inlineStr">
        <is>
          <t>€/MWh</t>
        </is>
      </c>
      <c r="E140" s="54" t="n">
        <v>0.020137</v>
      </c>
      <c r="F140" s="54" t="n"/>
      <c r="G140" t="inlineStr">
        <is>
          <t>no aplica (precio mayorista)</t>
        </is>
      </c>
      <c r="J140" t="inlineStr">
        <is>
          <t>2020-05-14</t>
        </is>
      </c>
      <c r="K140" t="inlineStr">
        <is>
          <t>marginalpdbc_20200515.1</t>
        </is>
      </c>
      <c r="L140" t="inlineStr">
        <is>
          <t>24 periodos; mín 15.30, máx 23.14 €/MWh</t>
        </is>
      </c>
    </row>
    <row r="141">
      <c r="A141" s="53" t="n">
        <v>43967</v>
      </c>
      <c r="B141" t="inlineStr">
        <is>
          <t>2020-05-16</t>
        </is>
      </c>
      <c r="C141" s="45" t="n">
        <v>16.1933</v>
      </c>
      <c r="D141" t="inlineStr">
        <is>
          <t>€/MWh</t>
        </is>
      </c>
      <c r="E141" s="54" t="n">
        <v>0.016193</v>
      </c>
      <c r="F141" s="54" t="n"/>
      <c r="G141" t="inlineStr">
        <is>
          <t>no aplica (precio mayorista)</t>
        </is>
      </c>
      <c r="J141" t="inlineStr">
        <is>
          <t>2020-05-15</t>
        </is>
      </c>
      <c r="K141" t="inlineStr">
        <is>
          <t>marginalpdbc_20200516.1</t>
        </is>
      </c>
      <c r="L141" t="inlineStr">
        <is>
          <t>24 periodos; mín 11.03, máx 23.56 €/MWh</t>
        </is>
      </c>
    </row>
    <row r="142">
      <c r="A142" s="53" t="n">
        <v>43968</v>
      </c>
      <c r="B142" t="inlineStr">
        <is>
          <t>2020-05-17</t>
        </is>
      </c>
      <c r="C142" s="45" t="n">
        <v>15.6208</v>
      </c>
      <c r="D142" t="inlineStr">
        <is>
          <t>€/MWh</t>
        </is>
      </c>
      <c r="E142" s="54" t="n">
        <v>0.015621</v>
      </c>
      <c r="F142" s="54" t="n"/>
      <c r="G142" t="inlineStr">
        <is>
          <t>no aplica (precio mayorista)</t>
        </is>
      </c>
      <c r="J142" t="inlineStr">
        <is>
          <t>2020-05-16</t>
        </is>
      </c>
      <c r="K142" t="inlineStr">
        <is>
          <t>marginalpdbc_20200517.1</t>
        </is>
      </c>
      <c r="L142" t="inlineStr">
        <is>
          <t>24 periodos; mín 9.50, máx 27.48 €/MWh</t>
        </is>
      </c>
    </row>
    <row r="143">
      <c r="A143" s="53" t="n">
        <v>43969</v>
      </c>
      <c r="B143" t="inlineStr">
        <is>
          <t>2020-05-18</t>
        </is>
      </c>
      <c r="C143" s="45" t="n">
        <v>26.1246</v>
      </c>
      <c r="D143" t="inlineStr">
        <is>
          <t>€/MWh</t>
        </is>
      </c>
      <c r="E143" s="54" t="n">
        <v>0.026125</v>
      </c>
      <c r="F143" s="54" t="n"/>
      <c r="G143" t="inlineStr">
        <is>
          <t>no aplica (precio mayorista)</t>
        </is>
      </c>
      <c r="J143" t="inlineStr">
        <is>
          <t>2020-05-17</t>
        </is>
      </c>
      <c r="K143" t="inlineStr">
        <is>
          <t>marginalpdbc_20200518.1</t>
        </is>
      </c>
      <c r="L143" t="inlineStr">
        <is>
          <t>24 periodos; mín 23.13, máx 29.00 €/MWh</t>
        </is>
      </c>
    </row>
    <row r="144">
      <c r="A144" s="53" t="n">
        <v>43970</v>
      </c>
      <c r="B144" t="inlineStr">
        <is>
          <t>2020-05-19</t>
        </is>
      </c>
      <c r="C144" s="45" t="n">
        <v>26.06</v>
      </c>
      <c r="D144" t="inlineStr">
        <is>
          <t>€/MWh</t>
        </is>
      </c>
      <c r="E144" s="54" t="n">
        <v>0.02606</v>
      </c>
      <c r="F144" s="54" t="n"/>
      <c r="G144" t="inlineStr">
        <is>
          <t>no aplica (precio mayorista)</t>
        </is>
      </c>
      <c r="J144" t="inlineStr">
        <is>
          <t>2020-05-18</t>
        </is>
      </c>
      <c r="K144" t="inlineStr">
        <is>
          <t>marginalpdbc_20200519.1</t>
        </is>
      </c>
      <c r="L144" t="inlineStr">
        <is>
          <t>24 periodos; mín 23.73, máx 28.00 €/MWh</t>
        </is>
      </c>
    </row>
    <row r="145">
      <c r="A145" s="53" t="n">
        <v>43971</v>
      </c>
      <c r="B145" t="inlineStr">
        <is>
          <t>2020-05-20</t>
        </is>
      </c>
      <c r="C145" s="45" t="n">
        <v>26.8271</v>
      </c>
      <c r="D145" t="inlineStr">
        <is>
          <t>€/MWh</t>
        </is>
      </c>
      <c r="E145" s="54" t="n">
        <v>0.026827</v>
      </c>
      <c r="F145" s="54" t="n"/>
      <c r="G145" t="inlineStr">
        <is>
          <t>no aplica (precio mayorista)</t>
        </is>
      </c>
      <c r="J145" t="inlineStr">
        <is>
          <t>2020-05-19</t>
        </is>
      </c>
      <c r="K145" t="inlineStr">
        <is>
          <t>marginalpdbc_20200520.1</t>
        </is>
      </c>
      <c r="L145" t="inlineStr">
        <is>
          <t>24 periodos; mín 24.00, máx 28.18 €/MWh</t>
        </is>
      </c>
    </row>
    <row r="146">
      <c r="A146" s="53" t="n">
        <v>43972</v>
      </c>
      <c r="B146" t="inlineStr">
        <is>
          <t>2020-05-21</t>
        </is>
      </c>
      <c r="C146" s="45" t="n">
        <v>28.1188</v>
      </c>
      <c r="D146" t="inlineStr">
        <is>
          <t>€/MWh</t>
        </is>
      </c>
      <c r="E146" s="54" t="n">
        <v>0.028119</v>
      </c>
      <c r="F146" s="54" t="n"/>
      <c r="G146" t="inlineStr">
        <is>
          <t>no aplica (precio mayorista)</t>
        </is>
      </c>
      <c r="J146" t="inlineStr">
        <is>
          <t>2020-05-20</t>
        </is>
      </c>
      <c r="K146" t="inlineStr">
        <is>
          <t>marginalpdbc_20200521.1</t>
        </is>
      </c>
      <c r="L146" t="inlineStr">
        <is>
          <t>24 periodos; mín 26.46, máx 30.69 €/MWh</t>
        </is>
      </c>
    </row>
    <row r="147">
      <c r="A147" s="53" t="n">
        <v>43973</v>
      </c>
      <c r="B147" t="inlineStr">
        <is>
          <t>2020-05-22</t>
        </is>
      </c>
      <c r="C147" s="45" t="n">
        <v>29.4429</v>
      </c>
      <c r="D147" t="inlineStr">
        <is>
          <t>€/MWh</t>
        </is>
      </c>
      <c r="E147" s="54" t="n">
        <v>0.029443</v>
      </c>
      <c r="F147" s="54" t="n"/>
      <c r="G147" t="inlineStr">
        <is>
          <t>no aplica (precio mayorista)</t>
        </is>
      </c>
      <c r="J147" t="inlineStr">
        <is>
          <t>2020-05-21</t>
        </is>
      </c>
      <c r="K147" t="inlineStr">
        <is>
          <t>marginalpdbc_20200522.1</t>
        </is>
      </c>
      <c r="L147" t="inlineStr">
        <is>
          <t>24 periodos; mín 26.01, máx 31.19 €/MWh</t>
        </is>
      </c>
    </row>
    <row r="148">
      <c r="A148" s="53" t="n">
        <v>43974</v>
      </c>
      <c r="B148" t="inlineStr">
        <is>
          <t>2020-05-23</t>
        </is>
      </c>
      <c r="C148" s="45" t="n">
        <v>17.4763</v>
      </c>
      <c r="D148" t="inlineStr">
        <is>
          <t>€/MWh</t>
        </is>
      </c>
      <c r="E148" s="54" t="n">
        <v>0.017476</v>
      </c>
      <c r="F148" s="54" t="n"/>
      <c r="G148" t="inlineStr">
        <is>
          <t>no aplica (precio mayorista)</t>
        </is>
      </c>
      <c r="J148" t="inlineStr">
        <is>
          <t>2020-05-22</t>
        </is>
      </c>
      <c r="K148" t="inlineStr">
        <is>
          <t>marginalpdbc_20200523.1</t>
        </is>
      </c>
      <c r="L148" t="inlineStr">
        <is>
          <t>24 periodos; mín 7.99, máx 28.60 €/MWh</t>
        </is>
      </c>
    </row>
    <row r="149">
      <c r="A149" s="53" t="n">
        <v>43975</v>
      </c>
      <c r="B149" t="inlineStr">
        <is>
          <t>2020-05-24</t>
        </is>
      </c>
      <c r="C149" s="45" t="n">
        <v>11.4925</v>
      </c>
      <c r="D149" t="inlineStr">
        <is>
          <t>€/MWh</t>
        </is>
      </c>
      <c r="E149" s="54" t="n">
        <v>0.011492</v>
      </c>
      <c r="F149" s="54" t="n"/>
      <c r="G149" t="inlineStr">
        <is>
          <t>no aplica (precio mayorista)</t>
        </is>
      </c>
      <c r="J149" t="inlineStr">
        <is>
          <t>2020-05-23</t>
        </is>
      </c>
      <c r="K149" t="inlineStr">
        <is>
          <t>marginalpdbc_20200524.1</t>
        </is>
      </c>
      <c r="L149" t="inlineStr">
        <is>
          <t>24 periodos; mín 7.66, máx 28.02 €/MWh</t>
        </is>
      </c>
    </row>
    <row r="150">
      <c r="A150" s="53" t="n">
        <v>43976</v>
      </c>
      <c r="B150" t="inlineStr">
        <is>
          <t>2020-05-25</t>
        </is>
      </c>
      <c r="C150" s="45" t="n">
        <v>23.7862</v>
      </c>
      <c r="D150" t="inlineStr">
        <is>
          <t>€/MWh</t>
        </is>
      </c>
      <c r="E150" s="54" t="n">
        <v>0.023786</v>
      </c>
      <c r="F150" s="54" t="n"/>
      <c r="G150" t="inlineStr">
        <is>
          <t>no aplica (precio mayorista)</t>
        </is>
      </c>
      <c r="J150" t="inlineStr">
        <is>
          <t>2020-05-24</t>
        </is>
      </c>
      <c r="K150" t="inlineStr">
        <is>
          <t>marginalpdbc_20200525.1</t>
        </is>
      </c>
      <c r="L150" t="inlineStr">
        <is>
          <t>24 periodos; mín 18.99, máx 27.51 €/MWh</t>
        </is>
      </c>
    </row>
    <row r="151">
      <c r="A151" s="53" t="n">
        <v>43977</v>
      </c>
      <c r="B151" t="inlineStr">
        <is>
          <t>2020-05-26</t>
        </is>
      </c>
      <c r="C151" s="45" t="n">
        <v>22.2075</v>
      </c>
      <c r="D151" t="inlineStr">
        <is>
          <t>€/MWh</t>
        </is>
      </c>
      <c r="E151" s="54" t="n">
        <v>0.022207</v>
      </c>
      <c r="F151" s="54" t="n"/>
      <c r="G151" t="inlineStr">
        <is>
          <t>no aplica (precio mayorista)</t>
        </is>
      </c>
      <c r="J151" t="inlineStr">
        <is>
          <t>2020-05-25</t>
        </is>
      </c>
      <c r="K151" t="inlineStr">
        <is>
          <t>marginalpdbc_20200526.1</t>
        </is>
      </c>
      <c r="L151" t="inlineStr">
        <is>
          <t>24 periodos; mín 17.00, máx 27.40 €/MWh</t>
        </is>
      </c>
    </row>
    <row r="152">
      <c r="A152" s="53" t="n">
        <v>43978</v>
      </c>
      <c r="B152" t="inlineStr">
        <is>
          <t>2020-05-27</t>
        </is>
      </c>
      <c r="C152" s="45" t="n">
        <v>25.0487</v>
      </c>
      <c r="D152" t="inlineStr">
        <is>
          <t>€/MWh</t>
        </is>
      </c>
      <c r="E152" s="54" t="n">
        <v>0.025049</v>
      </c>
      <c r="F152" s="54" t="n"/>
      <c r="G152" t="inlineStr">
        <is>
          <t>no aplica (precio mayorista)</t>
        </is>
      </c>
      <c r="J152" t="inlineStr">
        <is>
          <t>2020-05-26</t>
        </is>
      </c>
      <c r="K152" t="inlineStr">
        <is>
          <t>marginalpdbc_20200527.1</t>
        </is>
      </c>
      <c r="L152" t="inlineStr">
        <is>
          <t>24 periodos; mín 19.40, máx 29.01 €/MWh</t>
        </is>
      </c>
    </row>
    <row r="153">
      <c r="A153" s="53" t="n">
        <v>43979</v>
      </c>
      <c r="B153" t="inlineStr">
        <is>
          <t>2020-05-28</t>
        </is>
      </c>
      <c r="C153" s="45" t="n">
        <v>29.2854</v>
      </c>
      <c r="D153" t="inlineStr">
        <is>
          <t>€/MWh</t>
        </is>
      </c>
      <c r="E153" s="54" t="n">
        <v>0.029285</v>
      </c>
      <c r="F153" s="54" t="n"/>
      <c r="G153" t="inlineStr">
        <is>
          <t>no aplica (precio mayorista)</t>
        </is>
      </c>
      <c r="J153" t="inlineStr">
        <is>
          <t>2020-05-27</t>
        </is>
      </c>
      <c r="K153" t="inlineStr">
        <is>
          <t>marginalpdbc_20200528.1</t>
        </is>
      </c>
      <c r="L153" t="inlineStr">
        <is>
          <t>24 periodos; mín 28.52, máx 30.70 €/MWh</t>
        </is>
      </c>
    </row>
    <row r="154">
      <c r="A154" s="53" t="n">
        <v>43980</v>
      </c>
      <c r="B154" t="inlineStr">
        <is>
          <t>2020-05-29</t>
        </is>
      </c>
      <c r="C154" s="45" t="n">
        <v>33.0775</v>
      </c>
      <c r="D154" t="inlineStr">
        <is>
          <t>€/MWh</t>
        </is>
      </c>
      <c r="E154" s="54" t="n">
        <v>0.033078</v>
      </c>
      <c r="F154" s="54" t="n"/>
      <c r="G154" t="inlineStr">
        <is>
          <t>no aplica (precio mayorista)</t>
        </is>
      </c>
      <c r="J154" t="inlineStr">
        <is>
          <t>2020-05-28</t>
        </is>
      </c>
      <c r="K154" t="inlineStr">
        <is>
          <t>marginalpdbc_20200529.1</t>
        </is>
      </c>
      <c r="L154" t="inlineStr">
        <is>
          <t>24 periodos; mín 28.41, máx 35.00 €/MWh</t>
        </is>
      </c>
    </row>
    <row r="155">
      <c r="A155" s="53" t="n">
        <v>43981</v>
      </c>
      <c r="B155" t="inlineStr">
        <is>
          <t>2020-05-30</t>
        </is>
      </c>
      <c r="C155" s="45" t="n">
        <v>29.7129</v>
      </c>
      <c r="D155" t="inlineStr">
        <is>
          <t>€/MWh</t>
        </is>
      </c>
      <c r="E155" s="54" t="n">
        <v>0.029713</v>
      </c>
      <c r="F155" s="54" t="n"/>
      <c r="G155" t="inlineStr">
        <is>
          <t>no aplica (precio mayorista)</t>
        </is>
      </c>
      <c r="J155" t="inlineStr">
        <is>
          <t>2020-05-29</t>
        </is>
      </c>
      <c r="K155" t="inlineStr">
        <is>
          <t>marginalpdbc_20200530.1</t>
        </is>
      </c>
      <c r="L155" t="inlineStr">
        <is>
          <t>24 periodos; mín 20.90, máx 34.15 €/MWh</t>
        </is>
      </c>
    </row>
    <row r="156">
      <c r="A156" s="53" t="n">
        <v>43982</v>
      </c>
      <c r="B156" t="inlineStr">
        <is>
          <t>2020-05-31</t>
        </is>
      </c>
      <c r="C156" s="45" t="n">
        <v>29.6958</v>
      </c>
      <c r="D156" t="inlineStr">
        <is>
          <t>€/MWh</t>
        </is>
      </c>
      <c r="E156" s="54" t="n">
        <v>0.029696</v>
      </c>
      <c r="F156" s="54" t="n"/>
      <c r="G156" t="inlineStr">
        <is>
          <t>no aplica (precio mayorista)</t>
        </is>
      </c>
      <c r="J156" t="inlineStr">
        <is>
          <t>2020-05-30</t>
        </is>
      </c>
      <c r="K156" t="inlineStr">
        <is>
          <t>marginalpdbc_20200531.1</t>
        </is>
      </c>
      <c r="L156" t="inlineStr">
        <is>
          <t>24 periodos; mín 23.50, máx 36.19 €/MWh</t>
        </is>
      </c>
    </row>
    <row r="157">
      <c r="A157" s="53" t="n">
        <v>43983</v>
      </c>
      <c r="B157" t="inlineStr">
        <is>
          <t>2020-06-01</t>
        </is>
      </c>
      <c r="C157" s="45" t="n">
        <v>34.2258</v>
      </c>
      <c r="D157" t="inlineStr">
        <is>
          <t>€/MWh</t>
        </is>
      </c>
      <c r="E157" s="54" t="n">
        <v>0.034226</v>
      </c>
      <c r="F157" s="54" t="n"/>
      <c r="G157" t="inlineStr">
        <is>
          <t>no aplica (precio mayorista)</t>
        </is>
      </c>
      <c r="J157" t="inlineStr">
        <is>
          <t>2020-05-31</t>
        </is>
      </c>
      <c r="K157" t="inlineStr">
        <is>
          <t>marginalpdbc_20200601.1</t>
        </is>
      </c>
      <c r="L157" t="inlineStr">
        <is>
          <t>24 periodos; mín 32.90, máx 36.67 €/MWh</t>
        </is>
      </c>
    </row>
    <row r="158">
      <c r="A158" s="53" t="n">
        <v>43984</v>
      </c>
      <c r="B158" t="inlineStr">
        <is>
          <t>2020-06-02</t>
        </is>
      </c>
      <c r="C158" s="45" t="n">
        <v>34.8646</v>
      </c>
      <c r="D158" t="inlineStr">
        <is>
          <t>€/MWh</t>
        </is>
      </c>
      <c r="E158" s="54" t="n">
        <v>0.034865</v>
      </c>
      <c r="F158" s="54" t="n"/>
      <c r="G158" t="inlineStr">
        <is>
          <t>no aplica (precio mayorista)</t>
        </is>
      </c>
      <c r="J158" t="inlineStr">
        <is>
          <t>2020-06-01</t>
        </is>
      </c>
      <c r="K158" t="inlineStr">
        <is>
          <t>marginalpdbc_20200602.1</t>
        </is>
      </c>
      <c r="L158" t="inlineStr">
        <is>
          <t>24 periodos; mín 32.67, máx 37.01 €/MWh</t>
        </is>
      </c>
    </row>
    <row r="159">
      <c r="A159" s="53" t="n">
        <v>43985</v>
      </c>
      <c r="B159" t="inlineStr">
        <is>
          <t>2020-06-03</t>
        </is>
      </c>
      <c r="C159" s="45" t="n">
        <v>32.675</v>
      </c>
      <c r="D159" t="inlineStr">
        <is>
          <t>€/MWh</t>
        </is>
      </c>
      <c r="E159" s="54" t="n">
        <v>0.032675</v>
      </c>
      <c r="F159" s="54" t="n"/>
      <c r="G159" t="inlineStr">
        <is>
          <t>no aplica (precio mayorista)</t>
        </is>
      </c>
      <c r="J159" t="inlineStr">
        <is>
          <t>2020-06-02</t>
        </is>
      </c>
      <c r="K159" t="inlineStr">
        <is>
          <t>marginalpdbc_20200603.1</t>
        </is>
      </c>
      <c r="L159" t="inlineStr">
        <is>
          <t>24 periodos; mín 25.78, máx 36.15 €/MWh</t>
        </is>
      </c>
    </row>
    <row r="160">
      <c r="A160" s="53" t="n">
        <v>43986</v>
      </c>
      <c r="B160" t="inlineStr">
        <is>
          <t>2020-06-04</t>
        </is>
      </c>
      <c r="C160" s="45" t="n">
        <v>24.1233</v>
      </c>
      <c r="D160" t="inlineStr">
        <is>
          <t>€/MWh</t>
        </is>
      </c>
      <c r="E160" s="54" t="n">
        <v>0.024123</v>
      </c>
      <c r="F160" s="54" t="n"/>
      <c r="G160" t="inlineStr">
        <is>
          <t>no aplica (precio mayorista)</t>
        </is>
      </c>
      <c r="J160" t="inlineStr">
        <is>
          <t>2020-06-03</t>
        </is>
      </c>
      <c r="K160" t="inlineStr">
        <is>
          <t>marginalpdbc_20200604.1</t>
        </is>
      </c>
      <c r="L160" t="inlineStr">
        <is>
          <t>24 periodos; mín 16.00, máx 33.04 €/MWh</t>
        </is>
      </c>
    </row>
    <row r="161">
      <c r="A161" s="53" t="n">
        <v>43987</v>
      </c>
      <c r="B161" t="inlineStr">
        <is>
          <t>2020-06-05</t>
        </is>
      </c>
      <c r="C161" s="45" t="n">
        <v>27.7013</v>
      </c>
      <c r="D161" t="inlineStr">
        <is>
          <t>€/MWh</t>
        </is>
      </c>
      <c r="E161" s="54" t="n">
        <v>0.027701</v>
      </c>
      <c r="F161" s="54" t="n"/>
      <c r="G161" t="inlineStr">
        <is>
          <t>no aplica (precio mayorista)</t>
        </is>
      </c>
      <c r="J161" t="inlineStr">
        <is>
          <t>2020-06-04</t>
        </is>
      </c>
      <c r="K161" t="inlineStr">
        <is>
          <t>marginalpdbc_20200605.1</t>
        </is>
      </c>
      <c r="L161" t="inlineStr">
        <is>
          <t>24 periodos; mín 21.70, máx 35.66 €/MWh</t>
        </is>
      </c>
    </row>
    <row r="162">
      <c r="A162" s="53" t="n">
        <v>43988</v>
      </c>
      <c r="B162" t="inlineStr">
        <is>
          <t>2020-06-06</t>
        </is>
      </c>
      <c r="C162" s="45" t="n">
        <v>28.5167</v>
      </c>
      <c r="D162" t="inlineStr">
        <is>
          <t>€/MWh</t>
        </is>
      </c>
      <c r="E162" s="54" t="n">
        <v>0.028517</v>
      </c>
      <c r="F162" s="54" t="n"/>
      <c r="G162" t="inlineStr">
        <is>
          <t>no aplica (precio mayorista)</t>
        </is>
      </c>
      <c r="J162" t="inlineStr">
        <is>
          <t>2020-06-05</t>
        </is>
      </c>
      <c r="K162" t="inlineStr">
        <is>
          <t>marginalpdbc_20200606.1</t>
        </is>
      </c>
      <c r="L162" t="inlineStr">
        <is>
          <t>24 periodos; mín 21.40, máx 33.69 €/MWh</t>
        </is>
      </c>
    </row>
    <row r="163">
      <c r="A163" s="53" t="n">
        <v>43989</v>
      </c>
      <c r="B163" t="inlineStr">
        <is>
          <t>2020-06-07</t>
        </is>
      </c>
      <c r="C163" s="45" t="n">
        <v>19.5958</v>
      </c>
      <c r="D163" t="inlineStr">
        <is>
          <t>€/MWh</t>
        </is>
      </c>
      <c r="E163" s="54" t="n">
        <v>0.019596</v>
      </c>
      <c r="F163" s="54" t="n"/>
      <c r="G163" t="inlineStr">
        <is>
          <t>no aplica (precio mayorista)</t>
        </is>
      </c>
      <c r="J163" t="inlineStr">
        <is>
          <t>2020-06-06</t>
        </is>
      </c>
      <c r="K163" t="inlineStr">
        <is>
          <t>marginalpdbc_20200607.1</t>
        </is>
      </c>
      <c r="L163" t="inlineStr">
        <is>
          <t>24 periodos; mín 10.64, máx 32.09 €/MWh</t>
        </is>
      </c>
    </row>
    <row r="164">
      <c r="A164" s="53" t="n">
        <v>43990</v>
      </c>
      <c r="B164" t="inlineStr">
        <is>
          <t>2020-06-08</t>
        </is>
      </c>
      <c r="C164" s="45" t="n">
        <v>27.0042</v>
      </c>
      <c r="D164" t="inlineStr">
        <is>
          <t>€/MWh</t>
        </is>
      </c>
      <c r="E164" s="54" t="n">
        <v>0.027004</v>
      </c>
      <c r="F164" s="54" t="n"/>
      <c r="G164" t="inlineStr">
        <is>
          <t>no aplica (precio mayorista)</t>
        </is>
      </c>
      <c r="J164" t="inlineStr">
        <is>
          <t>2020-06-07</t>
        </is>
      </c>
      <c r="K164" t="inlineStr">
        <is>
          <t>marginalpdbc_20200608.1</t>
        </is>
      </c>
      <c r="L164" t="inlineStr">
        <is>
          <t>24 periodos; mín 20.02, máx 32.09 €/MWh</t>
        </is>
      </c>
    </row>
    <row r="165">
      <c r="A165" s="53" t="n">
        <v>43991</v>
      </c>
      <c r="B165" t="inlineStr">
        <is>
          <t>2020-06-09</t>
        </is>
      </c>
      <c r="C165" s="45" t="n">
        <v>29.0725</v>
      </c>
      <c r="D165" t="inlineStr">
        <is>
          <t>€/MWh</t>
        </is>
      </c>
      <c r="E165" s="54" t="n">
        <v>0.029073</v>
      </c>
      <c r="F165" s="54" t="n"/>
      <c r="G165" t="inlineStr">
        <is>
          <t>no aplica (precio mayorista)</t>
        </is>
      </c>
      <c r="J165" t="inlineStr">
        <is>
          <t>2020-06-08</t>
        </is>
      </c>
      <c r="K165" t="inlineStr">
        <is>
          <t>marginalpdbc_20200609.1</t>
        </is>
      </c>
      <c r="L165" t="inlineStr">
        <is>
          <t>24 periodos; mín 22.74, máx 32.93 €/MWh</t>
        </is>
      </c>
    </row>
    <row r="166">
      <c r="A166" s="53" t="n">
        <v>43992</v>
      </c>
      <c r="B166" t="inlineStr">
        <is>
          <t>2020-06-10</t>
        </is>
      </c>
      <c r="C166" s="45" t="n">
        <v>30.72</v>
      </c>
      <c r="D166" t="inlineStr">
        <is>
          <t>€/MWh</t>
        </is>
      </c>
      <c r="E166" s="54" t="n">
        <v>0.03072</v>
      </c>
      <c r="F166" s="54" t="n"/>
      <c r="G166" t="inlineStr">
        <is>
          <t>no aplica (precio mayorista)</t>
        </is>
      </c>
      <c r="J166" t="inlineStr">
        <is>
          <t>2020-06-09</t>
        </is>
      </c>
      <c r="K166" t="inlineStr">
        <is>
          <t>marginalpdbc_20200610.1</t>
        </is>
      </c>
      <c r="L166" t="inlineStr">
        <is>
          <t>24 periodos; mín 24.02, máx 34.89 €/MWh</t>
        </is>
      </c>
    </row>
    <row r="167">
      <c r="A167" s="53" t="n">
        <v>43993</v>
      </c>
      <c r="B167" t="inlineStr">
        <is>
          <t>2020-06-11</t>
        </is>
      </c>
      <c r="C167" s="45" t="n">
        <v>23.7129</v>
      </c>
      <c r="D167" t="inlineStr">
        <is>
          <t>€/MWh</t>
        </is>
      </c>
      <c r="E167" s="54" t="n">
        <v>0.023713</v>
      </c>
      <c r="F167" s="54" t="n"/>
      <c r="G167" t="inlineStr">
        <is>
          <t>no aplica (precio mayorista)</t>
        </is>
      </c>
      <c r="J167" t="inlineStr">
        <is>
          <t>2020-06-10</t>
        </is>
      </c>
      <c r="K167" t="inlineStr">
        <is>
          <t>marginalpdbc_20200611.1</t>
        </is>
      </c>
      <c r="L167" t="inlineStr">
        <is>
          <t>24 periodos; mín 19.10, máx 30.34 €/MWh</t>
        </is>
      </c>
    </row>
    <row r="168">
      <c r="A168" s="53" t="n">
        <v>43994</v>
      </c>
      <c r="B168" t="inlineStr">
        <is>
          <t>2020-06-12</t>
        </is>
      </c>
      <c r="C168" s="45" t="n">
        <v>20.2921</v>
      </c>
      <c r="D168" t="inlineStr">
        <is>
          <t>€/MWh</t>
        </is>
      </c>
      <c r="E168" s="54" t="n">
        <v>0.020292</v>
      </c>
      <c r="F168" s="54" t="n"/>
      <c r="G168" t="inlineStr">
        <is>
          <t>no aplica (precio mayorista)</t>
        </is>
      </c>
      <c r="J168" t="inlineStr">
        <is>
          <t>2020-06-11</t>
        </is>
      </c>
      <c r="K168" t="inlineStr">
        <is>
          <t>marginalpdbc_20200612.1</t>
        </is>
      </c>
      <c r="L168" t="inlineStr">
        <is>
          <t>24 periodos; mín 16.00, máx 26.01 €/MWh</t>
        </is>
      </c>
    </row>
    <row r="169">
      <c r="A169" s="53" t="n">
        <v>43995</v>
      </c>
      <c r="B169" t="inlineStr">
        <is>
          <t>2020-06-13</t>
        </is>
      </c>
      <c r="C169" s="45" t="n">
        <v>21.1975</v>
      </c>
      <c r="D169" t="inlineStr">
        <is>
          <t>€/MWh</t>
        </is>
      </c>
      <c r="E169" s="54" t="n">
        <v>0.021198</v>
      </c>
      <c r="F169" s="54" t="n"/>
      <c r="G169" t="inlineStr">
        <is>
          <t>no aplica (precio mayorista)</t>
        </is>
      </c>
      <c r="J169" t="inlineStr">
        <is>
          <t>2020-06-12</t>
        </is>
      </c>
      <c r="K169" t="inlineStr">
        <is>
          <t>marginalpdbc_20200613.1</t>
        </is>
      </c>
      <c r="L169" t="inlineStr">
        <is>
          <t>24 periodos; mín 15.84, máx 33.79 €/MWh</t>
        </is>
      </c>
    </row>
    <row r="170">
      <c r="A170" s="53" t="n">
        <v>43996</v>
      </c>
      <c r="B170" t="inlineStr">
        <is>
          <t>2020-06-14</t>
        </is>
      </c>
      <c r="C170" s="45" t="n">
        <v>26.6146</v>
      </c>
      <c r="D170" t="inlineStr">
        <is>
          <t>€/MWh</t>
        </is>
      </c>
      <c r="E170" s="54" t="n">
        <v>0.026615</v>
      </c>
      <c r="F170" s="54" t="n"/>
      <c r="G170" t="inlineStr">
        <is>
          <t>no aplica (precio mayorista)</t>
        </is>
      </c>
      <c r="J170" t="inlineStr">
        <is>
          <t>2020-06-13</t>
        </is>
      </c>
      <c r="K170" t="inlineStr">
        <is>
          <t>marginalpdbc_20200614.1</t>
        </is>
      </c>
      <c r="L170" t="inlineStr">
        <is>
          <t>24 periodos; mín 14.80, máx 33.20 €/MWh</t>
        </is>
      </c>
    </row>
    <row r="171">
      <c r="A171" s="53" t="n">
        <v>43997</v>
      </c>
      <c r="B171" t="inlineStr">
        <is>
          <t>2020-06-15</t>
        </is>
      </c>
      <c r="C171" s="45" t="n">
        <v>31.7617</v>
      </c>
      <c r="D171" t="inlineStr">
        <is>
          <t>€/MWh</t>
        </is>
      </c>
      <c r="E171" s="54" t="n">
        <v>0.031762</v>
      </c>
      <c r="F171" s="54" t="n"/>
      <c r="G171" t="inlineStr">
        <is>
          <t>no aplica (precio mayorista)</t>
        </is>
      </c>
      <c r="J171" t="inlineStr">
        <is>
          <t>2020-06-14</t>
        </is>
      </c>
      <c r="K171" t="inlineStr">
        <is>
          <t>marginalpdbc_20200615.1</t>
        </is>
      </c>
      <c r="L171" t="inlineStr">
        <is>
          <t>24 periodos; mín 23.07, máx 36.39 €/MWh</t>
        </is>
      </c>
    </row>
    <row r="172">
      <c r="A172" s="53" t="n">
        <v>43998</v>
      </c>
      <c r="B172" t="inlineStr">
        <is>
          <t>2020-06-16</t>
        </is>
      </c>
      <c r="C172" s="45" t="n">
        <v>31.0708</v>
      </c>
      <c r="D172" t="inlineStr">
        <is>
          <t>€/MWh</t>
        </is>
      </c>
      <c r="E172" s="54" t="n">
        <v>0.031071</v>
      </c>
      <c r="F172" s="54" t="n"/>
      <c r="G172" t="inlineStr">
        <is>
          <t>no aplica (precio mayorista)</t>
        </is>
      </c>
      <c r="J172" t="inlineStr">
        <is>
          <t>2020-06-15</t>
        </is>
      </c>
      <c r="K172" t="inlineStr">
        <is>
          <t>marginalpdbc_20200616.1</t>
        </is>
      </c>
      <c r="L172" t="inlineStr">
        <is>
          <t>24 periodos; mín 23.40, máx 36.21 €/MWh</t>
        </is>
      </c>
    </row>
    <row r="173">
      <c r="A173" s="53" t="n">
        <v>43999</v>
      </c>
      <c r="B173" t="inlineStr">
        <is>
          <t>2020-06-17</t>
        </is>
      </c>
      <c r="C173" s="45" t="n">
        <v>34.2633</v>
      </c>
      <c r="D173" t="inlineStr">
        <is>
          <t>€/MWh</t>
        </is>
      </c>
      <c r="E173" s="54" t="n">
        <v>0.034263</v>
      </c>
      <c r="F173" s="54" t="n"/>
      <c r="G173" t="inlineStr">
        <is>
          <t>no aplica (precio mayorista)</t>
        </is>
      </c>
      <c r="J173" t="inlineStr">
        <is>
          <t>2020-06-16</t>
        </is>
      </c>
      <c r="K173" t="inlineStr">
        <is>
          <t>marginalpdbc_20200617.1</t>
        </is>
      </c>
      <c r="L173" t="inlineStr">
        <is>
          <t>24 periodos; mín 29.73, máx 37.46 €/MWh</t>
        </is>
      </c>
    </row>
    <row r="174">
      <c r="A174" s="53" t="n">
        <v>44000</v>
      </c>
      <c r="B174" t="inlineStr">
        <is>
          <t>2020-06-18</t>
        </is>
      </c>
      <c r="C174" s="45" t="n">
        <v>35.3392</v>
      </c>
      <c r="D174" t="inlineStr">
        <is>
          <t>€/MWh</t>
        </is>
      </c>
      <c r="E174" s="54" t="n">
        <v>0.035339</v>
      </c>
      <c r="F174" s="54" t="n"/>
      <c r="G174" t="inlineStr">
        <is>
          <t>no aplica (precio mayorista)</t>
        </is>
      </c>
      <c r="J174" t="inlineStr">
        <is>
          <t>2020-06-17</t>
        </is>
      </c>
      <c r="K174" t="inlineStr">
        <is>
          <t>marginalpdbc_20200618.1</t>
        </is>
      </c>
      <c r="L174" t="inlineStr">
        <is>
          <t>24 periodos; mín 30.72, máx 36.99 €/MWh</t>
        </is>
      </c>
    </row>
    <row r="175">
      <c r="A175" s="53" t="n">
        <v>44001</v>
      </c>
      <c r="B175" t="inlineStr">
        <is>
          <t>2020-06-19</t>
        </is>
      </c>
      <c r="C175" s="45" t="n">
        <v>33.5962</v>
      </c>
      <c r="D175" t="inlineStr">
        <is>
          <t>€/MWh</t>
        </is>
      </c>
      <c r="E175" s="54" t="n">
        <v>0.033596</v>
      </c>
      <c r="F175" s="54" t="n"/>
      <c r="G175" t="inlineStr">
        <is>
          <t>no aplica (precio mayorista)</t>
        </is>
      </c>
      <c r="J175" t="inlineStr">
        <is>
          <t>2020-06-18</t>
        </is>
      </c>
      <c r="K175" t="inlineStr">
        <is>
          <t>marginalpdbc_20200619.1</t>
        </is>
      </c>
      <c r="L175" t="inlineStr">
        <is>
          <t>24 periodos; mín 27.99, máx 37.80 €/MWh</t>
        </is>
      </c>
    </row>
    <row r="176">
      <c r="A176" s="53" t="n">
        <v>44002</v>
      </c>
      <c r="B176" t="inlineStr">
        <is>
          <t>2020-06-20</t>
        </is>
      </c>
      <c r="C176" s="45" t="n">
        <v>31.805</v>
      </c>
      <c r="D176" t="inlineStr">
        <is>
          <t>€/MWh</t>
        </is>
      </c>
      <c r="E176" s="54" t="n">
        <v>0.031805</v>
      </c>
      <c r="F176" s="54" t="n"/>
      <c r="G176" t="inlineStr">
        <is>
          <t>no aplica (precio mayorista)</t>
        </is>
      </c>
      <c r="J176" t="inlineStr">
        <is>
          <t>2020-06-19</t>
        </is>
      </c>
      <c r="K176" t="inlineStr">
        <is>
          <t>marginalpdbc_20200620.1</t>
        </is>
      </c>
      <c r="L176" t="inlineStr">
        <is>
          <t>24 periodos; mín 24.80, máx 36.57 €/MWh</t>
        </is>
      </c>
    </row>
    <row r="177">
      <c r="A177" s="53" t="n">
        <v>44003</v>
      </c>
      <c r="B177" t="inlineStr">
        <is>
          <t>2020-06-21</t>
        </is>
      </c>
      <c r="C177" s="45" t="n">
        <v>25.9142</v>
      </c>
      <c r="D177" t="inlineStr">
        <is>
          <t>€/MWh</t>
        </is>
      </c>
      <c r="E177" s="54" t="n">
        <v>0.025914</v>
      </c>
      <c r="F177" s="54" t="n"/>
      <c r="G177" t="inlineStr">
        <is>
          <t>no aplica (precio mayorista)</t>
        </is>
      </c>
      <c r="J177" t="inlineStr">
        <is>
          <t>2020-06-20</t>
        </is>
      </c>
      <c r="K177" t="inlineStr">
        <is>
          <t>marginalpdbc_20200621.1</t>
        </is>
      </c>
      <c r="L177" t="inlineStr">
        <is>
          <t>24 periodos; mín 21.40, máx 33.00 €/MWh</t>
        </is>
      </c>
    </row>
    <row r="178">
      <c r="A178" s="53" t="n">
        <v>44004</v>
      </c>
      <c r="B178" t="inlineStr">
        <is>
          <t>2020-06-22</t>
        </is>
      </c>
      <c r="C178" s="45" t="n">
        <v>30.3525</v>
      </c>
      <c r="D178" t="inlineStr">
        <is>
          <t>€/MWh</t>
        </is>
      </c>
      <c r="E178" s="54" t="n">
        <v>0.030353</v>
      </c>
      <c r="F178" s="54" t="n"/>
      <c r="G178" t="inlineStr">
        <is>
          <t>no aplica (precio mayorista)</t>
        </is>
      </c>
      <c r="J178" t="inlineStr">
        <is>
          <t>2020-06-21</t>
        </is>
      </c>
      <c r="K178" t="inlineStr">
        <is>
          <t>marginalpdbc_20200622.1</t>
        </is>
      </c>
      <c r="L178" t="inlineStr">
        <is>
          <t>24 periodos; mín 21.50, máx 37.63 €/MWh</t>
        </is>
      </c>
    </row>
    <row r="179">
      <c r="A179" s="53" t="n">
        <v>44005</v>
      </c>
      <c r="B179" t="inlineStr">
        <is>
          <t>2020-06-23</t>
        </is>
      </c>
      <c r="C179" s="45" t="n">
        <v>34.5446</v>
      </c>
      <c r="D179" t="inlineStr">
        <is>
          <t>€/MWh</t>
        </is>
      </c>
      <c r="E179" s="54" t="n">
        <v>0.034545</v>
      </c>
      <c r="F179" s="54" t="n"/>
      <c r="G179" t="inlineStr">
        <is>
          <t>no aplica (precio mayorista)</t>
        </is>
      </c>
      <c r="J179" t="inlineStr">
        <is>
          <t>2020-06-22</t>
        </is>
      </c>
      <c r="K179" t="inlineStr">
        <is>
          <t>marginalpdbc_20200623.1</t>
        </is>
      </c>
      <c r="L179" t="inlineStr">
        <is>
          <t>24 periodos; mín 29.00, máx 39.50 €/MWh</t>
        </is>
      </c>
    </row>
    <row r="180">
      <c r="A180" s="53" t="n">
        <v>44006</v>
      </c>
      <c r="B180" t="inlineStr">
        <is>
          <t>2020-06-24</t>
        </is>
      </c>
      <c r="C180" s="45" t="n">
        <v>37.405</v>
      </c>
      <c r="D180" t="inlineStr">
        <is>
          <t>€/MWh</t>
        </is>
      </c>
      <c r="E180" s="54" t="n">
        <v>0.037405</v>
      </c>
      <c r="F180" s="54" t="n"/>
      <c r="G180" t="inlineStr">
        <is>
          <t>no aplica (precio mayorista)</t>
        </is>
      </c>
      <c r="J180" t="inlineStr">
        <is>
          <t>2020-06-23</t>
        </is>
      </c>
      <c r="K180" t="inlineStr">
        <is>
          <t>marginalpdbc_20200624.1</t>
        </is>
      </c>
      <c r="L180" t="inlineStr">
        <is>
          <t>24 periodos; mín 32.72, máx 41.02 €/MWh</t>
        </is>
      </c>
    </row>
    <row r="181">
      <c r="A181" s="53" t="n">
        <v>44007</v>
      </c>
      <c r="B181" t="inlineStr">
        <is>
          <t>2020-06-25</t>
        </is>
      </c>
      <c r="C181" s="45" t="n">
        <v>39.4346</v>
      </c>
      <c r="D181" t="inlineStr">
        <is>
          <t>€/MWh</t>
        </is>
      </c>
      <c r="E181" s="54" t="n">
        <v>0.039435</v>
      </c>
      <c r="F181" s="54" t="n"/>
      <c r="G181" t="inlineStr">
        <is>
          <t>no aplica (precio mayorista)</t>
        </is>
      </c>
      <c r="J181" t="inlineStr">
        <is>
          <t>2020-06-24</t>
        </is>
      </c>
      <c r="K181" t="inlineStr">
        <is>
          <t>marginalpdbc_20200625.1</t>
        </is>
      </c>
      <c r="L181" t="inlineStr">
        <is>
          <t>24 periodos; mín 34.76, máx 42.09 €/MWh</t>
        </is>
      </c>
    </row>
    <row r="182">
      <c r="A182" s="53" t="n">
        <v>44008</v>
      </c>
      <c r="B182" t="inlineStr">
        <is>
          <t>2020-06-26</t>
        </is>
      </c>
      <c r="C182" s="45" t="n">
        <v>37.7642</v>
      </c>
      <c r="D182" t="inlineStr">
        <is>
          <t>€/MWh</t>
        </is>
      </c>
      <c r="E182" s="54" t="n">
        <v>0.037764</v>
      </c>
      <c r="F182" s="54" t="n"/>
      <c r="G182" t="inlineStr">
        <is>
          <t>no aplica (precio mayorista)</t>
        </is>
      </c>
      <c r="J182" t="inlineStr">
        <is>
          <t>2020-06-25</t>
        </is>
      </c>
      <c r="K182" t="inlineStr">
        <is>
          <t>marginalpdbc_20200626.1</t>
        </is>
      </c>
      <c r="L182" t="inlineStr">
        <is>
          <t>24 periodos; mín 32.18, máx 40.13 €/MWh</t>
        </is>
      </c>
    </row>
    <row r="183">
      <c r="A183" s="53" t="n">
        <v>44009</v>
      </c>
      <c r="B183" t="inlineStr">
        <is>
          <t>2020-06-27</t>
        </is>
      </c>
      <c r="C183" s="45" t="n">
        <v>30.4579</v>
      </c>
      <c r="D183" t="inlineStr">
        <is>
          <t>€/MWh</t>
        </is>
      </c>
      <c r="E183" s="54" t="n">
        <v>0.030458</v>
      </c>
      <c r="F183" s="54" t="n"/>
      <c r="G183" t="inlineStr">
        <is>
          <t>no aplica (precio mayorista)</t>
        </is>
      </c>
      <c r="J183" t="inlineStr">
        <is>
          <t>2020-06-26</t>
        </is>
      </c>
      <c r="K183" t="inlineStr">
        <is>
          <t>marginalpdbc_20200627.1</t>
        </is>
      </c>
      <c r="L183" t="inlineStr">
        <is>
          <t>24 periodos; mín 26.13, máx 39.84 €/MWh</t>
        </is>
      </c>
    </row>
    <row r="184">
      <c r="A184" s="53" t="n">
        <v>44010</v>
      </c>
      <c r="B184" t="inlineStr">
        <is>
          <t>2020-06-28</t>
        </is>
      </c>
      <c r="C184" s="45" t="n">
        <v>29.5346</v>
      </c>
      <c r="D184" t="inlineStr">
        <is>
          <t>€/MWh</t>
        </is>
      </c>
      <c r="E184" s="54" t="n">
        <v>0.029535</v>
      </c>
      <c r="F184" s="54" t="n"/>
      <c r="G184" t="inlineStr">
        <is>
          <t>no aplica (precio mayorista)</t>
        </is>
      </c>
      <c r="J184" t="inlineStr">
        <is>
          <t>2020-06-27</t>
        </is>
      </c>
      <c r="K184" t="inlineStr">
        <is>
          <t>marginalpdbc_20200628.1</t>
        </is>
      </c>
      <c r="L184" t="inlineStr">
        <is>
          <t>24 periodos; mín 26.10, máx 39.07 €/MWh</t>
        </is>
      </c>
    </row>
    <row r="185">
      <c r="A185" s="53" t="n">
        <v>44011</v>
      </c>
      <c r="B185" t="inlineStr">
        <is>
          <t>2020-06-29</t>
        </is>
      </c>
      <c r="C185" s="45" t="n">
        <v>37.3975</v>
      </c>
      <c r="D185" t="inlineStr">
        <is>
          <t>€/MWh</t>
        </is>
      </c>
      <c r="E185" s="54" t="n">
        <v>0.037398</v>
      </c>
      <c r="F185" s="54" t="n"/>
      <c r="G185" t="inlineStr">
        <is>
          <t>no aplica (precio mayorista)</t>
        </is>
      </c>
      <c r="J185" t="inlineStr">
        <is>
          <t>2020-06-28</t>
        </is>
      </c>
      <c r="K185" t="inlineStr">
        <is>
          <t>marginalpdbc_20200629.1</t>
        </is>
      </c>
      <c r="L185" t="inlineStr">
        <is>
          <t>24 periodos; mín 30.91, máx 39.84 €/MWh</t>
        </is>
      </c>
    </row>
    <row r="186">
      <c r="A186" s="53" t="n">
        <v>44012</v>
      </c>
      <c r="B186" t="inlineStr">
        <is>
          <t>2020-06-30</t>
        </is>
      </c>
      <c r="C186" s="45" t="n">
        <v>37.575</v>
      </c>
      <c r="D186" t="inlineStr">
        <is>
          <t>€/MWh</t>
        </is>
      </c>
      <c r="E186" s="54" t="n">
        <v>0.037575</v>
      </c>
      <c r="F186" s="54" t="n"/>
      <c r="G186" t="inlineStr">
        <is>
          <t>no aplica (precio mayorista)</t>
        </is>
      </c>
      <c r="J186" t="inlineStr">
        <is>
          <t>2020-06-29</t>
        </is>
      </c>
      <c r="K186" t="inlineStr">
        <is>
          <t>marginalpdbc_20200630.1</t>
        </is>
      </c>
      <c r="L186" t="inlineStr">
        <is>
          <t>24 periodos; mín 31.98, máx 40.01 €/MWh</t>
        </is>
      </c>
    </row>
    <row r="187">
      <c r="A187" s="53" t="n">
        <v>44013</v>
      </c>
      <c r="B187" t="inlineStr">
        <is>
          <t>2020-07-01</t>
        </is>
      </c>
      <c r="C187" s="45" t="n">
        <v>37.4542</v>
      </c>
      <c r="D187" t="inlineStr">
        <is>
          <t>€/MWh</t>
        </is>
      </c>
      <c r="E187" s="54" t="n">
        <v>0.037454</v>
      </c>
      <c r="F187" s="54" t="n"/>
      <c r="G187" t="inlineStr">
        <is>
          <t>no aplica (precio mayorista)</t>
        </is>
      </c>
      <c r="J187" t="inlineStr">
        <is>
          <t>2020-06-30</t>
        </is>
      </c>
      <c r="K187" t="inlineStr">
        <is>
          <t>marginalpdbc_20200701.1</t>
        </is>
      </c>
      <c r="L187" t="inlineStr">
        <is>
          <t>24 periodos; mín 27.50, máx 40.44 €/MWh</t>
        </is>
      </c>
    </row>
    <row r="188">
      <c r="A188" s="53" t="n">
        <v>44014</v>
      </c>
      <c r="B188" t="inlineStr">
        <is>
          <t>2020-07-02</t>
        </is>
      </c>
      <c r="C188" s="45" t="n">
        <v>34.5129</v>
      </c>
      <c r="D188" t="inlineStr">
        <is>
          <t>€/MWh</t>
        </is>
      </c>
      <c r="E188" s="54" t="n">
        <v>0.034513</v>
      </c>
      <c r="F188" s="54" t="n"/>
      <c r="G188" t="inlineStr">
        <is>
          <t>no aplica (precio mayorista)</t>
        </is>
      </c>
      <c r="J188" t="inlineStr">
        <is>
          <t>2020-07-01</t>
        </is>
      </c>
      <c r="K188" t="inlineStr">
        <is>
          <t>marginalpdbc_20200702.1</t>
        </is>
      </c>
      <c r="L188" t="inlineStr">
        <is>
          <t>24 periodos; mín 27.50, máx 41.37 €/MWh</t>
        </is>
      </c>
    </row>
    <row r="189">
      <c r="A189" s="53" t="n">
        <v>44015</v>
      </c>
      <c r="B189" t="inlineStr">
        <is>
          <t>2020-07-03</t>
        </is>
      </c>
      <c r="C189" s="45" t="n">
        <v>34.915</v>
      </c>
      <c r="D189" t="inlineStr">
        <is>
          <t>€/MWh</t>
        </is>
      </c>
      <c r="E189" s="54" t="n">
        <v>0.034915</v>
      </c>
      <c r="F189" s="54" t="n"/>
      <c r="G189" t="inlineStr">
        <is>
          <t>no aplica (precio mayorista)</t>
        </is>
      </c>
      <c r="J189" t="inlineStr">
        <is>
          <t>2020-07-02</t>
        </is>
      </c>
      <c r="K189" t="inlineStr">
        <is>
          <t>marginalpdbc_20200703.1</t>
        </is>
      </c>
      <c r="L189" t="inlineStr">
        <is>
          <t>24 periodos; mín 27.62, máx 38.95 €/MWh</t>
        </is>
      </c>
    </row>
    <row r="190">
      <c r="A190" s="53" t="n">
        <v>44016</v>
      </c>
      <c r="B190" t="inlineStr">
        <is>
          <t>2020-07-04</t>
        </is>
      </c>
      <c r="C190" s="45" t="n">
        <v>28.6771</v>
      </c>
      <c r="D190" t="inlineStr">
        <is>
          <t>€/MWh</t>
        </is>
      </c>
      <c r="E190" s="54" t="n">
        <v>0.028677</v>
      </c>
      <c r="F190" s="54" t="n"/>
      <c r="G190" t="inlineStr">
        <is>
          <t>no aplica (precio mayorista)</t>
        </is>
      </c>
      <c r="J190" t="inlineStr">
        <is>
          <t>2020-07-03</t>
        </is>
      </c>
      <c r="K190" t="inlineStr">
        <is>
          <t>marginalpdbc_20200704.1</t>
        </is>
      </c>
      <c r="L190" t="inlineStr">
        <is>
          <t>24 periodos; mín 25.70, máx 38.41 €/MWh</t>
        </is>
      </c>
    </row>
    <row r="191">
      <c r="A191" s="53" t="n">
        <v>44017</v>
      </c>
      <c r="B191" t="inlineStr">
        <is>
          <t>2020-07-05</t>
        </is>
      </c>
      <c r="C191" s="45" t="n">
        <v>25.8592</v>
      </c>
      <c r="D191" t="inlineStr">
        <is>
          <t>€/MWh</t>
        </is>
      </c>
      <c r="E191" s="54" t="n">
        <v>0.025859</v>
      </c>
      <c r="F191" s="54" t="n"/>
      <c r="G191" t="inlineStr">
        <is>
          <t>no aplica (precio mayorista)</t>
        </is>
      </c>
      <c r="J191" t="inlineStr">
        <is>
          <t>2020-07-04</t>
        </is>
      </c>
      <c r="K191" t="inlineStr">
        <is>
          <t>marginalpdbc_20200705.1</t>
        </is>
      </c>
      <c r="L191" t="inlineStr">
        <is>
          <t>24 periodos; mín 22.88, máx 38.00 €/MWh</t>
        </is>
      </c>
    </row>
    <row r="192">
      <c r="A192" s="53" t="n">
        <v>44018</v>
      </c>
      <c r="B192" t="inlineStr">
        <is>
          <t>2020-07-06</t>
        </is>
      </c>
      <c r="C192" s="45" t="n">
        <v>28.3938</v>
      </c>
      <c r="D192" t="inlineStr">
        <is>
          <t>€/MWh</t>
        </is>
      </c>
      <c r="E192" s="54" t="n">
        <v>0.028394</v>
      </c>
      <c r="F192" s="54" t="n"/>
      <c r="G192" t="inlineStr">
        <is>
          <t>no aplica (precio mayorista)</t>
        </is>
      </c>
      <c r="J192" t="inlineStr">
        <is>
          <t>2020-07-05</t>
        </is>
      </c>
      <c r="K192" t="inlineStr">
        <is>
          <t>marginalpdbc_20200706.1</t>
        </is>
      </c>
      <c r="L192" t="inlineStr">
        <is>
          <t>24 periodos; mín 18.50, máx 37.23 €/MWh</t>
        </is>
      </c>
    </row>
    <row r="193">
      <c r="A193" s="53" t="n">
        <v>44019</v>
      </c>
      <c r="B193" t="inlineStr">
        <is>
          <t>2020-07-07</t>
        </is>
      </c>
      <c r="C193" s="45" t="n">
        <v>35.1987</v>
      </c>
      <c r="D193" t="inlineStr">
        <is>
          <t>€/MWh</t>
        </is>
      </c>
      <c r="E193" s="54" t="n">
        <v>0.035199</v>
      </c>
      <c r="F193" s="54" t="n"/>
      <c r="G193" t="inlineStr">
        <is>
          <t>no aplica (precio mayorista)</t>
        </is>
      </c>
      <c r="J193" t="inlineStr">
        <is>
          <t>2020-07-06</t>
        </is>
      </c>
      <c r="K193" t="inlineStr">
        <is>
          <t>marginalpdbc_20200707.1</t>
        </is>
      </c>
      <c r="L193" t="inlineStr">
        <is>
          <t>24 periodos; mín 27.15, máx 40.84 €/MWh</t>
        </is>
      </c>
    </row>
    <row r="194">
      <c r="A194" s="53" t="n">
        <v>44020</v>
      </c>
      <c r="B194" t="inlineStr">
        <is>
          <t>2020-07-08</t>
        </is>
      </c>
      <c r="C194" s="45" t="n">
        <v>37.7883</v>
      </c>
      <c r="D194" t="inlineStr">
        <is>
          <t>€/MWh</t>
        </is>
      </c>
      <c r="E194" s="54" t="n">
        <v>0.037788</v>
      </c>
      <c r="F194" s="54" t="n"/>
      <c r="G194" t="inlineStr">
        <is>
          <t>no aplica (precio mayorista)</t>
        </is>
      </c>
      <c r="J194" t="inlineStr">
        <is>
          <t>2020-07-07</t>
        </is>
      </c>
      <c r="K194" t="inlineStr">
        <is>
          <t>marginalpdbc_20200708.1</t>
        </is>
      </c>
      <c r="L194" t="inlineStr">
        <is>
          <t>24 periodos; mín 29.55, máx 40.60 €/MWh</t>
        </is>
      </c>
    </row>
    <row r="195">
      <c r="A195" s="53" t="n">
        <v>44021</v>
      </c>
      <c r="B195" t="inlineStr">
        <is>
          <t>2020-07-09</t>
        </is>
      </c>
      <c r="C195" s="45" t="n">
        <v>39.945</v>
      </c>
      <c r="D195" t="inlineStr">
        <is>
          <t>€/MWh</t>
        </is>
      </c>
      <c r="E195" s="54" t="n">
        <v>0.039945</v>
      </c>
      <c r="F195" s="54" t="n"/>
      <c r="G195" t="inlineStr">
        <is>
          <t>no aplica (precio mayorista)</t>
        </is>
      </c>
      <c r="J195" t="inlineStr">
        <is>
          <t>2020-07-08</t>
        </is>
      </c>
      <c r="K195" t="inlineStr">
        <is>
          <t>marginalpdbc_20200709.1</t>
        </is>
      </c>
      <c r="L195" t="inlineStr">
        <is>
          <t>24 periodos; mín 30.00, máx 43.82 €/MWh</t>
        </is>
      </c>
    </row>
    <row r="196">
      <c r="A196" s="53" t="n">
        <v>44022</v>
      </c>
      <c r="B196" t="inlineStr">
        <is>
          <t>2020-07-10</t>
        </is>
      </c>
      <c r="C196" s="45" t="n">
        <v>37.9471</v>
      </c>
      <c r="D196" t="inlineStr">
        <is>
          <t>€/MWh</t>
        </is>
      </c>
      <c r="E196" s="54" t="n">
        <v>0.037947</v>
      </c>
      <c r="F196" s="54" t="n"/>
      <c r="G196" t="inlineStr">
        <is>
          <t>no aplica (precio mayorista)</t>
        </is>
      </c>
      <c r="J196" t="inlineStr">
        <is>
          <t>2020-07-09</t>
        </is>
      </c>
      <c r="K196" t="inlineStr">
        <is>
          <t>marginalpdbc_20200710.1</t>
        </is>
      </c>
      <c r="L196" t="inlineStr">
        <is>
          <t>24 periodos; mín 29.52, máx 42.94 €/MWh</t>
        </is>
      </c>
    </row>
    <row r="197">
      <c r="A197" s="53" t="n">
        <v>44023</v>
      </c>
      <c r="B197" t="inlineStr">
        <is>
          <t>2020-07-11</t>
        </is>
      </c>
      <c r="C197" s="45" t="n">
        <v>29.1067</v>
      </c>
      <c r="D197" t="inlineStr">
        <is>
          <t>€/MWh</t>
        </is>
      </c>
      <c r="E197" s="54" t="n">
        <v>0.029107</v>
      </c>
      <c r="F197" s="54" t="n"/>
      <c r="G197" t="inlineStr">
        <is>
          <t>no aplica (precio mayorista)</t>
        </is>
      </c>
      <c r="J197" t="inlineStr">
        <is>
          <t>2020-07-10</t>
        </is>
      </c>
      <c r="K197" t="inlineStr">
        <is>
          <t>marginalpdbc_20200711.1</t>
        </is>
      </c>
      <c r="L197" t="inlineStr">
        <is>
          <t>24 periodos; mín 25.74, máx 37.73 €/MWh</t>
        </is>
      </c>
    </row>
    <row r="198">
      <c r="A198" s="53" t="n">
        <v>44024</v>
      </c>
      <c r="B198" t="inlineStr">
        <is>
          <t>2020-07-12</t>
        </is>
      </c>
      <c r="C198" s="45" t="n">
        <v>28.7987</v>
      </c>
      <c r="D198" t="inlineStr">
        <is>
          <t>€/MWh</t>
        </is>
      </c>
      <c r="E198" s="54" t="n">
        <v>0.028799</v>
      </c>
      <c r="F198" s="54" t="n"/>
      <c r="G198" t="inlineStr">
        <is>
          <t>no aplica (precio mayorista)</t>
        </is>
      </c>
      <c r="J198" t="inlineStr">
        <is>
          <t>2020-07-11</t>
        </is>
      </c>
      <c r="K198" t="inlineStr">
        <is>
          <t>marginalpdbc_20200712.1</t>
        </is>
      </c>
      <c r="L198" t="inlineStr">
        <is>
          <t>24 periodos; mín 24.10, máx 41.20 €/MWh</t>
        </is>
      </c>
    </row>
    <row r="199">
      <c r="A199" s="53" t="n">
        <v>44025</v>
      </c>
      <c r="B199" t="inlineStr">
        <is>
          <t>2020-07-13</t>
        </is>
      </c>
      <c r="C199" s="45" t="n">
        <v>33.9567</v>
      </c>
      <c r="D199" t="inlineStr">
        <is>
          <t>€/MWh</t>
        </is>
      </c>
      <c r="E199" s="54" t="n">
        <v>0.033957</v>
      </c>
      <c r="F199" s="54" t="n"/>
      <c r="G199" t="inlineStr">
        <is>
          <t>no aplica (precio mayorista)</t>
        </is>
      </c>
      <c r="J199" t="inlineStr">
        <is>
          <t>2020-07-12</t>
        </is>
      </c>
      <c r="K199" t="inlineStr">
        <is>
          <t>marginalpdbc_20200713.1</t>
        </is>
      </c>
      <c r="L199" t="inlineStr">
        <is>
          <t>24 periodos; mín 25.10, máx 39.27 €/MWh</t>
        </is>
      </c>
    </row>
    <row r="200">
      <c r="A200" s="53" t="n">
        <v>44026</v>
      </c>
      <c r="B200" t="inlineStr">
        <is>
          <t>2020-07-14</t>
        </is>
      </c>
      <c r="C200" s="45" t="n">
        <v>33.6225</v>
      </c>
      <c r="D200" t="inlineStr">
        <is>
          <t>€/MWh</t>
        </is>
      </c>
      <c r="E200" s="54" t="n">
        <v>0.033622</v>
      </c>
      <c r="F200" s="54" t="n"/>
      <c r="G200" t="inlineStr">
        <is>
          <t>no aplica (precio mayorista)</t>
        </is>
      </c>
      <c r="J200" t="inlineStr">
        <is>
          <t>2020-07-13</t>
        </is>
      </c>
      <c r="K200" t="inlineStr">
        <is>
          <t>marginalpdbc_20200714.1</t>
        </is>
      </c>
      <c r="L200" t="inlineStr">
        <is>
          <t>24 periodos; mín 26.77, máx 38.30 €/MWh</t>
        </is>
      </c>
    </row>
    <row r="201">
      <c r="A201" s="53" t="n">
        <v>44027</v>
      </c>
      <c r="B201" t="inlineStr">
        <is>
          <t>2020-07-15</t>
        </is>
      </c>
      <c r="C201" s="45" t="n">
        <v>31.0587</v>
      </c>
      <c r="D201" t="inlineStr">
        <is>
          <t>€/MWh</t>
        </is>
      </c>
      <c r="E201" s="54" t="n">
        <v>0.031059</v>
      </c>
      <c r="F201" s="54" t="n"/>
      <c r="G201" t="inlineStr">
        <is>
          <t>no aplica (precio mayorista)</t>
        </is>
      </c>
      <c r="J201" t="inlineStr">
        <is>
          <t>2020-07-14</t>
        </is>
      </c>
      <c r="K201" t="inlineStr">
        <is>
          <t>marginalpdbc_20200715.1</t>
        </is>
      </c>
      <c r="L201" t="inlineStr">
        <is>
          <t>24 periodos; mín 26.00, máx 37.11 €/MWh</t>
        </is>
      </c>
    </row>
    <row r="202">
      <c r="A202" s="53" t="n">
        <v>44028</v>
      </c>
      <c r="B202" t="inlineStr">
        <is>
          <t>2020-07-16</t>
        </is>
      </c>
      <c r="C202" s="45" t="n">
        <v>34.8925</v>
      </c>
      <c r="D202" t="inlineStr">
        <is>
          <t>€/MWh</t>
        </is>
      </c>
      <c r="E202" s="54" t="n">
        <v>0.034892</v>
      </c>
      <c r="F202" s="54" t="n"/>
      <c r="G202" t="inlineStr">
        <is>
          <t>no aplica (precio mayorista)</t>
        </is>
      </c>
      <c r="J202" t="inlineStr">
        <is>
          <t>2020-07-15</t>
        </is>
      </c>
      <c r="K202" t="inlineStr">
        <is>
          <t>marginalpdbc_20200716.1</t>
        </is>
      </c>
      <c r="L202" t="inlineStr">
        <is>
          <t>24 periodos; mín 27.04, máx 39.93 €/MWh</t>
        </is>
      </c>
    </row>
    <row r="203">
      <c r="A203" s="53" t="n">
        <v>44029</v>
      </c>
      <c r="B203" t="inlineStr">
        <is>
          <t>2020-07-17</t>
        </is>
      </c>
      <c r="C203" s="45" t="n">
        <v>32.1729</v>
      </c>
      <c r="D203" t="inlineStr">
        <is>
          <t>€/MWh</t>
        </is>
      </c>
      <c r="E203" s="54" t="n">
        <v>0.032173</v>
      </c>
      <c r="F203" s="54" t="n"/>
      <c r="G203" t="inlineStr">
        <is>
          <t>no aplica (precio mayorista)</t>
        </is>
      </c>
      <c r="J203" t="inlineStr">
        <is>
          <t>2020-07-16</t>
        </is>
      </c>
      <c r="K203" t="inlineStr">
        <is>
          <t>marginalpdbc_20200717.1</t>
        </is>
      </c>
      <c r="L203" t="inlineStr">
        <is>
          <t>24 periodos; mín 26.50, máx 37.00 €/MWh</t>
        </is>
      </c>
    </row>
    <row r="204">
      <c r="A204" s="53" t="n">
        <v>44030</v>
      </c>
      <c r="B204" t="inlineStr">
        <is>
          <t>2020-07-18</t>
        </is>
      </c>
      <c r="C204" s="45" t="n">
        <v>30.8317</v>
      </c>
      <c r="D204" t="inlineStr">
        <is>
          <t>€/MWh</t>
        </is>
      </c>
      <c r="E204" s="54" t="n">
        <v>0.030832</v>
      </c>
      <c r="F204" s="54" t="n"/>
      <c r="G204" t="inlineStr">
        <is>
          <t>no aplica (precio mayorista)</t>
        </is>
      </c>
      <c r="J204" t="inlineStr">
        <is>
          <t>2020-07-17</t>
        </is>
      </c>
      <c r="K204" t="inlineStr">
        <is>
          <t>marginalpdbc_20200718.1</t>
        </is>
      </c>
      <c r="L204" t="inlineStr">
        <is>
          <t>24 periodos; mín 25.75, máx 39.45 €/MWh</t>
        </is>
      </c>
    </row>
    <row r="205">
      <c r="A205" s="53" t="n">
        <v>44031</v>
      </c>
      <c r="B205" t="inlineStr">
        <is>
          <t>2020-07-19</t>
        </is>
      </c>
      <c r="C205" s="45" t="n">
        <v>30.4546</v>
      </c>
      <c r="D205" t="inlineStr">
        <is>
          <t>€/MWh</t>
        </is>
      </c>
      <c r="E205" s="54" t="n">
        <v>0.030455</v>
      </c>
      <c r="F205" s="54" t="n"/>
      <c r="G205" t="inlineStr">
        <is>
          <t>no aplica (precio mayorista)</t>
        </is>
      </c>
      <c r="J205" t="inlineStr">
        <is>
          <t>2020-07-18</t>
        </is>
      </c>
      <c r="K205" t="inlineStr">
        <is>
          <t>marginalpdbc_20200719.1</t>
        </is>
      </c>
      <c r="L205" t="inlineStr">
        <is>
          <t>24 periodos; mín 25.60, máx 40.42 €/MWh</t>
        </is>
      </c>
    </row>
    <row r="206">
      <c r="A206" s="53" t="n">
        <v>44032</v>
      </c>
      <c r="B206" t="inlineStr">
        <is>
          <t>2020-07-20</t>
        </is>
      </c>
      <c r="C206" s="45" t="n">
        <v>35.5508</v>
      </c>
      <c r="D206" t="inlineStr">
        <is>
          <t>€/MWh</t>
        </is>
      </c>
      <c r="E206" s="54" t="n">
        <v>0.035551</v>
      </c>
      <c r="F206" s="54" t="n"/>
      <c r="G206" t="inlineStr">
        <is>
          <t>no aplica (precio mayorista)</t>
        </is>
      </c>
      <c r="J206" t="inlineStr">
        <is>
          <t>2020-07-19</t>
        </is>
      </c>
      <c r="K206" t="inlineStr">
        <is>
          <t>marginalpdbc_20200720.1</t>
        </is>
      </c>
      <c r="L206" t="inlineStr">
        <is>
          <t>24 periodos; mín 26.00, máx 41.00 €/MWh</t>
        </is>
      </c>
    </row>
    <row r="207">
      <c r="A207" s="53" t="n">
        <v>44033</v>
      </c>
      <c r="B207" t="inlineStr">
        <is>
          <t>2020-07-21</t>
        </is>
      </c>
      <c r="C207" s="45" t="n">
        <v>36.0704</v>
      </c>
      <c r="D207" t="inlineStr">
        <is>
          <t>€/MWh</t>
        </is>
      </c>
      <c r="E207" s="54" t="n">
        <v>0.03607</v>
      </c>
      <c r="F207" s="54" t="n"/>
      <c r="G207" t="inlineStr">
        <is>
          <t>no aplica (precio mayorista)</t>
        </is>
      </c>
      <c r="J207" t="inlineStr">
        <is>
          <t>2020-07-20</t>
        </is>
      </c>
      <c r="K207" t="inlineStr">
        <is>
          <t>marginalpdbc_20200721.1</t>
        </is>
      </c>
      <c r="L207" t="inlineStr">
        <is>
          <t>24 periodos; mín 26.51, máx 42.93 €/MWh</t>
        </is>
      </c>
    </row>
    <row r="208">
      <c r="A208" s="53" t="n">
        <v>44034</v>
      </c>
      <c r="B208" t="inlineStr">
        <is>
          <t>2020-07-22</t>
        </is>
      </c>
      <c r="C208" s="45" t="n">
        <v>40.8429</v>
      </c>
      <c r="D208" t="inlineStr">
        <is>
          <t>€/MWh</t>
        </is>
      </c>
      <c r="E208" s="54" t="n">
        <v>0.040843</v>
      </c>
      <c r="F208" s="54" t="n"/>
      <c r="G208" t="inlineStr">
        <is>
          <t>no aplica (precio mayorista)</t>
        </is>
      </c>
      <c r="J208" t="inlineStr">
        <is>
          <t>2020-07-21</t>
        </is>
      </c>
      <c r="K208" t="inlineStr">
        <is>
          <t>marginalpdbc_20200722.1</t>
        </is>
      </c>
      <c r="L208" t="inlineStr">
        <is>
          <t>24 periodos; mín 38.43, máx 43.90 €/MWh</t>
        </is>
      </c>
    </row>
    <row r="209">
      <c r="A209" s="53" t="n">
        <v>44035</v>
      </c>
      <c r="B209" t="inlineStr">
        <is>
          <t>2020-07-23</t>
        </is>
      </c>
      <c r="C209" s="45" t="n">
        <v>42.0367</v>
      </c>
      <c r="D209" t="inlineStr">
        <is>
          <t>€/MWh</t>
        </is>
      </c>
      <c r="E209" s="54" t="n">
        <v>0.042037</v>
      </c>
      <c r="F209" s="54" t="n"/>
      <c r="G209" t="inlineStr">
        <is>
          <t>no aplica (precio mayorista)</t>
        </is>
      </c>
      <c r="J209" t="inlineStr">
        <is>
          <t>2020-07-22</t>
        </is>
      </c>
      <c r="K209" t="inlineStr">
        <is>
          <t>marginalpdbc_20200723.1</t>
        </is>
      </c>
      <c r="L209" t="inlineStr">
        <is>
          <t>24 periodos; mín 38.58, máx 44.00 €/MWh</t>
        </is>
      </c>
    </row>
    <row r="210">
      <c r="A210" s="53" t="n">
        <v>44036</v>
      </c>
      <c r="B210" t="inlineStr">
        <is>
          <t>2020-07-24</t>
        </is>
      </c>
      <c r="C210" s="45" t="n">
        <v>36.0979</v>
      </c>
      <c r="D210" t="inlineStr">
        <is>
          <t>€/MWh</t>
        </is>
      </c>
      <c r="E210" s="54" t="n">
        <v>0.036098</v>
      </c>
      <c r="F210" s="54" t="n"/>
      <c r="G210" t="inlineStr">
        <is>
          <t>no aplica (precio mayorista)</t>
        </is>
      </c>
      <c r="J210" t="inlineStr">
        <is>
          <t>2020-07-23</t>
        </is>
      </c>
      <c r="K210" t="inlineStr">
        <is>
          <t>marginalpdbc_20200724.1</t>
        </is>
      </c>
      <c r="L210" t="inlineStr">
        <is>
          <t>24 periodos; mín 28.30, máx 41.59 €/MWh</t>
        </is>
      </c>
    </row>
    <row r="211">
      <c r="A211" s="53" t="n">
        <v>44037</v>
      </c>
      <c r="B211" t="inlineStr">
        <is>
          <t>2020-07-25</t>
        </is>
      </c>
      <c r="C211" s="45" t="n">
        <v>33.3217</v>
      </c>
      <c r="D211" t="inlineStr">
        <is>
          <t>€/MWh</t>
        </is>
      </c>
      <c r="E211" s="54" t="n">
        <v>0.033322</v>
      </c>
      <c r="F211" s="54" t="n"/>
      <c r="G211" t="inlineStr">
        <is>
          <t>no aplica (precio mayorista)</t>
        </is>
      </c>
      <c r="J211" t="inlineStr">
        <is>
          <t>2020-07-24</t>
        </is>
      </c>
      <c r="K211" t="inlineStr">
        <is>
          <t>marginalpdbc_20200725.1</t>
        </is>
      </c>
      <c r="L211" t="inlineStr">
        <is>
          <t>24 periodos; mín 28.30, máx 38.56 €/MWh</t>
        </is>
      </c>
    </row>
    <row r="212">
      <c r="A212" s="53" t="n">
        <v>44038</v>
      </c>
      <c r="B212" t="inlineStr">
        <is>
          <t>2020-07-26</t>
        </is>
      </c>
      <c r="C212" s="45" t="n">
        <v>29.7779</v>
      </c>
      <c r="D212" t="inlineStr">
        <is>
          <t>€/MWh</t>
        </is>
      </c>
      <c r="E212" s="54" t="n">
        <v>0.029778</v>
      </c>
      <c r="F212" s="54" t="n"/>
      <c r="G212" t="inlineStr">
        <is>
          <t>no aplica (precio mayorista)</t>
        </is>
      </c>
      <c r="J212" t="inlineStr">
        <is>
          <t>2020-07-25</t>
        </is>
      </c>
      <c r="K212" t="inlineStr">
        <is>
          <t>marginalpdbc_20200726.1</t>
        </is>
      </c>
      <c r="L212" t="inlineStr">
        <is>
          <t>24 periodos; mín 27.10, máx 40.99 €/MWh</t>
        </is>
      </c>
    </row>
    <row r="213">
      <c r="A213" s="53" t="n">
        <v>44039</v>
      </c>
      <c r="B213" t="inlineStr">
        <is>
          <t>2020-07-27</t>
        </is>
      </c>
      <c r="C213" s="45" t="n">
        <v>38.2825</v>
      </c>
      <c r="D213" t="inlineStr">
        <is>
          <t>€/MWh</t>
        </is>
      </c>
      <c r="E213" s="54" t="n">
        <v>0.038282</v>
      </c>
      <c r="F213" s="54" t="n"/>
      <c r="G213" t="inlineStr">
        <is>
          <t>no aplica (precio mayorista)</t>
        </is>
      </c>
      <c r="J213" t="inlineStr">
        <is>
          <t>2020-07-26</t>
        </is>
      </c>
      <c r="K213" t="inlineStr">
        <is>
          <t>marginalpdbc_20200727.1</t>
        </is>
      </c>
      <c r="L213" t="inlineStr">
        <is>
          <t>24 periodos; mín 34.00, máx 40.60 €/MWh</t>
        </is>
      </c>
    </row>
    <row r="214">
      <c r="A214" s="53" t="n">
        <v>44040</v>
      </c>
      <c r="B214" t="inlineStr">
        <is>
          <t>2020-07-28</t>
        </is>
      </c>
      <c r="C214" s="45" t="n">
        <v>35.8892</v>
      </c>
      <c r="D214" t="inlineStr">
        <is>
          <t>€/MWh</t>
        </is>
      </c>
      <c r="E214" s="54" t="n">
        <v>0.035889</v>
      </c>
      <c r="F214" s="54" t="n"/>
      <c r="G214" t="inlineStr">
        <is>
          <t>no aplica (precio mayorista)</t>
        </is>
      </c>
      <c r="J214" t="inlineStr">
        <is>
          <t>2020-07-27</t>
        </is>
      </c>
      <c r="K214" t="inlineStr">
        <is>
          <t>marginalpdbc_20200728.1</t>
        </is>
      </c>
      <c r="L214" t="inlineStr">
        <is>
          <t>24 periodos; mín 29.70, máx 40.70 €/MWh</t>
        </is>
      </c>
    </row>
    <row r="215">
      <c r="A215" s="53" t="n">
        <v>44041</v>
      </c>
      <c r="B215" t="inlineStr">
        <is>
          <t>2020-07-29</t>
        </is>
      </c>
      <c r="C215" s="45" t="n">
        <v>37.7467</v>
      </c>
      <c r="D215" t="inlineStr">
        <is>
          <t>€/MWh</t>
        </is>
      </c>
      <c r="E215" s="54" t="n">
        <v>0.037747</v>
      </c>
      <c r="F215" s="54" t="n"/>
      <c r="G215" t="inlineStr">
        <is>
          <t>no aplica (precio mayorista)</t>
        </is>
      </c>
      <c r="J215" t="inlineStr">
        <is>
          <t>2020-07-28</t>
        </is>
      </c>
      <c r="K215" t="inlineStr">
        <is>
          <t>marginalpdbc_20200729.1</t>
        </is>
      </c>
      <c r="L215" t="inlineStr">
        <is>
          <t>24 periodos; mín 28.41, máx 43.78 €/MWh</t>
        </is>
      </c>
    </row>
    <row r="216">
      <c r="A216" s="53" t="n">
        <v>44042</v>
      </c>
      <c r="B216" t="inlineStr">
        <is>
          <t>2020-07-30</t>
        </is>
      </c>
      <c r="C216" s="45" t="n">
        <v>40.4462</v>
      </c>
      <c r="D216" t="inlineStr">
        <is>
          <t>€/MWh</t>
        </is>
      </c>
      <c r="E216" s="54" t="n">
        <v>0.040446</v>
      </c>
      <c r="F216" s="54" t="n"/>
      <c r="G216" t="inlineStr">
        <is>
          <t>no aplica (precio mayorista)</t>
        </is>
      </c>
      <c r="J216" t="inlineStr">
        <is>
          <t>2020-07-29</t>
        </is>
      </c>
      <c r="K216" t="inlineStr">
        <is>
          <t>marginalpdbc_20200730.1</t>
        </is>
      </c>
      <c r="L216" t="inlineStr">
        <is>
          <t>24 periodos; mín 34.00, máx 44.92 €/MWh</t>
        </is>
      </c>
    </row>
    <row r="217">
      <c r="A217" s="53" t="n">
        <v>44043</v>
      </c>
      <c r="B217" t="inlineStr">
        <is>
          <t>2020-07-31</t>
        </is>
      </c>
      <c r="C217" s="45" t="n">
        <v>42.0671</v>
      </c>
      <c r="D217" t="inlineStr">
        <is>
          <t>€/MWh</t>
        </is>
      </c>
      <c r="E217" s="54" t="n">
        <v>0.042067</v>
      </c>
      <c r="F217" s="54" t="n"/>
      <c r="G217" t="inlineStr">
        <is>
          <t>no aplica (precio mayorista)</t>
        </is>
      </c>
      <c r="J217" t="inlineStr">
        <is>
          <t>2020-07-30</t>
        </is>
      </c>
      <c r="K217" t="inlineStr">
        <is>
          <t>marginalpdbc_20200731.1</t>
        </is>
      </c>
      <c r="L217" t="inlineStr">
        <is>
          <t>24 periodos; mín 35.00, máx 46.15 €/MWh</t>
        </is>
      </c>
    </row>
    <row r="218">
      <c r="A218" s="53" t="n">
        <v>44044</v>
      </c>
      <c r="B218" t="inlineStr">
        <is>
          <t>2020-08-01</t>
        </is>
      </c>
      <c r="C218" s="45" t="n">
        <v>33.5042</v>
      </c>
      <c r="D218" t="inlineStr">
        <is>
          <t>€/MWh</t>
        </is>
      </c>
      <c r="E218" s="54" t="n">
        <v>0.033504</v>
      </c>
      <c r="F218" s="54" t="n"/>
      <c r="G218" t="inlineStr">
        <is>
          <t>no aplica (precio mayorista)</t>
        </is>
      </c>
      <c r="J218" t="inlineStr">
        <is>
          <t>2020-07-31</t>
        </is>
      </c>
      <c r="K218" t="inlineStr">
        <is>
          <t>marginalpdbc_20200801.1</t>
        </is>
      </c>
      <c r="L218" t="inlineStr">
        <is>
          <t>24 periodos; mín 29.89, máx 38.78 €/MWh</t>
        </is>
      </c>
    </row>
    <row r="219">
      <c r="A219" s="53" t="n">
        <v>44045</v>
      </c>
      <c r="B219" t="inlineStr">
        <is>
          <t>2020-08-02</t>
        </is>
      </c>
      <c r="C219" s="45" t="n">
        <v>28.6429</v>
      </c>
      <c r="D219" t="inlineStr">
        <is>
          <t>€/MWh</t>
        </is>
      </c>
      <c r="E219" s="54" t="n">
        <v>0.028643</v>
      </c>
      <c r="F219" s="54" t="n"/>
      <c r="G219" t="inlineStr">
        <is>
          <t>no aplica (precio mayorista)</t>
        </is>
      </c>
      <c r="J219" t="inlineStr">
        <is>
          <t>2020-08-01</t>
        </is>
      </c>
      <c r="K219" t="inlineStr">
        <is>
          <t>marginalpdbc_20200802.1</t>
        </is>
      </c>
      <c r="L219" t="inlineStr">
        <is>
          <t>24 periodos; mín 23.86, máx 38.43 €/MWh</t>
        </is>
      </c>
    </row>
    <row r="220">
      <c r="A220" s="53" t="n">
        <v>44046</v>
      </c>
      <c r="B220" t="inlineStr">
        <is>
          <t>2020-08-03</t>
        </is>
      </c>
      <c r="C220" s="45" t="n">
        <v>36.6171</v>
      </c>
      <c r="D220" t="inlineStr">
        <is>
          <t>€/MWh</t>
        </is>
      </c>
      <c r="E220" s="54" t="n">
        <v>0.036617</v>
      </c>
      <c r="F220" s="54" t="n"/>
      <c r="G220" t="inlineStr">
        <is>
          <t>no aplica (precio mayorista)</t>
        </is>
      </c>
      <c r="J220" t="inlineStr">
        <is>
          <t>2020-08-02</t>
        </is>
      </c>
      <c r="K220" t="inlineStr">
        <is>
          <t>marginalpdbc_20200803.1</t>
        </is>
      </c>
      <c r="L220" t="inlineStr">
        <is>
          <t>24 periodos; mín 27.44, máx 41.53 €/MWh</t>
        </is>
      </c>
    </row>
    <row r="221">
      <c r="A221" s="53" t="n">
        <v>44047</v>
      </c>
      <c r="B221" t="inlineStr">
        <is>
          <t>2020-08-04</t>
        </is>
      </c>
      <c r="C221" s="45" t="n">
        <v>35.3987</v>
      </c>
      <c r="D221" t="inlineStr">
        <is>
          <t>€/MWh</t>
        </is>
      </c>
      <c r="E221" s="54" t="n">
        <v>0.035399</v>
      </c>
      <c r="F221" s="54" t="n"/>
      <c r="G221" t="inlineStr">
        <is>
          <t>no aplica (precio mayorista)</t>
        </is>
      </c>
      <c r="J221" t="inlineStr">
        <is>
          <t>2020-08-03</t>
        </is>
      </c>
      <c r="K221" t="inlineStr">
        <is>
          <t>marginalpdbc_20200804.1</t>
        </is>
      </c>
      <c r="L221" t="inlineStr">
        <is>
          <t>24 periodos; mín 28.50, máx 41.20 €/MWh</t>
        </is>
      </c>
    </row>
    <row r="222">
      <c r="A222" s="53" t="n">
        <v>44048</v>
      </c>
      <c r="B222" t="inlineStr">
        <is>
          <t>2020-08-05</t>
        </is>
      </c>
      <c r="C222" s="45" t="n">
        <v>36.4337</v>
      </c>
      <c r="D222" t="inlineStr">
        <is>
          <t>€/MWh</t>
        </is>
      </c>
      <c r="E222" s="54" t="n">
        <v>0.036434</v>
      </c>
      <c r="F222" s="54" t="n"/>
      <c r="G222" t="inlineStr">
        <is>
          <t>no aplica (precio mayorista)</t>
        </is>
      </c>
      <c r="J222" t="inlineStr">
        <is>
          <t>2020-08-04</t>
        </is>
      </c>
      <c r="K222" t="inlineStr">
        <is>
          <t>marginalpdbc_20200805.1</t>
        </is>
      </c>
      <c r="L222" t="inlineStr">
        <is>
          <t>24 periodos; mín 30.30, máx 43.40 €/MWh</t>
        </is>
      </c>
    </row>
    <row r="223">
      <c r="A223" s="53" t="n">
        <v>44049</v>
      </c>
      <c r="B223" t="inlineStr">
        <is>
          <t>2020-08-06</t>
        </is>
      </c>
      <c r="C223" s="45" t="n">
        <v>37.3629</v>
      </c>
      <c r="D223" t="inlineStr">
        <is>
          <t>€/MWh</t>
        </is>
      </c>
      <c r="E223" s="54" t="n">
        <v>0.037363</v>
      </c>
      <c r="F223" s="54" t="n"/>
      <c r="G223" t="inlineStr">
        <is>
          <t>no aplica (precio mayorista)</t>
        </is>
      </c>
      <c r="J223" t="inlineStr">
        <is>
          <t>2020-08-05</t>
        </is>
      </c>
      <c r="K223" t="inlineStr">
        <is>
          <t>marginalpdbc_20200806.1</t>
        </is>
      </c>
      <c r="L223" t="inlineStr">
        <is>
          <t>24 periodos; mín 29.77, máx 46.15 €/MWh</t>
        </is>
      </c>
    </row>
    <row r="224">
      <c r="A224" s="53" t="n">
        <v>44050</v>
      </c>
      <c r="B224" t="inlineStr">
        <is>
          <t>2020-08-07</t>
        </is>
      </c>
      <c r="C224" s="45" t="n">
        <v>38.5958</v>
      </c>
      <c r="D224" t="inlineStr">
        <is>
          <t>€/MWh</t>
        </is>
      </c>
      <c r="E224" s="54" t="n">
        <v>0.038596</v>
      </c>
      <c r="F224" s="54" t="n"/>
      <c r="G224" t="inlineStr">
        <is>
          <t>no aplica (precio mayorista)</t>
        </is>
      </c>
      <c r="J224" t="inlineStr">
        <is>
          <t>2020-08-06</t>
        </is>
      </c>
      <c r="K224" t="inlineStr">
        <is>
          <t>marginalpdbc_20200807.1</t>
        </is>
      </c>
      <c r="L224" t="inlineStr">
        <is>
          <t>24 periodos; mín 29.97, máx 47.07 €/MWh</t>
        </is>
      </c>
    </row>
    <row r="225">
      <c r="A225" s="53" t="n">
        <v>44051</v>
      </c>
      <c r="B225" t="inlineStr">
        <is>
          <t>2020-08-08</t>
        </is>
      </c>
      <c r="C225" s="45" t="n">
        <v>36.9129</v>
      </c>
      <c r="D225" t="inlineStr">
        <is>
          <t>€/MWh</t>
        </is>
      </c>
      <c r="E225" s="54" t="n">
        <v>0.036913</v>
      </c>
      <c r="F225" s="54" t="n"/>
      <c r="G225" t="inlineStr">
        <is>
          <t>no aplica (precio mayorista)</t>
        </is>
      </c>
      <c r="J225" t="inlineStr">
        <is>
          <t>2020-08-07</t>
        </is>
      </c>
      <c r="K225" t="inlineStr">
        <is>
          <t>marginalpdbc_20200808.1</t>
        </is>
      </c>
      <c r="L225" t="inlineStr">
        <is>
          <t>24 periodos; mín 29.77, máx 41.20 €/MWh</t>
        </is>
      </c>
    </row>
    <row r="226">
      <c r="A226" s="53" t="n">
        <v>44052</v>
      </c>
      <c r="B226" t="inlineStr">
        <is>
          <t>2020-08-09</t>
        </is>
      </c>
      <c r="C226" s="45" t="n">
        <v>34.6525</v>
      </c>
      <c r="D226" t="inlineStr">
        <is>
          <t>€/MWh</t>
        </is>
      </c>
      <c r="E226" s="54" t="n">
        <v>0.034652</v>
      </c>
      <c r="F226" s="54" t="n"/>
      <c r="G226" t="inlineStr">
        <is>
          <t>no aplica (precio mayorista)</t>
        </is>
      </c>
      <c r="J226" t="inlineStr">
        <is>
          <t>2020-08-08</t>
        </is>
      </c>
      <c r="K226" t="inlineStr">
        <is>
          <t>marginalpdbc_20200809.1</t>
        </is>
      </c>
      <c r="L226" t="inlineStr">
        <is>
          <t>24 periodos; mín 28.70, máx 42.11 €/MWh</t>
        </is>
      </c>
    </row>
    <row r="227">
      <c r="A227" s="53" t="n">
        <v>44053</v>
      </c>
      <c r="B227" t="inlineStr">
        <is>
          <t>2020-08-10</t>
        </is>
      </c>
      <c r="C227" s="45" t="n">
        <v>38.0896</v>
      </c>
      <c r="D227" t="inlineStr">
        <is>
          <t>€/MWh</t>
        </is>
      </c>
      <c r="E227" s="54" t="n">
        <v>0.03809</v>
      </c>
      <c r="F227" s="54" t="n"/>
      <c r="G227" t="inlineStr">
        <is>
          <t>no aplica (precio mayorista)</t>
        </is>
      </c>
      <c r="J227" t="inlineStr">
        <is>
          <t>2020-08-09</t>
        </is>
      </c>
      <c r="K227" t="inlineStr">
        <is>
          <t>marginalpdbc_20200810.1</t>
        </is>
      </c>
      <c r="L227" t="inlineStr">
        <is>
          <t>24 periodos; mín 29.00, máx 43.40 €/MWh</t>
        </is>
      </c>
    </row>
    <row r="228">
      <c r="A228" s="53" t="n">
        <v>44054</v>
      </c>
      <c r="B228" t="inlineStr">
        <is>
          <t>2020-08-11</t>
        </is>
      </c>
      <c r="C228" s="45" t="n">
        <v>38.88</v>
      </c>
      <c r="D228" t="inlineStr">
        <is>
          <t>€/MWh</t>
        </is>
      </c>
      <c r="E228" s="54" t="n">
        <v>0.03888</v>
      </c>
      <c r="F228" s="54" t="n"/>
      <c r="G228" t="inlineStr">
        <is>
          <t>no aplica (precio mayorista)</t>
        </is>
      </c>
      <c r="J228" t="inlineStr">
        <is>
          <t>2020-08-10</t>
        </is>
      </c>
      <c r="K228" t="inlineStr">
        <is>
          <t>marginalpdbc_20200811.1</t>
        </is>
      </c>
      <c r="L228" t="inlineStr">
        <is>
          <t>24 periodos; mín 30.49, máx 44.21 €/MWh</t>
        </is>
      </c>
    </row>
    <row r="229">
      <c r="A229" s="53" t="n">
        <v>44055</v>
      </c>
      <c r="B229" t="inlineStr">
        <is>
          <t>2020-08-12</t>
        </is>
      </c>
      <c r="C229" s="45" t="n">
        <v>39.2737</v>
      </c>
      <c r="D229" t="inlineStr">
        <is>
          <t>€/MWh</t>
        </is>
      </c>
      <c r="E229" s="54" t="n">
        <v>0.039274</v>
      </c>
      <c r="F229" s="54" t="n"/>
      <c r="G229" t="inlineStr">
        <is>
          <t>no aplica (precio mayorista)</t>
        </is>
      </c>
      <c r="J229" t="inlineStr">
        <is>
          <t>2020-08-11</t>
        </is>
      </c>
      <c r="K229" t="inlineStr">
        <is>
          <t>marginalpdbc_20200812.1</t>
        </is>
      </c>
      <c r="L229" t="inlineStr">
        <is>
          <t>24 periodos; mín 30.80, máx 45.07 €/MWh</t>
        </is>
      </c>
    </row>
    <row r="230">
      <c r="A230" s="53" t="n">
        <v>44056</v>
      </c>
      <c r="B230" t="inlineStr">
        <is>
          <t>2020-08-13</t>
        </is>
      </c>
      <c r="C230" s="45" t="n">
        <v>40.5196</v>
      </c>
      <c r="D230" t="inlineStr">
        <is>
          <t>€/MWh</t>
        </is>
      </c>
      <c r="E230" s="54" t="n">
        <v>0.04052</v>
      </c>
      <c r="F230" s="54" t="n"/>
      <c r="G230" t="inlineStr">
        <is>
          <t>no aplica (precio mayorista)</t>
        </is>
      </c>
      <c r="J230" t="inlineStr">
        <is>
          <t>2020-08-12</t>
        </is>
      </c>
      <c r="K230" t="inlineStr">
        <is>
          <t>marginalpdbc_20200813.1</t>
        </is>
      </c>
      <c r="L230" t="inlineStr">
        <is>
          <t>24 periodos; mín 34.88, máx 44.29 €/MWh</t>
        </is>
      </c>
    </row>
    <row r="231">
      <c r="A231" s="53" t="n">
        <v>44057</v>
      </c>
      <c r="B231" t="inlineStr">
        <is>
          <t>2020-08-14</t>
        </is>
      </c>
      <c r="C231" s="45" t="n">
        <v>36.7117</v>
      </c>
      <c r="D231" t="inlineStr">
        <is>
          <t>€/MWh</t>
        </is>
      </c>
      <c r="E231" s="54" t="n">
        <v>0.036712</v>
      </c>
      <c r="F231" s="54" t="n"/>
      <c r="G231" t="inlineStr">
        <is>
          <t>no aplica (precio mayorista)</t>
        </is>
      </c>
      <c r="J231" t="inlineStr">
        <is>
          <t>2020-08-13</t>
        </is>
      </c>
      <c r="K231" t="inlineStr">
        <is>
          <t>marginalpdbc_20200814.1</t>
        </is>
      </c>
      <c r="L231" t="inlineStr">
        <is>
          <t>24 periodos; mín 30.07, máx 41.91 €/MWh</t>
        </is>
      </c>
    </row>
    <row r="232">
      <c r="A232" s="53" t="n">
        <v>44058</v>
      </c>
      <c r="B232" t="inlineStr">
        <is>
          <t>2020-08-15</t>
        </is>
      </c>
      <c r="C232" s="45" t="n">
        <v>31.5542</v>
      </c>
      <c r="D232" t="inlineStr">
        <is>
          <t>€/MWh</t>
        </is>
      </c>
      <c r="E232" s="54" t="n">
        <v>0.031554</v>
      </c>
      <c r="F232" s="54" t="n"/>
      <c r="G232" t="inlineStr">
        <is>
          <t>no aplica (precio mayorista)</t>
        </is>
      </c>
      <c r="J232" t="inlineStr">
        <is>
          <t>2020-08-14</t>
        </is>
      </c>
      <c r="K232" t="inlineStr">
        <is>
          <t>marginalpdbc_20200815.1</t>
        </is>
      </c>
      <c r="L232" t="inlineStr">
        <is>
          <t>24 periodos; mín 26.07, máx 39.93 €/MWh</t>
        </is>
      </c>
    </row>
    <row r="233">
      <c r="A233" s="53" t="n">
        <v>44059</v>
      </c>
      <c r="B233" t="inlineStr">
        <is>
          <t>2020-08-16</t>
        </is>
      </c>
      <c r="C233" s="45" t="n">
        <v>29.0783</v>
      </c>
      <c r="D233" t="inlineStr">
        <is>
          <t>€/MWh</t>
        </is>
      </c>
      <c r="E233" s="54" t="n">
        <v>0.029078</v>
      </c>
      <c r="F233" s="54" t="n"/>
      <c r="G233" t="inlineStr">
        <is>
          <t>no aplica (precio mayorista)</t>
        </is>
      </c>
      <c r="J233" t="inlineStr">
        <is>
          <t>2020-08-15</t>
        </is>
      </c>
      <c r="K233" t="inlineStr">
        <is>
          <t>marginalpdbc_20200816.1</t>
        </is>
      </c>
      <c r="L233" t="inlineStr">
        <is>
          <t>24 periodos; mín 22.50, máx 40.21 €/MWh</t>
        </is>
      </c>
    </row>
    <row r="234">
      <c r="A234" s="53" t="n">
        <v>44060</v>
      </c>
      <c r="B234" t="inlineStr">
        <is>
          <t>2020-08-17</t>
        </is>
      </c>
      <c r="C234" s="45" t="n">
        <v>36.2117</v>
      </c>
      <c r="D234" t="inlineStr">
        <is>
          <t>€/MWh</t>
        </is>
      </c>
      <c r="E234" s="54" t="n">
        <v>0.036212</v>
      </c>
      <c r="F234" s="54" t="n"/>
      <c r="G234" t="inlineStr">
        <is>
          <t>no aplica (precio mayorista)</t>
        </is>
      </c>
      <c r="J234" t="inlineStr">
        <is>
          <t>2020-08-16</t>
        </is>
      </c>
      <c r="K234" t="inlineStr">
        <is>
          <t>marginalpdbc_20200817.1</t>
        </is>
      </c>
      <c r="L234" t="inlineStr">
        <is>
          <t>24 periodos; mín 27.75, máx 44.31 €/MWh</t>
        </is>
      </c>
    </row>
    <row r="235">
      <c r="A235" s="53" t="n">
        <v>44061</v>
      </c>
      <c r="B235" t="inlineStr">
        <is>
          <t>2020-08-18</t>
        </is>
      </c>
      <c r="C235" s="45" t="n">
        <v>38.5138</v>
      </c>
      <c r="D235" t="inlineStr">
        <is>
          <t>€/MWh</t>
        </is>
      </c>
      <c r="E235" s="54" t="n">
        <v>0.038514</v>
      </c>
      <c r="F235" s="54" t="n"/>
      <c r="G235" t="inlineStr">
        <is>
          <t>no aplica (precio mayorista)</t>
        </is>
      </c>
      <c r="J235" t="inlineStr">
        <is>
          <t>2020-08-17</t>
        </is>
      </c>
      <c r="K235" t="inlineStr">
        <is>
          <t>marginalpdbc_20200818.1</t>
        </is>
      </c>
      <c r="L235" t="inlineStr">
        <is>
          <t>24 periodos; mín 29.92, máx 44.58 €/MWh</t>
        </is>
      </c>
    </row>
    <row r="236">
      <c r="A236" s="53" t="n">
        <v>44062</v>
      </c>
      <c r="B236" t="inlineStr">
        <is>
          <t>2020-08-19</t>
        </is>
      </c>
      <c r="C236" s="45" t="n">
        <v>34.9037</v>
      </c>
      <c r="D236" t="inlineStr">
        <is>
          <t>€/MWh</t>
        </is>
      </c>
      <c r="E236" s="54" t="n">
        <v>0.034904</v>
      </c>
      <c r="F236" s="54" t="n"/>
      <c r="G236" t="inlineStr">
        <is>
          <t>no aplica (precio mayorista)</t>
        </is>
      </c>
      <c r="J236" t="inlineStr">
        <is>
          <t>2020-08-18</t>
        </is>
      </c>
      <c r="K236" t="inlineStr">
        <is>
          <t>marginalpdbc_20200819.1</t>
        </is>
      </c>
      <c r="L236" t="inlineStr">
        <is>
          <t>24 periodos; mín 26.50, máx 41.69 €/MWh</t>
        </is>
      </c>
    </row>
    <row r="237">
      <c r="A237" s="53" t="n">
        <v>44063</v>
      </c>
      <c r="B237" t="inlineStr">
        <is>
          <t>2020-08-20</t>
        </is>
      </c>
      <c r="C237" s="45" t="n">
        <v>34.4975</v>
      </c>
      <c r="D237" t="inlineStr">
        <is>
          <t>€/MWh</t>
        </is>
      </c>
      <c r="E237" s="54" t="n">
        <v>0.034498</v>
      </c>
      <c r="F237" s="54" t="n"/>
      <c r="G237" t="inlineStr">
        <is>
          <t>no aplica (precio mayorista)</t>
        </is>
      </c>
      <c r="J237" t="inlineStr">
        <is>
          <t>2020-08-19</t>
        </is>
      </c>
      <c r="K237" t="inlineStr">
        <is>
          <t>marginalpdbc_20200820.1</t>
        </is>
      </c>
      <c r="L237" t="inlineStr">
        <is>
          <t>24 periodos; mín 26.50, máx 43.82 €/MWh</t>
        </is>
      </c>
    </row>
    <row r="238">
      <c r="A238" s="53" t="n">
        <v>44064</v>
      </c>
      <c r="B238" t="inlineStr">
        <is>
          <t>2020-08-21</t>
        </is>
      </c>
      <c r="C238" s="45" t="n">
        <v>33.5846</v>
      </c>
      <c r="D238" t="inlineStr">
        <is>
          <t>€/MWh</t>
        </is>
      </c>
      <c r="E238" s="54" t="n">
        <v>0.033585</v>
      </c>
      <c r="F238" s="54" t="n"/>
      <c r="G238" t="inlineStr">
        <is>
          <t>no aplica (precio mayorista)</t>
        </is>
      </c>
      <c r="J238" t="inlineStr">
        <is>
          <t>2020-08-20</t>
        </is>
      </c>
      <c r="K238" t="inlineStr">
        <is>
          <t>marginalpdbc_20200821.1</t>
        </is>
      </c>
      <c r="L238" t="inlineStr">
        <is>
          <t>24 periodos; mín 25.75, máx 41.83 €/MWh</t>
        </is>
      </c>
    </row>
    <row r="239">
      <c r="A239" s="53" t="n">
        <v>44065</v>
      </c>
      <c r="B239" t="inlineStr">
        <is>
          <t>2020-08-22</t>
        </is>
      </c>
      <c r="C239" s="45" t="n">
        <v>32.1737</v>
      </c>
      <c r="D239" t="inlineStr">
        <is>
          <t>€/MWh</t>
        </is>
      </c>
      <c r="E239" s="54" t="n">
        <v>0.032174</v>
      </c>
      <c r="F239" s="54" t="n"/>
      <c r="G239" t="inlineStr">
        <is>
          <t>no aplica (precio mayorista)</t>
        </is>
      </c>
      <c r="J239" t="inlineStr">
        <is>
          <t>2020-08-21</t>
        </is>
      </c>
      <c r="K239" t="inlineStr">
        <is>
          <t>marginalpdbc_20200822.1</t>
        </is>
      </c>
      <c r="L239" t="inlineStr">
        <is>
          <t>24 periodos; mín 26.30, máx 39.79 €/MWh</t>
        </is>
      </c>
    </row>
    <row r="240">
      <c r="A240" s="53" t="n">
        <v>44066</v>
      </c>
      <c r="B240" t="inlineStr">
        <is>
          <t>2020-08-23</t>
        </is>
      </c>
      <c r="C240" s="45" t="n">
        <v>29.2204</v>
      </c>
      <c r="D240" t="inlineStr">
        <is>
          <t>€/MWh</t>
        </is>
      </c>
      <c r="E240" s="54" t="n">
        <v>0.02922</v>
      </c>
      <c r="F240" s="54" t="n"/>
      <c r="G240" t="inlineStr">
        <is>
          <t>no aplica (precio mayorista)</t>
        </is>
      </c>
      <c r="J240" t="inlineStr">
        <is>
          <t>2020-08-22</t>
        </is>
      </c>
      <c r="K240" t="inlineStr">
        <is>
          <t>marginalpdbc_20200823.1</t>
        </is>
      </c>
      <c r="L240" t="inlineStr">
        <is>
          <t>24 periodos; mín 20.00, máx 38.87 €/MWh</t>
        </is>
      </c>
    </row>
    <row r="241">
      <c r="A241" s="53" t="n">
        <v>44067</v>
      </c>
      <c r="B241" t="inlineStr">
        <is>
          <t>2020-08-24</t>
        </is>
      </c>
      <c r="C241" s="45" t="n">
        <v>38.7021</v>
      </c>
      <c r="D241" t="inlineStr">
        <is>
          <t>€/MWh</t>
        </is>
      </c>
      <c r="E241" s="54" t="n">
        <v>0.038702</v>
      </c>
      <c r="F241" s="54" t="n"/>
      <c r="G241" t="inlineStr">
        <is>
          <t>no aplica (precio mayorista)</t>
        </is>
      </c>
      <c r="J241" t="inlineStr">
        <is>
          <t>2020-08-23</t>
        </is>
      </c>
      <c r="K241" t="inlineStr">
        <is>
          <t>marginalpdbc_20200824.1</t>
        </is>
      </c>
      <c r="L241" t="inlineStr">
        <is>
          <t>24 periodos; mín 25.50, máx 50.84 €/MWh</t>
        </is>
      </c>
    </row>
    <row r="242">
      <c r="A242" s="53" t="n">
        <v>44068</v>
      </c>
      <c r="B242" t="inlineStr">
        <is>
          <t>2020-08-25</t>
        </is>
      </c>
      <c r="C242" s="45" t="n">
        <v>39.8521</v>
      </c>
      <c r="D242" t="inlineStr">
        <is>
          <t>€/MWh</t>
        </is>
      </c>
      <c r="E242" s="54" t="n">
        <v>0.039852</v>
      </c>
      <c r="F242" s="54" t="n"/>
      <c r="G242" t="inlineStr">
        <is>
          <t>no aplica (precio mayorista)</t>
        </is>
      </c>
      <c r="J242" t="inlineStr">
        <is>
          <t>2020-08-24</t>
        </is>
      </c>
      <c r="K242" t="inlineStr">
        <is>
          <t>marginalpdbc_20200825.1</t>
        </is>
      </c>
      <c r="L242" t="inlineStr">
        <is>
          <t>24 periodos; mín 32.68, máx 48.09 €/MWh</t>
        </is>
      </c>
    </row>
    <row r="243">
      <c r="A243" s="53" t="n">
        <v>44069</v>
      </c>
      <c r="B243" t="inlineStr">
        <is>
          <t>2020-08-26</t>
        </is>
      </c>
      <c r="C243" s="45" t="n">
        <v>39.4925</v>
      </c>
      <c r="D243" t="inlineStr">
        <is>
          <t>€/MWh</t>
        </is>
      </c>
      <c r="E243" s="54" t="n">
        <v>0.039492</v>
      </c>
      <c r="F243" s="54" t="n"/>
      <c r="G243" t="inlineStr">
        <is>
          <t>no aplica (precio mayorista)</t>
        </is>
      </c>
      <c r="J243" t="inlineStr">
        <is>
          <t>2020-08-25</t>
        </is>
      </c>
      <c r="K243" t="inlineStr">
        <is>
          <t>marginalpdbc_20200826.1</t>
        </is>
      </c>
      <c r="L243" t="inlineStr">
        <is>
          <t>24 periodos; mín 30.13, máx 53.00 €/MWh</t>
        </is>
      </c>
    </row>
    <row r="244">
      <c r="A244" s="53" t="n">
        <v>44070</v>
      </c>
      <c r="B244" t="inlineStr">
        <is>
          <t>2020-08-27</t>
        </is>
      </c>
      <c r="C244" s="45" t="n">
        <v>46.2458</v>
      </c>
      <c r="D244" t="inlineStr">
        <is>
          <t>€/MWh</t>
        </is>
      </c>
      <c r="E244" s="54" t="n">
        <v>0.046246</v>
      </c>
      <c r="F244" s="54" t="n"/>
      <c r="G244" t="inlineStr">
        <is>
          <t>no aplica (precio mayorista)</t>
        </is>
      </c>
      <c r="J244" t="inlineStr">
        <is>
          <t>2020-08-26</t>
        </is>
      </c>
      <c r="K244" t="inlineStr">
        <is>
          <t>marginalpdbc_20200827.1</t>
        </is>
      </c>
      <c r="L244" t="inlineStr">
        <is>
          <t>24 periodos; mín 38.30, máx 51.49 €/MWh</t>
        </is>
      </c>
    </row>
    <row r="245">
      <c r="A245" s="53" t="n">
        <v>44071</v>
      </c>
      <c r="B245" t="inlineStr">
        <is>
          <t>2020-08-28</t>
        </is>
      </c>
      <c r="C245" s="45" t="n">
        <v>39.8004</v>
      </c>
      <c r="D245" t="inlineStr">
        <is>
          <t>€/MWh</t>
        </is>
      </c>
      <c r="E245" s="54" t="n">
        <v>0.0398</v>
      </c>
      <c r="F245" s="54" t="n"/>
      <c r="G245" t="inlineStr">
        <is>
          <t>no aplica (precio mayorista)</t>
        </is>
      </c>
      <c r="J245" t="inlineStr">
        <is>
          <t>2020-08-27</t>
        </is>
      </c>
      <c r="K245" t="inlineStr">
        <is>
          <t>marginalpdbc_20200828.1</t>
        </is>
      </c>
      <c r="L245" t="inlineStr">
        <is>
          <t>24 periodos; mín 32.01, máx 49.01 €/MWh</t>
        </is>
      </c>
    </row>
    <row r="246">
      <c r="A246" s="53" t="n">
        <v>44072</v>
      </c>
      <c r="B246" t="inlineStr">
        <is>
          <t>2020-08-29</t>
        </is>
      </c>
      <c r="C246" s="45" t="n">
        <v>30.9587</v>
      </c>
      <c r="D246" t="inlineStr">
        <is>
          <t>€/MWh</t>
        </is>
      </c>
      <c r="E246" s="54" t="n">
        <v>0.030959</v>
      </c>
      <c r="F246" s="54" t="n"/>
      <c r="G246" t="inlineStr">
        <is>
          <t>no aplica (precio mayorista)</t>
        </is>
      </c>
      <c r="J246" t="inlineStr">
        <is>
          <t>2020-08-28</t>
        </is>
      </c>
      <c r="K246" t="inlineStr">
        <is>
          <t>marginalpdbc_20200829.1</t>
        </is>
      </c>
      <c r="L246" t="inlineStr">
        <is>
          <t>24 periodos; mín 20.20, máx 43.82 €/MWh</t>
        </is>
      </c>
    </row>
    <row r="247">
      <c r="A247" s="53" t="n">
        <v>44073</v>
      </c>
      <c r="B247" t="inlineStr">
        <is>
          <t>2020-08-30</t>
        </is>
      </c>
      <c r="C247" s="45" t="n">
        <v>33.7475</v>
      </c>
      <c r="D247" t="inlineStr">
        <is>
          <t>€/MWh</t>
        </is>
      </c>
      <c r="E247" s="54" t="n">
        <v>0.033747</v>
      </c>
      <c r="F247" s="54" t="n"/>
      <c r="G247" t="inlineStr">
        <is>
          <t>no aplica (precio mayorista)</t>
        </is>
      </c>
      <c r="J247" t="inlineStr">
        <is>
          <t>2020-08-29</t>
        </is>
      </c>
      <c r="K247" t="inlineStr">
        <is>
          <t>marginalpdbc_20200830.1</t>
        </is>
      </c>
      <c r="L247" t="inlineStr">
        <is>
          <t>24 periodos; mín 29.23, máx 43.13 €/MWh</t>
        </is>
      </c>
    </row>
    <row r="248">
      <c r="A248" s="53" t="n">
        <v>44074</v>
      </c>
      <c r="B248" t="inlineStr">
        <is>
          <t>2020-08-31</t>
        </is>
      </c>
      <c r="C248" s="45" t="n">
        <v>42.0063</v>
      </c>
      <c r="D248" t="inlineStr">
        <is>
          <t>€/MWh</t>
        </is>
      </c>
      <c r="E248" s="54" t="n">
        <v>0.042006</v>
      </c>
      <c r="F248" s="54" t="n"/>
      <c r="G248" t="inlineStr">
        <is>
          <t>no aplica (precio mayorista)</t>
        </is>
      </c>
      <c r="J248" t="inlineStr">
        <is>
          <t>2020-08-30</t>
        </is>
      </c>
      <c r="K248" t="inlineStr">
        <is>
          <t>marginalpdbc_20200831.1</t>
        </is>
      </c>
      <c r="L248" t="inlineStr">
        <is>
          <t>24 periodos; mín 28.43, máx 55.69 €/MWh</t>
        </is>
      </c>
    </row>
    <row r="249">
      <c r="A249" s="53" t="n">
        <v>44075</v>
      </c>
      <c r="B249" t="inlineStr">
        <is>
          <t>2020-09-01</t>
        </is>
      </c>
      <c r="C249" s="45" t="n">
        <v>46.0125</v>
      </c>
      <c r="D249" t="inlineStr">
        <is>
          <t>€/MWh</t>
        </is>
      </c>
      <c r="E249" s="54" t="n">
        <v>0.046012</v>
      </c>
      <c r="F249" s="54" t="n"/>
      <c r="G249" t="inlineStr">
        <is>
          <t>no aplica (precio mayorista)</t>
        </is>
      </c>
      <c r="J249" t="inlineStr">
        <is>
          <t>2020-08-31</t>
        </is>
      </c>
      <c r="K249" t="inlineStr">
        <is>
          <t>marginalpdbc_20200901.1</t>
        </is>
      </c>
      <c r="L249" t="inlineStr">
        <is>
          <t>24 periodos; mín 35.00, máx 53.46 €/MWh</t>
        </is>
      </c>
    </row>
    <row r="250">
      <c r="A250" s="53" t="n">
        <v>44076</v>
      </c>
      <c r="B250" t="inlineStr">
        <is>
          <t>2020-09-02</t>
        </is>
      </c>
      <c r="C250" s="45" t="n">
        <v>44.2025</v>
      </c>
      <c r="D250" t="inlineStr">
        <is>
          <t>€/MWh</t>
        </is>
      </c>
      <c r="E250" s="54" t="n">
        <v>0.044203</v>
      </c>
      <c r="F250" s="54" t="n"/>
      <c r="G250" t="inlineStr">
        <is>
          <t>no aplica (precio mayorista)</t>
        </is>
      </c>
      <c r="J250" t="inlineStr">
        <is>
          <t>2020-09-01</t>
        </is>
      </c>
      <c r="K250" t="inlineStr">
        <is>
          <t>marginalpdbc_20200902.1</t>
        </is>
      </c>
      <c r="L250" t="inlineStr">
        <is>
          <t>24 periodos; mín 34.72, máx 52.18 €/MWh</t>
        </is>
      </c>
    </row>
    <row r="251">
      <c r="A251" s="53" t="n">
        <v>44077</v>
      </c>
      <c r="B251" t="inlineStr">
        <is>
          <t>2020-09-03</t>
        </is>
      </c>
      <c r="C251" s="45" t="n">
        <v>46.1558</v>
      </c>
      <c r="D251" t="inlineStr">
        <is>
          <t>€/MWh</t>
        </is>
      </c>
      <c r="E251" s="54" t="n">
        <v>0.046156</v>
      </c>
      <c r="F251" s="54" t="n"/>
      <c r="G251" t="inlineStr">
        <is>
          <t>no aplica (precio mayorista)</t>
        </is>
      </c>
      <c r="J251" t="inlineStr">
        <is>
          <t>2020-09-02</t>
        </is>
      </c>
      <c r="K251" t="inlineStr">
        <is>
          <t>marginalpdbc_20200903.1</t>
        </is>
      </c>
      <c r="L251" t="inlineStr">
        <is>
          <t>24 periodos; mín 35.43, máx 55.01 €/MWh</t>
        </is>
      </c>
    </row>
    <row r="252">
      <c r="A252" s="53" t="n">
        <v>44078</v>
      </c>
      <c r="B252" t="inlineStr">
        <is>
          <t>2020-09-04</t>
        </is>
      </c>
      <c r="C252" s="45" t="n">
        <v>43.9733</v>
      </c>
      <c r="D252" t="inlineStr">
        <is>
          <t>€/MWh</t>
        </is>
      </c>
      <c r="E252" s="54" t="n">
        <v>0.043973</v>
      </c>
      <c r="F252" s="54" t="n"/>
      <c r="G252" t="inlineStr">
        <is>
          <t>no aplica (precio mayorista)</t>
        </is>
      </c>
      <c r="J252" t="inlineStr">
        <is>
          <t>2020-09-03</t>
        </is>
      </c>
      <c r="K252" t="inlineStr">
        <is>
          <t>marginalpdbc_20200904.1</t>
        </is>
      </c>
      <c r="L252" t="inlineStr">
        <is>
          <t>24 periodos; mín 32.68, máx 51.64 €/MWh</t>
        </is>
      </c>
    </row>
    <row r="253">
      <c r="A253" s="53" t="n">
        <v>44079</v>
      </c>
      <c r="B253" t="inlineStr">
        <is>
          <t>2020-09-05</t>
        </is>
      </c>
      <c r="C253" s="45" t="n">
        <v>35.2025</v>
      </c>
      <c r="D253" t="inlineStr">
        <is>
          <t>€/MWh</t>
        </is>
      </c>
      <c r="E253" s="54" t="n">
        <v>0.035202</v>
      </c>
      <c r="F253" s="54" t="n"/>
      <c r="G253" t="inlineStr">
        <is>
          <t>no aplica (precio mayorista)</t>
        </is>
      </c>
      <c r="J253" t="inlineStr">
        <is>
          <t>2020-09-04</t>
        </is>
      </c>
      <c r="K253" t="inlineStr">
        <is>
          <t>marginalpdbc_20200905.1</t>
        </is>
      </c>
      <c r="L253" t="inlineStr">
        <is>
          <t>24 periodos; mín 30.04, máx 43.08 €/MWh</t>
        </is>
      </c>
    </row>
    <row r="254">
      <c r="A254" s="53" t="n">
        <v>44080</v>
      </c>
      <c r="B254" t="inlineStr">
        <is>
          <t>2020-09-06</t>
        </is>
      </c>
      <c r="C254" s="45" t="n">
        <v>31.6737</v>
      </c>
      <c r="D254" t="inlineStr">
        <is>
          <t>€/MWh</t>
        </is>
      </c>
      <c r="E254" s="54" t="n">
        <v>0.031674</v>
      </c>
      <c r="F254" s="54" t="n"/>
      <c r="G254" t="inlineStr">
        <is>
          <t>no aplica (precio mayorista)</t>
        </is>
      </c>
      <c r="J254" t="inlineStr">
        <is>
          <t>2020-09-05</t>
        </is>
      </c>
      <c r="K254" t="inlineStr">
        <is>
          <t>marginalpdbc_20200906.1</t>
        </is>
      </c>
      <c r="L254" t="inlineStr">
        <is>
          <t>24 periodos; mín 23.27, máx 46.75 €/MWh</t>
        </is>
      </c>
    </row>
    <row r="255">
      <c r="A255" s="53" t="n">
        <v>44081</v>
      </c>
      <c r="B255" t="inlineStr">
        <is>
          <t>2020-09-07</t>
        </is>
      </c>
      <c r="C255" s="45" t="n">
        <v>39.5283</v>
      </c>
      <c r="D255" t="inlineStr">
        <is>
          <t>€/MWh</t>
        </is>
      </c>
      <c r="E255" s="54" t="n">
        <v>0.039528</v>
      </c>
      <c r="F255" s="54" t="n"/>
      <c r="G255" t="inlineStr">
        <is>
          <t>no aplica (precio mayorista)</t>
        </is>
      </c>
      <c r="J255" t="inlineStr">
        <is>
          <t>2020-09-06</t>
        </is>
      </c>
      <c r="K255" t="inlineStr">
        <is>
          <t>marginalpdbc_20200907.1</t>
        </is>
      </c>
      <c r="L255" t="inlineStr">
        <is>
          <t>24 periodos; mín 30.53, máx 50.64 €/MWh</t>
        </is>
      </c>
    </row>
    <row r="256">
      <c r="A256" s="53" t="n">
        <v>44082</v>
      </c>
      <c r="B256" t="inlineStr">
        <is>
          <t>2020-09-08</t>
        </is>
      </c>
      <c r="C256" s="45" t="n">
        <v>41.5358</v>
      </c>
      <c r="D256" t="inlineStr">
        <is>
          <t>€/MWh</t>
        </is>
      </c>
      <c r="E256" s="54" t="n">
        <v>0.041536</v>
      </c>
      <c r="F256" s="54" t="n"/>
      <c r="G256" t="inlineStr">
        <is>
          <t>no aplica (precio mayorista)</t>
        </is>
      </c>
      <c r="J256" t="inlineStr">
        <is>
          <t>2020-09-07</t>
        </is>
      </c>
      <c r="K256" t="inlineStr">
        <is>
          <t>marginalpdbc_20200908.1</t>
        </is>
      </c>
      <c r="L256" t="inlineStr">
        <is>
          <t>24 periodos; mín 30.55, máx 52.26 €/MWh</t>
        </is>
      </c>
    </row>
    <row r="257">
      <c r="A257" s="53" t="n">
        <v>44083</v>
      </c>
      <c r="B257" t="inlineStr">
        <is>
          <t>2020-09-09</t>
        </is>
      </c>
      <c r="C257" s="45" t="n">
        <v>46.0792</v>
      </c>
      <c r="D257" t="inlineStr">
        <is>
          <t>€/MWh</t>
        </is>
      </c>
      <c r="E257" s="54" t="n">
        <v>0.046079</v>
      </c>
      <c r="F257" s="54" t="n"/>
      <c r="G257" t="inlineStr">
        <is>
          <t>no aplica (precio mayorista)</t>
        </is>
      </c>
      <c r="J257" t="inlineStr">
        <is>
          <t>2020-09-08</t>
        </is>
      </c>
      <c r="K257" t="inlineStr">
        <is>
          <t>marginalpdbc_20200909.1</t>
        </is>
      </c>
      <c r="L257" t="inlineStr">
        <is>
          <t>24 periodos; mín 34.77, máx 51.45 €/MWh</t>
        </is>
      </c>
    </row>
    <row r="258">
      <c r="A258" s="53" t="n">
        <v>44084</v>
      </c>
      <c r="B258" t="inlineStr">
        <is>
          <t>2020-09-10</t>
        </is>
      </c>
      <c r="C258" s="45" t="n">
        <v>45.0979</v>
      </c>
      <c r="D258" t="inlineStr">
        <is>
          <t>€/MWh</t>
        </is>
      </c>
      <c r="E258" s="54" t="n">
        <v>0.045098</v>
      </c>
      <c r="F258" s="54" t="n"/>
      <c r="G258" t="inlineStr">
        <is>
          <t>no aplica (precio mayorista)</t>
        </is>
      </c>
      <c r="J258" t="inlineStr">
        <is>
          <t>2020-09-09</t>
        </is>
      </c>
      <c r="K258" t="inlineStr">
        <is>
          <t>marginalpdbc_20200910.1</t>
        </is>
      </c>
      <c r="L258" t="inlineStr">
        <is>
          <t>24 periodos; mín 34.40, máx 50.52 €/MWh</t>
        </is>
      </c>
    </row>
    <row r="259">
      <c r="A259" s="53" t="n">
        <v>44085</v>
      </c>
      <c r="B259" t="inlineStr">
        <is>
          <t>2020-09-11</t>
        </is>
      </c>
      <c r="C259" s="45" t="n">
        <v>46.9625</v>
      </c>
      <c r="D259" t="inlineStr">
        <is>
          <t>€/MWh</t>
        </is>
      </c>
      <c r="E259" s="54" t="n">
        <v>0.046962</v>
      </c>
      <c r="F259" s="54" t="n"/>
      <c r="G259" t="inlineStr">
        <is>
          <t>no aplica (precio mayorista)</t>
        </is>
      </c>
      <c r="J259" t="inlineStr">
        <is>
          <t>2020-09-10</t>
        </is>
      </c>
      <c r="K259" t="inlineStr">
        <is>
          <t>marginalpdbc_20200911.1</t>
        </is>
      </c>
      <c r="L259" t="inlineStr">
        <is>
          <t>24 periodos; mín 36.79, máx 52.05 €/MWh</t>
        </is>
      </c>
    </row>
    <row r="260">
      <c r="A260" s="53" t="n">
        <v>44086</v>
      </c>
      <c r="B260" t="inlineStr">
        <is>
          <t>2020-09-12</t>
        </is>
      </c>
      <c r="C260" s="45" t="n">
        <v>40.3862</v>
      </c>
      <c r="D260" t="inlineStr">
        <is>
          <t>€/MWh</t>
        </is>
      </c>
      <c r="E260" s="54" t="n">
        <v>0.040386</v>
      </c>
      <c r="F260" s="54" t="n"/>
      <c r="G260" t="inlineStr">
        <is>
          <t>no aplica (precio mayorista)</t>
        </is>
      </c>
      <c r="J260" t="inlineStr">
        <is>
          <t>2020-09-11</t>
        </is>
      </c>
      <c r="K260" t="inlineStr">
        <is>
          <t>marginalpdbc_20200912.1</t>
        </is>
      </c>
      <c r="L260" t="inlineStr">
        <is>
          <t>24 periodos; mín 36.00, máx 49.98 €/MWh</t>
        </is>
      </c>
    </row>
    <row r="261">
      <c r="A261" s="53" t="n">
        <v>44087</v>
      </c>
      <c r="B261" t="inlineStr">
        <is>
          <t>2020-09-13</t>
        </is>
      </c>
      <c r="C261" s="45" t="n">
        <v>35.0604</v>
      </c>
      <c r="D261" t="inlineStr">
        <is>
          <t>€/MWh</t>
        </is>
      </c>
      <c r="E261" s="54" t="n">
        <v>0.03506</v>
      </c>
      <c r="F261" s="54" t="n"/>
      <c r="G261" t="inlineStr">
        <is>
          <t>no aplica (precio mayorista)</t>
        </is>
      </c>
      <c r="J261" t="inlineStr">
        <is>
          <t>2020-09-12</t>
        </is>
      </c>
      <c r="K261" t="inlineStr">
        <is>
          <t>marginalpdbc_20200913.1</t>
        </is>
      </c>
      <c r="L261" t="inlineStr">
        <is>
          <t>24 periodos; mín 30.13, máx 50.52 €/MWh</t>
        </is>
      </c>
    </row>
    <row r="262">
      <c r="A262" s="53" t="n">
        <v>44088</v>
      </c>
      <c r="B262" t="inlineStr">
        <is>
          <t>2020-09-14</t>
        </is>
      </c>
      <c r="C262" s="45" t="n">
        <v>43.4913</v>
      </c>
      <c r="D262" t="inlineStr">
        <is>
          <t>€/MWh</t>
        </is>
      </c>
      <c r="E262" s="54" t="n">
        <v>0.043491</v>
      </c>
      <c r="F262" s="54" t="n"/>
      <c r="G262" t="inlineStr">
        <is>
          <t>no aplica (precio mayorista)</t>
        </is>
      </c>
      <c r="J262" t="inlineStr">
        <is>
          <t>2020-09-13</t>
        </is>
      </c>
      <c r="K262" t="inlineStr">
        <is>
          <t>marginalpdbc_20200914.1</t>
        </is>
      </c>
      <c r="L262" t="inlineStr">
        <is>
          <t>24 periodos; mín 32.32, máx 53.01 €/MWh</t>
        </is>
      </c>
    </row>
    <row r="263">
      <c r="A263" s="53" t="n">
        <v>44089</v>
      </c>
      <c r="B263" t="inlineStr">
        <is>
          <t>2020-09-15</t>
        </is>
      </c>
      <c r="C263" s="45" t="n">
        <v>48.9021</v>
      </c>
      <c r="D263" t="inlineStr">
        <is>
          <t>€/MWh</t>
        </is>
      </c>
      <c r="E263" s="54" t="n">
        <v>0.048902</v>
      </c>
      <c r="F263" s="54" t="n"/>
      <c r="G263" t="inlineStr">
        <is>
          <t>no aplica (precio mayorista)</t>
        </is>
      </c>
      <c r="J263" t="inlineStr">
        <is>
          <t>2020-09-14</t>
        </is>
      </c>
      <c r="K263" t="inlineStr">
        <is>
          <t>marginalpdbc_20200915.1</t>
        </is>
      </c>
      <c r="L263" t="inlineStr">
        <is>
          <t>24 periodos; mín 37.77, máx 56.83 €/MWh</t>
        </is>
      </c>
    </row>
    <row r="264">
      <c r="A264" s="53" t="n">
        <v>44090</v>
      </c>
      <c r="B264" t="inlineStr">
        <is>
          <t>2020-09-16</t>
        </is>
      </c>
      <c r="C264" s="45" t="n">
        <v>51.0483</v>
      </c>
      <c r="D264" t="inlineStr">
        <is>
          <t>€/MWh</t>
        </is>
      </c>
      <c r="E264" s="54" t="n">
        <v>0.051048</v>
      </c>
      <c r="F264" s="54" t="n"/>
      <c r="G264" t="inlineStr">
        <is>
          <t>no aplica (precio mayorista)</t>
        </is>
      </c>
      <c r="J264" t="inlineStr">
        <is>
          <t>2020-09-15</t>
        </is>
      </c>
      <c r="K264" t="inlineStr">
        <is>
          <t>marginalpdbc_20200916.1</t>
        </is>
      </c>
      <c r="L264" t="inlineStr">
        <is>
          <t>24 periodos; mín 42.72, máx 54.92 €/MWh</t>
        </is>
      </c>
    </row>
    <row r="265">
      <c r="A265" s="53" t="n">
        <v>44091</v>
      </c>
      <c r="B265" t="inlineStr">
        <is>
          <t>2020-09-17</t>
        </is>
      </c>
      <c r="C265" s="45" t="n">
        <v>47.1062</v>
      </c>
      <c r="D265" t="inlineStr">
        <is>
          <t>€/MWh</t>
        </is>
      </c>
      <c r="E265" s="54" t="n">
        <v>0.047106</v>
      </c>
      <c r="F265" s="54" t="n"/>
      <c r="G265" t="inlineStr">
        <is>
          <t>no aplica (precio mayorista)</t>
        </is>
      </c>
      <c r="J265" t="inlineStr">
        <is>
          <t>2020-09-16</t>
        </is>
      </c>
      <c r="K265" t="inlineStr">
        <is>
          <t>marginalpdbc_20200917.1</t>
        </is>
      </c>
      <c r="L265" t="inlineStr">
        <is>
          <t>24 periodos; mín 34.52, máx 54.04 €/MWh</t>
        </is>
      </c>
    </row>
    <row r="266">
      <c r="A266" s="53" t="n">
        <v>44092</v>
      </c>
      <c r="B266" t="inlineStr">
        <is>
          <t>2020-09-18</t>
        </is>
      </c>
      <c r="C266" s="45" t="n">
        <v>43.3837</v>
      </c>
      <c r="D266" t="inlineStr">
        <is>
          <t>€/MWh</t>
        </is>
      </c>
      <c r="E266" s="54" t="n">
        <v>0.043384</v>
      </c>
      <c r="F266" s="54" t="n"/>
      <c r="G266" t="inlineStr">
        <is>
          <t>no aplica (precio mayorista)</t>
        </is>
      </c>
      <c r="J266" t="inlineStr">
        <is>
          <t>2020-09-17</t>
        </is>
      </c>
      <c r="K266" t="inlineStr">
        <is>
          <t>marginalpdbc_20200918.1</t>
        </is>
      </c>
      <c r="L266" t="inlineStr">
        <is>
          <t>24 periodos; mín 34.19, máx 52.19 €/MWh</t>
        </is>
      </c>
    </row>
    <row r="267">
      <c r="A267" s="53" t="n">
        <v>44093</v>
      </c>
      <c r="B267" t="inlineStr">
        <is>
          <t>2020-09-19</t>
        </is>
      </c>
      <c r="C267" s="45" t="n">
        <v>39.3371</v>
      </c>
      <c r="D267" t="inlineStr">
        <is>
          <t>€/MWh</t>
        </is>
      </c>
      <c r="E267" s="54" t="n">
        <v>0.039337</v>
      </c>
      <c r="F267" s="54" t="n"/>
      <c r="G267" t="inlineStr">
        <is>
          <t>no aplica (precio mayorista)</t>
        </is>
      </c>
      <c r="J267" t="inlineStr">
        <is>
          <t>2020-09-18</t>
        </is>
      </c>
      <c r="K267" t="inlineStr">
        <is>
          <t>marginalpdbc_20200919.1</t>
        </is>
      </c>
      <c r="L267" t="inlineStr">
        <is>
          <t>24 periodos; mín 34.03, máx 51.05 €/MWh</t>
        </is>
      </c>
    </row>
    <row r="268">
      <c r="A268" s="53" t="n">
        <v>44094</v>
      </c>
      <c r="B268" t="inlineStr">
        <is>
          <t>2020-09-20</t>
        </is>
      </c>
      <c r="C268" s="45" t="n">
        <v>39.1737</v>
      </c>
      <c r="D268" t="inlineStr">
        <is>
          <t>€/MWh</t>
        </is>
      </c>
      <c r="E268" s="54" t="n">
        <v>0.039174</v>
      </c>
      <c r="F268" s="54" t="n"/>
      <c r="G268" t="inlineStr">
        <is>
          <t>no aplica (precio mayorista)</t>
        </is>
      </c>
      <c r="J268" t="inlineStr">
        <is>
          <t>2020-09-19</t>
        </is>
      </c>
      <c r="K268" t="inlineStr">
        <is>
          <t>marginalpdbc_20200920.1</t>
        </is>
      </c>
      <c r="L268" t="inlineStr">
        <is>
          <t>24 periodos; mín 32.95, máx 51.91 €/MWh</t>
        </is>
      </c>
    </row>
    <row r="269">
      <c r="A269" s="53" t="n">
        <v>44095</v>
      </c>
      <c r="B269" t="inlineStr">
        <is>
          <t>2020-09-21</t>
        </is>
      </c>
      <c r="C269" s="45" t="n">
        <v>49.2563</v>
      </c>
      <c r="D269" t="inlineStr">
        <is>
          <t>€/MWh</t>
        </is>
      </c>
      <c r="E269" s="54" t="n">
        <v>0.049256</v>
      </c>
      <c r="F269" s="54" t="n"/>
      <c r="G269" t="inlineStr">
        <is>
          <t>no aplica (precio mayorista)</t>
        </is>
      </c>
      <c r="J269" t="inlineStr">
        <is>
          <t>2020-09-20</t>
        </is>
      </c>
      <c r="K269" t="inlineStr">
        <is>
          <t>marginalpdbc_20200921.1</t>
        </is>
      </c>
      <c r="L269" t="inlineStr">
        <is>
          <t>24 periodos; mín 36.50, máx 58.89 €/MWh</t>
        </is>
      </c>
    </row>
    <row r="270">
      <c r="A270" s="53" t="n">
        <v>44096</v>
      </c>
      <c r="B270" t="inlineStr">
        <is>
          <t>2020-09-22</t>
        </is>
      </c>
      <c r="C270" s="45" t="n">
        <v>50.6667</v>
      </c>
      <c r="D270" t="inlineStr">
        <is>
          <t>€/MWh</t>
        </is>
      </c>
      <c r="E270" s="54" t="n">
        <v>0.050667</v>
      </c>
      <c r="F270" s="54" t="n"/>
      <c r="G270" t="inlineStr">
        <is>
          <t>no aplica (precio mayorista)</t>
        </is>
      </c>
      <c r="J270" t="inlineStr">
        <is>
          <t>2020-09-21</t>
        </is>
      </c>
      <c r="K270" t="inlineStr">
        <is>
          <t>marginalpdbc_20200922.1</t>
        </is>
      </c>
      <c r="L270" t="inlineStr">
        <is>
          <t>24 periodos; mín 43.59, máx 55.83 €/MWh</t>
        </is>
      </c>
    </row>
    <row r="271">
      <c r="A271" s="53" t="n">
        <v>44097</v>
      </c>
      <c r="B271" t="inlineStr">
        <is>
          <t>2020-09-23</t>
        </is>
      </c>
      <c r="C271" s="45" t="n">
        <v>44.9767</v>
      </c>
      <c r="D271" t="inlineStr">
        <is>
          <t>€/MWh</t>
        </is>
      </c>
      <c r="E271" s="54" t="n">
        <v>0.044977</v>
      </c>
      <c r="F271" s="54" t="n"/>
      <c r="G271" t="inlineStr">
        <is>
          <t>no aplica (precio mayorista)</t>
        </is>
      </c>
      <c r="J271" t="inlineStr">
        <is>
          <t>2020-09-22</t>
        </is>
      </c>
      <c r="K271" t="inlineStr">
        <is>
          <t>marginalpdbc_20200923.1</t>
        </is>
      </c>
      <c r="L271" t="inlineStr">
        <is>
          <t>24 periodos; mín 36.47, máx 52.99 €/MWh</t>
        </is>
      </c>
    </row>
    <row r="272">
      <c r="A272" s="53" t="n">
        <v>44098</v>
      </c>
      <c r="B272" t="inlineStr">
        <is>
          <t>2020-09-24</t>
        </is>
      </c>
      <c r="C272" s="45" t="n">
        <v>39.7167</v>
      </c>
      <c r="D272" t="inlineStr">
        <is>
          <t>€/MWh</t>
        </is>
      </c>
      <c r="E272" s="54" t="n">
        <v>0.039717</v>
      </c>
      <c r="F272" s="54" t="n"/>
      <c r="G272" t="inlineStr">
        <is>
          <t>no aplica (precio mayorista)</t>
        </is>
      </c>
      <c r="J272" t="inlineStr">
        <is>
          <t>2020-09-23</t>
        </is>
      </c>
      <c r="K272" t="inlineStr">
        <is>
          <t>marginalpdbc_20200924.1</t>
        </is>
      </c>
      <c r="L272" t="inlineStr">
        <is>
          <t>24 periodos; mín 31.70, máx 52.89 €/MWh</t>
        </is>
      </c>
    </row>
    <row r="273">
      <c r="A273" s="53" t="n">
        <v>44099</v>
      </c>
      <c r="B273" t="inlineStr">
        <is>
          <t>2020-09-25</t>
        </is>
      </c>
      <c r="C273" s="45" t="n">
        <v>26.8858</v>
      </c>
      <c r="D273" t="inlineStr">
        <is>
          <t>€/MWh</t>
        </is>
      </c>
      <c r="E273" s="54" t="n">
        <v>0.026886</v>
      </c>
      <c r="F273" s="54" t="n"/>
      <c r="G273" t="inlineStr">
        <is>
          <t>no aplica (precio mayorista)</t>
        </is>
      </c>
      <c r="J273" t="inlineStr">
        <is>
          <t>2020-09-24</t>
        </is>
      </c>
      <c r="K273" t="inlineStr">
        <is>
          <t>marginalpdbc_20200925.1</t>
        </is>
      </c>
      <c r="L273" t="inlineStr">
        <is>
          <t>24 periodos; mín 19.05, máx 47.00 €/MWh</t>
        </is>
      </c>
    </row>
    <row r="274">
      <c r="A274" s="53" t="n">
        <v>44100</v>
      </c>
      <c r="B274" t="inlineStr">
        <is>
          <t>2020-09-26</t>
        </is>
      </c>
      <c r="C274" s="45" t="n">
        <v>29.2471</v>
      </c>
      <c r="D274" t="inlineStr">
        <is>
          <t>€/MWh</t>
        </is>
      </c>
      <c r="E274" s="54" t="n">
        <v>0.029247</v>
      </c>
      <c r="F274" s="54" t="n"/>
      <c r="G274" t="inlineStr">
        <is>
          <t>no aplica (precio mayorista)</t>
        </is>
      </c>
      <c r="J274" t="inlineStr">
        <is>
          <t>2020-09-25</t>
        </is>
      </c>
      <c r="K274" t="inlineStr">
        <is>
          <t>marginalpdbc_20200926.1</t>
        </is>
      </c>
      <c r="L274" t="inlineStr">
        <is>
          <t>24 periodos; mín 19.60, máx 41.25 €/MWh</t>
        </is>
      </c>
    </row>
    <row r="275">
      <c r="A275" s="53" t="n">
        <v>44101</v>
      </c>
      <c r="B275" t="inlineStr">
        <is>
          <t>2020-09-27</t>
        </is>
      </c>
      <c r="C275" s="45" t="n">
        <v>24.7221</v>
      </c>
      <c r="D275" t="inlineStr">
        <is>
          <t>€/MWh</t>
        </is>
      </c>
      <c r="E275" s="54" t="n">
        <v>0.024722</v>
      </c>
      <c r="F275" s="54" t="n"/>
      <c r="G275" t="inlineStr">
        <is>
          <t>no aplica (precio mayorista)</t>
        </is>
      </c>
      <c r="J275" t="inlineStr">
        <is>
          <t>2020-09-26</t>
        </is>
      </c>
      <c r="K275" t="inlineStr">
        <is>
          <t>marginalpdbc_20200927.1</t>
        </is>
      </c>
      <c r="L275" t="inlineStr">
        <is>
          <t>24 periodos; mín 12.00, máx 46.48 €/MWh</t>
        </is>
      </c>
    </row>
    <row r="276">
      <c r="A276" s="53" t="n">
        <v>44102</v>
      </c>
      <c r="B276" t="inlineStr">
        <is>
          <t>2020-09-28</t>
        </is>
      </c>
      <c r="C276" s="45" t="n">
        <v>41.4325</v>
      </c>
      <c r="D276" t="inlineStr">
        <is>
          <t>€/MWh</t>
        </is>
      </c>
      <c r="E276" s="54" t="n">
        <v>0.041432</v>
      </c>
      <c r="F276" s="54" t="n"/>
      <c r="G276" t="inlineStr">
        <is>
          <t>no aplica (precio mayorista)</t>
        </is>
      </c>
      <c r="J276" t="inlineStr">
        <is>
          <t>2020-09-27</t>
        </is>
      </c>
      <c r="K276" t="inlineStr">
        <is>
          <t>marginalpdbc_20200928.1</t>
        </is>
      </c>
      <c r="L276" t="inlineStr">
        <is>
          <t>24 periodos; mín 28.60, máx 55.82 €/MWh</t>
        </is>
      </c>
    </row>
    <row r="277">
      <c r="A277" s="53" t="n">
        <v>44103</v>
      </c>
      <c r="B277" t="inlineStr">
        <is>
          <t>2020-09-29</t>
        </is>
      </c>
      <c r="C277" s="45" t="n">
        <v>48.3487</v>
      </c>
      <c r="D277" t="inlineStr">
        <is>
          <t>€/MWh</t>
        </is>
      </c>
      <c r="E277" s="54" t="n">
        <v>0.048349</v>
      </c>
      <c r="F277" s="54" t="n"/>
      <c r="G277" t="inlineStr">
        <is>
          <t>no aplica (precio mayorista)</t>
        </is>
      </c>
      <c r="J277" t="inlineStr">
        <is>
          <t>2020-09-28</t>
        </is>
      </c>
      <c r="K277" t="inlineStr">
        <is>
          <t>marginalpdbc_20200929.1</t>
        </is>
      </c>
      <c r="L277" t="inlineStr">
        <is>
          <t>24 periodos; mín 34.79, máx 61.14 €/MWh</t>
        </is>
      </c>
    </row>
    <row r="278">
      <c r="A278" s="53" t="n">
        <v>44104</v>
      </c>
      <c r="B278" t="inlineStr">
        <is>
          <t>2020-09-30</t>
        </is>
      </c>
      <c r="C278" s="45" t="n">
        <v>49.1467</v>
      </c>
      <c r="D278" t="inlineStr">
        <is>
          <t>€/MWh</t>
        </is>
      </c>
      <c r="E278" s="54" t="n">
        <v>0.049147</v>
      </c>
      <c r="F278" s="54" t="n"/>
      <c r="G278" t="inlineStr">
        <is>
          <t>no aplica (precio mayorista)</t>
        </is>
      </c>
      <c r="J278" t="inlineStr">
        <is>
          <t>2020-09-29</t>
        </is>
      </c>
      <c r="K278" t="inlineStr">
        <is>
          <t>marginalpdbc_20200930.1</t>
        </is>
      </c>
      <c r="L278" t="inlineStr">
        <is>
          <t>24 periodos; mín 37.53, máx 57.01 €/MWh</t>
        </is>
      </c>
    </row>
    <row r="279">
      <c r="A279" s="53" t="n">
        <v>44105</v>
      </c>
      <c r="B279" t="inlineStr">
        <is>
          <t>2020-10-01</t>
        </is>
      </c>
      <c r="C279" s="45" t="n">
        <v>41.4767</v>
      </c>
      <c r="D279" t="inlineStr">
        <is>
          <t>€/MWh</t>
        </is>
      </c>
      <c r="E279" s="54" t="n">
        <v>0.041477</v>
      </c>
      <c r="F279" s="54" t="n"/>
      <c r="G279" t="inlineStr">
        <is>
          <t>no aplica (precio mayorista)</t>
        </is>
      </c>
      <c r="J279" t="inlineStr">
        <is>
          <t>2020-09-30</t>
        </is>
      </c>
      <c r="K279" t="inlineStr">
        <is>
          <t>marginalpdbc_20201001.1</t>
        </is>
      </c>
      <c r="L279" t="inlineStr">
        <is>
          <t>24 periodos; mín 29.75, máx 54.83 €/MWh</t>
        </is>
      </c>
    </row>
    <row r="280">
      <c r="A280" s="53" t="n">
        <v>44106</v>
      </c>
      <c r="B280" t="inlineStr">
        <is>
          <t>2020-10-02</t>
        </is>
      </c>
      <c r="C280" s="45" t="n">
        <v>24.7958</v>
      </c>
      <c r="D280" t="inlineStr">
        <is>
          <t>€/MWh</t>
        </is>
      </c>
      <c r="E280" s="54" t="n">
        <v>0.024796</v>
      </c>
      <c r="F280" s="54" t="n"/>
      <c r="G280" t="inlineStr">
        <is>
          <t>no aplica (precio mayorista)</t>
        </is>
      </c>
      <c r="J280" t="inlineStr">
        <is>
          <t>2020-10-01</t>
        </is>
      </c>
      <c r="K280" t="inlineStr">
        <is>
          <t>marginalpdbc_20201002.1</t>
        </is>
      </c>
      <c r="L280" t="inlineStr">
        <is>
          <t>24 periodos; mín 16.55, máx 40.00 €/MWh</t>
        </is>
      </c>
    </row>
    <row r="281">
      <c r="A281" s="53" t="n">
        <v>44107</v>
      </c>
      <c r="B281" t="inlineStr">
        <is>
          <t>2020-10-03</t>
        </is>
      </c>
      <c r="C281" s="45" t="n">
        <v>19.1333</v>
      </c>
      <c r="D281" t="inlineStr">
        <is>
          <t>€/MWh</t>
        </is>
      </c>
      <c r="E281" s="54" t="n">
        <v>0.019133</v>
      </c>
      <c r="F281" s="54" t="n"/>
      <c r="G281" t="inlineStr">
        <is>
          <t>no aplica (precio mayorista)</t>
        </is>
      </c>
      <c r="J281" t="inlineStr">
        <is>
          <t>2020-10-02</t>
        </is>
      </c>
      <c r="K281" t="inlineStr">
        <is>
          <t>marginalpdbc_20201003.1</t>
        </is>
      </c>
      <c r="L281" t="inlineStr">
        <is>
          <t>24 periodos; mín 11.30, máx 39.72 €/MWh</t>
        </is>
      </c>
    </row>
    <row r="282">
      <c r="A282" s="53" t="n">
        <v>44108</v>
      </c>
      <c r="B282" t="inlineStr">
        <is>
          <t>2020-10-04</t>
        </is>
      </c>
      <c r="C282" s="45" t="n">
        <v>14.3996</v>
      </c>
      <c r="D282" t="inlineStr">
        <is>
          <t>€/MWh</t>
        </is>
      </c>
      <c r="E282" s="54" t="n">
        <v>0.0144</v>
      </c>
      <c r="F282" s="54" t="n"/>
      <c r="G282" t="inlineStr">
        <is>
          <t>no aplica (precio mayorista)</t>
        </is>
      </c>
      <c r="J282" t="inlineStr">
        <is>
          <t>2020-10-03</t>
        </is>
      </c>
      <c r="K282" t="inlineStr">
        <is>
          <t>marginalpdbc_20201004.1</t>
        </is>
      </c>
      <c r="L282" t="inlineStr">
        <is>
          <t>24 periodos; mín 2.50, máx 36.00 €/MWh</t>
        </is>
      </c>
    </row>
    <row r="283">
      <c r="A283" s="53" t="n">
        <v>44109</v>
      </c>
      <c r="B283" t="inlineStr">
        <is>
          <t>2020-10-05</t>
        </is>
      </c>
      <c r="C283" s="45" t="n">
        <v>35.1238</v>
      </c>
      <c r="D283" t="inlineStr">
        <is>
          <t>€/MWh</t>
        </is>
      </c>
      <c r="E283" s="54" t="n">
        <v>0.035124</v>
      </c>
      <c r="F283" s="54" t="n"/>
      <c r="G283" t="inlineStr">
        <is>
          <t>no aplica (precio mayorista)</t>
        </is>
      </c>
      <c r="J283" t="inlineStr">
        <is>
          <t>2020-10-04</t>
        </is>
      </c>
      <c r="K283" t="inlineStr">
        <is>
          <t>marginalpdbc_20201005.1</t>
        </is>
      </c>
      <c r="L283" t="inlineStr">
        <is>
          <t>24 periodos; mín 14.20, máx 55.23 €/MWh</t>
        </is>
      </c>
    </row>
    <row r="284">
      <c r="A284" s="53" t="n">
        <v>44110</v>
      </c>
      <c r="B284" t="inlineStr">
        <is>
          <t>2020-10-06</t>
        </is>
      </c>
      <c r="C284" s="45" t="n">
        <v>40.9988</v>
      </c>
      <c r="D284" t="inlineStr">
        <is>
          <t>€/MWh</t>
        </is>
      </c>
      <c r="E284" s="54" t="n">
        <v>0.040999</v>
      </c>
      <c r="F284" s="54" t="n"/>
      <c r="G284" t="inlineStr">
        <is>
          <t>no aplica (precio mayorista)</t>
        </is>
      </c>
      <c r="J284" t="inlineStr">
        <is>
          <t>2020-10-05</t>
        </is>
      </c>
      <c r="K284" t="inlineStr">
        <is>
          <t>marginalpdbc_20201006.1</t>
        </is>
      </c>
      <c r="L284" t="inlineStr">
        <is>
          <t>24 periodos; mín 31.94, máx 52.99 €/MWh</t>
        </is>
      </c>
    </row>
    <row r="285">
      <c r="A285" s="53" t="n">
        <v>44111</v>
      </c>
      <c r="B285" t="inlineStr">
        <is>
          <t>2020-10-07</t>
        </is>
      </c>
      <c r="C285" s="45" t="n">
        <v>43.0179</v>
      </c>
      <c r="D285" t="inlineStr">
        <is>
          <t>€/MWh</t>
        </is>
      </c>
      <c r="E285" s="54" t="n">
        <v>0.043018</v>
      </c>
      <c r="F285" s="54" t="n"/>
      <c r="G285" t="inlineStr">
        <is>
          <t>no aplica (precio mayorista)</t>
        </is>
      </c>
      <c r="J285" t="inlineStr">
        <is>
          <t>2020-10-06</t>
        </is>
      </c>
      <c r="K285" t="inlineStr">
        <is>
          <t>marginalpdbc_20201007.1</t>
        </is>
      </c>
      <c r="L285" t="inlineStr">
        <is>
          <t>24 periodos; mín 34.21, máx 53.00 €/MWh</t>
        </is>
      </c>
    </row>
    <row r="286">
      <c r="A286" s="53" t="n">
        <v>44112</v>
      </c>
      <c r="B286" t="inlineStr">
        <is>
          <t>2020-10-08</t>
        </is>
      </c>
      <c r="C286" s="45" t="n">
        <v>43.9542</v>
      </c>
      <c r="D286" t="inlineStr">
        <is>
          <t>€/MWh</t>
        </is>
      </c>
      <c r="E286" s="54" t="n">
        <v>0.043954</v>
      </c>
      <c r="F286" s="54" t="n"/>
      <c r="G286" t="inlineStr">
        <is>
          <t>no aplica (precio mayorista)</t>
        </is>
      </c>
      <c r="J286" t="inlineStr">
        <is>
          <t>2020-10-07</t>
        </is>
      </c>
      <c r="K286" t="inlineStr">
        <is>
          <t>marginalpdbc_20201008.1</t>
        </is>
      </c>
      <c r="L286" t="inlineStr">
        <is>
          <t>24 periodos; mín 35.02, máx 52.39 €/MWh</t>
        </is>
      </c>
    </row>
    <row r="287">
      <c r="A287" s="53" t="n">
        <v>44113</v>
      </c>
      <c r="B287" t="inlineStr">
        <is>
          <t>2020-10-09</t>
        </is>
      </c>
      <c r="C287" s="45" t="n">
        <v>44.3892</v>
      </c>
      <c r="D287" t="inlineStr">
        <is>
          <t>€/MWh</t>
        </is>
      </c>
      <c r="E287" s="54" t="n">
        <v>0.044389</v>
      </c>
      <c r="F287" s="54" t="n"/>
      <c r="G287" t="inlineStr">
        <is>
          <t>no aplica (precio mayorista)</t>
        </is>
      </c>
      <c r="J287" t="inlineStr">
        <is>
          <t>2020-10-08</t>
        </is>
      </c>
      <c r="K287" t="inlineStr">
        <is>
          <t>marginalpdbc_20201009.1</t>
        </is>
      </c>
      <c r="L287" t="inlineStr">
        <is>
          <t>24 periodos; mín 33.54, máx 59.30 €/MWh</t>
        </is>
      </c>
    </row>
    <row r="288">
      <c r="A288" s="53" t="n">
        <v>44114</v>
      </c>
      <c r="B288" t="inlineStr">
        <is>
          <t>2020-10-10</t>
        </is>
      </c>
      <c r="C288" s="45" t="n">
        <v>32.4896</v>
      </c>
      <c r="D288" t="inlineStr">
        <is>
          <t>€/MWh</t>
        </is>
      </c>
      <c r="E288" s="54" t="n">
        <v>0.03249</v>
      </c>
      <c r="F288" s="54" t="n"/>
      <c r="G288" t="inlineStr">
        <is>
          <t>no aplica (precio mayorista)</t>
        </is>
      </c>
      <c r="J288" t="inlineStr">
        <is>
          <t>2020-10-09</t>
        </is>
      </c>
      <c r="K288" t="inlineStr">
        <is>
          <t>marginalpdbc_20201010.1</t>
        </is>
      </c>
      <c r="L288" t="inlineStr">
        <is>
          <t>24 periodos; mín 26.25, máx 43.06 €/MWh</t>
        </is>
      </c>
    </row>
    <row r="289">
      <c r="A289" s="53" t="n">
        <v>44115</v>
      </c>
      <c r="B289" t="inlineStr">
        <is>
          <t>2020-10-11</t>
        </is>
      </c>
      <c r="C289" s="45" t="n">
        <v>27.8442</v>
      </c>
      <c r="D289" t="inlineStr">
        <is>
          <t>€/MWh</t>
        </is>
      </c>
      <c r="E289" s="54" t="n">
        <v>0.027844</v>
      </c>
      <c r="F289" s="54" t="n"/>
      <c r="G289" t="inlineStr">
        <is>
          <t>no aplica (precio mayorista)</t>
        </is>
      </c>
      <c r="J289" t="inlineStr">
        <is>
          <t>2020-10-10</t>
        </is>
      </c>
      <c r="K289" t="inlineStr">
        <is>
          <t>marginalpdbc_20201011.1</t>
        </is>
      </c>
      <c r="L289" t="inlineStr">
        <is>
          <t>24 periodos; mín 20.00, máx 44.91 €/MWh</t>
        </is>
      </c>
    </row>
    <row r="290">
      <c r="A290" s="53" t="n">
        <v>44116</v>
      </c>
      <c r="B290" t="inlineStr">
        <is>
          <t>2020-10-12</t>
        </is>
      </c>
      <c r="C290" s="45" t="n">
        <v>38.3758</v>
      </c>
      <c r="D290" t="inlineStr">
        <is>
          <t>€/MWh</t>
        </is>
      </c>
      <c r="E290" s="54" t="n">
        <v>0.038376</v>
      </c>
      <c r="F290" s="54" t="n"/>
      <c r="G290" t="inlineStr">
        <is>
          <t>no aplica (precio mayorista)</t>
        </is>
      </c>
      <c r="J290" t="inlineStr">
        <is>
          <t>2020-10-11</t>
        </is>
      </c>
      <c r="K290" t="inlineStr">
        <is>
          <t>marginalpdbc_20201012.1</t>
        </is>
      </c>
      <c r="L290" t="inlineStr">
        <is>
          <t>24 periodos; mín 28.72, máx 53.49 €/MWh</t>
        </is>
      </c>
    </row>
    <row r="291">
      <c r="A291" s="53" t="n">
        <v>44117</v>
      </c>
      <c r="B291" t="inlineStr">
        <is>
          <t>2020-10-13</t>
        </is>
      </c>
      <c r="C291" s="45" t="n">
        <v>40.4667</v>
      </c>
      <c r="D291" t="inlineStr">
        <is>
          <t>€/MWh</t>
        </is>
      </c>
      <c r="E291" s="54" t="n">
        <v>0.040467</v>
      </c>
      <c r="F291" s="54" t="n"/>
      <c r="G291" t="inlineStr">
        <is>
          <t>no aplica (precio mayorista)</t>
        </is>
      </c>
      <c r="J291" t="inlineStr">
        <is>
          <t>2020-10-12</t>
        </is>
      </c>
      <c r="K291" t="inlineStr">
        <is>
          <t>marginalpdbc_20201013.1</t>
        </is>
      </c>
      <c r="L291" t="inlineStr">
        <is>
          <t>24 periodos; mín 31.58, máx 50.90 €/MWh</t>
        </is>
      </c>
    </row>
    <row r="292">
      <c r="A292" s="53" t="n">
        <v>44118</v>
      </c>
      <c r="B292" t="inlineStr">
        <is>
          <t>2020-10-14</t>
        </is>
      </c>
      <c r="C292" s="45" t="n">
        <v>36.735</v>
      </c>
      <c r="D292" t="inlineStr">
        <is>
          <t>€/MWh</t>
        </is>
      </c>
      <c r="E292" s="54" t="n">
        <v>0.036735</v>
      </c>
      <c r="F292" s="54" t="n"/>
      <c r="G292" t="inlineStr">
        <is>
          <t>no aplica (precio mayorista)</t>
        </is>
      </c>
      <c r="J292" t="inlineStr">
        <is>
          <t>2020-10-13</t>
        </is>
      </c>
      <c r="K292" t="inlineStr">
        <is>
          <t>marginalpdbc_20201014.1</t>
        </is>
      </c>
      <c r="L292" t="inlineStr">
        <is>
          <t>24 periodos; mín 27.50, máx 51.69 €/MWh</t>
        </is>
      </c>
    </row>
    <row r="293">
      <c r="A293" s="53" t="n">
        <v>44119</v>
      </c>
      <c r="B293" t="inlineStr">
        <is>
          <t>2020-10-15</t>
        </is>
      </c>
      <c r="C293" s="45" t="n">
        <v>39.3342</v>
      </c>
      <c r="D293" t="inlineStr">
        <is>
          <t>€/MWh</t>
        </is>
      </c>
      <c r="E293" s="54" t="n">
        <v>0.039334</v>
      </c>
      <c r="F293" s="54" t="n"/>
      <c r="G293" t="inlineStr">
        <is>
          <t>no aplica (precio mayorista)</t>
        </is>
      </c>
      <c r="J293" t="inlineStr">
        <is>
          <t>2020-10-14</t>
        </is>
      </c>
      <c r="K293" t="inlineStr">
        <is>
          <t>marginalpdbc_20201015.1</t>
        </is>
      </c>
      <c r="L293" t="inlineStr">
        <is>
          <t>24 periodos; mín 29.78, máx 50.34 €/MWh</t>
        </is>
      </c>
    </row>
    <row r="294">
      <c r="A294" s="53" t="n">
        <v>44120</v>
      </c>
      <c r="B294" t="inlineStr">
        <is>
          <t>2020-10-16</t>
        </is>
      </c>
      <c r="C294" s="45" t="n">
        <v>43.3254</v>
      </c>
      <c r="D294" t="inlineStr">
        <is>
          <t>€/MWh</t>
        </is>
      </c>
      <c r="E294" s="54" t="n">
        <v>0.043325</v>
      </c>
      <c r="F294" s="54" t="n"/>
      <c r="G294" t="inlineStr">
        <is>
          <t>no aplica (precio mayorista)</t>
        </is>
      </c>
      <c r="J294" t="inlineStr">
        <is>
          <t>2020-10-15</t>
        </is>
      </c>
      <c r="K294" t="inlineStr">
        <is>
          <t>marginalpdbc_20201016.1</t>
        </is>
      </c>
      <c r="L294" t="inlineStr">
        <is>
          <t>24 periodos; mín 33.02, máx 54.08 €/MWh</t>
        </is>
      </c>
    </row>
    <row r="295">
      <c r="A295" s="53" t="n">
        <v>44121</v>
      </c>
      <c r="B295" t="inlineStr">
        <is>
          <t>2020-10-17</t>
        </is>
      </c>
      <c r="C295" s="45" t="n">
        <v>42.3658</v>
      </c>
      <c r="D295" t="inlineStr">
        <is>
          <t>€/MWh</t>
        </is>
      </c>
      <c r="E295" s="54" t="n">
        <v>0.042366</v>
      </c>
      <c r="F295" s="54" t="n"/>
      <c r="G295" t="inlineStr">
        <is>
          <t>no aplica (precio mayorista)</t>
        </is>
      </c>
      <c r="J295" t="inlineStr">
        <is>
          <t>2020-10-16</t>
        </is>
      </c>
      <c r="K295" t="inlineStr">
        <is>
          <t>marginalpdbc_20201017.1</t>
        </is>
      </c>
      <c r="L295" t="inlineStr">
        <is>
          <t>24 periodos; mín 36.10, máx 50.46 €/MWh</t>
        </is>
      </c>
    </row>
    <row r="296">
      <c r="A296" s="53" t="n">
        <v>44122</v>
      </c>
      <c r="B296" t="inlineStr">
        <is>
          <t>2020-10-18</t>
        </is>
      </c>
      <c r="C296" s="45" t="n">
        <v>40.2563</v>
      </c>
      <c r="D296" t="inlineStr">
        <is>
          <t>€/MWh</t>
        </is>
      </c>
      <c r="E296" s="54" t="n">
        <v>0.040256</v>
      </c>
      <c r="F296" s="54" t="n"/>
      <c r="G296" t="inlineStr">
        <is>
          <t>no aplica (precio mayorista)</t>
        </is>
      </c>
      <c r="J296" t="inlineStr">
        <is>
          <t>2020-10-17</t>
        </is>
      </c>
      <c r="K296" t="inlineStr">
        <is>
          <t>marginalpdbc_20201018.1</t>
        </is>
      </c>
      <c r="L296" t="inlineStr">
        <is>
          <t>24 periodos; mín 31.50, máx 49.60 €/MWh</t>
        </is>
      </c>
    </row>
    <row r="297">
      <c r="A297" s="53" t="n">
        <v>44123</v>
      </c>
      <c r="B297" t="inlineStr">
        <is>
          <t>2020-10-19</t>
        </is>
      </c>
      <c r="C297" s="45" t="n">
        <v>35.7108</v>
      </c>
      <c r="D297" t="inlineStr">
        <is>
          <t>€/MWh</t>
        </is>
      </c>
      <c r="E297" s="54" t="n">
        <v>0.035711</v>
      </c>
      <c r="F297" s="54" t="n"/>
      <c r="G297" t="inlineStr">
        <is>
          <t>no aplica (precio mayorista)</t>
        </is>
      </c>
      <c r="J297" t="inlineStr">
        <is>
          <t>2020-10-18</t>
        </is>
      </c>
      <c r="K297" t="inlineStr">
        <is>
          <t>marginalpdbc_20201019.1</t>
        </is>
      </c>
      <c r="L297" t="inlineStr">
        <is>
          <t>24 periodos; mín 21.64, máx 48.20 €/MWh</t>
        </is>
      </c>
    </row>
    <row r="298">
      <c r="A298" s="53" t="n">
        <v>44124</v>
      </c>
      <c r="B298" t="inlineStr">
        <is>
          <t>2020-10-20</t>
        </is>
      </c>
      <c r="C298" s="45" t="n">
        <v>36.0333</v>
      </c>
      <c r="D298" t="inlineStr">
        <is>
          <t>€/MWh</t>
        </is>
      </c>
      <c r="E298" s="54" t="n">
        <v>0.036033</v>
      </c>
      <c r="F298" s="54" t="n"/>
      <c r="G298" t="inlineStr">
        <is>
          <t>no aplica (precio mayorista)</t>
        </is>
      </c>
      <c r="J298" t="inlineStr">
        <is>
          <t>2020-10-19</t>
        </is>
      </c>
      <c r="K298" t="inlineStr">
        <is>
          <t>marginalpdbc_20201020.1</t>
        </is>
      </c>
      <c r="L298" t="inlineStr">
        <is>
          <t>24 periodos; mín 24.80, máx 45.67 €/MWh</t>
        </is>
      </c>
    </row>
    <row r="299">
      <c r="A299" s="53" t="n">
        <v>44125</v>
      </c>
      <c r="B299" t="inlineStr">
        <is>
          <t>2020-10-21</t>
        </is>
      </c>
      <c r="C299" s="45" t="n">
        <v>36.58</v>
      </c>
      <c r="D299" t="inlineStr">
        <is>
          <t>€/MWh</t>
        </is>
      </c>
      <c r="E299" s="54" t="n">
        <v>0.03658</v>
      </c>
      <c r="F299" s="54" t="n"/>
      <c r="G299" t="inlineStr">
        <is>
          <t>no aplica (precio mayorista)</t>
        </is>
      </c>
      <c r="J299" t="inlineStr">
        <is>
          <t>2020-10-20</t>
        </is>
      </c>
      <c r="K299" t="inlineStr">
        <is>
          <t>marginalpdbc_20201021.1</t>
        </is>
      </c>
      <c r="L299" t="inlineStr">
        <is>
          <t>24 periodos; mín 22.20, máx 49.77 €/MWh</t>
        </is>
      </c>
    </row>
    <row r="300">
      <c r="A300" s="53" t="n">
        <v>44126</v>
      </c>
      <c r="B300" t="inlineStr">
        <is>
          <t>2020-10-22</t>
        </is>
      </c>
      <c r="C300" s="45" t="n">
        <v>45.2212</v>
      </c>
      <c r="D300" t="inlineStr">
        <is>
          <t>€/MWh</t>
        </is>
      </c>
      <c r="E300" s="54" t="n">
        <v>0.045221</v>
      </c>
      <c r="F300" s="54" t="n"/>
      <c r="G300" t="inlineStr">
        <is>
          <t>no aplica (precio mayorista)</t>
        </is>
      </c>
      <c r="J300" t="inlineStr">
        <is>
          <t>2020-10-21</t>
        </is>
      </c>
      <c r="K300" t="inlineStr">
        <is>
          <t>marginalpdbc_20201022.1</t>
        </is>
      </c>
      <c r="L300" t="inlineStr">
        <is>
          <t>24 periodos; mín 32.68, máx 56.63 €/MWh</t>
        </is>
      </c>
    </row>
    <row r="301">
      <c r="A301" s="53" t="n">
        <v>44127</v>
      </c>
      <c r="B301" t="inlineStr">
        <is>
          <t>2020-10-23</t>
        </is>
      </c>
      <c r="C301" s="45" t="n">
        <v>45.19</v>
      </c>
      <c r="D301" t="inlineStr">
        <is>
          <t>€/MWh</t>
        </is>
      </c>
      <c r="E301" s="54" t="n">
        <v>0.04519</v>
      </c>
      <c r="F301" s="54" t="n"/>
      <c r="G301" t="inlineStr">
        <is>
          <t>no aplica (precio mayorista)</t>
        </is>
      </c>
      <c r="J301" t="inlineStr">
        <is>
          <t>2020-10-22</t>
        </is>
      </c>
      <c r="K301" t="inlineStr">
        <is>
          <t>marginalpdbc_20201023.1</t>
        </is>
      </c>
      <c r="L301" t="inlineStr">
        <is>
          <t>24 periodos; mín 34.35, máx 54.05 €/MWh</t>
        </is>
      </c>
    </row>
    <row r="302">
      <c r="A302" s="53" t="n">
        <v>44128</v>
      </c>
      <c r="B302" t="inlineStr">
        <is>
          <t>2020-10-24</t>
        </is>
      </c>
      <c r="C302" s="45" t="n">
        <v>32.2546</v>
      </c>
      <c r="D302" t="inlineStr">
        <is>
          <t>€/MWh</t>
        </is>
      </c>
      <c r="E302" s="54" t="n">
        <v>0.032255</v>
      </c>
      <c r="F302" s="54" t="n"/>
      <c r="G302" t="inlineStr">
        <is>
          <t>no aplica (precio mayorista)</t>
        </is>
      </c>
      <c r="J302" t="inlineStr">
        <is>
          <t>2020-10-23</t>
        </is>
      </c>
      <c r="K302" t="inlineStr">
        <is>
          <t>marginalpdbc_20201024.1</t>
        </is>
      </c>
      <c r="L302" t="inlineStr">
        <is>
          <t>24 periodos; mín 24.02, máx 41.33 €/MWh</t>
        </is>
      </c>
    </row>
    <row r="303">
      <c r="A303" s="53" t="n">
        <v>44129</v>
      </c>
      <c r="B303" t="inlineStr">
        <is>
          <t>2020-10-25</t>
        </is>
      </c>
      <c r="C303" s="45" t="n">
        <v>14.7792</v>
      </c>
      <c r="D303" t="inlineStr">
        <is>
          <t>€/MWh</t>
        </is>
      </c>
      <c r="E303" s="54" t="n">
        <v>0.014779</v>
      </c>
      <c r="F303" s="54" t="n"/>
      <c r="G303" t="inlineStr">
        <is>
          <t>no aplica (precio mayorista)</t>
        </is>
      </c>
      <c r="J303" t="inlineStr">
        <is>
          <t>2020-10-24</t>
        </is>
      </c>
      <c r="K303" t="inlineStr">
        <is>
          <t>marginalpdbc_20201025.1</t>
        </is>
      </c>
      <c r="L303" t="inlineStr">
        <is>
          <t>25 periodos; mín 1.95, máx 39.05 €/MWh</t>
        </is>
      </c>
    </row>
    <row r="304">
      <c r="A304" s="53" t="n">
        <v>44130</v>
      </c>
      <c r="B304" t="inlineStr">
        <is>
          <t>2020-10-26</t>
        </is>
      </c>
      <c r="C304" s="45" t="n">
        <v>34.4304</v>
      </c>
      <c r="D304" t="inlineStr">
        <is>
          <t>€/MWh</t>
        </is>
      </c>
      <c r="E304" s="54" t="n">
        <v>0.03443</v>
      </c>
      <c r="F304" s="54" t="n"/>
      <c r="G304" t="inlineStr">
        <is>
          <t>no aplica (precio mayorista)</t>
        </is>
      </c>
      <c r="J304" t="inlineStr">
        <is>
          <t>2020-10-25</t>
        </is>
      </c>
      <c r="K304" t="inlineStr">
        <is>
          <t>marginalpdbc_20201026.1</t>
        </is>
      </c>
      <c r="L304" t="inlineStr">
        <is>
          <t>24 periodos; mín 18.80, máx 49.50 €/MWh</t>
        </is>
      </c>
    </row>
    <row r="305">
      <c r="A305" s="53" t="n">
        <v>44131</v>
      </c>
      <c r="B305" t="inlineStr">
        <is>
          <t>2020-10-27</t>
        </is>
      </c>
      <c r="C305" s="45" t="n">
        <v>39.9517</v>
      </c>
      <c r="D305" t="inlineStr">
        <is>
          <t>€/MWh</t>
        </is>
      </c>
      <c r="E305" s="54" t="n">
        <v>0.039952</v>
      </c>
      <c r="F305" s="54" t="n"/>
      <c r="G305" t="inlineStr">
        <is>
          <t>no aplica (precio mayorista)</t>
        </is>
      </c>
      <c r="J305" t="inlineStr">
        <is>
          <t>2020-10-26</t>
        </is>
      </c>
      <c r="K305" t="inlineStr">
        <is>
          <t>marginalpdbc_20201027.1</t>
        </is>
      </c>
      <c r="L305" t="inlineStr">
        <is>
          <t>24 periodos; mín 28.04, máx 47.69 €/MWh</t>
        </is>
      </c>
    </row>
    <row r="306">
      <c r="A306" s="53" t="n">
        <v>44132</v>
      </c>
      <c r="B306" t="inlineStr">
        <is>
          <t>2020-10-28</t>
        </is>
      </c>
      <c r="C306" s="45" t="n">
        <v>43.3617</v>
      </c>
      <c r="D306" t="inlineStr">
        <is>
          <t>€/MWh</t>
        </is>
      </c>
      <c r="E306" s="54" t="n">
        <v>0.043362</v>
      </c>
      <c r="F306" s="54" t="n"/>
      <c r="G306" t="inlineStr">
        <is>
          <t>no aplica (precio mayorista)</t>
        </is>
      </c>
      <c r="J306" t="inlineStr">
        <is>
          <t>2020-10-27</t>
        </is>
      </c>
      <c r="K306" t="inlineStr">
        <is>
          <t>marginalpdbc_20201028.1</t>
        </is>
      </c>
      <c r="L306" t="inlineStr">
        <is>
          <t>24 periodos; mín 32.60, máx 52.61 €/MWh</t>
        </is>
      </c>
    </row>
    <row r="307">
      <c r="A307" s="53" t="n">
        <v>44133</v>
      </c>
      <c r="B307" t="inlineStr">
        <is>
          <t>2020-10-29</t>
        </is>
      </c>
      <c r="C307" s="45" t="n">
        <v>44.9425</v>
      </c>
      <c r="D307" t="inlineStr">
        <is>
          <t>€/MWh</t>
        </is>
      </c>
      <c r="E307" s="54" t="n">
        <v>0.044942</v>
      </c>
      <c r="F307" s="54" t="n"/>
      <c r="G307" t="inlineStr">
        <is>
          <t>no aplica (precio mayorista)</t>
        </is>
      </c>
      <c r="J307" t="inlineStr">
        <is>
          <t>2020-10-28</t>
        </is>
      </c>
      <c r="K307" t="inlineStr">
        <is>
          <t>marginalpdbc_20201029.1</t>
        </is>
      </c>
      <c r="L307" t="inlineStr">
        <is>
          <t>24 periodos; mín 39.00, máx 50.10 €/MWh</t>
        </is>
      </c>
    </row>
    <row r="308">
      <c r="A308" s="53" t="n">
        <v>44134</v>
      </c>
      <c r="B308" t="inlineStr">
        <is>
          <t>2020-10-30</t>
        </is>
      </c>
      <c r="C308" s="45" t="n">
        <v>41.58</v>
      </c>
      <c r="D308" t="inlineStr">
        <is>
          <t>€/MWh</t>
        </is>
      </c>
      <c r="E308" s="54" t="n">
        <v>0.04158</v>
      </c>
      <c r="F308" s="54" t="n"/>
      <c r="G308" t="inlineStr">
        <is>
          <t>no aplica (precio mayorista)</t>
        </is>
      </c>
      <c r="J308" t="inlineStr">
        <is>
          <t>2020-10-29</t>
        </is>
      </c>
      <c r="K308" t="inlineStr">
        <is>
          <t>marginalpdbc_20201030.1</t>
        </is>
      </c>
      <c r="L308" t="inlineStr">
        <is>
          <t>24 periodos; mín 36.02, máx 49.00 €/MWh</t>
        </is>
      </c>
    </row>
    <row r="309">
      <c r="A309" s="53" t="n">
        <v>44135</v>
      </c>
      <c r="B309" t="inlineStr">
        <is>
          <t>2020-10-31</t>
        </is>
      </c>
      <c r="C309" s="45" t="n">
        <v>35.7704</v>
      </c>
      <c r="D309" t="inlineStr">
        <is>
          <t>€/MWh</t>
        </is>
      </c>
      <c r="E309" s="54" t="n">
        <v>0.03577</v>
      </c>
      <c r="F309" s="54" t="n"/>
      <c r="G309" t="inlineStr">
        <is>
          <t>no aplica (precio mayorista)</t>
        </is>
      </c>
      <c r="J309" t="inlineStr">
        <is>
          <t>2020-10-30</t>
        </is>
      </c>
      <c r="K309" t="inlineStr">
        <is>
          <t>marginalpdbc_20201031.1</t>
        </is>
      </c>
      <c r="L309" t="inlineStr">
        <is>
          <t>24 periodos; mín 28.80, máx 44.83 €/MWh</t>
        </is>
      </c>
    </row>
    <row r="310">
      <c r="A310" s="53" t="n">
        <v>44136</v>
      </c>
      <c r="B310" t="inlineStr">
        <is>
          <t>2020-11-01</t>
        </is>
      </c>
      <c r="C310" s="45" t="n">
        <v>27.2158</v>
      </c>
      <c r="D310" t="inlineStr">
        <is>
          <t>€/MWh</t>
        </is>
      </c>
      <c r="E310" s="54" t="n">
        <v>0.027216</v>
      </c>
      <c r="F310" s="54" t="n"/>
      <c r="G310" t="inlineStr">
        <is>
          <t>no aplica (precio mayorista)</t>
        </is>
      </c>
      <c r="J310" t="inlineStr">
        <is>
          <t>2020-10-31</t>
        </is>
      </c>
      <c r="K310" t="inlineStr">
        <is>
          <t>marginalpdbc_20201101.1</t>
        </is>
      </c>
      <c r="L310" t="inlineStr">
        <is>
          <t>24 periodos; mín 18.90, máx 45.82 €/MWh</t>
        </is>
      </c>
    </row>
    <row r="311">
      <c r="A311" s="53" t="n">
        <v>44137</v>
      </c>
      <c r="B311" t="inlineStr">
        <is>
          <t>2020-11-02</t>
        </is>
      </c>
      <c r="C311" s="45" t="n">
        <v>40.8938</v>
      </c>
      <c r="D311" t="inlineStr">
        <is>
          <t>€/MWh</t>
        </is>
      </c>
      <c r="E311" s="54" t="n">
        <v>0.040894</v>
      </c>
      <c r="F311" s="54" t="n"/>
      <c r="G311" t="inlineStr">
        <is>
          <t>no aplica (precio mayorista)</t>
        </is>
      </c>
      <c r="J311" t="inlineStr">
        <is>
          <t>2020-11-01</t>
        </is>
      </c>
      <c r="K311" t="inlineStr">
        <is>
          <t>marginalpdbc_20201102.1</t>
        </is>
      </c>
      <c r="L311" t="inlineStr">
        <is>
          <t>24 periodos; mín 26.80, máx 51.02 €/MWh</t>
        </is>
      </c>
    </row>
    <row r="312">
      <c r="A312" s="53" t="n">
        <v>44138</v>
      </c>
      <c r="B312" t="inlineStr">
        <is>
          <t>2020-11-03</t>
        </is>
      </c>
      <c r="C312" s="45" t="n">
        <v>39.0233</v>
      </c>
      <c r="D312" t="inlineStr">
        <is>
          <t>€/MWh</t>
        </is>
      </c>
      <c r="E312" s="54" t="n">
        <v>0.039023</v>
      </c>
      <c r="F312" s="54" t="n"/>
      <c r="G312" t="inlineStr">
        <is>
          <t>no aplica (precio mayorista)</t>
        </is>
      </c>
      <c r="J312" t="inlineStr">
        <is>
          <t>2020-11-02</t>
        </is>
      </c>
      <c r="K312" t="inlineStr">
        <is>
          <t>marginalpdbc_20201103.1</t>
        </is>
      </c>
      <c r="L312" t="inlineStr">
        <is>
          <t>24 periodos; mín 30.70, máx 47.05 €/MWh</t>
        </is>
      </c>
    </row>
    <row r="313">
      <c r="A313" s="53" t="n">
        <v>44139</v>
      </c>
      <c r="B313" t="inlineStr">
        <is>
          <t>2020-11-04</t>
        </is>
      </c>
      <c r="C313" s="45" t="n">
        <v>38.795</v>
      </c>
      <c r="D313" t="inlineStr">
        <is>
          <t>€/MWh</t>
        </is>
      </c>
      <c r="E313" s="54" t="n">
        <v>0.038795</v>
      </c>
      <c r="F313" s="54" t="n"/>
      <c r="G313" t="inlineStr">
        <is>
          <t>no aplica (precio mayorista)</t>
        </is>
      </c>
      <c r="J313" t="inlineStr">
        <is>
          <t>2020-11-03</t>
        </is>
      </c>
      <c r="K313" t="inlineStr">
        <is>
          <t>marginalpdbc_20201104.1</t>
        </is>
      </c>
      <c r="L313" t="inlineStr">
        <is>
          <t>24 periodos; mín 29.60, máx 46.03 €/MWh</t>
        </is>
      </c>
    </row>
    <row r="314">
      <c r="A314" s="53" t="n">
        <v>44140</v>
      </c>
      <c r="B314" t="inlineStr">
        <is>
          <t>2020-11-05</t>
        </is>
      </c>
      <c r="C314" s="45" t="n">
        <v>33.9871</v>
      </c>
      <c r="D314" t="inlineStr">
        <is>
          <t>€/MWh</t>
        </is>
      </c>
      <c r="E314" s="54" t="n">
        <v>0.033987</v>
      </c>
      <c r="F314" s="54" t="n"/>
      <c r="G314" t="inlineStr">
        <is>
          <t>no aplica (precio mayorista)</t>
        </is>
      </c>
      <c r="J314" t="inlineStr">
        <is>
          <t>2020-11-04</t>
        </is>
      </c>
      <c r="K314" t="inlineStr">
        <is>
          <t>marginalpdbc_20201105.1</t>
        </is>
      </c>
      <c r="L314" t="inlineStr">
        <is>
          <t>24 periodos; mín 24.74, máx 43.15 €/MWh</t>
        </is>
      </c>
    </row>
    <row r="315">
      <c r="A315" s="53" t="n">
        <v>44141</v>
      </c>
      <c r="B315" t="inlineStr">
        <is>
          <t>2020-11-06</t>
        </is>
      </c>
      <c r="C315" s="45" t="n">
        <v>34.9796</v>
      </c>
      <c r="D315" t="inlineStr">
        <is>
          <t>€/MWh</t>
        </is>
      </c>
      <c r="E315" s="54" t="n">
        <v>0.03498</v>
      </c>
      <c r="F315" s="54" t="n"/>
      <c r="G315" t="inlineStr">
        <is>
          <t>no aplica (precio mayorista)</t>
        </is>
      </c>
      <c r="J315" t="inlineStr">
        <is>
          <t>2020-11-05</t>
        </is>
      </c>
      <c r="K315" t="inlineStr">
        <is>
          <t>marginalpdbc_20201106.1</t>
        </is>
      </c>
      <c r="L315" t="inlineStr">
        <is>
          <t>24 periodos; mín 28.40, máx 39.90 €/MWh</t>
        </is>
      </c>
    </row>
    <row r="316">
      <c r="A316" s="53" t="n">
        <v>44142</v>
      </c>
      <c r="B316" t="inlineStr">
        <is>
          <t>2020-11-07</t>
        </is>
      </c>
      <c r="C316" s="45" t="n">
        <v>33.5296</v>
      </c>
      <c r="D316" t="inlineStr">
        <is>
          <t>€/MWh</t>
        </is>
      </c>
      <c r="E316" s="54" t="n">
        <v>0.03353</v>
      </c>
      <c r="F316" s="54" t="n"/>
      <c r="G316" t="inlineStr">
        <is>
          <t>no aplica (precio mayorista)</t>
        </is>
      </c>
      <c r="J316" t="inlineStr">
        <is>
          <t>2020-11-06</t>
        </is>
      </c>
      <c r="K316" t="inlineStr">
        <is>
          <t>marginalpdbc_20201107.1</t>
        </is>
      </c>
      <c r="L316" t="inlineStr">
        <is>
          <t>24 periodos; mín 29.00, máx 44.35 €/MWh</t>
        </is>
      </c>
    </row>
    <row r="317">
      <c r="A317" s="53" t="n">
        <v>44143</v>
      </c>
      <c r="B317" t="inlineStr">
        <is>
          <t>2020-11-08</t>
        </is>
      </c>
      <c r="C317" s="45" t="n">
        <v>34.6442</v>
      </c>
      <c r="D317" t="inlineStr">
        <is>
          <t>€/MWh</t>
        </is>
      </c>
      <c r="E317" s="54" t="n">
        <v>0.034644</v>
      </c>
      <c r="F317" s="54" t="n"/>
      <c r="G317" t="inlineStr">
        <is>
          <t>no aplica (precio mayorista)</t>
        </is>
      </c>
      <c r="J317" t="inlineStr">
        <is>
          <t>2020-11-07</t>
        </is>
      </c>
      <c r="K317" t="inlineStr">
        <is>
          <t>marginalpdbc_20201108.1</t>
        </is>
      </c>
      <c r="L317" t="inlineStr">
        <is>
          <t>24 periodos; mín 26.84, máx 46.00 €/MWh</t>
        </is>
      </c>
    </row>
    <row r="318">
      <c r="A318" s="53" t="n">
        <v>44144</v>
      </c>
      <c r="B318" t="inlineStr">
        <is>
          <t>2020-11-09</t>
        </is>
      </c>
      <c r="C318" s="45" t="n">
        <v>45.6208</v>
      </c>
      <c r="D318" t="inlineStr">
        <is>
          <t>€/MWh</t>
        </is>
      </c>
      <c r="E318" s="54" t="n">
        <v>0.045621</v>
      </c>
      <c r="F318" s="54" t="n"/>
      <c r="G318" t="inlineStr">
        <is>
          <t>no aplica (precio mayorista)</t>
        </is>
      </c>
      <c r="J318" t="inlineStr">
        <is>
          <t>2020-11-08</t>
        </is>
      </c>
      <c r="K318" t="inlineStr">
        <is>
          <t>marginalpdbc_20201109.1</t>
        </is>
      </c>
      <c r="L318" t="inlineStr">
        <is>
          <t>24 periodos; mín 32.97, máx 60.55 €/MWh</t>
        </is>
      </c>
    </row>
    <row r="319">
      <c r="A319" s="53" t="n">
        <v>44145</v>
      </c>
      <c r="B319" t="inlineStr">
        <is>
          <t>2020-11-10</t>
        </is>
      </c>
      <c r="C319" s="45" t="n">
        <v>50.6721</v>
      </c>
      <c r="D319" t="inlineStr">
        <is>
          <t>€/MWh</t>
        </is>
      </c>
      <c r="E319" s="54" t="n">
        <v>0.050672</v>
      </c>
      <c r="F319" s="54" t="n"/>
      <c r="G319" t="inlineStr">
        <is>
          <t>no aplica (precio mayorista)</t>
        </is>
      </c>
      <c r="J319" t="inlineStr">
        <is>
          <t>2020-11-09</t>
        </is>
      </c>
      <c r="K319" t="inlineStr">
        <is>
          <t>marginalpdbc_20201110.1</t>
        </is>
      </c>
      <c r="L319" t="inlineStr">
        <is>
          <t>24 periodos; mín 44.55, máx 62.38 €/MWh</t>
        </is>
      </c>
    </row>
    <row r="320">
      <c r="A320" s="53" t="n">
        <v>44146</v>
      </c>
      <c r="B320" t="inlineStr">
        <is>
          <t>2020-11-11</t>
        </is>
      </c>
      <c r="C320" s="45" t="n">
        <v>43.3</v>
      </c>
      <c r="D320" t="inlineStr">
        <is>
          <t>€/MWh</t>
        </is>
      </c>
      <c r="E320" s="54" t="n">
        <v>0.0433</v>
      </c>
      <c r="F320" s="54" t="n"/>
      <c r="G320" t="inlineStr">
        <is>
          <t>no aplica (precio mayorista)</t>
        </is>
      </c>
      <c r="J320" t="inlineStr">
        <is>
          <t>2020-11-10</t>
        </is>
      </c>
      <c r="K320" t="inlineStr">
        <is>
          <t>marginalpdbc_20201111.1</t>
        </is>
      </c>
      <c r="L320" t="inlineStr">
        <is>
          <t>24 periodos; mín 34.80, máx 51.82 €/MWh</t>
        </is>
      </c>
    </row>
    <row r="321">
      <c r="A321" s="53" t="n">
        <v>44147</v>
      </c>
      <c r="B321" t="inlineStr">
        <is>
          <t>2020-11-12</t>
        </is>
      </c>
      <c r="C321" s="45" t="n">
        <v>45.3467</v>
      </c>
      <c r="D321" t="inlineStr">
        <is>
          <t>€/MWh</t>
        </is>
      </c>
      <c r="E321" s="54" t="n">
        <v>0.045347</v>
      </c>
      <c r="F321" s="54" t="n"/>
      <c r="G321" t="inlineStr">
        <is>
          <t>no aplica (precio mayorista)</t>
        </is>
      </c>
      <c r="J321" t="inlineStr">
        <is>
          <t>2020-11-11</t>
        </is>
      </c>
      <c r="K321" t="inlineStr">
        <is>
          <t>marginalpdbc_20201112.1</t>
        </is>
      </c>
      <c r="L321" t="inlineStr">
        <is>
          <t>24 periodos; mín 40.09, máx 52.72 €/MWh</t>
        </is>
      </c>
    </row>
    <row r="322">
      <c r="A322" s="53" t="n">
        <v>44148</v>
      </c>
      <c r="B322" t="inlineStr">
        <is>
          <t>2020-11-13</t>
        </is>
      </c>
      <c r="C322" s="45" t="n">
        <v>44.515</v>
      </c>
      <c r="D322" t="inlineStr">
        <is>
          <t>€/MWh</t>
        </is>
      </c>
      <c r="E322" s="54" t="n">
        <v>0.044515</v>
      </c>
      <c r="F322" s="54" t="n"/>
      <c r="G322" t="inlineStr">
        <is>
          <t>no aplica (precio mayorista)</t>
        </is>
      </c>
      <c r="J322" t="inlineStr">
        <is>
          <t>2020-11-12</t>
        </is>
      </c>
      <c r="K322" t="inlineStr">
        <is>
          <t>marginalpdbc_20201113.1</t>
        </is>
      </c>
      <c r="L322" t="inlineStr">
        <is>
          <t>24 periodos; mín 37.02, máx 50.05 €/MWh</t>
        </is>
      </c>
    </row>
    <row r="323">
      <c r="A323" s="53" t="n">
        <v>44149</v>
      </c>
      <c r="B323" t="inlineStr">
        <is>
          <t>2020-11-14</t>
        </is>
      </c>
      <c r="C323" s="45" t="n">
        <v>38.1129</v>
      </c>
      <c r="D323" t="inlineStr">
        <is>
          <t>€/MWh</t>
        </is>
      </c>
      <c r="E323" s="54" t="n">
        <v>0.038113</v>
      </c>
      <c r="F323" s="54" t="n"/>
      <c r="G323" t="inlineStr">
        <is>
          <t>no aplica (precio mayorista)</t>
        </is>
      </c>
      <c r="J323" t="inlineStr">
        <is>
          <t>2020-11-13</t>
        </is>
      </c>
      <c r="K323" t="inlineStr">
        <is>
          <t>marginalpdbc_20201114.1</t>
        </is>
      </c>
      <c r="L323" t="inlineStr">
        <is>
          <t>24 periodos; mín 32.05, máx 44.56 €/MWh</t>
        </is>
      </c>
    </row>
    <row r="324">
      <c r="A324" s="53" t="n">
        <v>44150</v>
      </c>
      <c r="B324" t="inlineStr">
        <is>
          <t>2020-11-15</t>
        </is>
      </c>
      <c r="C324" s="45" t="n">
        <v>24.1392</v>
      </c>
      <c r="D324" t="inlineStr">
        <is>
          <t>€/MWh</t>
        </is>
      </c>
      <c r="E324" s="54" t="n">
        <v>0.024139</v>
      </c>
      <c r="F324" s="54" t="n"/>
      <c r="G324" t="inlineStr">
        <is>
          <t>no aplica (precio mayorista)</t>
        </is>
      </c>
      <c r="J324" t="inlineStr">
        <is>
          <t>2020-11-14</t>
        </is>
      </c>
      <c r="K324" t="inlineStr">
        <is>
          <t>marginalpdbc_20201115.1</t>
        </is>
      </c>
      <c r="L324" t="inlineStr">
        <is>
          <t>24 periodos; mín 8.00, máx 43.02 €/MWh</t>
        </is>
      </c>
    </row>
    <row r="325">
      <c r="A325" s="53" t="n">
        <v>44151</v>
      </c>
      <c r="B325" t="inlineStr">
        <is>
          <t>2020-11-16</t>
        </is>
      </c>
      <c r="C325" s="45" t="n">
        <v>42.4763</v>
      </c>
      <c r="D325" t="inlineStr">
        <is>
          <t>€/MWh</t>
        </is>
      </c>
      <c r="E325" s="54" t="n">
        <v>0.042476</v>
      </c>
      <c r="F325" s="54" t="n"/>
      <c r="G325" t="inlineStr">
        <is>
          <t>no aplica (precio mayorista)</t>
        </is>
      </c>
      <c r="J325" t="inlineStr">
        <is>
          <t>2020-11-15</t>
        </is>
      </c>
      <c r="K325" t="inlineStr">
        <is>
          <t>marginalpdbc_20201116.1</t>
        </is>
      </c>
      <c r="L325" t="inlineStr">
        <is>
          <t>24 periodos; mín 31.30, máx 51.90 €/MWh</t>
        </is>
      </c>
    </row>
    <row r="326">
      <c r="A326" s="53" t="n">
        <v>44152</v>
      </c>
      <c r="B326" t="inlineStr">
        <is>
          <t>2020-11-17</t>
        </is>
      </c>
      <c r="C326" s="45" t="n">
        <v>44.7463</v>
      </c>
      <c r="D326" t="inlineStr">
        <is>
          <t>€/MWh</t>
        </is>
      </c>
      <c r="E326" s="54" t="n">
        <v>0.044746</v>
      </c>
      <c r="F326" s="54" t="n"/>
      <c r="G326" t="inlineStr">
        <is>
          <t>no aplica (precio mayorista)</t>
        </is>
      </c>
      <c r="J326" t="inlineStr">
        <is>
          <t>2020-11-16</t>
        </is>
      </c>
      <c r="K326" t="inlineStr">
        <is>
          <t>marginalpdbc_20201117.1</t>
        </is>
      </c>
      <c r="L326" t="inlineStr">
        <is>
          <t>24 periodos; mín 41.93, máx 50.00 €/MWh</t>
        </is>
      </c>
    </row>
    <row r="327">
      <c r="A327" s="53" t="n">
        <v>44153</v>
      </c>
      <c r="B327" t="inlineStr">
        <is>
          <t>2020-11-18</t>
        </is>
      </c>
      <c r="C327" s="45" t="n">
        <v>42.4592</v>
      </c>
      <c r="D327" t="inlineStr">
        <is>
          <t>€/MWh</t>
        </is>
      </c>
      <c r="E327" s="54" t="n">
        <v>0.042459</v>
      </c>
      <c r="F327" s="54" t="n"/>
      <c r="G327" t="inlineStr">
        <is>
          <t>no aplica (precio mayorista)</t>
        </is>
      </c>
      <c r="J327" t="inlineStr">
        <is>
          <t>2020-11-17</t>
        </is>
      </c>
      <c r="K327" t="inlineStr">
        <is>
          <t>marginalpdbc_20201118.1</t>
        </is>
      </c>
      <c r="L327" t="inlineStr">
        <is>
          <t>24 periodos; mín 30.25, máx 52.55 €/MWh</t>
        </is>
      </c>
    </row>
    <row r="328">
      <c r="A328" s="53" t="n">
        <v>44154</v>
      </c>
      <c r="B328" t="inlineStr">
        <is>
          <t>2020-11-19</t>
        </is>
      </c>
      <c r="C328" s="45" t="n">
        <v>39.0796</v>
      </c>
      <c r="D328" t="inlineStr">
        <is>
          <t>€/MWh</t>
        </is>
      </c>
      <c r="E328" s="54" t="n">
        <v>0.03908</v>
      </c>
      <c r="F328" s="54" t="n"/>
      <c r="G328" t="inlineStr">
        <is>
          <t>no aplica (precio mayorista)</t>
        </is>
      </c>
      <c r="J328" t="inlineStr">
        <is>
          <t>2020-11-18</t>
        </is>
      </c>
      <c r="K328" t="inlineStr">
        <is>
          <t>marginalpdbc_20201119.1</t>
        </is>
      </c>
      <c r="L328" t="inlineStr">
        <is>
          <t>24 periodos; mín 32.02, máx 48.11 €/MWh</t>
        </is>
      </c>
    </row>
    <row r="329">
      <c r="A329" s="53" t="n">
        <v>44155</v>
      </c>
      <c r="B329" t="inlineStr">
        <is>
          <t>2020-11-20</t>
        </is>
      </c>
      <c r="C329" s="45" t="n">
        <v>41.3013</v>
      </c>
      <c r="D329" t="inlineStr">
        <is>
          <t>€/MWh</t>
        </is>
      </c>
      <c r="E329" s="54" t="n">
        <v>0.041301</v>
      </c>
      <c r="F329" s="54" t="n"/>
      <c r="G329" t="inlineStr">
        <is>
          <t>no aplica (precio mayorista)</t>
        </is>
      </c>
      <c r="J329" t="inlineStr">
        <is>
          <t>2020-11-19</t>
        </is>
      </c>
      <c r="K329" t="inlineStr">
        <is>
          <t>marginalpdbc_20201120.1</t>
        </is>
      </c>
      <c r="L329" t="inlineStr">
        <is>
          <t>24 periodos; mín 31.64, máx 49.37 €/MWh</t>
        </is>
      </c>
    </row>
    <row r="330">
      <c r="A330" s="53" t="n">
        <v>44156</v>
      </c>
      <c r="B330" t="inlineStr">
        <is>
          <t>2020-11-21</t>
        </is>
      </c>
      <c r="C330" s="45" t="n">
        <v>40.25</v>
      </c>
      <c r="D330" t="inlineStr">
        <is>
          <t>€/MWh</t>
        </is>
      </c>
      <c r="E330" s="54" t="n">
        <v>0.04025</v>
      </c>
      <c r="F330" s="54" t="n"/>
      <c r="G330" t="inlineStr">
        <is>
          <t>no aplica (precio mayorista)</t>
        </is>
      </c>
      <c r="J330" t="inlineStr">
        <is>
          <t>2020-11-20</t>
        </is>
      </c>
      <c r="K330" t="inlineStr">
        <is>
          <t>marginalpdbc_20201121.1</t>
        </is>
      </c>
      <c r="L330" t="inlineStr">
        <is>
          <t>24 periodos; mín 30.40, máx 50.98 €/MWh</t>
        </is>
      </c>
    </row>
    <row r="331">
      <c r="A331" s="53" t="n">
        <v>44157</v>
      </c>
      <c r="B331" t="inlineStr">
        <is>
          <t>2020-11-22</t>
        </is>
      </c>
      <c r="C331" s="45" t="n">
        <v>42.0004</v>
      </c>
      <c r="D331" t="inlineStr">
        <is>
          <t>€/MWh</t>
        </is>
      </c>
      <c r="E331" s="54" t="n">
        <v>0.042</v>
      </c>
      <c r="F331" s="54" t="n"/>
      <c r="G331" t="inlineStr">
        <is>
          <t>no aplica (precio mayorista)</t>
        </is>
      </c>
      <c r="J331" t="inlineStr">
        <is>
          <t>2020-11-21</t>
        </is>
      </c>
      <c r="K331" t="inlineStr">
        <is>
          <t>marginalpdbc_20201122.1</t>
        </is>
      </c>
      <c r="L331" t="inlineStr">
        <is>
          <t>24 periodos; mín 33.30, máx 51.80 €/MWh</t>
        </is>
      </c>
    </row>
    <row r="332">
      <c r="A332" s="53" t="n">
        <v>44158</v>
      </c>
      <c r="B332" t="inlineStr">
        <is>
          <t>2020-11-23</t>
        </is>
      </c>
      <c r="C332" s="45" t="n">
        <v>50.51</v>
      </c>
      <c r="D332" t="inlineStr">
        <is>
          <t>€/MWh</t>
        </is>
      </c>
      <c r="E332" s="54" t="n">
        <v>0.05051</v>
      </c>
      <c r="F332" s="54" t="n"/>
      <c r="G332" t="inlineStr">
        <is>
          <t>no aplica (precio mayorista)</t>
        </is>
      </c>
      <c r="J332" t="inlineStr">
        <is>
          <t>2020-11-22</t>
        </is>
      </c>
      <c r="K332" t="inlineStr">
        <is>
          <t>marginalpdbc_20201123.1</t>
        </is>
      </c>
      <c r="L332" t="inlineStr">
        <is>
          <t>24 periodos; mín 40.07, máx 62.03 €/MWh</t>
        </is>
      </c>
    </row>
    <row r="333">
      <c r="A333" s="53" t="n">
        <v>44159</v>
      </c>
      <c r="B333" t="inlineStr">
        <is>
          <t>2020-11-24</t>
        </is>
      </c>
      <c r="C333" s="45" t="n">
        <v>46.68</v>
      </c>
      <c r="D333" t="inlineStr">
        <is>
          <t>€/MWh</t>
        </is>
      </c>
      <c r="E333" s="54" t="n">
        <v>0.04668</v>
      </c>
      <c r="F333" s="54" t="n"/>
      <c r="G333" t="inlineStr">
        <is>
          <t>no aplica (precio mayorista)</t>
        </is>
      </c>
      <c r="J333" t="inlineStr">
        <is>
          <t>2020-11-23</t>
        </is>
      </c>
      <c r="K333" t="inlineStr">
        <is>
          <t>marginalpdbc_20201124.1</t>
        </is>
      </c>
      <c r="L333" t="inlineStr">
        <is>
          <t>24 periodos; mín 36.37, máx 55.30 €/MWh</t>
        </is>
      </c>
    </row>
    <row r="334">
      <c r="A334" s="53" t="n">
        <v>44160</v>
      </c>
      <c r="B334" t="inlineStr">
        <is>
          <t>2020-11-25</t>
        </is>
      </c>
      <c r="C334" s="45" t="n">
        <v>47.3417</v>
      </c>
      <c r="D334" t="inlineStr">
        <is>
          <t>€/MWh</t>
        </is>
      </c>
      <c r="E334" s="54" t="n">
        <v>0.047342</v>
      </c>
      <c r="F334" s="54" t="n"/>
      <c r="G334" t="inlineStr">
        <is>
          <t>no aplica (precio mayorista)</t>
        </is>
      </c>
      <c r="J334" t="inlineStr">
        <is>
          <t>2020-11-24</t>
        </is>
      </c>
      <c r="K334" t="inlineStr">
        <is>
          <t>marginalpdbc_20201125.1</t>
        </is>
      </c>
      <c r="L334" t="inlineStr">
        <is>
          <t>24 periodos; mín 33.50, máx 59.02 €/MWh</t>
        </is>
      </c>
    </row>
    <row r="335">
      <c r="A335" s="53" t="n">
        <v>44161</v>
      </c>
      <c r="B335" t="inlineStr">
        <is>
          <t>2020-11-26</t>
        </is>
      </c>
      <c r="C335" s="45" t="n">
        <v>48.1629</v>
      </c>
      <c r="D335" t="inlineStr">
        <is>
          <t>€/MWh</t>
        </is>
      </c>
      <c r="E335" s="54" t="n">
        <v>0.048163</v>
      </c>
      <c r="F335" s="54" t="n"/>
      <c r="G335" t="inlineStr">
        <is>
          <t>no aplica (precio mayorista)</t>
        </is>
      </c>
      <c r="J335" t="inlineStr">
        <is>
          <t>2020-11-25</t>
        </is>
      </c>
      <c r="K335" t="inlineStr">
        <is>
          <t>marginalpdbc_20201126.1</t>
        </is>
      </c>
      <c r="L335" t="inlineStr">
        <is>
          <t>24 periodos; mín 36.57, máx 55.96 €/MWh</t>
        </is>
      </c>
    </row>
    <row r="336">
      <c r="A336" s="53" t="n">
        <v>44162</v>
      </c>
      <c r="B336" t="inlineStr">
        <is>
          <t>2020-11-27</t>
        </is>
      </c>
      <c r="C336" s="45" t="n">
        <v>52.5583</v>
      </c>
      <c r="D336" t="inlineStr">
        <is>
          <t>€/MWh</t>
        </is>
      </c>
      <c r="E336" s="54" t="n">
        <v>0.052558</v>
      </c>
      <c r="F336" s="54" t="n"/>
      <c r="G336" t="inlineStr">
        <is>
          <t>no aplica (precio mayorista)</t>
        </is>
      </c>
      <c r="J336" t="inlineStr">
        <is>
          <t>2020-11-26</t>
        </is>
      </c>
      <c r="K336" t="inlineStr">
        <is>
          <t>marginalpdbc_20201127.1</t>
        </is>
      </c>
      <c r="L336" t="inlineStr">
        <is>
          <t>24 periodos; mín 40.37, máx 61.25 €/MWh</t>
        </is>
      </c>
    </row>
    <row r="337">
      <c r="A337" s="53" t="n">
        <v>44163</v>
      </c>
      <c r="B337" t="inlineStr">
        <is>
          <t>2020-11-28</t>
        </is>
      </c>
      <c r="C337" s="45" t="n">
        <v>48.0704</v>
      </c>
      <c r="D337" t="inlineStr">
        <is>
          <t>€/MWh</t>
        </is>
      </c>
      <c r="E337" s="54" t="n">
        <v>0.04807</v>
      </c>
      <c r="F337" s="54" t="n"/>
      <c r="G337" t="inlineStr">
        <is>
          <t>no aplica (precio mayorista)</t>
        </is>
      </c>
      <c r="J337" t="inlineStr">
        <is>
          <t>2020-11-27</t>
        </is>
      </c>
      <c r="K337" t="inlineStr">
        <is>
          <t>marginalpdbc_20201128.1</t>
        </is>
      </c>
      <c r="L337" t="inlineStr">
        <is>
          <t>24 periodos; mín 41.97, máx 56.14 €/MWh</t>
        </is>
      </c>
    </row>
    <row r="338">
      <c r="A338" s="53" t="n">
        <v>44164</v>
      </c>
      <c r="B338" t="inlineStr">
        <is>
          <t>2020-11-29</t>
        </is>
      </c>
      <c r="C338" s="45" t="n">
        <v>45.4425</v>
      </c>
      <c r="D338" t="inlineStr">
        <is>
          <t>€/MWh</t>
        </is>
      </c>
      <c r="E338" s="54" t="n">
        <v>0.045442</v>
      </c>
      <c r="F338" s="54" t="n"/>
      <c r="G338" t="inlineStr">
        <is>
          <t>no aplica (precio mayorista)</t>
        </is>
      </c>
      <c r="J338" t="inlineStr">
        <is>
          <t>2020-11-28</t>
        </is>
      </c>
      <c r="K338" t="inlineStr">
        <is>
          <t>marginalpdbc_20201129.1</t>
        </is>
      </c>
      <c r="L338" t="inlineStr">
        <is>
          <t>24 periodos; mín 35.97, máx 58.97 €/MWh</t>
        </is>
      </c>
    </row>
    <row r="339">
      <c r="A339" s="53" t="n">
        <v>44165</v>
      </c>
      <c r="B339" t="inlineStr">
        <is>
          <t>2020-11-30</t>
        </is>
      </c>
      <c r="C339" s="45" t="n">
        <v>52.2304</v>
      </c>
      <c r="D339" t="inlineStr">
        <is>
          <t>€/MWh</t>
        </is>
      </c>
      <c r="E339" s="54" t="n">
        <v>0.05223</v>
      </c>
      <c r="F339" s="54" t="n"/>
      <c r="G339" t="inlineStr">
        <is>
          <t>no aplica (precio mayorista)</t>
        </is>
      </c>
      <c r="J339" t="inlineStr">
        <is>
          <t>2020-11-29</t>
        </is>
      </c>
      <c r="K339" t="inlineStr">
        <is>
          <t>marginalpdbc_20201130.1</t>
        </is>
      </c>
      <c r="L339" t="inlineStr">
        <is>
          <t>24 periodos; mín 38.82, máx 60.02 €/MWh</t>
        </is>
      </c>
    </row>
    <row r="340">
      <c r="A340" s="53" t="n">
        <v>44166</v>
      </c>
      <c r="B340" t="inlineStr">
        <is>
          <t>2020-12-01</t>
        </is>
      </c>
      <c r="C340" s="45" t="n">
        <v>50.3642</v>
      </c>
      <c r="D340" t="inlineStr">
        <is>
          <t>€/MWh</t>
        </is>
      </c>
      <c r="E340" s="54" t="n">
        <v>0.050364</v>
      </c>
      <c r="F340" s="54" t="n"/>
      <c r="G340" t="inlineStr">
        <is>
          <t>no aplica (precio mayorista)</t>
        </is>
      </c>
      <c r="J340" t="inlineStr">
        <is>
          <t>2020-11-30</t>
        </is>
      </c>
      <c r="K340" t="inlineStr">
        <is>
          <t>marginalpdbc_20201201.1</t>
        </is>
      </c>
      <c r="L340" t="inlineStr">
        <is>
          <t>24 periodos; mín 36.49, máx 58.03 €/MWh</t>
        </is>
      </c>
    </row>
    <row r="341">
      <c r="A341" s="53" t="n">
        <v>44167</v>
      </c>
      <c r="B341" t="inlineStr">
        <is>
          <t>2020-12-02</t>
        </is>
      </c>
      <c r="C341" s="45" t="n">
        <v>49.4625</v>
      </c>
      <c r="D341" t="inlineStr">
        <is>
          <t>€/MWh</t>
        </is>
      </c>
      <c r="E341" s="54" t="n">
        <v>0.049462</v>
      </c>
      <c r="F341" s="54" t="n"/>
      <c r="G341" t="inlineStr">
        <is>
          <t>no aplica (precio mayorista)</t>
        </is>
      </c>
      <c r="J341" t="inlineStr">
        <is>
          <t>2020-12-01</t>
        </is>
      </c>
      <c r="K341" t="inlineStr">
        <is>
          <t>marginalpdbc_20201202.1</t>
        </is>
      </c>
      <c r="L341" t="inlineStr">
        <is>
          <t>24 periodos; mín 37.00, máx 60.80 €/MWh</t>
        </is>
      </c>
    </row>
    <row r="342">
      <c r="A342" s="53" t="n">
        <v>44168</v>
      </c>
      <c r="B342" t="inlineStr">
        <is>
          <t>2020-12-03</t>
        </is>
      </c>
      <c r="C342" s="45" t="n">
        <v>49.4904</v>
      </c>
      <c r="D342" t="inlineStr">
        <is>
          <t>€/MWh</t>
        </is>
      </c>
      <c r="E342" s="54" t="n">
        <v>0.04949</v>
      </c>
      <c r="F342" s="54" t="n"/>
      <c r="G342" t="inlineStr">
        <is>
          <t>no aplica (precio mayorista)</t>
        </is>
      </c>
      <c r="J342" t="inlineStr">
        <is>
          <t>2020-12-02</t>
        </is>
      </c>
      <c r="K342" t="inlineStr">
        <is>
          <t>marginalpdbc_20201203.1</t>
        </is>
      </c>
      <c r="L342" t="inlineStr">
        <is>
          <t>24 periodos; mín 35.00, máx 62.57 €/MWh</t>
        </is>
      </c>
    </row>
    <row r="343">
      <c r="A343" s="53" t="n">
        <v>44169</v>
      </c>
      <c r="B343" t="inlineStr">
        <is>
          <t>2020-12-04</t>
        </is>
      </c>
      <c r="C343" s="45" t="n">
        <v>43.3596</v>
      </c>
      <c r="D343" t="inlineStr">
        <is>
          <t>€/MWh</t>
        </is>
      </c>
      <c r="E343" s="54" t="n">
        <v>0.04336</v>
      </c>
      <c r="F343" s="54" t="n"/>
      <c r="G343" t="inlineStr">
        <is>
          <t>no aplica (precio mayorista)</t>
        </is>
      </c>
      <c r="J343" t="inlineStr">
        <is>
          <t>2020-12-03</t>
        </is>
      </c>
      <c r="K343" t="inlineStr">
        <is>
          <t>marginalpdbc_20201204.1</t>
        </is>
      </c>
      <c r="L343" t="inlineStr">
        <is>
          <t>24 periodos; mín 24.04, máx 56.74 €/MWh</t>
        </is>
      </c>
    </row>
    <row r="344">
      <c r="A344" s="53" t="n">
        <v>44170</v>
      </c>
      <c r="B344" t="inlineStr">
        <is>
          <t>2020-12-05</t>
        </is>
      </c>
      <c r="C344" s="45" t="n">
        <v>45.2146</v>
      </c>
      <c r="D344" t="inlineStr">
        <is>
          <t>€/MWh</t>
        </is>
      </c>
      <c r="E344" s="54" t="n">
        <v>0.045215</v>
      </c>
      <c r="F344" s="54" t="n"/>
      <c r="G344" t="inlineStr">
        <is>
          <t>no aplica (precio mayorista)</t>
        </is>
      </c>
      <c r="J344" t="inlineStr">
        <is>
          <t>2020-12-04</t>
        </is>
      </c>
      <c r="K344" t="inlineStr">
        <is>
          <t>marginalpdbc_20201205.1</t>
        </is>
      </c>
      <c r="L344" t="inlineStr">
        <is>
          <t>24 periodos; mín 38.28, máx 51.05 €/MWh</t>
        </is>
      </c>
    </row>
    <row r="345">
      <c r="A345" s="53" t="n">
        <v>44171</v>
      </c>
      <c r="B345" t="inlineStr">
        <is>
          <t>2020-12-06</t>
        </is>
      </c>
      <c r="C345" s="45" t="n">
        <v>39.9858</v>
      </c>
      <c r="D345" t="inlineStr">
        <is>
          <t>€/MWh</t>
        </is>
      </c>
      <c r="E345" s="54" t="n">
        <v>0.039986</v>
      </c>
      <c r="F345" s="54" t="n"/>
      <c r="G345" t="inlineStr">
        <is>
          <t>no aplica (precio mayorista)</t>
        </is>
      </c>
      <c r="J345" t="inlineStr">
        <is>
          <t>2020-12-05</t>
        </is>
      </c>
      <c r="K345" t="inlineStr">
        <is>
          <t>marginalpdbc_20201206.1</t>
        </is>
      </c>
      <c r="L345" t="inlineStr">
        <is>
          <t>24 periodos; mín 30.03, máx 53.01 €/MWh</t>
        </is>
      </c>
    </row>
    <row r="346">
      <c r="A346" s="53" t="n">
        <v>44172</v>
      </c>
      <c r="B346" t="inlineStr">
        <is>
          <t>2020-12-07</t>
        </is>
      </c>
      <c r="C346" s="45" t="n">
        <v>38.0158</v>
      </c>
      <c r="D346" t="inlineStr">
        <is>
          <t>€/MWh</t>
        </is>
      </c>
      <c r="E346" s="54" t="n">
        <v>0.038016</v>
      </c>
      <c r="F346" s="54" t="n"/>
      <c r="G346" t="inlineStr">
        <is>
          <t>no aplica (precio mayorista)</t>
        </is>
      </c>
      <c r="J346" t="inlineStr">
        <is>
          <t>2020-12-06</t>
        </is>
      </c>
      <c r="K346" t="inlineStr">
        <is>
          <t>marginalpdbc_20201207.1</t>
        </is>
      </c>
      <c r="L346" t="inlineStr">
        <is>
          <t>24 periodos; mín 28.10, máx 47.36 €/MWh</t>
        </is>
      </c>
    </row>
    <row r="347">
      <c r="A347" s="53" t="n">
        <v>44173</v>
      </c>
      <c r="B347" t="inlineStr">
        <is>
          <t>2020-12-08</t>
        </is>
      </c>
      <c r="C347" s="45" t="n">
        <v>27.4829</v>
      </c>
      <c r="D347" t="inlineStr">
        <is>
          <t>€/MWh</t>
        </is>
      </c>
      <c r="E347" s="54" t="n">
        <v>0.027483</v>
      </c>
      <c r="F347" s="54" t="n"/>
      <c r="G347" t="inlineStr">
        <is>
          <t>no aplica (precio mayorista)</t>
        </is>
      </c>
      <c r="J347" t="inlineStr">
        <is>
          <t>2020-12-07</t>
        </is>
      </c>
      <c r="K347" t="inlineStr">
        <is>
          <t>marginalpdbc_20201208.1</t>
        </is>
      </c>
      <c r="L347" t="inlineStr">
        <is>
          <t>24 periodos; mín 1.95, máx 51.44 €/MWh</t>
        </is>
      </c>
    </row>
    <row r="348">
      <c r="A348" s="53" t="n">
        <v>44174</v>
      </c>
      <c r="B348" t="inlineStr">
        <is>
          <t>2020-12-09</t>
        </is>
      </c>
      <c r="C348" s="45" t="n">
        <v>47.5167</v>
      </c>
      <c r="D348" t="inlineStr">
        <is>
          <t>€/MWh</t>
        </is>
      </c>
      <c r="E348" s="54" t="n">
        <v>0.047517</v>
      </c>
      <c r="F348" s="54" t="n"/>
      <c r="G348" t="inlineStr">
        <is>
          <t>no aplica (precio mayorista)</t>
        </is>
      </c>
      <c r="J348" t="inlineStr">
        <is>
          <t>2020-12-08</t>
        </is>
      </c>
      <c r="K348" t="inlineStr">
        <is>
          <t>marginalpdbc_20201209.1</t>
        </is>
      </c>
      <c r="L348" t="inlineStr">
        <is>
          <t>24 periodos; mín 36.19, máx 54.68 €/MWh</t>
        </is>
      </c>
    </row>
    <row r="349">
      <c r="A349" s="53" t="n">
        <v>44175</v>
      </c>
      <c r="B349" t="inlineStr">
        <is>
          <t>2020-12-10</t>
        </is>
      </c>
      <c r="C349" s="45" t="n">
        <v>43.4171</v>
      </c>
      <c r="D349" t="inlineStr">
        <is>
          <t>€/MWh</t>
        </is>
      </c>
      <c r="E349" s="54" t="n">
        <v>0.043417</v>
      </c>
      <c r="F349" s="54" t="n"/>
      <c r="G349" t="inlineStr">
        <is>
          <t>no aplica (precio mayorista)</t>
        </is>
      </c>
      <c r="J349" t="inlineStr">
        <is>
          <t>2020-12-09</t>
        </is>
      </c>
      <c r="K349" t="inlineStr">
        <is>
          <t>marginalpdbc_20201210.1</t>
        </is>
      </c>
      <c r="L349" t="inlineStr">
        <is>
          <t>24 periodos; mín 29.50, máx 52.53 €/MWh</t>
        </is>
      </c>
    </row>
    <row r="350">
      <c r="A350" s="53" t="n">
        <v>44176</v>
      </c>
      <c r="B350" t="inlineStr">
        <is>
          <t>2020-12-11</t>
        </is>
      </c>
      <c r="C350" s="45" t="n">
        <v>37.2467</v>
      </c>
      <c r="D350" t="inlineStr">
        <is>
          <t>€/MWh</t>
        </is>
      </c>
      <c r="E350" s="54" t="n">
        <v>0.037247</v>
      </c>
      <c r="F350" s="54" t="n"/>
      <c r="G350" t="inlineStr">
        <is>
          <t>no aplica (precio mayorista)</t>
        </is>
      </c>
      <c r="J350" t="inlineStr">
        <is>
          <t>2020-12-10</t>
        </is>
      </c>
      <c r="K350" t="inlineStr">
        <is>
          <t>marginalpdbc_20201211.1</t>
        </is>
      </c>
      <c r="L350" t="inlineStr">
        <is>
          <t>24 periodos; mín 19.50, máx 45.50 €/MWh</t>
        </is>
      </c>
    </row>
    <row r="351">
      <c r="A351" s="53" t="n">
        <v>44177</v>
      </c>
      <c r="B351" t="inlineStr">
        <is>
          <t>2020-12-12</t>
        </is>
      </c>
      <c r="C351" s="45" t="n">
        <v>36.2662</v>
      </c>
      <c r="D351" t="inlineStr">
        <is>
          <t>€/MWh</t>
        </is>
      </c>
      <c r="E351" s="54" t="n">
        <v>0.036266</v>
      </c>
      <c r="F351" s="54" t="n"/>
      <c r="G351" t="inlineStr">
        <is>
          <t>no aplica (precio mayorista)</t>
        </is>
      </c>
      <c r="J351" t="inlineStr">
        <is>
          <t>2020-12-11</t>
        </is>
      </c>
      <c r="K351" t="inlineStr">
        <is>
          <t>marginalpdbc_20201212.1</t>
        </is>
      </c>
      <c r="L351" t="inlineStr">
        <is>
          <t>24 periodos; mín 16.09, máx 53.50 €/MWh</t>
        </is>
      </c>
    </row>
    <row r="352">
      <c r="A352" s="53" t="n">
        <v>44178</v>
      </c>
      <c r="B352" t="inlineStr">
        <is>
          <t>2020-12-13</t>
        </is>
      </c>
      <c r="C352" s="45" t="n">
        <v>43.1925</v>
      </c>
      <c r="D352" t="inlineStr">
        <is>
          <t>€/MWh</t>
        </is>
      </c>
      <c r="E352" s="54" t="n">
        <v>0.043192</v>
      </c>
      <c r="F352" s="54" t="n"/>
      <c r="G352" t="inlineStr">
        <is>
          <t>no aplica (precio mayorista)</t>
        </is>
      </c>
      <c r="J352" t="inlineStr">
        <is>
          <t>2020-12-12</t>
        </is>
      </c>
      <c r="K352" t="inlineStr">
        <is>
          <t>marginalpdbc_20201213.1</t>
        </is>
      </c>
      <c r="L352" t="inlineStr">
        <is>
          <t>24 periodos; mín 32.60, máx 53.00 €/MWh</t>
        </is>
      </c>
    </row>
    <row r="353">
      <c r="A353" s="53" t="n">
        <v>44179</v>
      </c>
      <c r="B353" t="inlineStr">
        <is>
          <t>2020-12-14</t>
        </is>
      </c>
      <c r="C353" s="45" t="n">
        <v>46.4946</v>
      </c>
      <c r="D353" t="inlineStr">
        <is>
          <t>€/MWh</t>
        </is>
      </c>
      <c r="E353" s="54" t="n">
        <v>0.046495</v>
      </c>
      <c r="F353" s="54" t="n"/>
      <c r="G353" t="inlineStr">
        <is>
          <t>no aplica (precio mayorista)</t>
        </is>
      </c>
      <c r="J353" t="inlineStr">
        <is>
          <t>2020-12-13</t>
        </is>
      </c>
      <c r="K353" t="inlineStr">
        <is>
          <t>marginalpdbc_20201214.1</t>
        </is>
      </c>
      <c r="L353" t="inlineStr">
        <is>
          <t>24 periodos; mín 29.50, máx 56.02 €/MWh</t>
        </is>
      </c>
    </row>
    <row r="354">
      <c r="A354" s="53" t="n">
        <v>44180</v>
      </c>
      <c r="B354" t="inlineStr">
        <is>
          <t>2020-12-15</t>
        </is>
      </c>
      <c r="C354" s="45" t="n">
        <v>48.9175</v>
      </c>
      <c r="D354" t="inlineStr">
        <is>
          <t>€/MWh</t>
        </is>
      </c>
      <c r="E354" s="54" t="n">
        <v>0.048917</v>
      </c>
      <c r="F354" s="54" t="n"/>
      <c r="G354" t="inlineStr">
        <is>
          <t>no aplica (precio mayorista)</t>
        </is>
      </c>
      <c r="J354" t="inlineStr">
        <is>
          <t>2020-12-14</t>
        </is>
      </c>
      <c r="K354" t="inlineStr">
        <is>
          <t>marginalpdbc_20201215.1</t>
        </is>
      </c>
      <c r="L354" t="inlineStr">
        <is>
          <t>24 periodos; mín 34.00, máx 60.19 €/MWh</t>
        </is>
      </c>
    </row>
    <row r="355">
      <c r="A355" s="53" t="n">
        <v>44181</v>
      </c>
      <c r="B355" t="inlineStr">
        <is>
          <t>2020-12-16</t>
        </is>
      </c>
      <c r="C355" s="45" t="n">
        <v>49.3442</v>
      </c>
      <c r="D355" t="inlineStr">
        <is>
          <t>€/MWh</t>
        </is>
      </c>
      <c r="E355" s="54" t="n">
        <v>0.049344</v>
      </c>
      <c r="F355" s="54" t="n"/>
      <c r="G355" t="inlineStr">
        <is>
          <t>no aplica (precio mayorista)</t>
        </is>
      </c>
      <c r="J355" t="inlineStr">
        <is>
          <t>2020-12-15</t>
        </is>
      </c>
      <c r="K355" t="inlineStr">
        <is>
          <t>marginalpdbc_20201216.1</t>
        </is>
      </c>
      <c r="L355" t="inlineStr">
        <is>
          <t>24 periodos; mín 31.28, máx 62.02 €/MWh</t>
        </is>
      </c>
    </row>
    <row r="356">
      <c r="A356" s="53" t="n">
        <v>44182</v>
      </c>
      <c r="B356" t="inlineStr">
        <is>
          <t>2020-12-17</t>
        </is>
      </c>
      <c r="C356" s="45" t="n">
        <v>56.8717</v>
      </c>
      <c r="D356" t="inlineStr">
        <is>
          <t>€/MWh</t>
        </is>
      </c>
      <c r="E356" s="54" t="n">
        <v>0.056872</v>
      </c>
      <c r="F356" s="54" t="n"/>
      <c r="G356" t="inlineStr">
        <is>
          <t>no aplica (precio mayorista)</t>
        </is>
      </c>
      <c r="J356" t="inlineStr">
        <is>
          <t>2020-12-16</t>
        </is>
      </c>
      <c r="K356" t="inlineStr">
        <is>
          <t>marginalpdbc_20201217.1</t>
        </is>
      </c>
      <c r="L356" t="inlineStr">
        <is>
          <t>24 periodos; mín 44.62, máx 68.90 €/MWh</t>
        </is>
      </c>
    </row>
    <row r="357">
      <c r="A357" s="53" t="n">
        <v>44183</v>
      </c>
      <c r="B357" t="inlineStr">
        <is>
          <t>2020-12-18</t>
        </is>
      </c>
      <c r="C357" s="45" t="n">
        <v>49.1108</v>
      </c>
      <c r="D357" t="inlineStr">
        <is>
          <t>€/MWh</t>
        </is>
      </c>
      <c r="E357" s="54" t="n">
        <v>0.049111</v>
      </c>
      <c r="F357" s="54" t="n"/>
      <c r="G357" t="inlineStr">
        <is>
          <t>no aplica (precio mayorista)</t>
        </is>
      </c>
      <c r="J357" t="inlineStr">
        <is>
          <t>2020-12-17</t>
        </is>
      </c>
      <c r="K357" t="inlineStr">
        <is>
          <t>marginalpdbc_20201218.1</t>
        </is>
      </c>
      <c r="L357" t="inlineStr">
        <is>
          <t>24 periodos; mín 36.50, máx 58.91 €/MWh</t>
        </is>
      </c>
    </row>
    <row r="358">
      <c r="A358" s="53" t="n">
        <v>44184</v>
      </c>
      <c r="B358" t="inlineStr">
        <is>
          <t>2020-12-19</t>
        </is>
      </c>
      <c r="C358" s="45" t="n">
        <v>44.2625</v>
      </c>
      <c r="D358" t="inlineStr">
        <is>
          <t>€/MWh</t>
        </is>
      </c>
      <c r="E358" s="54" t="n">
        <v>0.044262</v>
      </c>
      <c r="F358" s="54" t="n"/>
      <c r="G358" t="inlineStr">
        <is>
          <t>no aplica (precio mayorista)</t>
        </is>
      </c>
      <c r="J358" t="inlineStr">
        <is>
          <t>2020-12-18</t>
        </is>
      </c>
      <c r="K358" t="inlineStr">
        <is>
          <t>marginalpdbc_20201219.1</t>
        </is>
      </c>
      <c r="L358" t="inlineStr">
        <is>
          <t>24 periodos; mín 31.00, máx 54.30 €/MWh</t>
        </is>
      </c>
    </row>
    <row r="359">
      <c r="A359" s="53" t="n">
        <v>44185</v>
      </c>
      <c r="B359" t="inlineStr">
        <is>
          <t>2020-12-20</t>
        </is>
      </c>
      <c r="C359" s="45" t="n">
        <v>43.4217</v>
      </c>
      <c r="D359" t="inlineStr">
        <is>
          <t>€/MWh</t>
        </is>
      </c>
      <c r="E359" s="54" t="n">
        <v>0.043422</v>
      </c>
      <c r="F359" s="54" t="n"/>
      <c r="G359" t="inlineStr">
        <is>
          <t>no aplica (precio mayorista)</t>
        </is>
      </c>
      <c r="J359" t="inlineStr">
        <is>
          <t>2020-12-19</t>
        </is>
      </c>
      <c r="K359" t="inlineStr">
        <is>
          <t>marginalpdbc_20201220.1</t>
        </is>
      </c>
      <c r="L359" t="inlineStr">
        <is>
          <t>24 periodos; mín 34.40, máx 52.81 €/MWh</t>
        </is>
      </c>
    </row>
    <row r="360">
      <c r="A360" s="53" t="n">
        <v>44186</v>
      </c>
      <c r="B360" t="inlineStr">
        <is>
          <t>2020-12-21</t>
        </is>
      </c>
      <c r="C360" s="45" t="n">
        <v>46.7871</v>
      </c>
      <c r="D360" t="inlineStr">
        <is>
          <t>€/MWh</t>
        </is>
      </c>
      <c r="E360" s="54" t="n">
        <v>0.046787</v>
      </c>
      <c r="F360" s="54" t="n"/>
      <c r="G360" t="inlineStr">
        <is>
          <t>no aplica (precio mayorista)</t>
        </is>
      </c>
      <c r="J360" t="inlineStr">
        <is>
          <t>2020-12-20</t>
        </is>
      </c>
      <c r="K360" t="inlineStr">
        <is>
          <t>marginalpdbc_20201221.1</t>
        </is>
      </c>
      <c r="L360" t="inlineStr">
        <is>
          <t>24 periodos; mín 32.93, máx 53.68 €/MWh</t>
        </is>
      </c>
    </row>
    <row r="361">
      <c r="A361" s="53" t="n">
        <v>44187</v>
      </c>
      <c r="B361" t="inlineStr">
        <is>
          <t>2020-12-22</t>
        </is>
      </c>
      <c r="C361" s="45" t="n">
        <v>46.7096</v>
      </c>
      <c r="D361" t="inlineStr">
        <is>
          <t>€/MWh</t>
        </is>
      </c>
      <c r="E361" s="54" t="n">
        <v>0.04671</v>
      </c>
      <c r="F361" s="54" t="n"/>
      <c r="G361" t="inlineStr">
        <is>
          <t>no aplica (precio mayorista)</t>
        </is>
      </c>
      <c r="J361" t="inlineStr">
        <is>
          <t>2020-12-21</t>
        </is>
      </c>
      <c r="K361" t="inlineStr">
        <is>
          <t>marginalpdbc_20201222.1</t>
        </is>
      </c>
      <c r="L361" t="inlineStr">
        <is>
          <t>24 periodos; mín 35.00, máx 54.15 €/MWh</t>
        </is>
      </c>
    </row>
    <row r="362">
      <c r="A362" s="53" t="n">
        <v>44188</v>
      </c>
      <c r="B362" t="inlineStr">
        <is>
          <t>2020-12-23</t>
        </is>
      </c>
      <c r="C362" s="45" t="n">
        <v>46.2975</v>
      </c>
      <c r="D362" t="inlineStr">
        <is>
          <t>€/MWh</t>
        </is>
      </c>
      <c r="E362" s="54" t="n">
        <v>0.046298</v>
      </c>
      <c r="F362" s="54" t="n"/>
      <c r="G362" t="inlineStr">
        <is>
          <t>no aplica (precio mayorista)</t>
        </is>
      </c>
      <c r="J362" t="inlineStr">
        <is>
          <t>2020-12-22</t>
        </is>
      </c>
      <c r="K362" t="inlineStr">
        <is>
          <t>marginalpdbc_20201223.1</t>
        </is>
      </c>
      <c r="L362" t="inlineStr">
        <is>
          <t>24 periodos; mín 31.91, máx 53.35 €/MWh</t>
        </is>
      </c>
    </row>
    <row r="363">
      <c r="A363" s="53" t="n">
        <v>44189</v>
      </c>
      <c r="B363" t="inlineStr">
        <is>
          <t>2020-12-24</t>
        </is>
      </c>
      <c r="C363" s="45" t="n">
        <v>39.9392</v>
      </c>
      <c r="D363" t="inlineStr">
        <is>
          <t>€/MWh</t>
        </is>
      </c>
      <c r="E363" s="54" t="n">
        <v>0.039939</v>
      </c>
      <c r="F363" s="54" t="n"/>
      <c r="G363" t="inlineStr">
        <is>
          <t>no aplica (precio mayorista)</t>
        </is>
      </c>
      <c r="J363" t="inlineStr">
        <is>
          <t>2020-12-23</t>
        </is>
      </c>
      <c r="K363" t="inlineStr">
        <is>
          <t>marginalpdbc_20201224.1</t>
        </is>
      </c>
      <c r="L363" t="inlineStr">
        <is>
          <t>24 periodos; mín 29.98, máx 48.28 €/MWh</t>
        </is>
      </c>
    </row>
    <row r="364">
      <c r="A364" s="53" t="n">
        <v>44190</v>
      </c>
      <c r="B364" t="inlineStr">
        <is>
          <t>2020-12-25</t>
        </is>
      </c>
      <c r="C364" s="45" t="n">
        <v>16.0358</v>
      </c>
      <c r="D364" t="inlineStr">
        <is>
          <t>€/MWh</t>
        </is>
      </c>
      <c r="E364" s="54" t="n">
        <v>0.016036</v>
      </c>
      <c r="F364" s="54" t="n"/>
      <c r="G364" t="inlineStr">
        <is>
          <t>no aplica (precio mayorista)</t>
        </is>
      </c>
      <c r="J364" t="inlineStr">
        <is>
          <t>2020-12-24</t>
        </is>
      </c>
      <c r="K364" t="inlineStr">
        <is>
          <t>marginalpdbc_20201225.1</t>
        </is>
      </c>
      <c r="L364" t="inlineStr">
        <is>
          <t>24 periodos; mín 1.95, máx 32.90 €/MWh</t>
        </is>
      </c>
    </row>
    <row r="365">
      <c r="A365" s="53" t="n">
        <v>44191</v>
      </c>
      <c r="B365" t="inlineStr">
        <is>
          <t>2020-12-26</t>
        </is>
      </c>
      <c r="C365" s="45" t="n">
        <v>32.8642</v>
      </c>
      <c r="D365" t="inlineStr">
        <is>
          <t>€/MWh</t>
        </is>
      </c>
      <c r="E365" s="54" t="n">
        <v>0.032864</v>
      </c>
      <c r="F365" s="54" t="n"/>
      <c r="G365" t="inlineStr">
        <is>
          <t>no aplica (precio mayorista)</t>
        </is>
      </c>
      <c r="J365" t="inlineStr">
        <is>
          <t>2020-12-25</t>
        </is>
      </c>
      <c r="K365" t="inlineStr">
        <is>
          <t>marginalpdbc_20201226.1</t>
        </is>
      </c>
      <c r="L365" t="inlineStr">
        <is>
          <t>24 periodos; mín 17.22, máx 48.70 €/MWh</t>
        </is>
      </c>
    </row>
    <row r="366">
      <c r="A366" s="53" t="n">
        <v>44192</v>
      </c>
      <c r="B366" t="inlineStr">
        <is>
          <t>2020-12-27</t>
        </is>
      </c>
      <c r="C366" s="45" t="n">
        <v>26.505</v>
      </c>
      <c r="D366" t="inlineStr">
        <is>
          <t>€/MWh</t>
        </is>
      </c>
      <c r="E366" s="54" t="n">
        <v>0.026505</v>
      </c>
      <c r="F366" s="54" t="n"/>
      <c r="G366" t="inlineStr">
        <is>
          <t>no aplica (precio mayorista)</t>
        </is>
      </c>
      <c r="J366" t="inlineStr">
        <is>
          <t>2020-12-26</t>
        </is>
      </c>
      <c r="K366" t="inlineStr">
        <is>
          <t>marginalpdbc_20201227.1</t>
        </is>
      </c>
      <c r="L366" t="inlineStr">
        <is>
          <t>24 periodos; mín 14.10, máx 38.68 €/MWh</t>
        </is>
      </c>
    </row>
    <row r="367">
      <c r="A367" s="53" t="n">
        <v>44193</v>
      </c>
      <c r="B367" t="inlineStr">
        <is>
          <t>2020-12-28</t>
        </is>
      </c>
      <c r="C367" s="45" t="n">
        <v>20.0408</v>
      </c>
      <c r="D367" t="inlineStr">
        <is>
          <t>€/MWh</t>
        </is>
      </c>
      <c r="E367" s="54" t="n">
        <v>0.020041</v>
      </c>
      <c r="F367" s="54" t="n"/>
      <c r="G367" t="inlineStr">
        <is>
          <t>no aplica (precio mayorista)</t>
        </is>
      </c>
      <c r="J367" t="inlineStr">
        <is>
          <t>2020-12-27</t>
        </is>
      </c>
      <c r="K367" t="inlineStr">
        <is>
          <t>marginalpdbc_20201228.1</t>
        </is>
      </c>
      <c r="L367" t="inlineStr">
        <is>
          <t>24 periodos; mín 1.95, máx 44.10 €/MWh</t>
        </is>
      </c>
    </row>
    <row r="368">
      <c r="A368" s="53" t="n">
        <v>44194</v>
      </c>
      <c r="B368" t="inlineStr">
        <is>
          <t>2020-12-29</t>
        </is>
      </c>
      <c r="C368" s="45" t="n">
        <v>38.6617</v>
      </c>
      <c r="D368" t="inlineStr">
        <is>
          <t>€/MWh</t>
        </is>
      </c>
      <c r="E368" s="54" t="n">
        <v>0.038662</v>
      </c>
      <c r="F368" s="54" t="n"/>
      <c r="G368" t="inlineStr">
        <is>
          <t>no aplica (precio mayorista)</t>
        </is>
      </c>
      <c r="J368" t="inlineStr">
        <is>
          <t>2020-12-28</t>
        </is>
      </c>
      <c r="K368" t="inlineStr">
        <is>
          <t>marginalpdbc_20201229.1</t>
        </is>
      </c>
      <c r="L368" t="inlineStr">
        <is>
          <t>24 periodos; mín 18.96, máx 54.26 €/MWh</t>
        </is>
      </c>
    </row>
    <row r="369">
      <c r="A369" s="53" t="n">
        <v>44195</v>
      </c>
      <c r="B369" t="inlineStr">
        <is>
          <t>2020-12-30</t>
        </is>
      </c>
      <c r="C369" s="45" t="n">
        <v>48.9846</v>
      </c>
      <c r="D369" t="inlineStr">
        <is>
          <t>€/MWh</t>
        </is>
      </c>
      <c r="E369" s="54" t="n">
        <v>0.048985</v>
      </c>
      <c r="F369" s="54" t="n"/>
      <c r="G369" t="inlineStr">
        <is>
          <t>no aplica (precio mayorista)</t>
        </is>
      </c>
      <c r="J369" t="inlineStr">
        <is>
          <t>2020-12-29</t>
        </is>
      </c>
      <c r="K369" t="inlineStr">
        <is>
          <t>marginalpdbc_20201230.1</t>
        </is>
      </c>
      <c r="L369" t="inlineStr">
        <is>
          <t>24 periodos; mín 33.50, máx 59.96 €/MWh</t>
        </is>
      </c>
    </row>
    <row r="370">
      <c r="A370" s="53" t="n">
        <v>44196</v>
      </c>
      <c r="B370" t="inlineStr">
        <is>
          <t>2020-12-31</t>
        </is>
      </c>
      <c r="C370" s="45" t="n">
        <v>48.66</v>
      </c>
      <c r="D370" t="inlineStr">
        <is>
          <t>€/MWh</t>
        </is>
      </c>
      <c r="E370" s="54" t="n">
        <v>0.04866</v>
      </c>
      <c r="F370" s="54" t="n"/>
      <c r="G370" t="inlineStr">
        <is>
          <t>no aplica (precio mayorista)</t>
        </is>
      </c>
      <c r="J370" t="inlineStr">
        <is>
          <t>2020-12-30</t>
        </is>
      </c>
      <c r="K370" t="inlineStr">
        <is>
          <t>marginalpdbc_20201231.1</t>
        </is>
      </c>
      <c r="L370" t="inlineStr">
        <is>
          <t>24 periodos; mín 31.67, máx 61.08 €/MWh</t>
        </is>
      </c>
    </row>
    <row r="371">
      <c r="A371" s="53" t="n">
        <v>44197</v>
      </c>
      <c r="B371" t="inlineStr">
        <is>
          <t>2021-01-01</t>
        </is>
      </c>
      <c r="C371" s="45" t="n">
        <v>42.51</v>
      </c>
      <c r="D371" t="inlineStr">
        <is>
          <t>€/MWh</t>
        </is>
      </c>
      <c r="E371" s="54" t="n">
        <v>0.04251</v>
      </c>
      <c r="F371" s="54" t="n"/>
      <c r="G371" t="inlineStr">
        <is>
          <t>no aplica (precio mayorista)</t>
        </is>
      </c>
      <c r="J371" t="inlineStr">
        <is>
          <t>2020-12-31</t>
        </is>
      </c>
      <c r="K371" t="inlineStr">
        <is>
          <t>marginalpdbc_20210101.1</t>
        </is>
      </c>
      <c r="L371" t="inlineStr">
        <is>
          <t>24 periodos; mín 35.50, máx 57.40 €/MWh</t>
        </is>
      </c>
    </row>
    <row r="372">
      <c r="A372" s="53" t="n">
        <v>44198</v>
      </c>
      <c r="B372" t="inlineStr">
        <is>
          <t>2021-01-02</t>
        </is>
      </c>
      <c r="C372" s="45" t="n">
        <v>48.7204</v>
      </c>
      <c r="D372" t="inlineStr">
        <is>
          <t>€/MWh</t>
        </is>
      </c>
      <c r="E372" s="54" t="n">
        <v>0.04872</v>
      </c>
      <c r="F372" s="54" t="n"/>
      <c r="G372" t="inlineStr">
        <is>
          <t>no aplica (precio mayorista)</t>
        </is>
      </c>
      <c r="J372" t="inlineStr">
        <is>
          <t>2021-01-01</t>
        </is>
      </c>
      <c r="K372" t="inlineStr">
        <is>
          <t>marginalpdbc_20210102.1</t>
        </is>
      </c>
      <c r="L372" t="inlineStr">
        <is>
          <t>24 periodos; mín 37.55, máx 60.43 €/MWh</t>
        </is>
      </c>
    </row>
    <row r="373">
      <c r="A373" s="53" t="n">
        <v>44199</v>
      </c>
      <c r="B373" t="inlineStr">
        <is>
          <t>2021-01-03</t>
        </is>
      </c>
      <c r="C373" s="45" t="n">
        <v>46.9275</v>
      </c>
      <c r="D373" t="inlineStr">
        <is>
          <t>€/MWh</t>
        </is>
      </c>
      <c r="E373" s="54" t="n">
        <v>0.046928</v>
      </c>
      <c r="F373" s="54" t="n"/>
      <c r="G373" t="inlineStr">
        <is>
          <t>no aplica (precio mayorista)</t>
        </is>
      </c>
      <c r="J373" t="inlineStr">
        <is>
          <t>2021-01-02</t>
        </is>
      </c>
      <c r="K373" t="inlineStr">
        <is>
          <t>marginalpdbc_20210103.1</t>
        </is>
      </c>
      <c r="L373" t="inlineStr">
        <is>
          <t>24 periodos; mín 35.50, máx 61.09 €/MWh</t>
        </is>
      </c>
    </row>
    <row r="374">
      <c r="A374" s="53" t="n">
        <v>44200</v>
      </c>
      <c r="B374" t="inlineStr">
        <is>
          <t>2021-01-04</t>
        </is>
      </c>
      <c r="C374" s="45" t="n">
        <v>59.8496</v>
      </c>
      <c r="D374" t="inlineStr">
        <is>
          <t>€/MWh</t>
        </is>
      </c>
      <c r="E374" s="54" t="n">
        <v>0.05985</v>
      </c>
      <c r="F374" s="54" t="n"/>
      <c r="G374" t="inlineStr">
        <is>
          <t>no aplica (precio mayorista)</t>
        </is>
      </c>
      <c r="J374" t="inlineStr">
        <is>
          <t>2021-01-03</t>
        </is>
      </c>
      <c r="K374" t="inlineStr">
        <is>
          <t>marginalpdbc_20210104.1</t>
        </is>
      </c>
      <c r="L374" t="inlineStr">
        <is>
          <t>24 periodos; mín 41.62, máx 72.60 €/MWh</t>
        </is>
      </c>
    </row>
    <row r="375">
      <c r="A375" s="53" t="n">
        <v>44201</v>
      </c>
      <c r="B375" t="inlineStr">
        <is>
          <t>2021-01-05</t>
        </is>
      </c>
      <c r="C375" s="45" t="n">
        <v>67.5454</v>
      </c>
      <c r="D375" t="inlineStr">
        <is>
          <t>€/MWh</t>
        </is>
      </c>
      <c r="E375" s="54" t="n">
        <v>0.06754499999999999</v>
      </c>
      <c r="F375" s="54" t="n"/>
      <c r="G375" t="inlineStr">
        <is>
          <t>no aplica (precio mayorista)</t>
        </is>
      </c>
      <c r="J375" t="inlineStr">
        <is>
          <t>2021-01-04</t>
        </is>
      </c>
      <c r="K375" t="inlineStr">
        <is>
          <t>marginalpdbc_20210105.1</t>
        </is>
      </c>
      <c r="L375" t="inlineStr">
        <is>
          <t>24 periodos; mín 50.56, máx 80.00 €/MWh</t>
        </is>
      </c>
    </row>
    <row r="376">
      <c r="A376" s="53" t="n">
        <v>44202</v>
      </c>
      <c r="B376" t="inlineStr">
        <is>
          <t>2021-01-06</t>
        </is>
      </c>
      <c r="C376" s="45" t="n">
        <v>70.5992</v>
      </c>
      <c r="D376" t="inlineStr">
        <is>
          <t>€/MWh</t>
        </is>
      </c>
      <c r="E376" s="54" t="n">
        <v>0.070599</v>
      </c>
      <c r="F376" s="54" t="n"/>
      <c r="G376" t="inlineStr">
        <is>
          <t>no aplica (precio mayorista)</t>
        </is>
      </c>
      <c r="J376" t="inlineStr">
        <is>
          <t>2021-01-05</t>
        </is>
      </c>
      <c r="K376" t="inlineStr">
        <is>
          <t>marginalpdbc_20210106.1</t>
        </is>
      </c>
      <c r="L376" t="inlineStr">
        <is>
          <t>24 periodos; mín 53.51, máx 90.00 €/MWh</t>
        </is>
      </c>
    </row>
    <row r="377">
      <c r="A377" s="53" t="n">
        <v>44203</v>
      </c>
      <c r="B377" t="inlineStr">
        <is>
          <t>2021-01-07</t>
        </is>
      </c>
      <c r="C377" s="45" t="n">
        <v>88.92619999999999</v>
      </c>
      <c r="D377" t="inlineStr">
        <is>
          <t>€/MWh</t>
        </is>
      </c>
      <c r="E377" s="54" t="n">
        <v>0.08892600000000001</v>
      </c>
      <c r="F377" s="54" t="n"/>
      <c r="G377" t="inlineStr">
        <is>
          <t>no aplica (precio mayorista)</t>
        </is>
      </c>
      <c r="J377" t="inlineStr">
        <is>
          <t>2021-01-06</t>
        </is>
      </c>
      <c r="K377" t="inlineStr">
        <is>
          <t>marginalpdbc_20210107.1</t>
        </is>
      </c>
      <c r="L377" t="inlineStr">
        <is>
          <t>24 periodos; mín 58.00, máx 108.97 €/MWh</t>
        </is>
      </c>
    </row>
    <row r="378">
      <c r="A378" s="53" t="n">
        <v>44204</v>
      </c>
      <c r="B378" t="inlineStr">
        <is>
          <t>2021-01-08</t>
        </is>
      </c>
      <c r="C378" s="45" t="n">
        <v>94.98869999999999</v>
      </c>
      <c r="D378" t="inlineStr">
        <is>
          <t>€/MWh</t>
        </is>
      </c>
      <c r="E378" s="54" t="n">
        <v>0.094989</v>
      </c>
      <c r="F378" s="54" t="n"/>
      <c r="G378" t="inlineStr">
        <is>
          <t>no aplica (precio mayorista)</t>
        </is>
      </c>
      <c r="J378" t="inlineStr">
        <is>
          <t>2021-01-07</t>
        </is>
      </c>
      <c r="K378" t="inlineStr">
        <is>
          <t>marginalpdbc_20210108.1</t>
        </is>
      </c>
      <c r="L378" t="inlineStr">
        <is>
          <t>24 periodos; mín 60.00, máx 114.89 €/MWh</t>
        </is>
      </c>
    </row>
    <row r="379">
      <c r="A379" s="53" t="n">
        <v>44205</v>
      </c>
      <c r="B379" t="inlineStr">
        <is>
          <t>2021-01-09</t>
        </is>
      </c>
      <c r="C379" s="45" t="n">
        <v>80.66</v>
      </c>
      <c r="D379" t="inlineStr">
        <is>
          <t>€/MWh</t>
        </is>
      </c>
      <c r="E379" s="54" t="n">
        <v>0.08066</v>
      </c>
      <c r="F379" s="54" t="n"/>
      <c r="G379" t="inlineStr">
        <is>
          <t>no aplica (precio mayorista)</t>
        </is>
      </c>
      <c r="J379" t="inlineStr">
        <is>
          <t>2021-01-08</t>
        </is>
      </c>
      <c r="K379" t="inlineStr">
        <is>
          <t>marginalpdbc_20210109.1</t>
        </is>
      </c>
      <c r="L379" t="inlineStr">
        <is>
          <t>24 periodos; mín 50.25, máx 121.24 €/MWh</t>
        </is>
      </c>
    </row>
    <row r="380">
      <c r="A380" s="53" t="n">
        <v>44206</v>
      </c>
      <c r="B380" t="inlineStr">
        <is>
          <t>2021-01-10</t>
        </is>
      </c>
      <c r="C380" s="45" t="n">
        <v>66.27079999999999</v>
      </c>
      <c r="D380" t="inlineStr">
        <is>
          <t>€/MWh</t>
        </is>
      </c>
      <c r="E380" s="54" t="n">
        <v>0.066271</v>
      </c>
      <c r="F380" s="54" t="n"/>
      <c r="G380" t="inlineStr">
        <is>
          <t>no aplica (precio mayorista)</t>
        </is>
      </c>
      <c r="J380" t="inlineStr">
        <is>
          <t>2021-01-09</t>
        </is>
      </c>
      <c r="K380" t="inlineStr">
        <is>
          <t>marginalpdbc_20210110.1</t>
        </is>
      </c>
      <c r="L380" t="inlineStr">
        <is>
          <t>24 periodos; mín 48.45, máx 110.29 €/MWh</t>
        </is>
      </c>
    </row>
    <row r="381">
      <c r="A381" s="53" t="n">
        <v>44207</v>
      </c>
      <c r="B381" t="inlineStr">
        <is>
          <t>2021-01-11</t>
        </is>
      </c>
      <c r="C381" s="45" t="n">
        <v>82.45</v>
      </c>
      <c r="D381" t="inlineStr">
        <is>
          <t>€/MWh</t>
        </is>
      </c>
      <c r="E381" s="54" t="n">
        <v>0.08245</v>
      </c>
      <c r="F381" s="54" t="n"/>
      <c r="G381" t="inlineStr">
        <is>
          <t>no aplica (precio mayorista)</t>
        </is>
      </c>
      <c r="J381" t="inlineStr">
        <is>
          <t>2021-01-10</t>
        </is>
      </c>
      <c r="K381" t="inlineStr">
        <is>
          <t>marginalpdbc_20210111.1</t>
        </is>
      </c>
      <c r="L381" t="inlineStr">
        <is>
          <t>24 periodos; mín 46.36, máx 121.14 €/MWh</t>
        </is>
      </c>
    </row>
    <row r="382">
      <c r="A382" s="53" t="n">
        <v>44208</v>
      </c>
      <c r="B382" t="inlineStr">
        <is>
          <t>2021-01-12</t>
        </is>
      </c>
      <c r="C382" s="45" t="n">
        <v>84.245</v>
      </c>
      <c r="D382" t="inlineStr">
        <is>
          <t>€/MWh</t>
        </is>
      </c>
      <c r="E382" s="54" t="n">
        <v>0.084245</v>
      </c>
      <c r="F382" s="54" t="n"/>
      <c r="G382" t="inlineStr">
        <is>
          <t>no aplica (precio mayorista)</t>
        </is>
      </c>
      <c r="J382" t="inlineStr">
        <is>
          <t>2021-01-11</t>
        </is>
      </c>
      <c r="K382" t="inlineStr">
        <is>
          <t>marginalpdbc_20210112.1</t>
        </is>
      </c>
      <c r="L382" t="inlineStr">
        <is>
          <t>24 periodos; mín 55.18, máx 114.02 €/MWh</t>
        </is>
      </c>
    </row>
    <row r="383">
      <c r="A383" s="53" t="n">
        <v>44209</v>
      </c>
      <c r="B383" t="inlineStr">
        <is>
          <t>2021-01-13</t>
        </is>
      </c>
      <c r="C383" s="45" t="n">
        <v>89.9354</v>
      </c>
      <c r="D383" t="inlineStr">
        <is>
          <t>€/MWh</t>
        </is>
      </c>
      <c r="E383" s="54" t="n">
        <v>0.089935</v>
      </c>
      <c r="F383" s="54" t="n"/>
      <c r="G383" t="inlineStr">
        <is>
          <t>no aplica (precio mayorista)</t>
        </is>
      </c>
      <c r="J383" t="inlineStr">
        <is>
          <t>2021-01-12</t>
        </is>
      </c>
      <c r="K383" t="inlineStr">
        <is>
          <t>marginalpdbc_20210113.1</t>
        </is>
      </c>
      <c r="L383" t="inlineStr">
        <is>
          <t>24 periodos; mín 61.35, máx 112.84 €/MWh</t>
        </is>
      </c>
    </row>
    <row r="384">
      <c r="A384" s="53" t="n">
        <v>44210</v>
      </c>
      <c r="B384" t="inlineStr">
        <is>
          <t>2021-01-14</t>
        </is>
      </c>
      <c r="C384" s="45" t="n">
        <v>87.2521</v>
      </c>
      <c r="D384" t="inlineStr">
        <is>
          <t>€/MWh</t>
        </is>
      </c>
      <c r="E384" s="54" t="n">
        <v>0.087252</v>
      </c>
      <c r="F384" s="54" t="n"/>
      <c r="G384" t="inlineStr">
        <is>
          <t>no aplica (precio mayorista)</t>
        </is>
      </c>
      <c r="J384" t="inlineStr">
        <is>
          <t>2021-01-13</t>
        </is>
      </c>
      <c r="K384" t="inlineStr">
        <is>
          <t>marginalpdbc_20210114.1</t>
        </is>
      </c>
      <c r="L384" t="inlineStr">
        <is>
          <t>24 periodos; mín 60.00, máx 107.72 €/MWh</t>
        </is>
      </c>
    </row>
    <row r="385">
      <c r="A385" s="53" t="n">
        <v>44211</v>
      </c>
      <c r="B385" t="inlineStr">
        <is>
          <t>2021-01-15</t>
        </is>
      </c>
      <c r="C385" s="45" t="n">
        <v>78.4204</v>
      </c>
      <c r="D385" t="inlineStr">
        <is>
          <t>€/MWh</t>
        </is>
      </c>
      <c r="E385" s="54" t="n">
        <v>0.07842</v>
      </c>
      <c r="F385" s="54" t="n"/>
      <c r="G385" t="inlineStr">
        <is>
          <t>no aplica (precio mayorista)</t>
        </is>
      </c>
      <c r="J385" t="inlineStr">
        <is>
          <t>2021-01-14</t>
        </is>
      </c>
      <c r="K385" t="inlineStr">
        <is>
          <t>marginalpdbc_20210115.1</t>
        </is>
      </c>
      <c r="L385" t="inlineStr">
        <is>
          <t>24 periodos; mín 52.70, máx 98.02 €/MWh</t>
        </is>
      </c>
    </row>
    <row r="386">
      <c r="A386" s="53" t="n">
        <v>44212</v>
      </c>
      <c r="B386" t="inlineStr">
        <is>
          <t>2021-01-16</t>
        </is>
      </c>
      <c r="C386" s="45" t="n">
        <v>67.72</v>
      </c>
      <c r="D386" t="inlineStr">
        <is>
          <t>€/MWh</t>
        </is>
      </c>
      <c r="E386" s="54" t="n">
        <v>0.06772</v>
      </c>
      <c r="F386" s="54" t="n"/>
      <c r="G386" t="inlineStr">
        <is>
          <t>no aplica (precio mayorista)</t>
        </is>
      </c>
      <c r="J386" t="inlineStr">
        <is>
          <t>2021-01-15</t>
        </is>
      </c>
      <c r="K386" t="inlineStr">
        <is>
          <t>marginalpdbc_20210116.1</t>
        </is>
      </c>
      <c r="L386" t="inlineStr">
        <is>
          <t>24 periodos; mín 52.00, máx 93.79 €/MWh</t>
        </is>
      </c>
    </row>
    <row r="387">
      <c r="A387" s="53" t="n">
        <v>44213</v>
      </c>
      <c r="B387" t="inlineStr">
        <is>
          <t>2021-01-17</t>
        </is>
      </c>
      <c r="C387" s="45" t="n">
        <v>64.51130000000001</v>
      </c>
      <c r="D387" t="inlineStr">
        <is>
          <t>€/MWh</t>
        </is>
      </c>
      <c r="E387" s="54" t="n">
        <v>0.064511</v>
      </c>
      <c r="F387" s="54" t="n"/>
      <c r="G387" t="inlineStr">
        <is>
          <t>no aplica (precio mayorista)</t>
        </is>
      </c>
      <c r="J387" t="inlineStr">
        <is>
          <t>2021-01-16</t>
        </is>
      </c>
      <c r="K387" t="inlineStr">
        <is>
          <t>marginalpdbc_20210117.1</t>
        </is>
      </c>
      <c r="L387" t="inlineStr">
        <is>
          <t>24 periodos; mín 54.99, máx 87.84 €/MWh</t>
        </is>
      </c>
    </row>
    <row r="388">
      <c r="A388" s="53" t="n">
        <v>44214</v>
      </c>
      <c r="B388" t="inlineStr">
        <is>
          <t>2021-01-18</t>
        </is>
      </c>
      <c r="C388" s="45" t="n">
        <v>82.0763</v>
      </c>
      <c r="D388" t="inlineStr">
        <is>
          <t>€/MWh</t>
        </is>
      </c>
      <c r="E388" s="54" t="n">
        <v>0.082076</v>
      </c>
      <c r="F388" s="54" t="n"/>
      <c r="G388" t="inlineStr">
        <is>
          <t>no aplica (precio mayorista)</t>
        </is>
      </c>
      <c r="J388" t="inlineStr">
        <is>
          <t>2021-01-17</t>
        </is>
      </c>
      <c r="K388" t="inlineStr">
        <is>
          <t>marginalpdbc_20210118.1</t>
        </is>
      </c>
      <c r="L388" t="inlineStr">
        <is>
          <t>24 periodos; mín 70.00, máx 115.98 €/MWh</t>
        </is>
      </c>
    </row>
    <row r="389">
      <c r="A389" s="53" t="n">
        <v>44215</v>
      </c>
      <c r="B389" t="inlineStr">
        <is>
          <t>2021-01-19</t>
        </is>
      </c>
      <c r="C389" s="45" t="n">
        <v>76.4654</v>
      </c>
      <c r="D389" t="inlineStr">
        <is>
          <t>€/MWh</t>
        </is>
      </c>
      <c r="E389" s="54" t="n">
        <v>0.07646500000000001</v>
      </c>
      <c r="F389" s="54" t="n"/>
      <c r="G389" t="inlineStr">
        <is>
          <t>no aplica (precio mayorista)</t>
        </is>
      </c>
      <c r="J389" t="inlineStr">
        <is>
          <t>2021-01-18</t>
        </is>
      </c>
      <c r="K389" t="inlineStr">
        <is>
          <t>marginalpdbc_20210119.1</t>
        </is>
      </c>
      <c r="L389" t="inlineStr">
        <is>
          <t>24 periodos; mín 58.20, máx 93.72 €/MWh</t>
        </is>
      </c>
    </row>
    <row r="390">
      <c r="A390" s="53" t="n">
        <v>44216</v>
      </c>
      <c r="B390" t="inlineStr">
        <is>
          <t>2021-01-20</t>
        </is>
      </c>
      <c r="C390" s="45" t="n">
        <v>51.6625</v>
      </c>
      <c r="D390" t="inlineStr">
        <is>
          <t>€/MWh</t>
        </is>
      </c>
      <c r="E390" s="54" t="n">
        <v>0.051663</v>
      </c>
      <c r="F390" s="54" t="n"/>
      <c r="G390" t="inlineStr">
        <is>
          <t>no aplica (precio mayorista)</t>
        </is>
      </c>
      <c r="J390" t="inlineStr">
        <is>
          <t>2021-01-19</t>
        </is>
      </c>
      <c r="K390" t="inlineStr">
        <is>
          <t>marginalpdbc_20210120.1</t>
        </is>
      </c>
      <c r="L390" t="inlineStr">
        <is>
          <t>24 periodos; mín 29.67, máx 67.90 €/MWh</t>
        </is>
      </c>
    </row>
    <row r="391">
      <c r="A391" s="53" t="n">
        <v>44217</v>
      </c>
      <c r="B391" t="inlineStr">
        <is>
          <t>2021-01-21</t>
        </is>
      </c>
      <c r="C391" s="45" t="n">
        <v>41.6388</v>
      </c>
      <c r="D391" t="inlineStr">
        <is>
          <t>€/MWh</t>
        </is>
      </c>
      <c r="E391" s="54" t="n">
        <v>0.041639</v>
      </c>
      <c r="F391" s="54" t="n"/>
      <c r="G391" t="inlineStr">
        <is>
          <t>no aplica (precio mayorista)</t>
        </is>
      </c>
      <c r="J391" t="inlineStr">
        <is>
          <t>2021-01-20</t>
        </is>
      </c>
      <c r="K391" t="inlineStr">
        <is>
          <t>marginalpdbc_20210121.1</t>
        </is>
      </c>
      <c r="L391" t="inlineStr">
        <is>
          <t>24 periodos; mín 3.15, máx 58.75 €/MWh</t>
        </is>
      </c>
    </row>
    <row r="392">
      <c r="A392" s="53" t="n">
        <v>44218</v>
      </c>
      <c r="B392" t="inlineStr">
        <is>
          <t>2021-01-22</t>
        </is>
      </c>
      <c r="C392" s="45" t="n">
        <v>41.9746</v>
      </c>
      <c r="D392" t="inlineStr">
        <is>
          <t>€/MWh</t>
        </is>
      </c>
      <c r="E392" s="54" t="n">
        <v>0.041975</v>
      </c>
      <c r="F392" s="54" t="n"/>
      <c r="G392" t="inlineStr">
        <is>
          <t>no aplica (precio mayorista)</t>
        </is>
      </c>
      <c r="J392" t="inlineStr">
        <is>
          <t>2021-01-21</t>
        </is>
      </c>
      <c r="K392" t="inlineStr">
        <is>
          <t>marginalpdbc_20210122.1</t>
        </is>
      </c>
      <c r="L392" t="inlineStr">
        <is>
          <t>24 periodos; mín 23.03, máx 57.24 €/MWh</t>
        </is>
      </c>
    </row>
    <row r="393">
      <c r="A393" s="53" t="n">
        <v>44219</v>
      </c>
      <c r="B393" t="inlineStr">
        <is>
          <t>2021-01-23</t>
        </is>
      </c>
      <c r="C393" s="45" t="n">
        <v>27.495</v>
      </c>
      <c r="D393" t="inlineStr">
        <is>
          <t>€/MWh</t>
        </is>
      </c>
      <c r="E393" s="54" t="n">
        <v>0.027495</v>
      </c>
      <c r="F393" s="54" t="n"/>
      <c r="G393" t="inlineStr">
        <is>
          <t>no aplica (precio mayorista)</t>
        </is>
      </c>
      <c r="J393" t="inlineStr">
        <is>
          <t>2021-01-22</t>
        </is>
      </c>
      <c r="K393" t="inlineStr">
        <is>
          <t>marginalpdbc_20210123.1</t>
        </is>
      </c>
      <c r="L393" t="inlineStr">
        <is>
          <t>24 periodos; mín 10.25, máx 49.98 €/MWh</t>
        </is>
      </c>
    </row>
    <row r="394">
      <c r="A394" s="53" t="n">
        <v>44220</v>
      </c>
      <c r="B394" t="inlineStr">
        <is>
          <t>2021-01-24</t>
        </is>
      </c>
      <c r="C394" s="45" t="n">
        <v>28.725</v>
      </c>
      <c r="D394" t="inlineStr">
        <is>
          <t>€/MWh</t>
        </is>
      </c>
      <c r="E394" s="54" t="n">
        <v>0.028725</v>
      </c>
      <c r="F394" s="54" t="n"/>
      <c r="G394" t="inlineStr">
        <is>
          <t>no aplica (precio mayorista)</t>
        </is>
      </c>
      <c r="J394" t="inlineStr">
        <is>
          <t>2021-01-23</t>
        </is>
      </c>
      <c r="K394" t="inlineStr">
        <is>
          <t>marginalpdbc_20210124.1</t>
        </is>
      </c>
      <c r="L394" t="inlineStr">
        <is>
          <t>24 periodos; mín 1.95, máx 59.26 €/MWh</t>
        </is>
      </c>
    </row>
    <row r="395">
      <c r="A395" s="53" t="n">
        <v>44221</v>
      </c>
      <c r="B395" t="inlineStr">
        <is>
          <t>2021-01-25</t>
        </is>
      </c>
      <c r="C395" s="45" t="n">
        <v>59.4183</v>
      </c>
      <c r="D395" t="inlineStr">
        <is>
          <t>€/MWh</t>
        </is>
      </c>
      <c r="E395" s="54" t="n">
        <v>0.059418</v>
      </c>
      <c r="F395" s="54" t="n"/>
      <c r="G395" t="inlineStr">
        <is>
          <t>no aplica (precio mayorista)</t>
        </is>
      </c>
      <c r="J395" t="inlineStr">
        <is>
          <t>2021-01-24</t>
        </is>
      </c>
      <c r="K395" t="inlineStr">
        <is>
          <t>marginalpdbc_20210125.1</t>
        </is>
      </c>
      <c r="L395" t="inlineStr">
        <is>
          <t>24 periodos; mín 32.14, máx 75.04 €/MWh</t>
        </is>
      </c>
    </row>
    <row r="396">
      <c r="A396" s="53" t="n">
        <v>44222</v>
      </c>
      <c r="B396" t="inlineStr">
        <is>
          <t>2021-01-26</t>
        </is>
      </c>
      <c r="C396" s="45" t="n">
        <v>65.97790000000001</v>
      </c>
      <c r="D396" t="inlineStr">
        <is>
          <t>€/MWh</t>
        </is>
      </c>
      <c r="E396" s="54" t="n">
        <v>0.06597799999999999</v>
      </c>
      <c r="F396" s="54" t="n"/>
      <c r="G396" t="inlineStr">
        <is>
          <t>no aplica (precio mayorista)</t>
        </is>
      </c>
      <c r="J396" t="inlineStr">
        <is>
          <t>2021-01-25</t>
        </is>
      </c>
      <c r="K396" t="inlineStr">
        <is>
          <t>marginalpdbc_20210126.1</t>
        </is>
      </c>
      <c r="L396" t="inlineStr">
        <is>
          <t>24 periodos; mín 48.60, máx 82.04 €/MWh</t>
        </is>
      </c>
    </row>
    <row r="397">
      <c r="A397" s="53" t="n">
        <v>44223</v>
      </c>
      <c r="B397" t="inlineStr">
        <is>
          <t>2021-01-27</t>
        </is>
      </c>
      <c r="C397" s="45" t="n">
        <v>59.7742</v>
      </c>
      <c r="D397" t="inlineStr">
        <is>
          <t>€/MWh</t>
        </is>
      </c>
      <c r="E397" s="54" t="n">
        <v>0.059774</v>
      </c>
      <c r="F397" s="54" t="n"/>
      <c r="G397" t="inlineStr">
        <is>
          <t>no aplica (precio mayorista)</t>
        </is>
      </c>
      <c r="J397" t="inlineStr">
        <is>
          <t>2021-01-26</t>
        </is>
      </c>
      <c r="K397" t="inlineStr">
        <is>
          <t>marginalpdbc_20210127.1</t>
        </is>
      </c>
      <c r="L397" t="inlineStr">
        <is>
          <t>24 periodos; mín 42.04, máx 70.67 €/MWh</t>
        </is>
      </c>
    </row>
    <row r="398">
      <c r="A398" s="53" t="n">
        <v>44224</v>
      </c>
      <c r="B398" t="inlineStr">
        <is>
          <t>2021-01-28</t>
        </is>
      </c>
      <c r="C398" s="45" t="n">
        <v>55.3904</v>
      </c>
      <c r="D398" t="inlineStr">
        <is>
          <t>€/MWh</t>
        </is>
      </c>
      <c r="E398" s="54" t="n">
        <v>0.05539</v>
      </c>
      <c r="F398" s="54" t="n"/>
      <c r="G398" t="inlineStr">
        <is>
          <t>no aplica (precio mayorista)</t>
        </is>
      </c>
      <c r="J398" t="inlineStr">
        <is>
          <t>2021-01-27</t>
        </is>
      </c>
      <c r="K398" t="inlineStr">
        <is>
          <t>marginalpdbc_20210128.1</t>
        </is>
      </c>
      <c r="L398" t="inlineStr">
        <is>
          <t>24 periodos; mín 42.40, máx 66.10 €/MWh</t>
        </is>
      </c>
    </row>
    <row r="399">
      <c r="A399" s="53" t="n">
        <v>44225</v>
      </c>
      <c r="B399" t="inlineStr">
        <is>
          <t>2021-01-29</t>
        </is>
      </c>
      <c r="C399" s="45" t="n">
        <v>47.3892</v>
      </c>
      <c r="D399" t="inlineStr">
        <is>
          <t>€/MWh</t>
        </is>
      </c>
      <c r="E399" s="54" t="n">
        <v>0.047389</v>
      </c>
      <c r="F399" s="54" t="n"/>
      <c r="G399" t="inlineStr">
        <is>
          <t>no aplica (precio mayorista)</t>
        </is>
      </c>
      <c r="J399" t="inlineStr">
        <is>
          <t>2021-01-28</t>
        </is>
      </c>
      <c r="K399" t="inlineStr">
        <is>
          <t>marginalpdbc_20210129.1</t>
        </is>
      </c>
      <c r="L399" t="inlineStr">
        <is>
          <t>24 periodos; mín 29.00, máx 60.79 €/MWh</t>
        </is>
      </c>
    </row>
    <row r="400">
      <c r="A400" s="53" t="n">
        <v>44226</v>
      </c>
      <c r="B400" t="inlineStr">
        <is>
          <t>2021-01-30</t>
        </is>
      </c>
      <c r="C400" s="45" t="n">
        <v>4.1858</v>
      </c>
      <c r="D400" t="inlineStr">
        <is>
          <t>€/MWh</t>
        </is>
      </c>
      <c r="E400" s="54" t="n">
        <v>0.004186</v>
      </c>
      <c r="F400" s="54" t="n"/>
      <c r="G400" t="inlineStr">
        <is>
          <t>no aplica (precio mayorista)</t>
        </is>
      </c>
      <c r="J400" t="inlineStr">
        <is>
          <t>2021-01-29</t>
        </is>
      </c>
      <c r="K400" t="inlineStr">
        <is>
          <t>marginalpdbc_20210130.1</t>
        </is>
      </c>
      <c r="L400" t="inlineStr">
        <is>
          <t>24 periodos; mín 1.95, máx 14.00 €/MWh</t>
        </is>
      </c>
    </row>
    <row r="401">
      <c r="A401" s="53" t="n">
        <v>44227</v>
      </c>
      <c r="B401" t="inlineStr">
        <is>
          <t>2021-01-31</t>
        </is>
      </c>
      <c r="C401" s="45" t="n">
        <v>1.4196</v>
      </c>
      <c r="D401" t="inlineStr">
        <is>
          <t>€/MWh</t>
        </is>
      </c>
      <c r="E401" s="54" t="n">
        <v>0.00142</v>
      </c>
      <c r="F401" s="54" t="n"/>
      <c r="G401" t="inlineStr">
        <is>
          <t>no aplica (precio mayorista)</t>
        </is>
      </c>
      <c r="J401" t="inlineStr">
        <is>
          <t>2021-01-30</t>
        </is>
      </c>
      <c r="K401" t="inlineStr">
        <is>
          <t>marginalpdbc_20210131.1</t>
        </is>
      </c>
      <c r="L401" t="inlineStr">
        <is>
          <t>24 periodos; mín 0.16, máx 1.96 €/MWh</t>
        </is>
      </c>
    </row>
    <row r="402">
      <c r="A402" s="53" t="n">
        <v>44228</v>
      </c>
      <c r="B402" t="inlineStr">
        <is>
          <t>2021-02-01</t>
        </is>
      </c>
      <c r="C402" s="45" t="n">
        <v>11.8975</v>
      </c>
      <c r="D402" t="inlineStr">
        <is>
          <t>€/MWh</t>
        </is>
      </c>
      <c r="E402" s="54" t="n">
        <v>0.011898</v>
      </c>
      <c r="F402" s="54" t="n"/>
      <c r="G402" t="inlineStr">
        <is>
          <t>no aplica (precio mayorista)</t>
        </is>
      </c>
      <c r="J402" t="inlineStr">
        <is>
          <t>2021-01-31</t>
        </is>
      </c>
      <c r="K402" t="inlineStr">
        <is>
          <t>marginalpdbc_20210201.1</t>
        </is>
      </c>
      <c r="L402" t="inlineStr">
        <is>
          <t>24 periodos; mín 0.16, máx 39.30 €/MWh</t>
        </is>
      </c>
    </row>
    <row r="403">
      <c r="A403" s="53" t="n">
        <v>44229</v>
      </c>
      <c r="B403" t="inlineStr">
        <is>
          <t>2021-02-02</t>
        </is>
      </c>
      <c r="C403" s="45" t="n">
        <v>26.3375</v>
      </c>
      <c r="D403" t="inlineStr">
        <is>
          <t>€/MWh</t>
        </is>
      </c>
      <c r="E403" s="54" t="n">
        <v>0.026338</v>
      </c>
      <c r="F403" s="54" t="n"/>
      <c r="G403" t="inlineStr">
        <is>
          <t>no aplica (precio mayorista)</t>
        </is>
      </c>
      <c r="J403" t="inlineStr">
        <is>
          <t>2021-02-01</t>
        </is>
      </c>
      <c r="K403" t="inlineStr">
        <is>
          <t>marginalpdbc_20210202.1</t>
        </is>
      </c>
      <c r="L403" t="inlineStr">
        <is>
          <t>24 periodos; mín 3.19, máx 47.00 €/MWh</t>
        </is>
      </c>
    </row>
    <row r="404">
      <c r="A404" s="53" t="n">
        <v>44230</v>
      </c>
      <c r="B404" t="inlineStr">
        <is>
          <t>2021-02-03</t>
        </is>
      </c>
      <c r="C404" s="45" t="n">
        <v>36.2625</v>
      </c>
      <c r="D404" t="inlineStr">
        <is>
          <t>€/MWh</t>
        </is>
      </c>
      <c r="E404" s="54" t="n">
        <v>0.036262</v>
      </c>
      <c r="F404" s="54" t="n"/>
      <c r="G404" t="inlineStr">
        <is>
          <t>no aplica (precio mayorista)</t>
        </is>
      </c>
      <c r="J404" t="inlineStr">
        <is>
          <t>2021-02-02</t>
        </is>
      </c>
      <c r="K404" t="inlineStr">
        <is>
          <t>marginalpdbc_20210203.1</t>
        </is>
      </c>
      <c r="L404" t="inlineStr">
        <is>
          <t>24 periodos; mín 6.40, máx 53.25 €/MWh</t>
        </is>
      </c>
    </row>
    <row r="405">
      <c r="A405" s="53" t="n">
        <v>44231</v>
      </c>
      <c r="B405" t="inlineStr">
        <is>
          <t>2021-02-04</t>
        </is>
      </c>
      <c r="C405" s="45" t="n">
        <v>52.1971</v>
      </c>
      <c r="D405" t="inlineStr">
        <is>
          <t>€/MWh</t>
        </is>
      </c>
      <c r="E405" s="54" t="n">
        <v>0.052197</v>
      </c>
      <c r="F405" s="54" t="n"/>
      <c r="G405" t="inlineStr">
        <is>
          <t>no aplica (precio mayorista)</t>
        </is>
      </c>
      <c r="J405" t="inlineStr">
        <is>
          <t>2021-02-03</t>
        </is>
      </c>
      <c r="K405" t="inlineStr">
        <is>
          <t>marginalpdbc_20210204.1</t>
        </is>
      </c>
      <c r="L405" t="inlineStr">
        <is>
          <t>24 periodos; mín 33.50, máx 67.51 €/MWh</t>
        </is>
      </c>
    </row>
    <row r="406">
      <c r="A406" s="53" t="n">
        <v>44232</v>
      </c>
      <c r="B406" t="inlineStr">
        <is>
          <t>2021-02-05</t>
        </is>
      </c>
      <c r="C406" s="45" t="n">
        <v>50.9913</v>
      </c>
      <c r="D406" t="inlineStr">
        <is>
          <t>€/MWh</t>
        </is>
      </c>
      <c r="E406" s="54" t="n">
        <v>0.050991</v>
      </c>
      <c r="F406" s="54" t="n"/>
      <c r="G406" t="inlineStr">
        <is>
          <t>no aplica (precio mayorista)</t>
        </is>
      </c>
      <c r="J406" t="inlineStr">
        <is>
          <t>2021-02-04</t>
        </is>
      </c>
      <c r="K406" t="inlineStr">
        <is>
          <t>marginalpdbc_20210205.1</t>
        </is>
      </c>
      <c r="L406" t="inlineStr">
        <is>
          <t>24 periodos; mín 40.52, máx 61.61 €/MWh</t>
        </is>
      </c>
    </row>
    <row r="407">
      <c r="A407" s="53" t="n">
        <v>44233</v>
      </c>
      <c r="B407" t="inlineStr">
        <is>
          <t>2021-02-06</t>
        </is>
      </c>
      <c r="C407" s="45" t="n">
        <v>36.0158</v>
      </c>
      <c r="D407" t="inlineStr">
        <is>
          <t>€/MWh</t>
        </is>
      </c>
      <c r="E407" s="54" t="n">
        <v>0.036016</v>
      </c>
      <c r="F407" s="54" t="n"/>
      <c r="G407" t="inlineStr">
        <is>
          <t>no aplica (precio mayorista)</t>
        </is>
      </c>
      <c r="J407" t="inlineStr">
        <is>
          <t>2021-02-05</t>
        </is>
      </c>
      <c r="K407" t="inlineStr">
        <is>
          <t>marginalpdbc_20210206.1</t>
        </is>
      </c>
      <c r="L407" t="inlineStr">
        <is>
          <t>24 periodos; mín 26.40, máx 44.05 €/MWh</t>
        </is>
      </c>
    </row>
    <row r="408">
      <c r="A408" s="53" t="n">
        <v>44234</v>
      </c>
      <c r="B408" t="inlineStr">
        <is>
          <t>2021-02-07</t>
        </is>
      </c>
      <c r="C408" s="45" t="n">
        <v>12.5808</v>
      </c>
      <c r="D408" t="inlineStr">
        <is>
          <t>€/MWh</t>
        </is>
      </c>
      <c r="E408" s="54" t="n">
        <v>0.012581</v>
      </c>
      <c r="F408" s="54" t="n"/>
      <c r="G408" t="inlineStr">
        <is>
          <t>no aplica (precio mayorista)</t>
        </is>
      </c>
      <c r="J408" t="inlineStr">
        <is>
          <t>2021-02-06</t>
        </is>
      </c>
      <c r="K408" t="inlineStr">
        <is>
          <t>marginalpdbc_20210207.1</t>
        </is>
      </c>
      <c r="L408" t="inlineStr">
        <is>
          <t>24 periodos; mín 0.16, máx 27.00 €/MWh</t>
        </is>
      </c>
    </row>
    <row r="409">
      <c r="A409" s="53" t="n">
        <v>44235</v>
      </c>
      <c r="B409" t="inlineStr">
        <is>
          <t>2021-02-08</t>
        </is>
      </c>
      <c r="C409" s="45" t="n">
        <v>8.2967</v>
      </c>
      <c r="D409" t="inlineStr">
        <is>
          <t>€/MWh</t>
        </is>
      </c>
      <c r="E409" s="54" t="n">
        <v>0.008297000000000001</v>
      </c>
      <c r="F409" s="54" t="n"/>
      <c r="G409" t="inlineStr">
        <is>
          <t>no aplica (precio mayorista)</t>
        </is>
      </c>
      <c r="J409" t="inlineStr">
        <is>
          <t>2021-02-07</t>
        </is>
      </c>
      <c r="K409" t="inlineStr">
        <is>
          <t>marginalpdbc_20210208.1</t>
        </is>
      </c>
      <c r="L409" t="inlineStr">
        <is>
          <t>24 periodos; mín 1.29, máx 25.26 €/MWh</t>
        </is>
      </c>
    </row>
    <row r="410">
      <c r="A410" s="53" t="n">
        <v>44236</v>
      </c>
      <c r="B410" t="inlineStr">
        <is>
          <t>2021-02-09</t>
        </is>
      </c>
      <c r="C410" s="45" t="n">
        <v>7.1042</v>
      </c>
      <c r="D410" t="inlineStr">
        <is>
          <t>€/MWh</t>
        </is>
      </c>
      <c r="E410" s="54" t="n">
        <v>0.007104</v>
      </c>
      <c r="F410" s="54" t="n"/>
      <c r="G410" t="inlineStr">
        <is>
          <t>no aplica (precio mayorista)</t>
        </is>
      </c>
      <c r="J410" t="inlineStr">
        <is>
          <t>2021-02-08</t>
        </is>
      </c>
      <c r="K410" t="inlineStr">
        <is>
          <t>marginalpdbc_20210209.1</t>
        </is>
      </c>
      <c r="L410" t="inlineStr">
        <is>
          <t>24 periodos; mín 1.10, máx 15.11 €/MWh</t>
        </is>
      </c>
    </row>
    <row r="411">
      <c r="A411" s="53" t="n">
        <v>44237</v>
      </c>
      <c r="B411" t="inlineStr">
        <is>
          <t>2021-02-10</t>
        </is>
      </c>
      <c r="C411" s="45" t="n">
        <v>26.2596</v>
      </c>
      <c r="D411" t="inlineStr">
        <is>
          <t>€/MWh</t>
        </is>
      </c>
      <c r="E411" s="54" t="n">
        <v>0.02626</v>
      </c>
      <c r="F411" s="54" t="n"/>
      <c r="G411" t="inlineStr">
        <is>
          <t>no aplica (precio mayorista)</t>
        </is>
      </c>
      <c r="J411" t="inlineStr">
        <is>
          <t>2021-02-09</t>
        </is>
      </c>
      <c r="K411" t="inlineStr">
        <is>
          <t>marginalpdbc_20210210.1</t>
        </is>
      </c>
      <c r="L411" t="inlineStr">
        <is>
          <t>24 periodos; mín 1.95, máx 80.00 €/MWh</t>
        </is>
      </c>
    </row>
    <row r="412">
      <c r="A412" s="53" t="n">
        <v>44238</v>
      </c>
      <c r="B412" t="inlineStr">
        <is>
          <t>2021-02-11</t>
        </is>
      </c>
      <c r="C412" s="45" t="n">
        <v>48.0046</v>
      </c>
      <c r="D412" t="inlineStr">
        <is>
          <t>€/MWh</t>
        </is>
      </c>
      <c r="E412" s="54" t="n">
        <v>0.048005</v>
      </c>
      <c r="F412" s="54" t="n"/>
      <c r="G412" t="inlineStr">
        <is>
          <t>no aplica (precio mayorista)</t>
        </is>
      </c>
      <c r="J412" t="inlineStr">
        <is>
          <t>2021-02-10</t>
        </is>
      </c>
      <c r="K412" t="inlineStr">
        <is>
          <t>marginalpdbc_20210211.1</t>
        </is>
      </c>
      <c r="L412" t="inlineStr">
        <is>
          <t>24 periodos; mín 3.84, máx 72.40 €/MWh</t>
        </is>
      </c>
    </row>
    <row r="413">
      <c r="A413" s="53" t="n">
        <v>44239</v>
      </c>
      <c r="B413" t="inlineStr">
        <is>
          <t>2021-02-12</t>
        </is>
      </c>
      <c r="C413" s="45" t="n">
        <v>36.9358</v>
      </c>
      <c r="D413" t="inlineStr">
        <is>
          <t>€/MWh</t>
        </is>
      </c>
      <c r="E413" s="54" t="n">
        <v>0.036936</v>
      </c>
      <c r="F413" s="54" t="n"/>
      <c r="G413" t="inlineStr">
        <is>
          <t>no aplica (precio mayorista)</t>
        </is>
      </c>
      <c r="J413" t="inlineStr">
        <is>
          <t>2021-02-11</t>
        </is>
      </c>
      <c r="K413" t="inlineStr">
        <is>
          <t>marginalpdbc_20210212.1</t>
        </is>
      </c>
      <c r="L413" t="inlineStr">
        <is>
          <t>24 periodos; mín 10.25, máx 61.01 €/MWh</t>
        </is>
      </c>
    </row>
    <row r="414">
      <c r="A414" s="53" t="n">
        <v>44240</v>
      </c>
      <c r="B414" t="inlineStr">
        <is>
          <t>2021-02-13</t>
        </is>
      </c>
      <c r="C414" s="45" t="n">
        <v>36.9004</v>
      </c>
      <c r="D414" t="inlineStr">
        <is>
          <t>€/MWh</t>
        </is>
      </c>
      <c r="E414" s="54" t="n">
        <v>0.0369</v>
      </c>
      <c r="F414" s="54" t="n"/>
      <c r="G414" t="inlineStr">
        <is>
          <t>no aplica (precio mayorista)</t>
        </is>
      </c>
      <c r="J414" t="inlineStr">
        <is>
          <t>2021-02-12</t>
        </is>
      </c>
      <c r="K414" t="inlineStr">
        <is>
          <t>marginalpdbc_20210213.1</t>
        </is>
      </c>
      <c r="L414" t="inlineStr">
        <is>
          <t>24 periodos; mín 10.00, máx 69.00 €/MWh</t>
        </is>
      </c>
    </row>
    <row r="415">
      <c r="A415" s="53" t="n">
        <v>44241</v>
      </c>
      <c r="B415" t="inlineStr">
        <is>
          <t>2021-02-14</t>
        </is>
      </c>
      <c r="C415" s="45" t="n">
        <v>13.3787</v>
      </c>
      <c r="D415" t="inlineStr">
        <is>
          <t>€/MWh</t>
        </is>
      </c>
      <c r="E415" s="54" t="n">
        <v>0.013379</v>
      </c>
      <c r="F415" s="54" t="n"/>
      <c r="G415" t="inlineStr">
        <is>
          <t>no aplica (precio mayorista)</t>
        </is>
      </c>
      <c r="J415" t="inlineStr">
        <is>
          <t>2021-02-13</t>
        </is>
      </c>
      <c r="K415" t="inlineStr">
        <is>
          <t>marginalpdbc_20210214.1</t>
        </is>
      </c>
      <c r="L415" t="inlineStr">
        <is>
          <t>24 periodos; mín 1.95, máx 32.00 €/MWh</t>
        </is>
      </c>
    </row>
    <row r="416">
      <c r="A416" s="53" t="n">
        <v>44242</v>
      </c>
      <c r="B416" t="inlineStr">
        <is>
          <t>2021-02-15</t>
        </is>
      </c>
      <c r="C416" s="45" t="n">
        <v>14.8513</v>
      </c>
      <c r="D416" t="inlineStr">
        <is>
          <t>€/MWh</t>
        </is>
      </c>
      <c r="E416" s="54" t="n">
        <v>0.014851</v>
      </c>
      <c r="F416" s="54" t="n"/>
      <c r="G416" t="inlineStr">
        <is>
          <t>no aplica (precio mayorista)</t>
        </is>
      </c>
      <c r="J416" t="inlineStr">
        <is>
          <t>2021-02-14</t>
        </is>
      </c>
      <c r="K416" t="inlineStr">
        <is>
          <t>marginalpdbc_20210215.1</t>
        </is>
      </c>
      <c r="L416" t="inlineStr">
        <is>
          <t>24 periodos; mín 0.16, máx 45.59 €/MWh</t>
        </is>
      </c>
    </row>
    <row r="417">
      <c r="A417" s="53" t="n">
        <v>44243</v>
      </c>
      <c r="B417" t="inlineStr">
        <is>
          <t>2021-02-16</t>
        </is>
      </c>
      <c r="C417" s="45" t="n">
        <v>23.9821</v>
      </c>
      <c r="D417" t="inlineStr">
        <is>
          <t>€/MWh</t>
        </is>
      </c>
      <c r="E417" s="54" t="n">
        <v>0.023982</v>
      </c>
      <c r="F417" s="54" t="n"/>
      <c r="G417" t="inlineStr">
        <is>
          <t>no aplica (precio mayorista)</t>
        </is>
      </c>
      <c r="J417" t="inlineStr">
        <is>
          <t>2021-02-15</t>
        </is>
      </c>
      <c r="K417" t="inlineStr">
        <is>
          <t>marginalpdbc_20210216.1</t>
        </is>
      </c>
      <c r="L417" t="inlineStr">
        <is>
          <t>24 periodos; mín 1.00, máx 68.25 €/MWh</t>
        </is>
      </c>
    </row>
    <row r="418">
      <c r="A418" s="53" t="n">
        <v>44244</v>
      </c>
      <c r="B418" t="inlineStr">
        <is>
          <t>2021-02-17</t>
        </is>
      </c>
      <c r="C418" s="45" t="n">
        <v>41.9304</v>
      </c>
      <c r="D418" t="inlineStr">
        <is>
          <t>€/MWh</t>
        </is>
      </c>
      <c r="E418" s="54" t="n">
        <v>0.04193</v>
      </c>
      <c r="F418" s="54" t="n"/>
      <c r="G418" t="inlineStr">
        <is>
          <t>no aplica (precio mayorista)</t>
        </is>
      </c>
      <c r="J418" t="inlineStr">
        <is>
          <t>2021-02-16</t>
        </is>
      </c>
      <c r="K418" t="inlineStr">
        <is>
          <t>marginalpdbc_20210217.1</t>
        </is>
      </c>
      <c r="L418" t="inlineStr">
        <is>
          <t>24 periodos; mín 24.76, máx 61.27 €/MWh</t>
        </is>
      </c>
    </row>
    <row r="419">
      <c r="A419" s="53" t="n">
        <v>44245</v>
      </c>
      <c r="B419" t="inlineStr">
        <is>
          <t>2021-02-18</t>
        </is>
      </c>
      <c r="C419" s="45" t="n">
        <v>36.1779</v>
      </c>
      <c r="D419" t="inlineStr">
        <is>
          <t>€/MWh</t>
        </is>
      </c>
      <c r="E419" s="54" t="n">
        <v>0.036178</v>
      </c>
      <c r="F419" s="54" t="n"/>
      <c r="G419" t="inlineStr">
        <is>
          <t>no aplica (precio mayorista)</t>
        </is>
      </c>
      <c r="J419" t="inlineStr">
        <is>
          <t>2021-02-17</t>
        </is>
      </c>
      <c r="K419" t="inlineStr">
        <is>
          <t>marginalpdbc_20210218.1</t>
        </is>
      </c>
      <c r="L419" t="inlineStr">
        <is>
          <t>24 periodos; mín 3.74, máx 61.16 €/MWh</t>
        </is>
      </c>
    </row>
    <row r="420">
      <c r="A420" s="53" t="n">
        <v>44246</v>
      </c>
      <c r="B420" t="inlineStr">
        <is>
          <t>2021-02-19</t>
        </is>
      </c>
      <c r="C420" s="45" t="n">
        <v>22.2692</v>
      </c>
      <c r="D420" t="inlineStr">
        <is>
          <t>€/MWh</t>
        </is>
      </c>
      <c r="E420" s="54" t="n">
        <v>0.022269</v>
      </c>
      <c r="F420" s="54" t="n"/>
      <c r="G420" t="inlineStr">
        <is>
          <t>no aplica (precio mayorista)</t>
        </is>
      </c>
      <c r="J420" t="inlineStr">
        <is>
          <t>2021-02-18</t>
        </is>
      </c>
      <c r="K420" t="inlineStr">
        <is>
          <t>marginalpdbc_20210219.1</t>
        </is>
      </c>
      <c r="L420" t="inlineStr">
        <is>
          <t>24 periodos; mín 5.02, máx 41.20 €/MWh</t>
        </is>
      </c>
    </row>
    <row r="421">
      <c r="A421" s="53" t="n">
        <v>44247</v>
      </c>
      <c r="B421" t="inlineStr">
        <is>
          <t>2021-02-20</t>
        </is>
      </c>
      <c r="C421" s="45" t="n">
        <v>2.1854</v>
      </c>
      <c r="D421" t="inlineStr">
        <is>
          <t>€/MWh</t>
        </is>
      </c>
      <c r="E421" s="54" t="n">
        <v>0.002185</v>
      </c>
      <c r="F421" s="54" t="n"/>
      <c r="G421" t="inlineStr">
        <is>
          <t>no aplica (precio mayorista)</t>
        </is>
      </c>
      <c r="J421" t="inlineStr">
        <is>
          <t>2021-02-19</t>
        </is>
      </c>
      <c r="K421" t="inlineStr">
        <is>
          <t>marginalpdbc_20210220.1</t>
        </is>
      </c>
      <c r="L421" t="inlineStr">
        <is>
          <t>24 periodos; mín 0.16, máx 10.00 €/MWh</t>
        </is>
      </c>
    </row>
    <row r="422">
      <c r="A422" s="53" t="n">
        <v>44248</v>
      </c>
      <c r="B422" t="inlineStr">
        <is>
          <t>2021-02-21</t>
        </is>
      </c>
      <c r="C422" s="45" t="n">
        <v>5.6746</v>
      </c>
      <c r="D422" t="inlineStr">
        <is>
          <t>€/MWh</t>
        </is>
      </c>
      <c r="E422" s="54" t="n">
        <v>0.005675</v>
      </c>
      <c r="F422" s="54" t="n"/>
      <c r="G422" t="inlineStr">
        <is>
          <t>no aplica (precio mayorista)</t>
        </is>
      </c>
      <c r="J422" t="inlineStr">
        <is>
          <t>2021-02-20</t>
        </is>
      </c>
      <c r="K422" t="inlineStr">
        <is>
          <t>marginalpdbc_20210221.1</t>
        </is>
      </c>
      <c r="L422" t="inlineStr">
        <is>
          <t>24 periodos; mín 1.95, máx 23.90 €/MWh</t>
        </is>
      </c>
    </row>
    <row r="423">
      <c r="A423" s="53" t="n">
        <v>44249</v>
      </c>
      <c r="B423" t="inlineStr">
        <is>
          <t>2021-02-22</t>
        </is>
      </c>
      <c r="C423" s="45" t="n">
        <v>39.3908</v>
      </c>
      <c r="D423" t="inlineStr">
        <is>
          <t>€/MWh</t>
        </is>
      </c>
      <c r="E423" s="54" t="n">
        <v>0.039391</v>
      </c>
      <c r="F423" s="54" t="n"/>
      <c r="G423" t="inlineStr">
        <is>
          <t>no aplica (precio mayorista)</t>
        </is>
      </c>
      <c r="J423" t="inlineStr">
        <is>
          <t>2021-02-21</t>
        </is>
      </c>
      <c r="K423" t="inlineStr">
        <is>
          <t>marginalpdbc_20210222.1</t>
        </is>
      </c>
      <c r="L423" t="inlineStr">
        <is>
          <t>24 periodos; mín 19.32, máx 65.68 €/MWh</t>
        </is>
      </c>
    </row>
    <row r="424">
      <c r="A424" s="53" t="n">
        <v>44250</v>
      </c>
      <c r="B424" t="inlineStr">
        <is>
          <t>2021-02-23</t>
        </is>
      </c>
      <c r="C424" s="45" t="n">
        <v>43.6475</v>
      </c>
      <c r="D424" t="inlineStr">
        <is>
          <t>€/MWh</t>
        </is>
      </c>
      <c r="E424" s="54" t="n">
        <v>0.043647</v>
      </c>
      <c r="F424" s="54" t="n"/>
      <c r="G424" t="inlineStr">
        <is>
          <t>no aplica (precio mayorista)</t>
        </is>
      </c>
      <c r="J424" t="inlineStr">
        <is>
          <t>2021-02-22</t>
        </is>
      </c>
      <c r="K424" t="inlineStr">
        <is>
          <t>marginalpdbc_20210223.1</t>
        </is>
      </c>
      <c r="L424" t="inlineStr">
        <is>
          <t>24 periodos; mín 33.48, máx 59.22 €/MWh</t>
        </is>
      </c>
    </row>
    <row r="425">
      <c r="A425" s="53" t="n">
        <v>44251</v>
      </c>
      <c r="B425" t="inlineStr">
        <is>
          <t>2021-02-24</t>
        </is>
      </c>
      <c r="C425" s="45" t="n">
        <v>24.8225</v>
      </c>
      <c r="D425" t="inlineStr">
        <is>
          <t>€/MWh</t>
        </is>
      </c>
      <c r="E425" s="54" t="n">
        <v>0.024823</v>
      </c>
      <c r="F425" s="54" t="n"/>
      <c r="G425" t="inlineStr">
        <is>
          <t>no aplica (precio mayorista)</t>
        </is>
      </c>
      <c r="J425" t="inlineStr">
        <is>
          <t>2021-02-23</t>
        </is>
      </c>
      <c r="K425" t="inlineStr">
        <is>
          <t>marginalpdbc_20210224.1</t>
        </is>
      </c>
      <c r="L425" t="inlineStr">
        <is>
          <t>24 periodos; mín 1.95, máx 51.83 €/MWh</t>
        </is>
      </c>
    </row>
    <row r="426">
      <c r="A426" s="53" t="n">
        <v>44252</v>
      </c>
      <c r="B426" t="inlineStr">
        <is>
          <t>2021-02-25</t>
        </is>
      </c>
      <c r="C426" s="45" t="n">
        <v>45.8329</v>
      </c>
      <c r="D426" t="inlineStr">
        <is>
          <t>€/MWh</t>
        </is>
      </c>
      <c r="E426" s="54" t="n">
        <v>0.045833</v>
      </c>
      <c r="F426" s="54" t="n"/>
      <c r="G426" t="inlineStr">
        <is>
          <t>no aplica (precio mayorista)</t>
        </is>
      </c>
      <c r="J426" t="inlineStr">
        <is>
          <t>2021-02-24</t>
        </is>
      </c>
      <c r="K426" t="inlineStr">
        <is>
          <t>marginalpdbc_20210225.1</t>
        </is>
      </c>
      <c r="L426" t="inlineStr">
        <is>
          <t>24 periodos; mín 33.30, máx 65.73 €/MWh</t>
        </is>
      </c>
    </row>
    <row r="427">
      <c r="A427" s="53" t="n">
        <v>44253</v>
      </c>
      <c r="B427" t="inlineStr">
        <is>
          <t>2021-02-26</t>
        </is>
      </c>
      <c r="C427" s="45" t="n">
        <v>46.0929</v>
      </c>
      <c r="D427" t="inlineStr">
        <is>
          <t>€/MWh</t>
        </is>
      </c>
      <c r="E427" s="54" t="n">
        <v>0.046093</v>
      </c>
      <c r="F427" s="54" t="n"/>
      <c r="G427" t="inlineStr">
        <is>
          <t>no aplica (precio mayorista)</t>
        </is>
      </c>
      <c r="J427" t="inlineStr">
        <is>
          <t>2021-02-25</t>
        </is>
      </c>
      <c r="K427" t="inlineStr">
        <is>
          <t>marginalpdbc_20210226.1</t>
        </is>
      </c>
      <c r="L427" t="inlineStr">
        <is>
          <t>24 periodos; mín 33.90, máx 57.91 €/MWh</t>
        </is>
      </c>
    </row>
    <row r="428">
      <c r="A428" s="53" t="n">
        <v>44254</v>
      </c>
      <c r="B428" t="inlineStr">
        <is>
          <t>2021-02-27</t>
        </is>
      </c>
      <c r="C428" s="45" t="n">
        <v>29.2438</v>
      </c>
      <c r="D428" t="inlineStr">
        <is>
          <t>€/MWh</t>
        </is>
      </c>
      <c r="E428" s="54" t="n">
        <v>0.029244</v>
      </c>
      <c r="F428" s="54" t="n"/>
      <c r="G428" t="inlineStr">
        <is>
          <t>no aplica (precio mayorista)</t>
        </is>
      </c>
      <c r="J428" t="inlineStr">
        <is>
          <t>2021-02-26</t>
        </is>
      </c>
      <c r="K428" t="inlineStr">
        <is>
          <t>marginalpdbc_20210227.1</t>
        </is>
      </c>
      <c r="L428" t="inlineStr">
        <is>
          <t>24 periodos; mín 24.65, máx 45.41 €/MWh</t>
        </is>
      </c>
    </row>
    <row r="429">
      <c r="A429" s="53" t="n">
        <v>44255</v>
      </c>
      <c r="B429" t="inlineStr">
        <is>
          <t>2021-02-28</t>
        </is>
      </c>
      <c r="C429" s="45" t="n">
        <v>18.5333</v>
      </c>
      <c r="D429" t="inlineStr">
        <is>
          <t>€/MWh</t>
        </is>
      </c>
      <c r="E429" s="54" t="n">
        <v>0.018533</v>
      </c>
      <c r="F429" s="54" t="n"/>
      <c r="G429" t="inlineStr">
        <is>
          <t>no aplica (precio mayorista)</t>
        </is>
      </c>
      <c r="J429" t="inlineStr">
        <is>
          <t>2021-02-27</t>
        </is>
      </c>
      <c r="K429" t="inlineStr">
        <is>
          <t>marginalpdbc_20210228.1</t>
        </is>
      </c>
      <c r="L429" t="inlineStr">
        <is>
          <t>24 periodos; mín 12.85, máx 40.73 €/MWh</t>
        </is>
      </c>
    </row>
    <row r="430">
      <c r="A430" s="53" t="n">
        <v>44256</v>
      </c>
      <c r="B430" t="inlineStr">
        <is>
          <t>2021-03-01</t>
        </is>
      </c>
      <c r="C430" s="45" t="n">
        <v>42.2421</v>
      </c>
      <c r="D430" t="inlineStr">
        <is>
          <t>€/MWh</t>
        </is>
      </c>
      <c r="E430" s="54" t="n">
        <v>0.042242</v>
      </c>
      <c r="F430" s="54" t="n"/>
      <c r="G430" t="inlineStr">
        <is>
          <t>no aplica (precio mayorista)</t>
        </is>
      </c>
      <c r="J430" t="inlineStr">
        <is>
          <t>2021-02-28</t>
        </is>
      </c>
      <c r="K430" t="inlineStr">
        <is>
          <t>marginalpdbc_20210301.1</t>
        </is>
      </c>
      <c r="L430" t="inlineStr">
        <is>
          <t>24 periodos; mín 26.60, máx 64.39 €/MWh</t>
        </is>
      </c>
    </row>
    <row r="431">
      <c r="A431" s="53" t="n">
        <v>44257</v>
      </c>
      <c r="B431" t="inlineStr">
        <is>
          <t>2021-03-02</t>
        </is>
      </c>
      <c r="C431" s="45" t="n">
        <v>52.6662</v>
      </c>
      <c r="D431" t="inlineStr">
        <is>
          <t>€/MWh</t>
        </is>
      </c>
      <c r="E431" s="54" t="n">
        <v>0.052666</v>
      </c>
      <c r="F431" s="54" t="n"/>
      <c r="G431" t="inlineStr">
        <is>
          <t>no aplica (precio mayorista)</t>
        </is>
      </c>
      <c r="J431" t="inlineStr">
        <is>
          <t>2021-03-01</t>
        </is>
      </c>
      <c r="K431" t="inlineStr">
        <is>
          <t>marginalpdbc_20210302.1</t>
        </is>
      </c>
      <c r="L431" t="inlineStr">
        <is>
          <t>24 periodos; mín 42.10, máx 78.62 €/MWh</t>
        </is>
      </c>
    </row>
    <row r="432">
      <c r="A432" s="53" t="n">
        <v>44258</v>
      </c>
      <c r="B432" t="inlineStr">
        <is>
          <t>2021-03-03</t>
        </is>
      </c>
      <c r="C432" s="45" t="n">
        <v>53.2437</v>
      </c>
      <c r="D432" t="inlineStr">
        <is>
          <t>€/MWh</t>
        </is>
      </c>
      <c r="E432" s="54" t="n">
        <v>0.053244</v>
      </c>
      <c r="F432" s="54" t="n"/>
      <c r="G432" t="inlineStr">
        <is>
          <t>no aplica (precio mayorista)</t>
        </is>
      </c>
      <c r="J432" t="inlineStr">
        <is>
          <t>2021-03-02</t>
        </is>
      </c>
      <c r="K432" t="inlineStr">
        <is>
          <t>marginalpdbc_20210303.1</t>
        </is>
      </c>
      <c r="L432" t="inlineStr">
        <is>
          <t>24 periodos; mín 43.81, máx 70.00 €/MWh</t>
        </is>
      </c>
    </row>
    <row r="433">
      <c r="A433" s="53" t="n">
        <v>44259</v>
      </c>
      <c r="B433" t="inlineStr">
        <is>
          <t>2021-03-04</t>
        </is>
      </c>
      <c r="C433" s="45" t="n">
        <v>55.4258</v>
      </c>
      <c r="D433" t="inlineStr">
        <is>
          <t>€/MWh</t>
        </is>
      </c>
      <c r="E433" s="54" t="n">
        <v>0.055426</v>
      </c>
      <c r="F433" s="54" t="n"/>
      <c r="G433" t="inlineStr">
        <is>
          <t>no aplica (precio mayorista)</t>
        </is>
      </c>
      <c r="J433" t="inlineStr">
        <is>
          <t>2021-03-03</t>
        </is>
      </c>
      <c r="K433" t="inlineStr">
        <is>
          <t>marginalpdbc_20210304.1</t>
        </is>
      </c>
      <c r="L433" t="inlineStr">
        <is>
          <t>24 periodos; mín 43.39, máx 66.14 €/MWh</t>
        </is>
      </c>
    </row>
    <row r="434">
      <c r="A434" s="53" t="n">
        <v>44260</v>
      </c>
      <c r="B434" t="inlineStr">
        <is>
          <t>2021-03-05</t>
        </is>
      </c>
      <c r="C434" s="45" t="n">
        <v>52.4538</v>
      </c>
      <c r="D434" t="inlineStr">
        <is>
          <t>€/MWh</t>
        </is>
      </c>
      <c r="E434" s="54" t="n">
        <v>0.052454</v>
      </c>
      <c r="F434" s="54" t="n"/>
      <c r="G434" t="inlineStr">
        <is>
          <t>no aplica (precio mayorista)</t>
        </is>
      </c>
      <c r="J434" t="inlineStr">
        <is>
          <t>2021-03-04</t>
        </is>
      </c>
      <c r="K434" t="inlineStr">
        <is>
          <t>marginalpdbc_20210305.1</t>
        </is>
      </c>
      <c r="L434" t="inlineStr">
        <is>
          <t>24 periodos; mín 42.03, máx 67.97 €/MWh</t>
        </is>
      </c>
    </row>
    <row r="435">
      <c r="A435" s="53" t="n">
        <v>44261</v>
      </c>
      <c r="B435" t="inlineStr">
        <is>
          <t>2021-03-06</t>
        </is>
      </c>
      <c r="C435" s="45" t="n">
        <v>45.0733</v>
      </c>
      <c r="D435" t="inlineStr">
        <is>
          <t>€/MWh</t>
        </is>
      </c>
      <c r="E435" s="54" t="n">
        <v>0.045073</v>
      </c>
      <c r="F435" s="54" t="n"/>
      <c r="G435" t="inlineStr">
        <is>
          <t>no aplica (precio mayorista)</t>
        </is>
      </c>
      <c r="J435" t="inlineStr">
        <is>
          <t>2021-03-05</t>
        </is>
      </c>
      <c r="K435" t="inlineStr">
        <is>
          <t>marginalpdbc_20210306.1</t>
        </is>
      </c>
      <c r="L435" t="inlineStr">
        <is>
          <t>24 periodos; mín 39.75, máx 58.87 €/MWh</t>
        </is>
      </c>
    </row>
    <row r="436">
      <c r="A436" s="53" t="n">
        <v>44262</v>
      </c>
      <c r="B436" t="inlineStr">
        <is>
          <t>2021-03-07</t>
        </is>
      </c>
      <c r="C436" s="45" t="n">
        <v>47.0533</v>
      </c>
      <c r="D436" t="inlineStr">
        <is>
          <t>€/MWh</t>
        </is>
      </c>
      <c r="E436" s="54" t="n">
        <v>0.047053</v>
      </c>
      <c r="F436" s="54" t="n"/>
      <c r="G436" t="inlineStr">
        <is>
          <t>no aplica (precio mayorista)</t>
        </is>
      </c>
      <c r="J436" t="inlineStr">
        <is>
          <t>2021-03-06</t>
        </is>
      </c>
      <c r="K436" t="inlineStr">
        <is>
          <t>marginalpdbc_20210307.1</t>
        </is>
      </c>
      <c r="L436" t="inlineStr">
        <is>
          <t>24 periodos; mín 40.00, máx 60.91 €/MWh</t>
        </is>
      </c>
    </row>
    <row r="437">
      <c r="A437" s="53" t="n">
        <v>44263</v>
      </c>
      <c r="B437" t="inlineStr">
        <is>
          <t>2021-03-08</t>
        </is>
      </c>
      <c r="C437" s="45" t="n">
        <v>54.425</v>
      </c>
      <c r="D437" t="inlineStr">
        <is>
          <t>€/MWh</t>
        </is>
      </c>
      <c r="E437" s="54" t="n">
        <v>0.054425</v>
      </c>
      <c r="F437" s="54" t="n"/>
      <c r="G437" t="inlineStr">
        <is>
          <t>no aplica (precio mayorista)</t>
        </is>
      </c>
      <c r="J437" t="inlineStr">
        <is>
          <t>2021-03-07</t>
        </is>
      </c>
      <c r="K437" t="inlineStr">
        <is>
          <t>marginalpdbc_20210308.1</t>
        </is>
      </c>
      <c r="L437" t="inlineStr">
        <is>
          <t>24 periodos; mín 42.51, máx 66.18 €/MWh</t>
        </is>
      </c>
    </row>
    <row r="438">
      <c r="A438" s="53" t="n">
        <v>44264</v>
      </c>
      <c r="B438" t="inlineStr">
        <is>
          <t>2021-03-09</t>
        </is>
      </c>
      <c r="C438" s="45" t="n">
        <v>56.8792</v>
      </c>
      <c r="D438" t="inlineStr">
        <is>
          <t>€/MWh</t>
        </is>
      </c>
      <c r="E438" s="54" t="n">
        <v>0.056879</v>
      </c>
      <c r="F438" s="54" t="n"/>
      <c r="G438" t="inlineStr">
        <is>
          <t>no aplica (precio mayorista)</t>
        </is>
      </c>
      <c r="J438" t="inlineStr">
        <is>
          <t>2021-03-08</t>
        </is>
      </c>
      <c r="K438" t="inlineStr">
        <is>
          <t>marginalpdbc_20210309.1</t>
        </is>
      </c>
      <c r="L438" t="inlineStr">
        <is>
          <t>24 periodos; mín 43.09, máx 75.01 €/MWh</t>
        </is>
      </c>
    </row>
    <row r="439">
      <c r="A439" s="53" t="n">
        <v>44265</v>
      </c>
      <c r="B439" t="inlineStr">
        <is>
          <t>2021-03-10</t>
        </is>
      </c>
      <c r="C439" s="45" t="n">
        <v>55.8675</v>
      </c>
      <c r="D439" t="inlineStr">
        <is>
          <t>€/MWh</t>
        </is>
      </c>
      <c r="E439" s="54" t="n">
        <v>0.055868</v>
      </c>
      <c r="F439" s="54" t="n"/>
      <c r="G439" t="inlineStr">
        <is>
          <t>no aplica (precio mayorista)</t>
        </is>
      </c>
      <c r="J439" t="inlineStr">
        <is>
          <t>2021-03-09</t>
        </is>
      </c>
      <c r="K439" t="inlineStr">
        <is>
          <t>marginalpdbc_20210310.1</t>
        </is>
      </c>
      <c r="L439" t="inlineStr">
        <is>
          <t>24 periodos; mín 48.71, máx 69.90 €/MWh</t>
        </is>
      </c>
    </row>
    <row r="440">
      <c r="A440" s="53" t="n">
        <v>44266</v>
      </c>
      <c r="B440" t="inlineStr">
        <is>
          <t>2021-03-11</t>
        </is>
      </c>
      <c r="C440" s="45" t="n">
        <v>40.7596</v>
      </c>
      <c r="D440" t="inlineStr">
        <is>
          <t>€/MWh</t>
        </is>
      </c>
      <c r="E440" s="54" t="n">
        <v>0.04076</v>
      </c>
      <c r="F440" s="54" t="n"/>
      <c r="G440" t="inlineStr">
        <is>
          <t>no aplica (precio mayorista)</t>
        </is>
      </c>
      <c r="J440" t="inlineStr">
        <is>
          <t>2021-03-10</t>
        </is>
      </c>
      <c r="K440" t="inlineStr">
        <is>
          <t>marginalpdbc_20210311.1</t>
        </is>
      </c>
      <c r="L440" t="inlineStr">
        <is>
          <t>24 periodos; mín 16.75, máx 56.59 €/MWh</t>
        </is>
      </c>
    </row>
    <row r="441">
      <c r="A441" s="53" t="n">
        <v>44267</v>
      </c>
      <c r="B441" t="inlineStr">
        <is>
          <t>2021-03-12</t>
        </is>
      </c>
      <c r="C441" s="45" t="n">
        <v>40.1625</v>
      </c>
      <c r="D441" t="inlineStr">
        <is>
          <t>€/MWh</t>
        </is>
      </c>
      <c r="E441" s="54" t="n">
        <v>0.040163</v>
      </c>
      <c r="F441" s="54" t="n"/>
      <c r="G441" t="inlineStr">
        <is>
          <t>no aplica (precio mayorista)</t>
        </is>
      </c>
      <c r="J441" t="inlineStr">
        <is>
          <t>2021-03-11</t>
        </is>
      </c>
      <c r="K441" t="inlineStr">
        <is>
          <t>marginalpdbc_20210312.1</t>
        </is>
      </c>
      <c r="L441" t="inlineStr">
        <is>
          <t>24 periodos; mín 24.87, máx 57.74 €/MWh</t>
        </is>
      </c>
    </row>
    <row r="442">
      <c r="A442" s="53" t="n">
        <v>44268</v>
      </c>
      <c r="B442" t="inlineStr">
        <is>
          <t>2021-03-13</t>
        </is>
      </c>
      <c r="C442" s="45" t="n">
        <v>27.7529</v>
      </c>
      <c r="D442" t="inlineStr">
        <is>
          <t>€/MWh</t>
        </is>
      </c>
      <c r="E442" s="54" t="n">
        <v>0.027753</v>
      </c>
      <c r="F442" s="54" t="n"/>
      <c r="G442" t="inlineStr">
        <is>
          <t>no aplica (precio mayorista)</t>
        </is>
      </c>
      <c r="J442" t="inlineStr">
        <is>
          <t>2021-03-12</t>
        </is>
      </c>
      <c r="K442" t="inlineStr">
        <is>
          <t>marginalpdbc_20210313.1</t>
        </is>
      </c>
      <c r="L442" t="inlineStr">
        <is>
          <t>24 periodos; mín 4.04, máx 45.99 €/MWh</t>
        </is>
      </c>
    </row>
    <row r="443">
      <c r="A443" s="53" t="n">
        <v>44269</v>
      </c>
      <c r="B443" t="inlineStr">
        <is>
          <t>2021-03-14</t>
        </is>
      </c>
      <c r="C443" s="45" t="n">
        <v>24.5446</v>
      </c>
      <c r="D443" t="inlineStr">
        <is>
          <t>€/MWh</t>
        </is>
      </c>
      <c r="E443" s="54" t="n">
        <v>0.024545</v>
      </c>
      <c r="F443" s="54" t="n"/>
      <c r="G443" t="inlineStr">
        <is>
          <t>no aplica (precio mayorista)</t>
        </is>
      </c>
      <c r="J443" t="inlineStr">
        <is>
          <t>2021-03-13</t>
        </is>
      </c>
      <c r="K443" t="inlineStr">
        <is>
          <t>marginalpdbc_20210314.1</t>
        </is>
      </c>
      <c r="L443" t="inlineStr">
        <is>
          <t>24 periodos; mín 5.00, máx 56.56 €/MWh</t>
        </is>
      </c>
    </row>
    <row r="444">
      <c r="A444" s="53" t="n">
        <v>44270</v>
      </c>
      <c r="B444" t="inlineStr">
        <is>
          <t>2021-03-15</t>
        </is>
      </c>
      <c r="C444" s="45" t="n">
        <v>47.585</v>
      </c>
      <c r="D444" t="inlineStr">
        <is>
          <t>€/MWh</t>
        </is>
      </c>
      <c r="E444" s="54" t="n">
        <v>0.047585</v>
      </c>
      <c r="F444" s="54" t="n"/>
      <c r="G444" t="inlineStr">
        <is>
          <t>no aplica (precio mayorista)</t>
        </is>
      </c>
      <c r="J444" t="inlineStr">
        <is>
          <t>2021-03-14</t>
        </is>
      </c>
      <c r="K444" t="inlineStr">
        <is>
          <t>marginalpdbc_20210315.1</t>
        </is>
      </c>
      <c r="L444" t="inlineStr">
        <is>
          <t>24 periodos; mín 33.41, máx 59.93 €/MWh</t>
        </is>
      </c>
    </row>
    <row r="445">
      <c r="A445" s="53" t="n">
        <v>44271</v>
      </c>
      <c r="B445" t="inlineStr">
        <is>
          <t>2021-03-16</t>
        </is>
      </c>
      <c r="C445" s="45" t="n">
        <v>34.5146</v>
      </c>
      <c r="D445" t="inlineStr">
        <is>
          <t>€/MWh</t>
        </is>
      </c>
      <c r="E445" s="54" t="n">
        <v>0.034515</v>
      </c>
      <c r="F445" s="54" t="n"/>
      <c r="G445" t="inlineStr">
        <is>
          <t>no aplica (precio mayorista)</t>
        </is>
      </c>
      <c r="J445" t="inlineStr">
        <is>
          <t>2021-03-15</t>
        </is>
      </c>
      <c r="K445" t="inlineStr">
        <is>
          <t>marginalpdbc_20210316.1</t>
        </is>
      </c>
      <c r="L445" t="inlineStr">
        <is>
          <t>24 periodos; mín 24.42, máx 50.76 €/MWh</t>
        </is>
      </c>
    </row>
    <row r="446">
      <c r="A446" s="53" t="n">
        <v>44272</v>
      </c>
      <c r="B446" t="inlineStr">
        <is>
          <t>2021-03-17</t>
        </is>
      </c>
      <c r="C446" s="45" t="n">
        <v>17.3496</v>
      </c>
      <c r="D446" t="inlineStr">
        <is>
          <t>€/MWh</t>
        </is>
      </c>
      <c r="E446" s="54" t="n">
        <v>0.01735</v>
      </c>
      <c r="F446" s="54" t="n"/>
      <c r="G446" t="inlineStr">
        <is>
          <t>no aplica (precio mayorista)</t>
        </is>
      </c>
      <c r="J446" t="inlineStr">
        <is>
          <t>2021-03-16</t>
        </is>
      </c>
      <c r="K446" t="inlineStr">
        <is>
          <t>marginalpdbc_20210317.1</t>
        </is>
      </c>
      <c r="L446" t="inlineStr">
        <is>
          <t>24 periodos; mín 8.43, máx 28.57 €/MWh</t>
        </is>
      </c>
    </row>
    <row r="447">
      <c r="A447" s="53" t="n">
        <v>44273</v>
      </c>
      <c r="B447" t="inlineStr">
        <is>
          <t>2021-03-18</t>
        </is>
      </c>
      <c r="C447" s="45" t="n">
        <v>32.7721</v>
      </c>
      <c r="D447" t="inlineStr">
        <is>
          <t>€/MWh</t>
        </is>
      </c>
      <c r="E447" s="54" t="n">
        <v>0.032772</v>
      </c>
      <c r="F447" s="54" t="n"/>
      <c r="G447" t="inlineStr">
        <is>
          <t>no aplica (precio mayorista)</t>
        </is>
      </c>
      <c r="J447" t="inlineStr">
        <is>
          <t>2021-03-17</t>
        </is>
      </c>
      <c r="K447" t="inlineStr">
        <is>
          <t>marginalpdbc_20210318.1</t>
        </is>
      </c>
      <c r="L447" t="inlineStr">
        <is>
          <t>24 periodos; mín 21.53, máx 52.01 €/MWh</t>
        </is>
      </c>
    </row>
    <row r="448">
      <c r="A448" s="53" t="n">
        <v>44274</v>
      </c>
      <c r="B448" t="inlineStr">
        <is>
          <t>2021-03-19</t>
        </is>
      </c>
      <c r="C448" s="45" t="n">
        <v>29.6612</v>
      </c>
      <c r="D448" t="inlineStr">
        <is>
          <t>€/MWh</t>
        </is>
      </c>
      <c r="E448" s="54" t="n">
        <v>0.029661</v>
      </c>
      <c r="F448" s="54" t="n"/>
      <c r="G448" t="inlineStr">
        <is>
          <t>no aplica (precio mayorista)</t>
        </is>
      </c>
      <c r="J448" t="inlineStr">
        <is>
          <t>2021-03-18</t>
        </is>
      </c>
      <c r="K448" t="inlineStr">
        <is>
          <t>marginalpdbc_20210319.1</t>
        </is>
      </c>
      <c r="L448" t="inlineStr">
        <is>
          <t>24 periodos; mín 21.10, máx 46.85 €/MWh</t>
        </is>
      </c>
    </row>
    <row r="449">
      <c r="A449" s="53" t="n">
        <v>44275</v>
      </c>
      <c r="B449" t="inlineStr">
        <is>
          <t>2021-03-20</t>
        </is>
      </c>
      <c r="C449" s="45" t="n">
        <v>22.1887</v>
      </c>
      <c r="D449" t="inlineStr">
        <is>
          <t>€/MWh</t>
        </is>
      </c>
      <c r="E449" s="54" t="n">
        <v>0.022189</v>
      </c>
      <c r="F449" s="54" t="n"/>
      <c r="G449" t="inlineStr">
        <is>
          <t>no aplica (precio mayorista)</t>
        </is>
      </c>
      <c r="J449" t="inlineStr">
        <is>
          <t>2021-03-19</t>
        </is>
      </c>
      <c r="K449" t="inlineStr">
        <is>
          <t>marginalpdbc_20210320.1</t>
        </is>
      </c>
      <c r="L449" t="inlineStr">
        <is>
          <t>24 periodos; mín 12.44, máx 46.01 €/MWh</t>
        </is>
      </c>
    </row>
    <row r="450">
      <c r="A450" s="53" t="n">
        <v>44276</v>
      </c>
      <c r="B450" t="inlineStr">
        <is>
          <t>2021-03-21</t>
        </is>
      </c>
      <c r="C450" s="45" t="n">
        <v>30.275</v>
      </c>
      <c r="D450" t="inlineStr">
        <is>
          <t>€/MWh</t>
        </is>
      </c>
      <c r="E450" s="54" t="n">
        <v>0.030275</v>
      </c>
      <c r="F450" s="54" t="n"/>
      <c r="G450" t="inlineStr">
        <is>
          <t>no aplica (precio mayorista)</t>
        </is>
      </c>
      <c r="J450" t="inlineStr">
        <is>
          <t>2021-03-20</t>
        </is>
      </c>
      <c r="K450" t="inlineStr">
        <is>
          <t>marginalpdbc_20210321.1</t>
        </is>
      </c>
      <c r="L450" t="inlineStr">
        <is>
          <t>24 periodos; mín 19.60, máx 59.18 €/MWh</t>
        </is>
      </c>
    </row>
    <row r="451">
      <c r="A451" s="53" t="n">
        <v>44277</v>
      </c>
      <c r="B451" t="inlineStr">
        <is>
          <t>2021-03-22</t>
        </is>
      </c>
      <c r="C451" s="45" t="n">
        <v>55.7942</v>
      </c>
      <c r="D451" t="inlineStr">
        <is>
          <t>€/MWh</t>
        </is>
      </c>
      <c r="E451" s="54" t="n">
        <v>0.055794</v>
      </c>
      <c r="F451" s="54" t="n"/>
      <c r="G451" t="inlineStr">
        <is>
          <t>no aplica (precio mayorista)</t>
        </is>
      </c>
      <c r="J451" t="inlineStr">
        <is>
          <t>2021-03-21</t>
        </is>
      </c>
      <c r="K451" t="inlineStr">
        <is>
          <t>marginalpdbc_20210322.1</t>
        </is>
      </c>
      <c r="L451" t="inlineStr">
        <is>
          <t>24 periodos; mín 47.01, máx 75.00 €/MWh</t>
        </is>
      </c>
    </row>
    <row r="452">
      <c r="A452" s="53" t="n">
        <v>44278</v>
      </c>
      <c r="B452" t="inlineStr">
        <is>
          <t>2021-03-23</t>
        </is>
      </c>
      <c r="C452" s="45" t="n">
        <v>64.4712</v>
      </c>
      <c r="D452" t="inlineStr">
        <is>
          <t>€/MWh</t>
        </is>
      </c>
      <c r="E452" s="54" t="n">
        <v>0.064471</v>
      </c>
      <c r="F452" s="54" t="n"/>
      <c r="G452" t="inlineStr">
        <is>
          <t>no aplica (precio mayorista)</t>
        </is>
      </c>
      <c r="J452" t="inlineStr">
        <is>
          <t>2021-03-22</t>
        </is>
      </c>
      <c r="K452" t="inlineStr">
        <is>
          <t>marginalpdbc_20210323.1</t>
        </is>
      </c>
      <c r="L452" t="inlineStr">
        <is>
          <t>24 periodos; mín 55.00, máx 83.49 €/MWh</t>
        </is>
      </c>
    </row>
    <row r="453">
      <c r="A453" s="53" t="n">
        <v>44279</v>
      </c>
      <c r="B453" t="inlineStr">
        <is>
          <t>2021-03-24</t>
        </is>
      </c>
      <c r="C453" s="45" t="n">
        <v>64.8154</v>
      </c>
      <c r="D453" t="inlineStr">
        <is>
          <t>€/MWh</t>
        </is>
      </c>
      <c r="E453" s="54" t="n">
        <v>0.064815</v>
      </c>
      <c r="F453" s="54" t="n"/>
      <c r="G453" t="inlineStr">
        <is>
          <t>no aplica (precio mayorista)</t>
        </is>
      </c>
      <c r="J453" t="inlineStr">
        <is>
          <t>2021-03-23</t>
        </is>
      </c>
      <c r="K453" t="inlineStr">
        <is>
          <t>marginalpdbc_20210324.1</t>
        </is>
      </c>
      <c r="L453" t="inlineStr">
        <is>
          <t>24 periodos; mín 58.07, máx 84.00 €/MWh</t>
        </is>
      </c>
    </row>
    <row r="454">
      <c r="A454" s="53" t="n">
        <v>44280</v>
      </c>
      <c r="B454" t="inlineStr">
        <is>
          <t>2021-03-25</t>
        </is>
      </c>
      <c r="C454" s="45" t="n">
        <v>66.35380000000001</v>
      </c>
      <c r="D454" t="inlineStr">
        <is>
          <t>€/MWh</t>
        </is>
      </c>
      <c r="E454" s="54" t="n">
        <v>0.066354</v>
      </c>
      <c r="F454" s="54" t="n"/>
      <c r="G454" t="inlineStr">
        <is>
          <t>no aplica (precio mayorista)</t>
        </is>
      </c>
      <c r="J454" t="inlineStr">
        <is>
          <t>2021-03-24</t>
        </is>
      </c>
      <c r="K454" t="inlineStr">
        <is>
          <t>marginalpdbc_20210325.1</t>
        </is>
      </c>
      <c r="L454" t="inlineStr">
        <is>
          <t>24 periodos; mín 57.49, máx 85.43 €/MWh</t>
        </is>
      </c>
    </row>
    <row r="455">
      <c r="A455" s="53" t="n">
        <v>44281</v>
      </c>
      <c r="B455" t="inlineStr">
        <is>
          <t>2021-03-26</t>
        </is>
      </c>
      <c r="C455" s="45" t="n">
        <v>60.3104</v>
      </c>
      <c r="D455" t="inlineStr">
        <is>
          <t>€/MWh</t>
        </is>
      </c>
      <c r="E455" s="54" t="n">
        <v>0.06031</v>
      </c>
      <c r="F455" s="54" t="n"/>
      <c r="G455" t="inlineStr">
        <is>
          <t>no aplica (precio mayorista)</t>
        </is>
      </c>
      <c r="J455" t="inlineStr">
        <is>
          <t>2021-03-25</t>
        </is>
      </c>
      <c r="K455" t="inlineStr">
        <is>
          <t>marginalpdbc_20210326.1</t>
        </is>
      </c>
      <c r="L455" t="inlineStr">
        <is>
          <t>24 periodos; mín 47.09, máx 69.01 €/MWh</t>
        </is>
      </c>
    </row>
    <row r="456">
      <c r="A456" s="53" t="n">
        <v>44282</v>
      </c>
      <c r="B456" t="inlineStr">
        <is>
          <t>2021-03-27</t>
        </is>
      </c>
      <c r="C456" s="45" t="n">
        <v>41.1058</v>
      </c>
      <c r="D456" t="inlineStr">
        <is>
          <t>€/MWh</t>
        </is>
      </c>
      <c r="E456" s="54" t="n">
        <v>0.041106</v>
      </c>
      <c r="F456" s="54" t="n"/>
      <c r="G456" t="inlineStr">
        <is>
          <t>no aplica (precio mayorista)</t>
        </is>
      </c>
      <c r="J456" t="inlineStr">
        <is>
          <t>2021-03-26</t>
        </is>
      </c>
      <c r="K456" t="inlineStr">
        <is>
          <t>marginalpdbc_20210327.1</t>
        </is>
      </c>
      <c r="L456" t="inlineStr">
        <is>
          <t>24 periodos; mín 26.50, máx 66.10 €/MWh</t>
        </is>
      </c>
    </row>
    <row r="457">
      <c r="A457" s="53" t="n">
        <v>44283</v>
      </c>
      <c r="B457" t="inlineStr">
        <is>
          <t>2021-03-28</t>
        </is>
      </c>
      <c r="C457" s="45" t="n">
        <v>38.6013</v>
      </c>
      <c r="D457" t="inlineStr">
        <is>
          <t>€/MWh</t>
        </is>
      </c>
      <c r="E457" s="54" t="n">
        <v>0.038601</v>
      </c>
      <c r="F457" s="54" t="n"/>
      <c r="G457" t="inlineStr">
        <is>
          <t>no aplica (precio mayorista)</t>
        </is>
      </c>
      <c r="J457" t="inlineStr">
        <is>
          <t>2021-03-27</t>
        </is>
      </c>
      <c r="K457" t="inlineStr">
        <is>
          <t>marginalpdbc_20210328.1</t>
        </is>
      </c>
      <c r="L457" t="inlineStr">
        <is>
          <t>23 periodos; mín 19.00, máx 55.75 €/MWh</t>
        </is>
      </c>
    </row>
    <row r="458">
      <c r="A458" s="53" t="n">
        <v>44284</v>
      </c>
      <c r="B458" t="inlineStr">
        <is>
          <t>2021-03-29</t>
        </is>
      </c>
      <c r="C458" s="45" t="n">
        <v>45.6917</v>
      </c>
      <c r="D458" t="inlineStr">
        <is>
          <t>€/MWh</t>
        </is>
      </c>
      <c r="E458" s="54" t="n">
        <v>0.045692</v>
      </c>
      <c r="F458" s="54" t="n"/>
      <c r="G458" t="inlineStr">
        <is>
          <t>no aplica (precio mayorista)</t>
        </is>
      </c>
      <c r="J458" t="inlineStr">
        <is>
          <t>2021-03-28</t>
        </is>
      </c>
      <c r="K458" t="inlineStr">
        <is>
          <t>marginalpdbc_20210329.1</t>
        </is>
      </c>
      <c r="L458" t="inlineStr">
        <is>
          <t>24 periodos; mín 19.69, máx 68.15 €/MWh</t>
        </is>
      </c>
    </row>
    <row r="459">
      <c r="A459" s="53" t="n">
        <v>44285</v>
      </c>
      <c r="B459" t="inlineStr">
        <is>
          <t>2021-03-30</t>
        </is>
      </c>
      <c r="C459" s="45" t="n">
        <v>53.5329</v>
      </c>
      <c r="D459" t="inlineStr">
        <is>
          <t>€/MWh</t>
        </is>
      </c>
      <c r="E459" s="54" t="n">
        <v>0.053533</v>
      </c>
      <c r="F459" s="54" t="n"/>
      <c r="G459" t="inlineStr">
        <is>
          <t>no aplica (precio mayorista)</t>
        </is>
      </c>
      <c r="J459" t="inlineStr">
        <is>
          <t>2021-03-29</t>
        </is>
      </c>
      <c r="K459" t="inlineStr">
        <is>
          <t>marginalpdbc_20210330.1</t>
        </is>
      </c>
      <c r="L459" t="inlineStr">
        <is>
          <t>24 periodos; mín 39.78, máx 76.73 €/MWh</t>
        </is>
      </c>
    </row>
    <row r="460">
      <c r="A460" s="53" t="n">
        <v>44286</v>
      </c>
      <c r="B460" t="inlineStr">
        <is>
          <t>2021-03-31</t>
        </is>
      </c>
      <c r="C460" s="45" t="n">
        <v>55.1587</v>
      </c>
      <c r="D460" t="inlineStr">
        <is>
          <t>€/MWh</t>
        </is>
      </c>
      <c r="E460" s="54" t="n">
        <v>0.055159</v>
      </c>
      <c r="F460" s="54" t="n"/>
      <c r="G460" t="inlineStr">
        <is>
          <t>no aplica (precio mayorista)</t>
        </is>
      </c>
      <c r="J460" t="inlineStr">
        <is>
          <t>2021-03-30</t>
        </is>
      </c>
      <c r="K460" t="inlineStr">
        <is>
          <t>marginalpdbc_20210331.1</t>
        </is>
      </c>
      <c r="L460" t="inlineStr">
        <is>
          <t>24 periodos; mín 42.20, máx 76.39 €/MWh</t>
        </is>
      </c>
    </row>
    <row r="461">
      <c r="A461" s="53" t="n">
        <v>44287</v>
      </c>
      <c r="B461" t="inlineStr">
        <is>
          <t>2021-04-01</t>
        </is>
      </c>
      <c r="C461" s="45" t="n">
        <v>52.1179</v>
      </c>
      <c r="D461" t="inlineStr">
        <is>
          <t>€/MWh</t>
        </is>
      </c>
      <c r="E461" s="54" t="n">
        <v>0.052118</v>
      </c>
      <c r="F461" s="54" t="n"/>
      <c r="G461" t="inlineStr">
        <is>
          <t>no aplica (precio mayorista)</t>
        </is>
      </c>
      <c r="J461" t="inlineStr">
        <is>
          <t>2021-03-31</t>
        </is>
      </c>
      <c r="K461" t="inlineStr">
        <is>
          <t>marginalpdbc_20210401.1</t>
        </is>
      </c>
      <c r="L461" t="inlineStr">
        <is>
          <t>24 periodos; mín 40.53, máx 66.60 €/MWh</t>
        </is>
      </c>
    </row>
    <row r="462">
      <c r="A462" s="53" t="n">
        <v>44288</v>
      </c>
      <c r="B462" t="inlineStr">
        <is>
          <t>2021-04-02</t>
        </is>
      </c>
      <c r="C462" s="45" t="n">
        <v>51.0042</v>
      </c>
      <c r="D462" t="inlineStr">
        <is>
          <t>€/MWh</t>
        </is>
      </c>
      <c r="E462" s="54" t="n">
        <v>0.051004</v>
      </c>
      <c r="F462" s="54" t="n"/>
      <c r="G462" t="inlineStr">
        <is>
          <t>no aplica (precio mayorista)</t>
        </is>
      </c>
      <c r="J462" t="inlineStr">
        <is>
          <t>2021-04-01</t>
        </is>
      </c>
      <c r="K462" t="inlineStr">
        <is>
          <t>marginalpdbc_20210402.1</t>
        </is>
      </c>
      <c r="L462" t="inlineStr">
        <is>
          <t>24 periodos; mín 35.00, máx 60.67 €/MWh</t>
        </is>
      </c>
    </row>
    <row r="463">
      <c r="A463" s="53" t="n">
        <v>44289</v>
      </c>
      <c r="B463" t="inlineStr">
        <is>
          <t>2021-04-03</t>
        </is>
      </c>
      <c r="C463" s="45" t="n">
        <v>35.175</v>
      </c>
      <c r="D463" t="inlineStr">
        <is>
          <t>€/MWh</t>
        </is>
      </c>
      <c r="E463" s="54" t="n">
        <v>0.035175</v>
      </c>
      <c r="F463" s="54" t="n"/>
      <c r="G463" t="inlineStr">
        <is>
          <t>no aplica (precio mayorista)</t>
        </is>
      </c>
      <c r="J463" t="inlineStr">
        <is>
          <t>2021-04-02</t>
        </is>
      </c>
      <c r="K463" t="inlineStr">
        <is>
          <t>marginalpdbc_20210403.1</t>
        </is>
      </c>
      <c r="L463" t="inlineStr">
        <is>
          <t>24 periodos; mín 3.00, máx 53.20 €/MWh</t>
        </is>
      </c>
    </row>
    <row r="464">
      <c r="A464" s="53" t="n">
        <v>44290</v>
      </c>
      <c r="B464" t="inlineStr">
        <is>
          <t>2021-04-04</t>
        </is>
      </c>
      <c r="C464" s="45" t="n">
        <v>27.735</v>
      </c>
      <c r="D464" t="inlineStr">
        <is>
          <t>€/MWh</t>
        </is>
      </c>
      <c r="E464" s="54" t="n">
        <v>0.027735</v>
      </c>
      <c r="F464" s="54" t="n"/>
      <c r="G464" t="inlineStr">
        <is>
          <t>no aplica (precio mayorista)</t>
        </is>
      </c>
      <c r="J464" t="inlineStr">
        <is>
          <t>2021-04-03</t>
        </is>
      </c>
      <c r="K464" t="inlineStr">
        <is>
          <t>marginalpdbc_20210404.1</t>
        </is>
      </c>
      <c r="L464" t="inlineStr">
        <is>
          <t>24 periodos; mín 0.90, máx 47.45 €/MWh</t>
        </is>
      </c>
    </row>
    <row r="465">
      <c r="A465" s="53" t="n">
        <v>44291</v>
      </c>
      <c r="B465" t="inlineStr">
        <is>
          <t>2021-04-05</t>
        </is>
      </c>
      <c r="C465" s="45" t="n">
        <v>44.5521</v>
      </c>
      <c r="D465" t="inlineStr">
        <is>
          <t>€/MWh</t>
        </is>
      </c>
      <c r="E465" s="54" t="n">
        <v>0.044552</v>
      </c>
      <c r="F465" s="54" t="n"/>
      <c r="G465" t="inlineStr">
        <is>
          <t>no aplica (precio mayorista)</t>
        </is>
      </c>
      <c r="J465" t="inlineStr">
        <is>
          <t>2021-04-04</t>
        </is>
      </c>
      <c r="K465" t="inlineStr">
        <is>
          <t>marginalpdbc_20210405.1</t>
        </is>
      </c>
      <c r="L465" t="inlineStr">
        <is>
          <t>24 periodos; mín 31.90, máx 60.68 €/MWh</t>
        </is>
      </c>
    </row>
    <row r="466">
      <c r="A466" s="53" t="n">
        <v>44292</v>
      </c>
      <c r="B466" t="inlineStr">
        <is>
          <t>2021-04-06</t>
        </is>
      </c>
      <c r="C466" s="45" t="n">
        <v>55.97</v>
      </c>
      <c r="D466" t="inlineStr">
        <is>
          <t>€/MWh</t>
        </is>
      </c>
      <c r="E466" s="54" t="n">
        <v>0.05597</v>
      </c>
      <c r="F466" s="54" t="n"/>
      <c r="G466" t="inlineStr">
        <is>
          <t>no aplica (precio mayorista)</t>
        </is>
      </c>
      <c r="J466" t="inlineStr">
        <is>
          <t>2021-04-05</t>
        </is>
      </c>
      <c r="K466" t="inlineStr">
        <is>
          <t>marginalpdbc_20210406.1</t>
        </is>
      </c>
      <c r="L466" t="inlineStr">
        <is>
          <t>24 periodos; mín 43.93, máx 69.01 €/MWh</t>
        </is>
      </c>
    </row>
    <row r="467">
      <c r="A467" s="53" t="n">
        <v>44293</v>
      </c>
      <c r="B467" t="inlineStr">
        <is>
          <t>2021-04-07</t>
        </is>
      </c>
      <c r="C467" s="45" t="n">
        <v>66.1117</v>
      </c>
      <c r="D467" t="inlineStr">
        <is>
          <t>€/MWh</t>
        </is>
      </c>
      <c r="E467" s="54" t="n">
        <v>0.066112</v>
      </c>
      <c r="F467" s="54" t="n"/>
      <c r="G467" t="inlineStr">
        <is>
          <t>no aplica (precio mayorista)</t>
        </is>
      </c>
      <c r="J467" t="inlineStr">
        <is>
          <t>2021-04-06</t>
        </is>
      </c>
      <c r="K467" t="inlineStr">
        <is>
          <t>marginalpdbc_20210407.1</t>
        </is>
      </c>
      <c r="L467" t="inlineStr">
        <is>
          <t>24 periodos; mín 58.00, máx 86.99 €/MWh</t>
        </is>
      </c>
    </row>
    <row r="468">
      <c r="A468" s="53" t="n">
        <v>44294</v>
      </c>
      <c r="B468" t="inlineStr">
        <is>
          <t>2021-04-08</t>
        </is>
      </c>
      <c r="C468" s="45" t="n">
        <v>69.7754</v>
      </c>
      <c r="D468" t="inlineStr">
        <is>
          <t>€/MWh</t>
        </is>
      </c>
      <c r="E468" s="54" t="n">
        <v>0.069775</v>
      </c>
      <c r="F468" s="54" t="n"/>
      <c r="G468" t="inlineStr">
        <is>
          <t>no aplica (precio mayorista)</t>
        </is>
      </c>
      <c r="J468" t="inlineStr">
        <is>
          <t>2021-04-07</t>
        </is>
      </c>
      <c r="K468" t="inlineStr">
        <is>
          <t>marginalpdbc_20210408.1</t>
        </is>
      </c>
      <c r="L468" t="inlineStr">
        <is>
          <t>24 periodos; mín 57.00, máx 81.77 €/MWh</t>
        </is>
      </c>
    </row>
    <row r="469">
      <c r="A469" s="53" t="n">
        <v>44295</v>
      </c>
      <c r="B469" t="inlineStr">
        <is>
          <t>2021-04-09</t>
        </is>
      </c>
      <c r="C469" s="45" t="n">
        <v>71.86750000000001</v>
      </c>
      <c r="D469" t="inlineStr">
        <is>
          <t>€/MWh</t>
        </is>
      </c>
      <c r="E469" s="54" t="n">
        <v>0.071867</v>
      </c>
      <c r="F469" s="54" t="n"/>
      <c r="G469" t="inlineStr">
        <is>
          <t>no aplica (precio mayorista)</t>
        </is>
      </c>
      <c r="J469" t="inlineStr">
        <is>
          <t>2021-04-08</t>
        </is>
      </c>
      <c r="K469" t="inlineStr">
        <is>
          <t>marginalpdbc_20210409.1</t>
        </is>
      </c>
      <c r="L469" t="inlineStr">
        <is>
          <t>24 periodos; mín 58.12, máx 86.48 €/MWh</t>
        </is>
      </c>
    </row>
    <row r="470">
      <c r="A470" s="53" t="n">
        <v>44296</v>
      </c>
      <c r="B470" t="inlineStr">
        <is>
          <t>2021-04-10</t>
        </is>
      </c>
      <c r="C470" s="45" t="n">
        <v>65.00539999999999</v>
      </c>
      <c r="D470" t="inlineStr">
        <is>
          <t>€/MWh</t>
        </is>
      </c>
      <c r="E470" s="54" t="n">
        <v>0.06500499999999999</v>
      </c>
      <c r="F470" s="54" t="n"/>
      <c r="G470" t="inlineStr">
        <is>
          <t>no aplica (precio mayorista)</t>
        </is>
      </c>
      <c r="J470" t="inlineStr">
        <is>
          <t>2021-04-09</t>
        </is>
      </c>
      <c r="K470" t="inlineStr">
        <is>
          <t>marginalpdbc_20210410.1</t>
        </is>
      </c>
      <c r="L470" t="inlineStr">
        <is>
          <t>24 periodos; mín 55.07, máx 73.82 €/MWh</t>
        </is>
      </c>
    </row>
    <row r="471">
      <c r="A471" s="53" t="n">
        <v>44297</v>
      </c>
      <c r="B471" t="inlineStr">
        <is>
          <t>2021-04-11</t>
        </is>
      </c>
      <c r="C471" s="45" t="n">
        <v>52.0129</v>
      </c>
      <c r="D471" t="inlineStr">
        <is>
          <t>€/MWh</t>
        </is>
      </c>
      <c r="E471" s="54" t="n">
        <v>0.052013</v>
      </c>
      <c r="F471" s="54" t="n"/>
      <c r="G471" t="inlineStr">
        <is>
          <t>no aplica (precio mayorista)</t>
        </is>
      </c>
      <c r="J471" t="inlineStr">
        <is>
          <t>2021-04-10</t>
        </is>
      </c>
      <c r="K471" t="inlineStr">
        <is>
          <t>marginalpdbc_20210411.1</t>
        </is>
      </c>
      <c r="L471" t="inlineStr">
        <is>
          <t>24 periodos; mín 34.84, máx 67.20 €/MWh</t>
        </is>
      </c>
    </row>
    <row r="472">
      <c r="A472" s="53" t="n">
        <v>44298</v>
      </c>
      <c r="B472" t="inlineStr">
        <is>
          <t>2021-04-12</t>
        </is>
      </c>
      <c r="C472" s="45" t="n">
        <v>63.0354</v>
      </c>
      <c r="D472" t="inlineStr">
        <is>
          <t>€/MWh</t>
        </is>
      </c>
      <c r="E472" s="54" t="n">
        <v>0.06303499999999999</v>
      </c>
      <c r="F472" s="54" t="n"/>
      <c r="G472" t="inlineStr">
        <is>
          <t>no aplica (precio mayorista)</t>
        </is>
      </c>
      <c r="J472" t="inlineStr">
        <is>
          <t>2021-04-11</t>
        </is>
      </c>
      <c r="K472" t="inlineStr">
        <is>
          <t>marginalpdbc_20210412.1</t>
        </is>
      </c>
      <c r="L472" t="inlineStr">
        <is>
          <t>24 periodos; mín 49.60, máx 78.74 €/MWh</t>
        </is>
      </c>
    </row>
    <row r="473">
      <c r="A473" s="53" t="n">
        <v>44299</v>
      </c>
      <c r="B473" t="inlineStr">
        <is>
          <t>2021-04-13</t>
        </is>
      </c>
      <c r="C473" s="45" t="n">
        <v>75.4975</v>
      </c>
      <c r="D473" t="inlineStr">
        <is>
          <t>€/MWh</t>
        </is>
      </c>
      <c r="E473" s="54" t="n">
        <v>0.075498</v>
      </c>
      <c r="F473" s="54" t="n"/>
      <c r="G473" t="inlineStr">
        <is>
          <t>no aplica (precio mayorista)</t>
        </is>
      </c>
      <c r="J473" t="inlineStr">
        <is>
          <t>2021-04-12</t>
        </is>
      </c>
      <c r="K473" t="inlineStr">
        <is>
          <t>marginalpdbc_20210413.1</t>
        </is>
      </c>
      <c r="L473" t="inlineStr">
        <is>
          <t>24 periodos; mín 62.36, máx 88.32 €/MWh</t>
        </is>
      </c>
    </row>
    <row r="474">
      <c r="A474" s="53" t="n">
        <v>44300</v>
      </c>
      <c r="B474" t="inlineStr">
        <is>
          <t>2021-04-14</t>
        </is>
      </c>
      <c r="C474" s="45" t="n">
        <v>73.9567</v>
      </c>
      <c r="D474" t="inlineStr">
        <is>
          <t>€/MWh</t>
        </is>
      </c>
      <c r="E474" s="54" t="n">
        <v>0.07395699999999999</v>
      </c>
      <c r="F474" s="54" t="n"/>
      <c r="G474" t="inlineStr">
        <is>
          <t>no aplica (precio mayorista)</t>
        </is>
      </c>
      <c r="J474" t="inlineStr">
        <is>
          <t>2021-04-13</t>
        </is>
      </c>
      <c r="K474" t="inlineStr">
        <is>
          <t>marginalpdbc_20210414.1</t>
        </is>
      </c>
      <c r="L474" t="inlineStr">
        <is>
          <t>24 periodos; mín 61.97, máx 88.41 €/MWh</t>
        </is>
      </c>
    </row>
    <row r="475">
      <c r="A475" s="53" t="n">
        <v>44301</v>
      </c>
      <c r="B475" t="inlineStr">
        <is>
          <t>2021-04-15</t>
        </is>
      </c>
      <c r="C475" s="45" t="n">
        <v>68.185</v>
      </c>
      <c r="D475" t="inlineStr">
        <is>
          <t>€/MWh</t>
        </is>
      </c>
      <c r="E475" s="54" t="n">
        <v>0.068185</v>
      </c>
      <c r="F475" s="54" t="n"/>
      <c r="G475" t="inlineStr">
        <is>
          <t>no aplica (precio mayorista)</t>
        </is>
      </c>
      <c r="J475" t="inlineStr">
        <is>
          <t>2021-04-14</t>
        </is>
      </c>
      <c r="K475" t="inlineStr">
        <is>
          <t>marginalpdbc_20210415.1</t>
        </is>
      </c>
      <c r="L475" t="inlineStr">
        <is>
          <t>24 periodos; mín 59.18, máx 78.00 €/MWh</t>
        </is>
      </c>
    </row>
    <row r="476">
      <c r="A476" s="53" t="n">
        <v>44302</v>
      </c>
      <c r="B476" t="inlineStr">
        <is>
          <t>2021-04-16</t>
        </is>
      </c>
      <c r="C476" s="45" t="n">
        <v>68.92749999999999</v>
      </c>
      <c r="D476" t="inlineStr">
        <is>
          <t>€/MWh</t>
        </is>
      </c>
      <c r="E476" s="54" t="n">
        <v>0.068927</v>
      </c>
      <c r="F476" s="54" t="n"/>
      <c r="G476" t="inlineStr">
        <is>
          <t>no aplica (precio mayorista)</t>
        </is>
      </c>
      <c r="J476" t="inlineStr">
        <is>
          <t>2021-04-15</t>
        </is>
      </c>
      <c r="K476" t="inlineStr">
        <is>
          <t>marginalpdbc_20210416.1</t>
        </is>
      </c>
      <c r="L476" t="inlineStr">
        <is>
          <t>24 periodos; mín 53.66, máx 80.00 €/MWh</t>
        </is>
      </c>
    </row>
    <row r="477">
      <c r="A477" s="53" t="n">
        <v>44303</v>
      </c>
      <c r="B477" t="inlineStr">
        <is>
          <t>2021-04-17</t>
        </is>
      </c>
      <c r="C477" s="45" t="n">
        <v>64.1883</v>
      </c>
      <c r="D477" t="inlineStr">
        <is>
          <t>€/MWh</t>
        </is>
      </c>
      <c r="E477" s="54" t="n">
        <v>0.064188</v>
      </c>
      <c r="F477" s="54" t="n"/>
      <c r="G477" t="inlineStr">
        <is>
          <t>no aplica (precio mayorista)</t>
        </is>
      </c>
      <c r="J477" t="inlineStr">
        <is>
          <t>2021-04-16</t>
        </is>
      </c>
      <c r="K477" t="inlineStr">
        <is>
          <t>marginalpdbc_20210417.1</t>
        </is>
      </c>
      <c r="L477" t="inlineStr">
        <is>
          <t>24 periodos; mín 50.72, máx 78.47 €/MWh</t>
        </is>
      </c>
    </row>
    <row r="478">
      <c r="A478" s="53" t="n">
        <v>44304</v>
      </c>
      <c r="B478" t="inlineStr">
        <is>
          <t>2021-04-18</t>
        </is>
      </c>
      <c r="C478" s="45" t="n">
        <v>64.53919999999999</v>
      </c>
      <c r="D478" t="inlineStr">
        <is>
          <t>€/MWh</t>
        </is>
      </c>
      <c r="E478" s="54" t="n">
        <v>0.064539</v>
      </c>
      <c r="F478" s="54" t="n"/>
      <c r="G478" t="inlineStr">
        <is>
          <t>no aplica (precio mayorista)</t>
        </is>
      </c>
      <c r="J478" t="inlineStr">
        <is>
          <t>2021-04-17</t>
        </is>
      </c>
      <c r="K478" t="inlineStr">
        <is>
          <t>marginalpdbc_20210418.1</t>
        </is>
      </c>
      <c r="L478" t="inlineStr">
        <is>
          <t>24 periodos; mín 51.34, máx 82.51 €/MWh</t>
        </is>
      </c>
    </row>
    <row r="479">
      <c r="A479" s="53" t="n">
        <v>44305</v>
      </c>
      <c r="B479" t="inlineStr">
        <is>
          <t>2021-04-19</t>
        </is>
      </c>
      <c r="C479" s="45" t="n">
        <v>79.02500000000001</v>
      </c>
      <c r="D479" t="inlineStr">
        <is>
          <t>€/MWh</t>
        </is>
      </c>
      <c r="E479" s="54" t="n">
        <v>0.079025</v>
      </c>
      <c r="F479" s="54" t="n"/>
      <c r="G479" t="inlineStr">
        <is>
          <t>no aplica (precio mayorista)</t>
        </is>
      </c>
      <c r="J479" t="inlineStr">
        <is>
          <t>2021-04-18</t>
        </is>
      </c>
      <c r="K479" t="inlineStr">
        <is>
          <t>marginalpdbc_20210419.1</t>
        </is>
      </c>
      <c r="L479" t="inlineStr">
        <is>
          <t>24 periodos; mín 65.16, máx 89.50 €/MWh</t>
        </is>
      </c>
    </row>
    <row r="480">
      <c r="A480" s="53" t="n">
        <v>44306</v>
      </c>
      <c r="B480" t="inlineStr">
        <is>
          <t>2021-04-20</t>
        </is>
      </c>
      <c r="C480" s="45" t="n">
        <v>78.5763</v>
      </c>
      <c r="D480" t="inlineStr">
        <is>
          <t>€/MWh</t>
        </is>
      </c>
      <c r="E480" s="54" t="n">
        <v>0.07857599999999999</v>
      </c>
      <c r="F480" s="54" t="n"/>
      <c r="G480" t="inlineStr">
        <is>
          <t>no aplica (precio mayorista)</t>
        </is>
      </c>
      <c r="J480" t="inlineStr">
        <is>
          <t>2021-04-19</t>
        </is>
      </c>
      <c r="K480" t="inlineStr">
        <is>
          <t>marginalpdbc_20210420.1</t>
        </is>
      </c>
      <c r="L480" t="inlineStr">
        <is>
          <t>24 periodos; mín 66.01, máx 93.92 €/MWh</t>
        </is>
      </c>
    </row>
    <row r="481">
      <c r="A481" s="53" t="n">
        <v>44307</v>
      </c>
      <c r="B481" t="inlineStr">
        <is>
          <t>2021-04-21</t>
        </is>
      </c>
      <c r="C481" s="45" t="n">
        <v>79.5962</v>
      </c>
      <c r="D481" t="inlineStr">
        <is>
          <t>€/MWh</t>
        </is>
      </c>
      <c r="E481" s="54" t="n">
        <v>0.079596</v>
      </c>
      <c r="F481" s="54" t="n"/>
      <c r="G481" t="inlineStr">
        <is>
          <t>no aplica (precio mayorista)</t>
        </is>
      </c>
      <c r="J481" t="inlineStr">
        <is>
          <t>2021-04-20</t>
        </is>
      </c>
      <c r="K481" t="inlineStr">
        <is>
          <t>marginalpdbc_20210421.1</t>
        </is>
      </c>
      <c r="L481" t="inlineStr">
        <is>
          <t>24 periodos; mín 67.30, máx 92.62 €/MWh</t>
        </is>
      </c>
    </row>
    <row r="482">
      <c r="A482" s="53" t="n">
        <v>44308</v>
      </c>
      <c r="B482" t="inlineStr">
        <is>
          <t>2021-04-22</t>
        </is>
      </c>
      <c r="C482" s="45" t="n">
        <v>74.41419999999999</v>
      </c>
      <c r="D482" t="inlineStr">
        <is>
          <t>€/MWh</t>
        </is>
      </c>
      <c r="E482" s="54" t="n">
        <v>0.07441399999999999</v>
      </c>
      <c r="F482" s="54" t="n"/>
      <c r="G482" t="inlineStr">
        <is>
          <t>no aplica (precio mayorista)</t>
        </is>
      </c>
      <c r="J482" t="inlineStr">
        <is>
          <t>2021-04-21</t>
        </is>
      </c>
      <c r="K482" t="inlineStr">
        <is>
          <t>marginalpdbc_20210422.1</t>
        </is>
      </c>
      <c r="L482" t="inlineStr">
        <is>
          <t>24 periodos; mín 65.16, máx 85.93 €/MWh</t>
        </is>
      </c>
    </row>
    <row r="483">
      <c r="A483" s="53" t="n">
        <v>44309</v>
      </c>
      <c r="B483" t="inlineStr">
        <is>
          <t>2021-04-23</t>
        </is>
      </c>
      <c r="C483" s="45" t="n">
        <v>68.55540000000001</v>
      </c>
      <c r="D483" t="inlineStr">
        <is>
          <t>€/MWh</t>
        </is>
      </c>
      <c r="E483" s="54" t="n">
        <v>0.068555</v>
      </c>
      <c r="F483" s="54" t="n"/>
      <c r="G483" t="inlineStr">
        <is>
          <t>no aplica (precio mayorista)</t>
        </is>
      </c>
      <c r="J483" t="inlineStr">
        <is>
          <t>2021-04-22</t>
        </is>
      </c>
      <c r="K483" t="inlineStr">
        <is>
          <t>marginalpdbc_20210423.1</t>
        </is>
      </c>
      <c r="L483" t="inlineStr">
        <is>
          <t>24 periodos; mín 51.24, máx 83.73 €/MWh</t>
        </is>
      </c>
    </row>
    <row r="484">
      <c r="A484" s="53" t="n">
        <v>44310</v>
      </c>
      <c r="B484" t="inlineStr">
        <is>
          <t>2021-04-24</t>
        </is>
      </c>
      <c r="C484" s="45" t="n">
        <v>57.3117</v>
      </c>
      <c r="D484" t="inlineStr">
        <is>
          <t>€/MWh</t>
        </is>
      </c>
      <c r="E484" s="54" t="n">
        <v>0.057312</v>
      </c>
      <c r="F484" s="54" t="n"/>
      <c r="G484" t="inlineStr">
        <is>
          <t>no aplica (precio mayorista)</t>
        </is>
      </c>
      <c r="J484" t="inlineStr">
        <is>
          <t>2021-04-23</t>
        </is>
      </c>
      <c r="K484" t="inlineStr">
        <is>
          <t>marginalpdbc_20210424.1</t>
        </is>
      </c>
      <c r="L484" t="inlineStr">
        <is>
          <t>24 periodos; mín 32.07, máx 77.00 €/MWh</t>
        </is>
      </c>
    </row>
    <row r="485">
      <c r="A485" s="53" t="n">
        <v>44311</v>
      </c>
      <c r="B485" t="inlineStr">
        <is>
          <t>2021-04-25</t>
        </is>
      </c>
      <c r="C485" s="45" t="n">
        <v>61.0883</v>
      </c>
      <c r="D485" t="inlineStr">
        <is>
          <t>€/MWh</t>
        </is>
      </c>
      <c r="E485" s="54" t="n">
        <v>0.061088</v>
      </c>
      <c r="F485" s="54" t="n"/>
      <c r="G485" t="inlineStr">
        <is>
          <t>no aplica (precio mayorista)</t>
        </is>
      </c>
      <c r="J485" t="inlineStr">
        <is>
          <t>2021-04-24</t>
        </is>
      </c>
      <c r="K485" t="inlineStr">
        <is>
          <t>marginalpdbc_20210425.1</t>
        </is>
      </c>
      <c r="L485" t="inlineStr">
        <is>
          <t>24 periodos; mín 50.00, máx 88.09 €/MWh</t>
        </is>
      </c>
    </row>
    <row r="486">
      <c r="A486" s="53" t="n">
        <v>44312</v>
      </c>
      <c r="B486" t="inlineStr">
        <is>
          <t>2021-04-26</t>
        </is>
      </c>
      <c r="C486" s="45" t="n">
        <v>75.9883</v>
      </c>
      <c r="D486" t="inlineStr">
        <is>
          <t>€/MWh</t>
        </is>
      </c>
      <c r="E486" s="54" t="n">
        <v>0.075988</v>
      </c>
      <c r="F486" s="54" t="n"/>
      <c r="G486" t="inlineStr">
        <is>
          <t>no aplica (precio mayorista)</t>
        </is>
      </c>
      <c r="J486" t="inlineStr">
        <is>
          <t>2021-04-25</t>
        </is>
      </c>
      <c r="K486" t="inlineStr">
        <is>
          <t>marginalpdbc_20210426.1</t>
        </is>
      </c>
      <c r="L486" t="inlineStr">
        <is>
          <t>24 periodos; mín 66.36, máx 86.01 €/MWh</t>
        </is>
      </c>
    </row>
    <row r="487">
      <c r="A487" s="53" t="n">
        <v>44313</v>
      </c>
      <c r="B487" t="inlineStr">
        <is>
          <t>2021-04-27</t>
        </is>
      </c>
      <c r="C487" s="45" t="n">
        <v>77.9533</v>
      </c>
      <c r="D487" t="inlineStr">
        <is>
          <t>€/MWh</t>
        </is>
      </c>
      <c r="E487" s="54" t="n">
        <v>0.07795299999999999</v>
      </c>
      <c r="F487" s="54" t="n"/>
      <c r="G487" t="inlineStr">
        <is>
          <t>no aplica (precio mayorista)</t>
        </is>
      </c>
      <c r="J487" t="inlineStr">
        <is>
          <t>2021-04-26</t>
        </is>
      </c>
      <c r="K487" t="inlineStr">
        <is>
          <t>marginalpdbc_20210427.1</t>
        </is>
      </c>
      <c r="L487" t="inlineStr">
        <is>
          <t>24 periodos; mín 66.36, máx 85.32 €/MWh</t>
        </is>
      </c>
    </row>
    <row r="488">
      <c r="A488" s="53" t="n">
        <v>44314</v>
      </c>
      <c r="B488" t="inlineStr">
        <is>
          <t>2021-04-28</t>
        </is>
      </c>
      <c r="C488" s="45" t="n">
        <v>74.4042</v>
      </c>
      <c r="D488" t="inlineStr">
        <is>
          <t>€/MWh</t>
        </is>
      </c>
      <c r="E488" s="54" t="n">
        <v>0.074404</v>
      </c>
      <c r="F488" s="54" t="n"/>
      <c r="G488" t="inlineStr">
        <is>
          <t>no aplica (precio mayorista)</t>
        </is>
      </c>
      <c r="J488" t="inlineStr">
        <is>
          <t>2021-04-27</t>
        </is>
      </c>
      <c r="K488" t="inlineStr">
        <is>
          <t>marginalpdbc_20210428.1</t>
        </is>
      </c>
      <c r="L488" t="inlineStr">
        <is>
          <t>24 periodos; mín 59.18, máx 85.57 €/MWh</t>
        </is>
      </c>
    </row>
    <row r="489">
      <c r="A489" s="53" t="n">
        <v>44315</v>
      </c>
      <c r="B489" t="inlineStr">
        <is>
          <t>2021-04-29</t>
        </is>
      </c>
      <c r="C489" s="45" t="n">
        <v>74.6683</v>
      </c>
      <c r="D489" t="inlineStr">
        <is>
          <t>€/MWh</t>
        </is>
      </c>
      <c r="E489" s="54" t="n">
        <v>0.074668</v>
      </c>
      <c r="F489" s="54" t="n"/>
      <c r="G489" t="inlineStr">
        <is>
          <t>no aplica (precio mayorista)</t>
        </is>
      </c>
      <c r="J489" t="inlineStr">
        <is>
          <t>2021-04-28</t>
        </is>
      </c>
      <c r="K489" t="inlineStr">
        <is>
          <t>marginalpdbc_20210429.1</t>
        </is>
      </c>
      <c r="L489" t="inlineStr">
        <is>
          <t>24 periodos; mín 65.00, máx 86.70 €/MWh</t>
        </is>
      </c>
    </row>
    <row r="490">
      <c r="A490" s="53" t="n">
        <v>44316</v>
      </c>
      <c r="B490" t="inlineStr">
        <is>
          <t>2021-04-30</t>
        </is>
      </c>
      <c r="C490" s="45" t="n">
        <v>79.28579999999999</v>
      </c>
      <c r="D490" t="inlineStr">
        <is>
          <t>€/MWh</t>
        </is>
      </c>
      <c r="E490" s="54" t="n">
        <v>0.079286</v>
      </c>
      <c r="F490" s="54" t="n"/>
      <c r="G490" t="inlineStr">
        <is>
          <t>no aplica (precio mayorista)</t>
        </is>
      </c>
      <c r="J490" t="inlineStr">
        <is>
          <t>2021-04-29</t>
        </is>
      </c>
      <c r="K490" t="inlineStr">
        <is>
          <t>marginalpdbc_20210430.1</t>
        </is>
      </c>
      <c r="L490" t="inlineStr">
        <is>
          <t>24 periodos; mín 67.50, máx 90.00 €/MWh</t>
        </is>
      </c>
    </row>
    <row r="491">
      <c r="A491" s="53" t="n">
        <v>44317</v>
      </c>
      <c r="B491" t="inlineStr">
        <is>
          <t>2021-05-01</t>
        </is>
      </c>
      <c r="C491" s="45" t="n">
        <v>59.3617</v>
      </c>
      <c r="D491" t="inlineStr">
        <is>
          <t>€/MWh</t>
        </is>
      </c>
      <c r="E491" s="54" t="n">
        <v>0.059362</v>
      </c>
      <c r="F491" s="54" t="n"/>
      <c r="G491" t="inlineStr">
        <is>
          <t>no aplica (precio mayorista)</t>
        </is>
      </c>
      <c r="J491" t="inlineStr">
        <is>
          <t>2021-04-30</t>
        </is>
      </c>
      <c r="K491" t="inlineStr">
        <is>
          <t>marginalpdbc_20210501.1</t>
        </is>
      </c>
      <c r="L491" t="inlineStr">
        <is>
          <t>24 periodos; mín 45.53, máx 81.52 €/MWh</t>
        </is>
      </c>
    </row>
    <row r="492">
      <c r="A492" s="53" t="n">
        <v>44318</v>
      </c>
      <c r="B492" t="inlineStr">
        <is>
          <t>2021-05-02</t>
        </is>
      </c>
      <c r="C492" s="45" t="n">
        <v>61.3917</v>
      </c>
      <c r="D492" t="inlineStr">
        <is>
          <t>€/MWh</t>
        </is>
      </c>
      <c r="E492" s="54" t="n">
        <v>0.061392</v>
      </c>
      <c r="F492" s="54" t="n"/>
      <c r="G492" t="inlineStr">
        <is>
          <t>no aplica (precio mayorista)</t>
        </is>
      </c>
      <c r="J492" t="inlineStr">
        <is>
          <t>2021-05-01</t>
        </is>
      </c>
      <c r="K492" t="inlineStr">
        <is>
          <t>marginalpdbc_20210502.1</t>
        </is>
      </c>
      <c r="L492" t="inlineStr">
        <is>
          <t>24 periodos; mín 52.00, máx 82.62 €/MWh</t>
        </is>
      </c>
    </row>
    <row r="493">
      <c r="A493" s="53" t="n">
        <v>44319</v>
      </c>
      <c r="B493" t="inlineStr">
        <is>
          <t>2021-05-03</t>
        </is>
      </c>
      <c r="C493" s="45" t="n">
        <v>73.54040000000001</v>
      </c>
      <c r="D493" t="inlineStr">
        <is>
          <t>€/MWh</t>
        </is>
      </c>
      <c r="E493" s="54" t="n">
        <v>0.07353999999999999</v>
      </c>
      <c r="F493" s="54" t="n"/>
      <c r="G493" t="inlineStr">
        <is>
          <t>no aplica (precio mayorista)</t>
        </is>
      </c>
      <c r="J493" t="inlineStr">
        <is>
          <t>2021-05-02</t>
        </is>
      </c>
      <c r="K493" t="inlineStr">
        <is>
          <t>marginalpdbc_20210503.1</t>
        </is>
      </c>
      <c r="L493" t="inlineStr">
        <is>
          <t>24 periodos; mín 52.64, máx 87.00 €/MWh</t>
        </is>
      </c>
    </row>
    <row r="494">
      <c r="A494" s="53" t="n">
        <v>44320</v>
      </c>
      <c r="B494" t="inlineStr">
        <is>
          <t>2021-05-04</t>
        </is>
      </c>
      <c r="C494" s="45" t="n">
        <v>81.27</v>
      </c>
      <c r="D494" t="inlineStr">
        <is>
          <t>€/MWh</t>
        </is>
      </c>
      <c r="E494" s="54" t="n">
        <v>0.08127</v>
      </c>
      <c r="F494" s="54" t="n"/>
      <c r="G494" t="inlineStr">
        <is>
          <t>no aplica (precio mayorista)</t>
        </is>
      </c>
      <c r="J494" t="inlineStr">
        <is>
          <t>2021-05-03</t>
        </is>
      </c>
      <c r="K494" t="inlineStr">
        <is>
          <t>marginalpdbc_20210504.1</t>
        </is>
      </c>
      <c r="L494" t="inlineStr">
        <is>
          <t>24 periodos; mín 69.55, máx 89.05 €/MWh</t>
        </is>
      </c>
    </row>
    <row r="495">
      <c r="A495" s="53" t="n">
        <v>44321</v>
      </c>
      <c r="B495" t="inlineStr">
        <is>
          <t>2021-05-05</t>
        </is>
      </c>
      <c r="C495" s="45" t="n">
        <v>75.7146</v>
      </c>
      <c r="D495" t="inlineStr">
        <is>
          <t>€/MWh</t>
        </is>
      </c>
      <c r="E495" s="54" t="n">
        <v>0.075715</v>
      </c>
      <c r="F495" s="54" t="n"/>
      <c r="G495" t="inlineStr">
        <is>
          <t>no aplica (precio mayorista)</t>
        </is>
      </c>
      <c r="J495" t="inlineStr">
        <is>
          <t>2021-05-04</t>
        </is>
      </c>
      <c r="K495" t="inlineStr">
        <is>
          <t>marginalpdbc_20210505.1</t>
        </is>
      </c>
      <c r="L495" t="inlineStr">
        <is>
          <t>24 periodos; mín 65.55, máx 85.50 €/MWh</t>
        </is>
      </c>
    </row>
    <row r="496">
      <c r="A496" s="53" t="n">
        <v>44322</v>
      </c>
      <c r="B496" t="inlineStr">
        <is>
          <t>2021-05-06</t>
        </is>
      </c>
      <c r="C496" s="45" t="n">
        <v>73.1083</v>
      </c>
      <c r="D496" t="inlineStr">
        <is>
          <t>€/MWh</t>
        </is>
      </c>
      <c r="E496" s="54" t="n">
        <v>0.07310800000000001</v>
      </c>
      <c r="F496" s="54" t="n"/>
      <c r="G496" t="inlineStr">
        <is>
          <t>no aplica (precio mayorista)</t>
        </is>
      </c>
      <c r="J496" t="inlineStr">
        <is>
          <t>2021-05-05</t>
        </is>
      </c>
      <c r="K496" t="inlineStr">
        <is>
          <t>marginalpdbc_20210506.1</t>
        </is>
      </c>
      <c r="L496" t="inlineStr">
        <is>
          <t>24 periodos; mín 63.05, máx 85.00 €/MWh</t>
        </is>
      </c>
    </row>
    <row r="497">
      <c r="A497" s="53" t="n">
        <v>44323</v>
      </c>
      <c r="B497" t="inlineStr">
        <is>
          <t>2021-05-07</t>
        </is>
      </c>
      <c r="C497" s="45" t="n">
        <v>73.4992</v>
      </c>
      <c r="D497" t="inlineStr">
        <is>
          <t>€/MWh</t>
        </is>
      </c>
      <c r="E497" s="54" t="n">
        <v>0.07349899999999999</v>
      </c>
      <c r="F497" s="54" t="n"/>
      <c r="G497" t="inlineStr">
        <is>
          <t>no aplica (precio mayorista)</t>
        </is>
      </c>
      <c r="J497" t="inlineStr">
        <is>
          <t>2021-05-06</t>
        </is>
      </c>
      <c r="K497" t="inlineStr">
        <is>
          <t>marginalpdbc_20210507.1</t>
        </is>
      </c>
      <c r="L497" t="inlineStr">
        <is>
          <t>24 periodos; mín 56.80, máx 90.00 €/MWh</t>
        </is>
      </c>
    </row>
    <row r="498">
      <c r="A498" s="53" t="n">
        <v>44324</v>
      </c>
      <c r="B498" t="inlineStr">
        <is>
          <t>2021-05-08</t>
        </is>
      </c>
      <c r="C498" s="45" t="n">
        <v>47.2521</v>
      </c>
      <c r="D498" t="inlineStr">
        <is>
          <t>€/MWh</t>
        </is>
      </c>
      <c r="E498" s="54" t="n">
        <v>0.047252</v>
      </c>
      <c r="F498" s="54" t="n"/>
      <c r="G498" t="inlineStr">
        <is>
          <t>no aplica (precio mayorista)</t>
        </is>
      </c>
      <c r="J498" t="inlineStr">
        <is>
          <t>2021-05-07</t>
        </is>
      </c>
      <c r="K498" t="inlineStr">
        <is>
          <t>marginalpdbc_20210508.1</t>
        </is>
      </c>
      <c r="L498" t="inlineStr">
        <is>
          <t>24 periodos; mín 0.16, máx 80.75 €/MWh</t>
        </is>
      </c>
    </row>
    <row r="499">
      <c r="A499" s="53" t="n">
        <v>44325</v>
      </c>
      <c r="B499" t="inlineStr">
        <is>
          <t>2021-05-09</t>
        </is>
      </c>
      <c r="C499" s="45" t="n">
        <v>10.5275</v>
      </c>
      <c r="D499" t="inlineStr">
        <is>
          <t>€/MWh</t>
        </is>
      </c>
      <c r="E499" s="54" t="n">
        <v>0.010528</v>
      </c>
      <c r="F499" s="54" t="n"/>
      <c r="G499" t="inlineStr">
        <is>
          <t>no aplica (precio mayorista)</t>
        </is>
      </c>
      <c r="J499" t="inlineStr">
        <is>
          <t>2021-05-08</t>
        </is>
      </c>
      <c r="K499" t="inlineStr">
        <is>
          <t>marginalpdbc_20210509.1</t>
        </is>
      </c>
      <c r="L499" t="inlineStr">
        <is>
          <t>24 periodos; mín 0.01, máx 54.30 €/MWh</t>
        </is>
      </c>
    </row>
    <row r="500">
      <c r="A500" s="53" t="n">
        <v>44326</v>
      </c>
      <c r="B500" t="inlineStr">
        <is>
          <t>2021-05-10</t>
        </is>
      </c>
      <c r="C500" s="45" t="n">
        <v>59.2646</v>
      </c>
      <c r="D500" t="inlineStr">
        <is>
          <t>€/MWh</t>
        </is>
      </c>
      <c r="E500" s="54" t="n">
        <v>0.059265</v>
      </c>
      <c r="F500" s="54" t="n"/>
      <c r="G500" t="inlineStr">
        <is>
          <t>no aplica (precio mayorista)</t>
        </is>
      </c>
      <c r="J500" t="inlineStr">
        <is>
          <t>2021-05-09</t>
        </is>
      </c>
      <c r="K500" t="inlineStr">
        <is>
          <t>marginalpdbc_20210510.1</t>
        </is>
      </c>
      <c r="L500" t="inlineStr">
        <is>
          <t>24 periodos; mín 35.80, máx 83.16 €/MWh</t>
        </is>
      </c>
    </row>
    <row r="501">
      <c r="A501" s="53" t="n">
        <v>44327</v>
      </c>
      <c r="B501" t="inlineStr">
        <is>
          <t>2021-05-11</t>
        </is>
      </c>
      <c r="C501" s="45" t="n">
        <v>54.0504</v>
      </c>
      <c r="D501" t="inlineStr">
        <is>
          <t>€/MWh</t>
        </is>
      </c>
      <c r="E501" s="54" t="n">
        <v>0.05405</v>
      </c>
      <c r="F501" s="54" t="n"/>
      <c r="G501" t="inlineStr">
        <is>
          <t>no aplica (precio mayorista)</t>
        </is>
      </c>
      <c r="J501" t="inlineStr">
        <is>
          <t>2021-05-10</t>
        </is>
      </c>
      <c r="K501" t="inlineStr">
        <is>
          <t>marginalpdbc_20210511.1</t>
        </is>
      </c>
      <c r="L501" t="inlineStr">
        <is>
          <t>24 periodos; mín 23.19, máx 79.62 €/MWh</t>
        </is>
      </c>
    </row>
    <row r="502">
      <c r="A502" s="53" t="n">
        <v>44328</v>
      </c>
      <c r="B502" t="inlineStr">
        <is>
          <t>2021-05-12</t>
        </is>
      </c>
      <c r="C502" s="45" t="n">
        <v>53.0433</v>
      </c>
      <c r="D502" t="inlineStr">
        <is>
          <t>€/MWh</t>
        </is>
      </c>
      <c r="E502" s="54" t="n">
        <v>0.053043</v>
      </c>
      <c r="F502" s="54" t="n"/>
      <c r="G502" t="inlineStr">
        <is>
          <t>no aplica (precio mayorista)</t>
        </is>
      </c>
      <c r="J502" t="inlineStr">
        <is>
          <t>2021-05-11</t>
        </is>
      </c>
      <c r="K502" t="inlineStr">
        <is>
          <t>marginalpdbc_20210512.1</t>
        </is>
      </c>
      <c r="L502" t="inlineStr">
        <is>
          <t>24 periodos; mín 5.00, máx 78.08 €/MWh</t>
        </is>
      </c>
    </row>
    <row r="503">
      <c r="A503" s="53" t="n">
        <v>44329</v>
      </c>
      <c r="B503" t="inlineStr">
        <is>
          <t>2021-05-13</t>
        </is>
      </c>
      <c r="C503" s="45" t="n">
        <v>59.7962</v>
      </c>
      <c r="D503" t="inlineStr">
        <is>
          <t>€/MWh</t>
        </is>
      </c>
      <c r="E503" s="54" t="n">
        <v>0.059796</v>
      </c>
      <c r="F503" s="54" t="n"/>
      <c r="G503" t="inlineStr">
        <is>
          <t>no aplica (precio mayorista)</t>
        </is>
      </c>
      <c r="J503" t="inlineStr">
        <is>
          <t>2021-05-12</t>
        </is>
      </c>
      <c r="K503" t="inlineStr">
        <is>
          <t>marginalpdbc_20210513.1</t>
        </is>
      </c>
      <c r="L503" t="inlineStr">
        <is>
          <t>24 periodos; mín 36.52, máx 79.96 €/MWh</t>
        </is>
      </c>
    </row>
    <row r="504">
      <c r="A504" s="53" t="n">
        <v>44330</v>
      </c>
      <c r="B504" t="inlineStr">
        <is>
          <t>2021-05-14</t>
        </is>
      </c>
      <c r="C504" s="45" t="n">
        <v>71.5296</v>
      </c>
      <c r="D504" t="inlineStr">
        <is>
          <t>€/MWh</t>
        </is>
      </c>
      <c r="E504" s="54" t="n">
        <v>0.07153</v>
      </c>
      <c r="F504" s="54" t="n"/>
      <c r="G504" t="inlineStr">
        <is>
          <t>no aplica (precio mayorista)</t>
        </is>
      </c>
      <c r="J504" t="inlineStr">
        <is>
          <t>2021-05-13</t>
        </is>
      </c>
      <c r="K504" t="inlineStr">
        <is>
          <t>marginalpdbc_20210514.1</t>
        </is>
      </c>
      <c r="L504" t="inlineStr">
        <is>
          <t>24 periodos; mín 60.00, máx 87.02 €/MWh</t>
        </is>
      </c>
    </row>
    <row r="505">
      <c r="A505" s="53" t="n">
        <v>44331</v>
      </c>
      <c r="B505" t="inlineStr">
        <is>
          <t>2021-05-15</t>
        </is>
      </c>
      <c r="C505" s="45" t="n">
        <v>43.1562</v>
      </c>
      <c r="D505" t="inlineStr">
        <is>
          <t>€/MWh</t>
        </is>
      </c>
      <c r="E505" s="54" t="n">
        <v>0.043156</v>
      </c>
      <c r="F505" s="54" t="n"/>
      <c r="G505" t="inlineStr">
        <is>
          <t>no aplica (precio mayorista)</t>
        </is>
      </c>
      <c r="J505" t="inlineStr">
        <is>
          <t>2021-05-14</t>
        </is>
      </c>
      <c r="K505" t="inlineStr">
        <is>
          <t>marginalpdbc_20210515.1</t>
        </is>
      </c>
      <c r="L505" t="inlineStr">
        <is>
          <t>24 periodos; mín 1.95, máx 72.64 €/MWh</t>
        </is>
      </c>
    </row>
    <row r="506">
      <c r="A506" s="53" t="n">
        <v>44332</v>
      </c>
      <c r="B506" t="inlineStr">
        <is>
          <t>2021-05-16</t>
        </is>
      </c>
      <c r="C506" s="45" t="n">
        <v>26.6496</v>
      </c>
      <c r="D506" t="inlineStr">
        <is>
          <t>€/MWh</t>
        </is>
      </c>
      <c r="E506" s="54" t="n">
        <v>0.02665</v>
      </c>
      <c r="F506" s="54" t="n"/>
      <c r="G506" t="inlineStr">
        <is>
          <t>no aplica (precio mayorista)</t>
        </is>
      </c>
      <c r="J506" t="inlineStr">
        <is>
          <t>2021-05-15</t>
        </is>
      </c>
      <c r="K506" t="inlineStr">
        <is>
          <t>marginalpdbc_20210516.1</t>
        </is>
      </c>
      <c r="L506" t="inlineStr">
        <is>
          <t>24 periodos; mín 1.00, máx 70.99 €/MWh</t>
        </is>
      </c>
    </row>
    <row r="507">
      <c r="A507" s="53" t="n">
        <v>44333</v>
      </c>
      <c r="B507" t="inlineStr">
        <is>
          <t>2021-05-17</t>
        </is>
      </c>
      <c r="C507" s="45" t="n">
        <v>76.81959999999999</v>
      </c>
      <c r="D507" t="inlineStr">
        <is>
          <t>€/MWh</t>
        </is>
      </c>
      <c r="E507" s="54" t="n">
        <v>0.07682</v>
      </c>
      <c r="F507" s="54" t="n"/>
      <c r="G507" t="inlineStr">
        <is>
          <t>no aplica (precio mayorista)</t>
        </is>
      </c>
      <c r="J507" t="inlineStr">
        <is>
          <t>2021-05-16</t>
        </is>
      </c>
      <c r="K507" t="inlineStr">
        <is>
          <t>marginalpdbc_20210517.1</t>
        </is>
      </c>
      <c r="L507" t="inlineStr">
        <is>
          <t>24 periodos; mín 53.03, máx 94.65 €/MWh</t>
        </is>
      </c>
    </row>
    <row r="508">
      <c r="A508" s="53" t="n">
        <v>44334</v>
      </c>
      <c r="B508" t="inlineStr">
        <is>
          <t>2021-05-18</t>
        </is>
      </c>
      <c r="C508" s="45" t="n">
        <v>77.65000000000001</v>
      </c>
      <c r="D508" t="inlineStr">
        <is>
          <t>€/MWh</t>
        </is>
      </c>
      <c r="E508" s="54" t="n">
        <v>0.07765</v>
      </c>
      <c r="F508" s="54" t="n"/>
      <c r="G508" t="inlineStr">
        <is>
          <t>no aplica (precio mayorista)</t>
        </is>
      </c>
      <c r="J508" t="inlineStr">
        <is>
          <t>2021-05-17</t>
        </is>
      </c>
      <c r="K508" t="inlineStr">
        <is>
          <t>marginalpdbc_20210518.1</t>
        </is>
      </c>
      <c r="L508" t="inlineStr">
        <is>
          <t>24 periodos; mín 60.16, máx 90.07 €/MWh</t>
        </is>
      </c>
    </row>
    <row r="509">
      <c r="A509" s="53" t="n">
        <v>44335</v>
      </c>
      <c r="B509" t="inlineStr">
        <is>
          <t>2021-05-19</t>
        </is>
      </c>
      <c r="C509" s="45" t="n">
        <v>77.1104</v>
      </c>
      <c r="D509" t="inlineStr">
        <is>
          <t>€/MWh</t>
        </is>
      </c>
      <c r="E509" s="54" t="n">
        <v>0.07711</v>
      </c>
      <c r="F509" s="54" t="n"/>
      <c r="G509" t="inlineStr">
        <is>
          <t>no aplica (precio mayorista)</t>
        </is>
      </c>
      <c r="J509" t="inlineStr">
        <is>
          <t>2021-05-18</t>
        </is>
      </c>
      <c r="K509" t="inlineStr">
        <is>
          <t>marginalpdbc_20210519.1</t>
        </is>
      </c>
      <c r="L509" t="inlineStr">
        <is>
          <t>24 periodos; mín 62.08, máx 97.01 €/MWh</t>
        </is>
      </c>
    </row>
    <row r="510">
      <c r="A510" s="53" t="n">
        <v>44336</v>
      </c>
      <c r="B510" t="inlineStr">
        <is>
          <t>2021-05-20</t>
        </is>
      </c>
      <c r="C510" s="45" t="n">
        <v>79.7921</v>
      </c>
      <c r="D510" t="inlineStr">
        <is>
          <t>€/MWh</t>
        </is>
      </c>
      <c r="E510" s="54" t="n">
        <v>0.079792</v>
      </c>
      <c r="F510" s="54" t="n"/>
      <c r="G510" t="inlineStr">
        <is>
          <t>no aplica (precio mayorista)</t>
        </is>
      </c>
      <c r="J510" t="inlineStr">
        <is>
          <t>2021-05-19</t>
        </is>
      </c>
      <c r="K510" t="inlineStr">
        <is>
          <t>marginalpdbc_20210520.1</t>
        </is>
      </c>
      <c r="L510" t="inlineStr">
        <is>
          <t>24 periodos; mín 68.00, máx 94.90 €/MWh</t>
        </is>
      </c>
    </row>
    <row r="511">
      <c r="A511" s="53" t="n">
        <v>44337</v>
      </c>
      <c r="B511" t="inlineStr">
        <is>
          <t>2021-05-21</t>
        </is>
      </c>
      <c r="C511" s="45" t="n">
        <v>69.5408</v>
      </c>
      <c r="D511" t="inlineStr">
        <is>
          <t>€/MWh</t>
        </is>
      </c>
      <c r="E511" s="54" t="n">
        <v>0.06954100000000001</v>
      </c>
      <c r="F511" s="54" t="n"/>
      <c r="G511" t="inlineStr">
        <is>
          <t>no aplica (precio mayorista)</t>
        </is>
      </c>
      <c r="J511" t="inlineStr">
        <is>
          <t>2021-05-20</t>
        </is>
      </c>
      <c r="K511" t="inlineStr">
        <is>
          <t>marginalpdbc_20210521.1</t>
        </is>
      </c>
      <c r="L511" t="inlineStr">
        <is>
          <t>24 periodos; mín 37.98, máx 86.01 €/MWh</t>
        </is>
      </c>
    </row>
    <row r="512">
      <c r="A512" s="53" t="n">
        <v>44338</v>
      </c>
      <c r="B512" t="inlineStr">
        <is>
          <t>2021-05-22</t>
        </is>
      </c>
      <c r="C512" s="45" t="n">
        <v>66.4071</v>
      </c>
      <c r="D512" t="inlineStr">
        <is>
          <t>€/MWh</t>
        </is>
      </c>
      <c r="E512" s="54" t="n">
        <v>0.06640699999999999</v>
      </c>
      <c r="F512" s="54" t="n"/>
      <c r="G512" t="inlineStr">
        <is>
          <t>no aplica (precio mayorista)</t>
        </is>
      </c>
      <c r="J512" t="inlineStr">
        <is>
          <t>2021-05-21</t>
        </is>
      </c>
      <c r="K512" t="inlineStr">
        <is>
          <t>marginalpdbc_20210522.1</t>
        </is>
      </c>
      <c r="L512" t="inlineStr">
        <is>
          <t>24 periodos; mín 47.50, máx 80.43 €/MWh</t>
        </is>
      </c>
    </row>
    <row r="513">
      <c r="A513" s="53" t="n">
        <v>44339</v>
      </c>
      <c r="B513" t="inlineStr">
        <is>
          <t>2021-05-23</t>
        </is>
      </c>
      <c r="C513" s="45" t="n">
        <v>68.6679</v>
      </c>
      <c r="D513" t="inlineStr">
        <is>
          <t>€/MWh</t>
        </is>
      </c>
      <c r="E513" s="54" t="n">
        <v>0.06866800000000001</v>
      </c>
      <c r="F513" s="54" t="n"/>
      <c r="G513" t="inlineStr">
        <is>
          <t>no aplica (precio mayorista)</t>
        </is>
      </c>
      <c r="J513" t="inlineStr">
        <is>
          <t>2021-05-22</t>
        </is>
      </c>
      <c r="K513" t="inlineStr">
        <is>
          <t>marginalpdbc_20210523.1</t>
        </is>
      </c>
      <c r="L513" t="inlineStr">
        <is>
          <t>24 periodos; mín 53.85, máx 80.00 €/MWh</t>
        </is>
      </c>
    </row>
    <row r="514">
      <c r="A514" s="53" t="n">
        <v>44340</v>
      </c>
      <c r="B514" t="inlineStr">
        <is>
          <t>2021-05-24</t>
        </is>
      </c>
      <c r="C514" s="45" t="n">
        <v>67.4042</v>
      </c>
      <c r="D514" t="inlineStr">
        <is>
          <t>€/MWh</t>
        </is>
      </c>
      <c r="E514" s="54" t="n">
        <v>0.06740400000000001</v>
      </c>
      <c r="F514" s="54" t="n"/>
      <c r="G514" t="inlineStr">
        <is>
          <t>no aplica (precio mayorista)</t>
        </is>
      </c>
      <c r="J514" t="inlineStr">
        <is>
          <t>2021-05-23</t>
        </is>
      </c>
      <c r="K514" t="inlineStr">
        <is>
          <t>marginalpdbc_20210524.1</t>
        </is>
      </c>
      <c r="L514" t="inlineStr">
        <is>
          <t>24 periodos; mín 56.67, máx 85.56 €/MWh</t>
        </is>
      </c>
    </row>
    <row r="515">
      <c r="A515" s="53" t="n">
        <v>44341</v>
      </c>
      <c r="B515" t="inlineStr">
        <is>
          <t>2021-05-25</t>
        </is>
      </c>
      <c r="C515" s="45" t="n">
        <v>76.6437</v>
      </c>
      <c r="D515" t="inlineStr">
        <is>
          <t>€/MWh</t>
        </is>
      </c>
      <c r="E515" s="54" t="n">
        <v>0.076644</v>
      </c>
      <c r="F515" s="54" t="n"/>
      <c r="G515" t="inlineStr">
        <is>
          <t>no aplica (precio mayorista)</t>
        </is>
      </c>
      <c r="J515" t="inlineStr">
        <is>
          <t>2021-05-24</t>
        </is>
      </c>
      <c r="K515" t="inlineStr">
        <is>
          <t>marginalpdbc_20210525.1</t>
        </is>
      </c>
      <c r="L515" t="inlineStr">
        <is>
          <t>24 periodos; mín 62.40, máx 84.65 €/MWh</t>
        </is>
      </c>
    </row>
    <row r="516">
      <c r="A516" s="53" t="n">
        <v>44342</v>
      </c>
      <c r="B516" t="inlineStr">
        <is>
          <t>2021-05-26</t>
        </is>
      </c>
      <c r="C516" s="45" t="n">
        <v>80.7196</v>
      </c>
      <c r="D516" t="inlineStr">
        <is>
          <t>€/MWh</t>
        </is>
      </c>
      <c r="E516" s="54" t="n">
        <v>0.08072</v>
      </c>
      <c r="F516" s="54" t="n"/>
      <c r="G516" t="inlineStr">
        <is>
          <t>no aplica (precio mayorista)</t>
        </is>
      </c>
      <c r="J516" t="inlineStr">
        <is>
          <t>2021-05-25</t>
        </is>
      </c>
      <c r="K516" t="inlineStr">
        <is>
          <t>marginalpdbc_20210526.1</t>
        </is>
      </c>
      <c r="L516" t="inlineStr">
        <is>
          <t>24 periodos; mín 74.01, máx 90.00 €/MWh</t>
        </is>
      </c>
    </row>
    <row r="517">
      <c r="A517" s="53" t="n">
        <v>44343</v>
      </c>
      <c r="B517" t="inlineStr">
        <is>
          <t>2021-05-27</t>
        </is>
      </c>
      <c r="C517" s="45" t="n">
        <v>86.2287</v>
      </c>
      <c r="D517" t="inlineStr">
        <is>
          <t>€/MWh</t>
        </is>
      </c>
      <c r="E517" s="54" t="n">
        <v>0.086229</v>
      </c>
      <c r="F517" s="54" t="n"/>
      <c r="G517" t="inlineStr">
        <is>
          <t>no aplica (precio mayorista)</t>
        </is>
      </c>
      <c r="J517" t="inlineStr">
        <is>
          <t>2021-05-26</t>
        </is>
      </c>
      <c r="K517" t="inlineStr">
        <is>
          <t>marginalpdbc_20210527.1</t>
        </is>
      </c>
      <c r="L517" t="inlineStr">
        <is>
          <t>24 periodos; mín 83.70, máx 91.96 €/MWh</t>
        </is>
      </c>
    </row>
    <row r="518">
      <c r="A518" s="53" t="n">
        <v>44344</v>
      </c>
      <c r="B518" t="inlineStr">
        <is>
          <t>2021-05-28</t>
        </is>
      </c>
      <c r="C518" s="45" t="n">
        <v>88.9521</v>
      </c>
      <c r="D518" t="inlineStr">
        <is>
          <t>€/MWh</t>
        </is>
      </c>
      <c r="E518" s="54" t="n">
        <v>0.088952</v>
      </c>
      <c r="F518" s="54" t="n"/>
      <c r="G518" t="inlineStr">
        <is>
          <t>no aplica (precio mayorista)</t>
        </is>
      </c>
      <c r="J518" t="inlineStr">
        <is>
          <t>2021-05-27</t>
        </is>
      </c>
      <c r="K518" t="inlineStr">
        <is>
          <t>marginalpdbc_20210528.1</t>
        </is>
      </c>
      <c r="L518" t="inlineStr">
        <is>
          <t>24 periodos; mín 83.34, máx 96.51 €/MWh</t>
        </is>
      </c>
    </row>
    <row r="519">
      <c r="A519" s="53" t="n">
        <v>44345</v>
      </c>
      <c r="B519" t="inlineStr">
        <is>
          <t>2021-05-29</t>
        </is>
      </c>
      <c r="C519" s="45" t="n">
        <v>81.7671</v>
      </c>
      <c r="D519" t="inlineStr">
        <is>
          <t>€/MWh</t>
        </is>
      </c>
      <c r="E519" s="54" t="n">
        <v>0.08176700000000001</v>
      </c>
      <c r="F519" s="54" t="n"/>
      <c r="G519" t="inlineStr">
        <is>
          <t>no aplica (precio mayorista)</t>
        </is>
      </c>
      <c r="J519" t="inlineStr">
        <is>
          <t>2021-05-28</t>
        </is>
      </c>
      <c r="K519" t="inlineStr">
        <is>
          <t>marginalpdbc_20210529.1</t>
        </is>
      </c>
      <c r="L519" t="inlineStr">
        <is>
          <t>24 periodos; mín 61.91, máx 91.94 €/MWh</t>
        </is>
      </c>
    </row>
    <row r="520">
      <c r="A520" s="53" t="n">
        <v>44346</v>
      </c>
      <c r="B520" t="inlineStr">
        <is>
          <t>2021-05-30</t>
        </is>
      </c>
      <c r="C520" s="45" t="n">
        <v>71.92919999999999</v>
      </c>
      <c r="D520" t="inlineStr">
        <is>
          <t>€/MWh</t>
        </is>
      </c>
      <c r="E520" s="54" t="n">
        <v>0.07192900000000001</v>
      </c>
      <c r="F520" s="54" t="n"/>
      <c r="G520" t="inlineStr">
        <is>
          <t>no aplica (precio mayorista)</t>
        </is>
      </c>
      <c r="J520" t="inlineStr">
        <is>
          <t>2021-05-29</t>
        </is>
      </c>
      <c r="K520" t="inlineStr">
        <is>
          <t>marginalpdbc_20210530.1</t>
        </is>
      </c>
      <c r="L520" t="inlineStr">
        <is>
          <t>24 periodos; mín 62.57, máx 93.84 €/MWh</t>
        </is>
      </c>
    </row>
    <row r="521">
      <c r="A521" s="53" t="n">
        <v>44347</v>
      </c>
      <c r="B521" t="inlineStr">
        <is>
          <t>2021-05-31</t>
        </is>
      </c>
      <c r="C521" s="45" t="n">
        <v>88.0842</v>
      </c>
      <c r="D521" t="inlineStr">
        <is>
          <t>€/MWh</t>
        </is>
      </c>
      <c r="E521" s="54" t="n">
        <v>0.088084</v>
      </c>
      <c r="F521" s="54" t="n"/>
      <c r="G521" t="inlineStr">
        <is>
          <t>no aplica (precio mayorista)</t>
        </is>
      </c>
      <c r="J521" t="inlineStr">
        <is>
          <t>2021-05-30</t>
        </is>
      </c>
      <c r="K521" t="inlineStr">
        <is>
          <t>marginalpdbc_20210531.1</t>
        </is>
      </c>
      <c r="L521" t="inlineStr">
        <is>
          <t>24 periodos; mín 82.89, máx 95.00 €/MWh</t>
        </is>
      </c>
    </row>
    <row r="522">
      <c r="A522" s="53" t="n">
        <v>44348</v>
      </c>
      <c r="B522" t="inlineStr">
        <is>
          <t>2021-06-01</t>
        </is>
      </c>
      <c r="C522" s="45" t="n">
        <v>86.5646</v>
      </c>
      <c r="D522" t="inlineStr">
        <is>
          <t>€/MWh</t>
        </is>
      </c>
      <c r="E522" s="54" t="n">
        <v>0.086565</v>
      </c>
      <c r="F522" s="54" t="n"/>
      <c r="G522" t="inlineStr">
        <is>
          <t>no aplica (precio mayorista)</t>
        </is>
      </c>
      <c r="J522" t="inlineStr">
        <is>
          <t>2021-05-31</t>
        </is>
      </c>
      <c r="K522" t="inlineStr">
        <is>
          <t>marginalpdbc_20210601.1</t>
        </is>
      </c>
      <c r="L522" t="inlineStr">
        <is>
          <t>24 periodos; mín 74.10, máx 92.54 €/MWh</t>
        </is>
      </c>
    </row>
    <row r="523">
      <c r="A523" s="53" t="n">
        <v>44349</v>
      </c>
      <c r="B523" t="inlineStr">
        <is>
          <t>2021-06-02</t>
        </is>
      </c>
      <c r="C523" s="45" t="n">
        <v>84.8454</v>
      </c>
      <c r="D523" t="inlineStr">
        <is>
          <t>€/MWh</t>
        </is>
      </c>
      <c r="E523" s="54" t="n">
        <v>0.084845</v>
      </c>
      <c r="F523" s="54" t="n"/>
      <c r="G523" t="inlineStr">
        <is>
          <t>no aplica (precio mayorista)</t>
        </is>
      </c>
      <c r="J523" t="inlineStr">
        <is>
          <t>2021-06-01</t>
        </is>
      </c>
      <c r="K523" t="inlineStr">
        <is>
          <t>marginalpdbc_20210602.1</t>
        </is>
      </c>
      <c r="L523" t="inlineStr">
        <is>
          <t>24 periodos; mín 74.36, máx 92.76 €/MWh</t>
        </is>
      </c>
    </row>
    <row r="524">
      <c r="A524" s="53" t="n">
        <v>44350</v>
      </c>
      <c r="B524" t="inlineStr">
        <is>
          <t>2021-06-03</t>
        </is>
      </c>
      <c r="C524" s="45" t="n">
        <v>79.8021</v>
      </c>
      <c r="D524" t="inlineStr">
        <is>
          <t>€/MWh</t>
        </is>
      </c>
      <c r="E524" s="54" t="n">
        <v>0.079802</v>
      </c>
      <c r="F524" s="54" t="n"/>
      <c r="G524" t="inlineStr">
        <is>
          <t>no aplica (precio mayorista)</t>
        </is>
      </c>
      <c r="J524" t="inlineStr">
        <is>
          <t>2021-06-02</t>
        </is>
      </c>
      <c r="K524" t="inlineStr">
        <is>
          <t>marginalpdbc_20210603.1</t>
        </is>
      </c>
      <c r="L524" t="inlineStr">
        <is>
          <t>24 periodos; mín 65.86, máx 89.18 €/MWh</t>
        </is>
      </c>
    </row>
    <row r="525">
      <c r="A525" s="53" t="n">
        <v>44351</v>
      </c>
      <c r="B525" t="inlineStr">
        <is>
          <t>2021-06-04</t>
        </is>
      </c>
      <c r="C525" s="45" t="n">
        <v>80.58620000000001</v>
      </c>
      <c r="D525" t="inlineStr">
        <is>
          <t>€/MWh</t>
        </is>
      </c>
      <c r="E525" s="54" t="n">
        <v>0.080586</v>
      </c>
      <c r="F525" s="54" t="n"/>
      <c r="G525" t="inlineStr">
        <is>
          <t>no aplica (precio mayorista)</t>
        </is>
      </c>
      <c r="J525" t="inlineStr">
        <is>
          <t>2021-06-03</t>
        </is>
      </c>
      <c r="K525" t="inlineStr">
        <is>
          <t>marginalpdbc_20210604.1</t>
        </is>
      </c>
      <c r="L525" t="inlineStr">
        <is>
          <t>24 periodos; mín 72.04, máx 89.18 €/MWh</t>
        </is>
      </c>
    </row>
    <row r="526">
      <c r="A526" s="53" t="n">
        <v>44352</v>
      </c>
      <c r="B526" t="inlineStr">
        <is>
          <t>2021-06-05</t>
        </is>
      </c>
      <c r="C526" s="45" t="n">
        <v>76.1679</v>
      </c>
      <c r="D526" t="inlineStr">
        <is>
          <t>€/MWh</t>
        </is>
      </c>
      <c r="E526" s="54" t="n">
        <v>0.076168</v>
      </c>
      <c r="F526" s="54" t="n"/>
      <c r="G526" t="inlineStr">
        <is>
          <t>no aplica (precio mayorista)</t>
        </is>
      </c>
      <c r="J526" t="inlineStr">
        <is>
          <t>2021-06-04</t>
        </is>
      </c>
      <c r="K526" t="inlineStr">
        <is>
          <t>marginalpdbc_20210605.1</t>
        </is>
      </c>
      <c r="L526" t="inlineStr">
        <is>
          <t>24 periodos; mín 65.65, máx 84.55 €/MWh</t>
        </is>
      </c>
    </row>
    <row r="527">
      <c r="A527" s="53" t="n">
        <v>44353</v>
      </c>
      <c r="B527" t="inlineStr">
        <is>
          <t>2021-06-06</t>
        </is>
      </c>
      <c r="C527" s="45" t="n">
        <v>68.8683</v>
      </c>
      <c r="D527" t="inlineStr">
        <is>
          <t>€/MWh</t>
        </is>
      </c>
      <c r="E527" s="54" t="n">
        <v>0.068868</v>
      </c>
      <c r="F527" s="54" t="n"/>
      <c r="G527" t="inlineStr">
        <is>
          <t>no aplica (precio mayorista)</t>
        </is>
      </c>
      <c r="J527" t="inlineStr">
        <is>
          <t>2021-06-05</t>
        </is>
      </c>
      <c r="K527" t="inlineStr">
        <is>
          <t>marginalpdbc_20210606.1</t>
        </is>
      </c>
      <c r="L527" t="inlineStr">
        <is>
          <t>24 periodos; mín 39.33, máx 85.93 €/MWh</t>
        </is>
      </c>
    </row>
    <row r="528">
      <c r="A528" s="53" t="n">
        <v>44354</v>
      </c>
      <c r="B528" t="inlineStr">
        <is>
          <t>2021-06-07</t>
        </is>
      </c>
      <c r="C528" s="45" t="n">
        <v>79.6908</v>
      </c>
      <c r="D528" t="inlineStr">
        <is>
          <t>€/MWh</t>
        </is>
      </c>
      <c r="E528" s="54" t="n">
        <v>0.079691</v>
      </c>
      <c r="F528" s="54" t="n"/>
      <c r="G528" t="inlineStr">
        <is>
          <t>no aplica (precio mayorista)</t>
        </is>
      </c>
      <c r="J528" t="inlineStr">
        <is>
          <t>2021-06-06</t>
        </is>
      </c>
      <c r="K528" t="inlineStr">
        <is>
          <t>marginalpdbc_20210607.1</t>
        </is>
      </c>
      <c r="L528" t="inlineStr">
        <is>
          <t>24 periodos; mín 65.86, máx 90.00 €/MWh</t>
        </is>
      </c>
    </row>
    <row r="529">
      <c r="A529" s="53" t="n">
        <v>44355</v>
      </c>
      <c r="B529" t="inlineStr">
        <is>
          <t>2021-06-08</t>
        </is>
      </c>
      <c r="C529" s="45" t="n">
        <v>82.3342</v>
      </c>
      <c r="D529" t="inlineStr">
        <is>
          <t>€/MWh</t>
        </is>
      </c>
      <c r="E529" s="54" t="n">
        <v>0.082334</v>
      </c>
      <c r="F529" s="54" t="n"/>
      <c r="G529" t="inlineStr">
        <is>
          <t>no aplica (precio mayorista)</t>
        </is>
      </c>
      <c r="J529" t="inlineStr">
        <is>
          <t>2021-06-07</t>
        </is>
      </c>
      <c r="K529" t="inlineStr">
        <is>
          <t>marginalpdbc_20210608.1</t>
        </is>
      </c>
      <c r="L529" t="inlineStr">
        <is>
          <t>24 periodos; mín 74.47, máx 93.85 €/MWh</t>
        </is>
      </c>
    </row>
    <row r="530">
      <c r="A530" s="53" t="n">
        <v>44356</v>
      </c>
      <c r="B530" t="inlineStr">
        <is>
          <t>2021-06-09</t>
        </is>
      </c>
      <c r="C530" s="45" t="n">
        <v>81.60169999999999</v>
      </c>
      <c r="D530" t="inlineStr">
        <is>
          <t>€/MWh</t>
        </is>
      </c>
      <c r="E530" s="54" t="n">
        <v>0.08160199999999999</v>
      </c>
      <c r="F530" s="54" t="n"/>
      <c r="G530" t="inlineStr">
        <is>
          <t>no aplica (precio mayorista)</t>
        </is>
      </c>
      <c r="J530" t="inlineStr">
        <is>
          <t>2021-06-08</t>
        </is>
      </c>
      <c r="K530" t="inlineStr">
        <is>
          <t>marginalpdbc_20210609.1</t>
        </is>
      </c>
      <c r="L530" t="inlineStr">
        <is>
          <t>24 periodos; mín 72.42, máx 88.11 €/MWh</t>
        </is>
      </c>
    </row>
    <row r="531">
      <c r="A531" s="53" t="n">
        <v>44357</v>
      </c>
      <c r="B531" t="inlineStr">
        <is>
          <t>2021-06-10</t>
        </is>
      </c>
      <c r="C531" s="45" t="n">
        <v>83.33620000000001</v>
      </c>
      <c r="D531" t="inlineStr">
        <is>
          <t>€/MWh</t>
        </is>
      </c>
      <c r="E531" s="54" t="n">
        <v>0.08333599999999999</v>
      </c>
      <c r="F531" s="54" t="n"/>
      <c r="G531" t="inlineStr">
        <is>
          <t>no aplica (precio mayorista)</t>
        </is>
      </c>
      <c r="J531" t="inlineStr">
        <is>
          <t>2021-06-09</t>
        </is>
      </c>
      <c r="K531" t="inlineStr">
        <is>
          <t>marginalpdbc_20210610.1</t>
        </is>
      </c>
      <c r="L531" t="inlineStr">
        <is>
          <t>24 periodos; mín 73.58, máx 92.50 €/MWh</t>
        </is>
      </c>
    </row>
    <row r="532">
      <c r="A532" s="53" t="n">
        <v>44358</v>
      </c>
      <c r="B532" t="inlineStr">
        <is>
          <t>2021-06-11</t>
        </is>
      </c>
      <c r="C532" s="45" t="n">
        <v>82.5346</v>
      </c>
      <c r="D532" t="inlineStr">
        <is>
          <t>€/MWh</t>
        </is>
      </c>
      <c r="E532" s="54" t="n">
        <v>0.082535</v>
      </c>
      <c r="F532" s="54" t="n"/>
      <c r="G532" t="inlineStr">
        <is>
          <t>no aplica (precio mayorista)</t>
        </is>
      </c>
      <c r="J532" t="inlineStr">
        <is>
          <t>2021-06-10</t>
        </is>
      </c>
      <c r="K532" t="inlineStr">
        <is>
          <t>marginalpdbc_20210611.1</t>
        </is>
      </c>
      <c r="L532" t="inlineStr">
        <is>
          <t>24 periodos; mín 69.05, máx 92.26 €/MWh</t>
        </is>
      </c>
    </row>
    <row r="533">
      <c r="A533" s="53" t="n">
        <v>44359</v>
      </c>
      <c r="B533" t="inlineStr">
        <is>
          <t>2021-06-12</t>
        </is>
      </c>
      <c r="C533" s="45" t="n">
        <v>77.59829999999999</v>
      </c>
      <c r="D533" t="inlineStr">
        <is>
          <t>€/MWh</t>
        </is>
      </c>
      <c r="E533" s="54" t="n">
        <v>0.077598</v>
      </c>
      <c r="F533" s="54" t="n"/>
      <c r="G533" t="inlineStr">
        <is>
          <t>no aplica (precio mayorista)</t>
        </is>
      </c>
      <c r="J533" t="inlineStr">
        <is>
          <t>2021-06-11</t>
        </is>
      </c>
      <c r="K533" t="inlineStr">
        <is>
          <t>marginalpdbc_20210612.1</t>
        </is>
      </c>
      <c r="L533" t="inlineStr">
        <is>
          <t>24 periodos; mín 68.65, máx 91.88 €/MWh</t>
        </is>
      </c>
    </row>
    <row r="534">
      <c r="A534" s="53" t="n">
        <v>44360</v>
      </c>
      <c r="B534" t="inlineStr">
        <is>
          <t>2021-06-13</t>
        </is>
      </c>
      <c r="C534" s="45" t="n">
        <v>79.19580000000001</v>
      </c>
      <c r="D534" t="inlineStr">
        <is>
          <t>€/MWh</t>
        </is>
      </c>
      <c r="E534" s="54" t="n">
        <v>0.079196</v>
      </c>
      <c r="F534" s="54" t="n"/>
      <c r="G534" t="inlineStr">
        <is>
          <t>no aplica (precio mayorista)</t>
        </is>
      </c>
      <c r="J534" t="inlineStr">
        <is>
          <t>2021-06-12</t>
        </is>
      </c>
      <c r="K534" t="inlineStr">
        <is>
          <t>marginalpdbc_20210613.1</t>
        </is>
      </c>
      <c r="L534" t="inlineStr">
        <is>
          <t>24 periodos; mín 69.95, máx 95.00 €/MWh</t>
        </is>
      </c>
    </row>
    <row r="535">
      <c r="A535" s="53" t="n">
        <v>44361</v>
      </c>
      <c r="B535" t="inlineStr">
        <is>
          <t>2021-06-14</t>
        </is>
      </c>
      <c r="C535" s="45" t="n">
        <v>88.4742</v>
      </c>
      <c r="D535" t="inlineStr">
        <is>
          <t>€/MWh</t>
        </is>
      </c>
      <c r="E535" s="54" t="n">
        <v>0.088474</v>
      </c>
      <c r="F535" s="54" t="n"/>
      <c r="G535" t="inlineStr">
        <is>
          <t>no aplica (precio mayorista)</t>
        </is>
      </c>
      <c r="J535" t="inlineStr">
        <is>
          <t>2021-06-13</t>
        </is>
      </c>
      <c r="K535" t="inlineStr">
        <is>
          <t>marginalpdbc_20210614.1</t>
        </is>
      </c>
      <c r="L535" t="inlineStr">
        <is>
          <t>24 periodos; mín 81.71, máx 98.35 €/MWh</t>
        </is>
      </c>
    </row>
    <row r="536">
      <c r="A536" s="53" t="n">
        <v>44362</v>
      </c>
      <c r="B536" t="inlineStr">
        <is>
          <t>2021-06-15</t>
        </is>
      </c>
      <c r="C536" s="45" t="n">
        <v>90.9508</v>
      </c>
      <c r="D536" t="inlineStr">
        <is>
          <t>€/MWh</t>
        </is>
      </c>
      <c r="E536" s="54" t="n">
        <v>0.090951</v>
      </c>
      <c r="F536" s="54" t="n"/>
      <c r="G536" t="inlineStr">
        <is>
          <t>no aplica (precio mayorista)</t>
        </is>
      </c>
      <c r="J536" t="inlineStr">
        <is>
          <t>2021-06-14</t>
        </is>
      </c>
      <c r="K536" t="inlineStr">
        <is>
          <t>marginalpdbc_20210615.1</t>
        </is>
      </c>
      <c r="L536" t="inlineStr">
        <is>
          <t>24 periodos; mín 81.20, máx 100.00 €/MWh</t>
        </is>
      </c>
    </row>
    <row r="537">
      <c r="A537" s="53" t="n">
        <v>44363</v>
      </c>
      <c r="B537" t="inlineStr">
        <is>
          <t>2021-06-16</t>
        </is>
      </c>
      <c r="C537" s="45" t="n">
        <v>94.63290000000001</v>
      </c>
      <c r="D537" t="inlineStr">
        <is>
          <t>€/MWh</t>
        </is>
      </c>
      <c r="E537" s="54" t="n">
        <v>0.09463299999999999</v>
      </c>
      <c r="F537" s="54" t="n"/>
      <c r="G537" t="inlineStr">
        <is>
          <t>no aplica (precio mayorista)</t>
        </is>
      </c>
      <c r="J537" t="inlineStr">
        <is>
          <t>2021-06-15</t>
        </is>
      </c>
      <c r="K537" t="inlineStr">
        <is>
          <t>marginalpdbc_20210616.1</t>
        </is>
      </c>
      <c r="L537" t="inlineStr">
        <is>
          <t>24 periodos; mín 82.58, máx 105.51 €/MWh</t>
        </is>
      </c>
    </row>
    <row r="538">
      <c r="A538" s="53" t="n">
        <v>44364</v>
      </c>
      <c r="B538" t="inlineStr">
        <is>
          <t>2021-06-17</t>
        </is>
      </c>
      <c r="C538" s="45" t="n">
        <v>92.9967</v>
      </c>
      <c r="D538" t="inlineStr">
        <is>
          <t>€/MWh</t>
        </is>
      </c>
      <c r="E538" s="54" t="n">
        <v>0.092997</v>
      </c>
      <c r="F538" s="54" t="n"/>
      <c r="G538" t="inlineStr">
        <is>
          <t>no aplica (precio mayorista)</t>
        </is>
      </c>
      <c r="J538" t="inlineStr">
        <is>
          <t>2021-06-16</t>
        </is>
      </c>
      <c r="K538" t="inlineStr">
        <is>
          <t>marginalpdbc_20210617.1</t>
        </is>
      </c>
      <c r="L538" t="inlineStr">
        <is>
          <t>24 periodos; mín 76.29, máx 102.37 €/MWh</t>
        </is>
      </c>
    </row>
    <row r="539">
      <c r="A539" s="53" t="n">
        <v>44365</v>
      </c>
      <c r="B539" t="inlineStr">
        <is>
          <t>2021-06-18</t>
        </is>
      </c>
      <c r="C539" s="45" t="n">
        <v>92.6742</v>
      </c>
      <c r="D539" t="inlineStr">
        <is>
          <t>€/MWh</t>
        </is>
      </c>
      <c r="E539" s="54" t="n">
        <v>0.09267400000000001</v>
      </c>
      <c r="F539" s="54" t="n"/>
      <c r="G539" t="inlineStr">
        <is>
          <t>no aplica (precio mayorista)</t>
        </is>
      </c>
      <c r="J539" t="inlineStr">
        <is>
          <t>2021-06-17</t>
        </is>
      </c>
      <c r="K539" t="inlineStr">
        <is>
          <t>marginalpdbc_20210618.1</t>
        </is>
      </c>
      <c r="L539" t="inlineStr">
        <is>
          <t>24 periodos; mín 86.00, máx 100.02 €/MWh</t>
        </is>
      </c>
    </row>
    <row r="540">
      <c r="A540" s="53" t="n">
        <v>44366</v>
      </c>
      <c r="B540" t="inlineStr">
        <is>
          <t>2021-06-19</t>
        </is>
      </c>
      <c r="C540" s="45" t="n">
        <v>87.2242</v>
      </c>
      <c r="D540" t="inlineStr">
        <is>
          <t>€/MWh</t>
        </is>
      </c>
      <c r="E540" s="54" t="n">
        <v>0.087224</v>
      </c>
      <c r="F540" s="54" t="n"/>
      <c r="G540" t="inlineStr">
        <is>
          <t>no aplica (precio mayorista)</t>
        </is>
      </c>
      <c r="J540" t="inlineStr">
        <is>
          <t>2021-06-18</t>
        </is>
      </c>
      <c r="K540" t="inlineStr">
        <is>
          <t>marginalpdbc_20210619.1</t>
        </is>
      </c>
      <c r="L540" t="inlineStr">
        <is>
          <t>24 periodos; mín 65.99, máx 93.35 €/MWh</t>
        </is>
      </c>
    </row>
    <row r="541">
      <c r="A541" s="53" t="n">
        <v>44367</v>
      </c>
      <c r="B541" t="inlineStr">
        <is>
          <t>2021-06-20</t>
        </is>
      </c>
      <c r="C541" s="45" t="n">
        <v>52.6346</v>
      </c>
      <c r="D541" t="inlineStr">
        <is>
          <t>€/MWh</t>
        </is>
      </c>
      <c r="E541" s="54" t="n">
        <v>0.052635</v>
      </c>
      <c r="F541" s="54" t="n"/>
      <c r="G541" t="inlineStr">
        <is>
          <t>no aplica (precio mayorista)</t>
        </is>
      </c>
      <c r="J541" t="inlineStr">
        <is>
          <t>2021-06-19</t>
        </is>
      </c>
      <c r="K541" t="inlineStr">
        <is>
          <t>marginalpdbc_20210620.1</t>
        </is>
      </c>
      <c r="L541" t="inlineStr">
        <is>
          <t>24 periodos; mín 3.84, máx 88.13 €/MWh</t>
        </is>
      </c>
    </row>
    <row r="542">
      <c r="A542" s="53" t="n">
        <v>44368</v>
      </c>
      <c r="B542" t="inlineStr">
        <is>
          <t>2021-06-21</t>
        </is>
      </c>
      <c r="C542" s="45" t="n">
        <v>82.5517</v>
      </c>
      <c r="D542" t="inlineStr">
        <is>
          <t>€/MWh</t>
        </is>
      </c>
      <c r="E542" s="54" t="n">
        <v>0.082552</v>
      </c>
      <c r="F542" s="54" t="n"/>
      <c r="G542" t="inlineStr">
        <is>
          <t>no aplica (precio mayorista)</t>
        </is>
      </c>
      <c r="J542" t="inlineStr">
        <is>
          <t>2021-06-20</t>
        </is>
      </c>
      <c r="K542" t="inlineStr">
        <is>
          <t>marginalpdbc_20210621.1</t>
        </is>
      </c>
      <c r="L542" t="inlineStr">
        <is>
          <t>24 periodos; mín 62.49, máx 94.07 €/MWh</t>
        </is>
      </c>
    </row>
    <row r="543">
      <c r="A543" s="53" t="n">
        <v>44369</v>
      </c>
      <c r="B543" t="inlineStr">
        <is>
          <t>2021-06-22</t>
        </is>
      </c>
      <c r="C543" s="45" t="n">
        <v>89.52500000000001</v>
      </c>
      <c r="D543" t="inlineStr">
        <is>
          <t>€/MWh</t>
        </is>
      </c>
      <c r="E543" s="54" t="n">
        <v>0.08952499999999999</v>
      </c>
      <c r="F543" s="54" t="n"/>
      <c r="G543" t="inlineStr">
        <is>
          <t>no aplica (precio mayorista)</t>
        </is>
      </c>
      <c r="J543" t="inlineStr">
        <is>
          <t>2021-06-21</t>
        </is>
      </c>
      <c r="K543" t="inlineStr">
        <is>
          <t>marginalpdbc_20210622.1</t>
        </is>
      </c>
      <c r="L543" t="inlineStr">
        <is>
          <t>24 periodos; mín 82.41, máx 96.00 €/MWh</t>
        </is>
      </c>
    </row>
    <row r="544">
      <c r="A544" s="53" t="n">
        <v>44370</v>
      </c>
      <c r="B544" t="inlineStr">
        <is>
          <t>2021-06-23</t>
        </is>
      </c>
      <c r="C544" s="45" t="n">
        <v>89.88379999999999</v>
      </c>
      <c r="D544" t="inlineStr">
        <is>
          <t>€/MWh</t>
        </is>
      </c>
      <c r="E544" s="54" t="n">
        <v>0.08988400000000001</v>
      </c>
      <c r="F544" s="54" t="n"/>
      <c r="G544" t="inlineStr">
        <is>
          <t>no aplica (precio mayorista)</t>
        </is>
      </c>
      <c r="J544" t="inlineStr">
        <is>
          <t>2021-06-22</t>
        </is>
      </c>
      <c r="K544" t="inlineStr">
        <is>
          <t>marginalpdbc_20210623.1</t>
        </is>
      </c>
      <c r="L544" t="inlineStr">
        <is>
          <t>24 periodos; mín 81.32, máx 95.00 €/MWh</t>
        </is>
      </c>
    </row>
    <row r="545">
      <c r="A545" s="53" t="n">
        <v>44371</v>
      </c>
      <c r="B545" t="inlineStr">
        <is>
          <t>2021-06-24</t>
        </is>
      </c>
      <c r="C545" s="45" t="n">
        <v>85.7346</v>
      </c>
      <c r="D545" t="inlineStr">
        <is>
          <t>€/MWh</t>
        </is>
      </c>
      <c r="E545" s="54" t="n">
        <v>0.08573500000000001</v>
      </c>
      <c r="F545" s="54" t="n"/>
      <c r="G545" t="inlineStr">
        <is>
          <t>no aplica (precio mayorista)</t>
        </is>
      </c>
      <c r="J545" t="inlineStr">
        <is>
          <t>2021-06-23</t>
        </is>
      </c>
      <c r="K545" t="inlineStr">
        <is>
          <t>marginalpdbc_20210624.1</t>
        </is>
      </c>
      <c r="L545" t="inlineStr">
        <is>
          <t>24 periodos; mín 68.93, máx 94.32 €/MWh</t>
        </is>
      </c>
    </row>
    <row r="546">
      <c r="A546" s="53" t="n">
        <v>44372</v>
      </c>
      <c r="B546" t="inlineStr">
        <is>
          <t>2021-06-25</t>
        </is>
      </c>
      <c r="C546" s="45" t="n">
        <v>86.56959999999999</v>
      </c>
      <c r="D546" t="inlineStr">
        <is>
          <t>€/MWh</t>
        </is>
      </c>
      <c r="E546" s="54" t="n">
        <v>0.08656999999999999</v>
      </c>
      <c r="F546" s="54" t="n"/>
      <c r="G546" t="inlineStr">
        <is>
          <t>no aplica (precio mayorista)</t>
        </is>
      </c>
      <c r="J546" t="inlineStr">
        <is>
          <t>2021-06-24</t>
        </is>
      </c>
      <c r="K546" t="inlineStr">
        <is>
          <t>marginalpdbc_20210625.1</t>
        </is>
      </c>
      <c r="L546" t="inlineStr">
        <is>
          <t>24 periodos; mín 75.44, máx 98.35 €/MWh</t>
        </is>
      </c>
    </row>
    <row r="547">
      <c r="A547" s="53" t="n">
        <v>44373</v>
      </c>
      <c r="B547" t="inlineStr">
        <is>
          <t>2021-06-26</t>
        </is>
      </c>
      <c r="C547" s="45" t="n">
        <v>83.99209999999999</v>
      </c>
      <c r="D547" t="inlineStr">
        <is>
          <t>€/MWh</t>
        </is>
      </c>
      <c r="E547" s="54" t="n">
        <v>0.083992</v>
      </c>
      <c r="F547" s="54" t="n"/>
      <c r="G547" t="inlineStr">
        <is>
          <t>no aplica (precio mayorista)</t>
        </is>
      </c>
      <c r="J547" t="inlineStr">
        <is>
          <t>2021-06-25</t>
        </is>
      </c>
      <c r="K547" t="inlineStr">
        <is>
          <t>marginalpdbc_20210626.1</t>
        </is>
      </c>
      <c r="L547" t="inlineStr">
        <is>
          <t>24 periodos; mín 64.87, máx 93.35 €/MWh</t>
        </is>
      </c>
    </row>
    <row r="548">
      <c r="A548" s="53" t="n">
        <v>44374</v>
      </c>
      <c r="B548" t="inlineStr">
        <is>
          <t>2021-06-27</t>
        </is>
      </c>
      <c r="C548" s="45" t="n">
        <v>64.21169999999999</v>
      </c>
      <c r="D548" t="inlineStr">
        <is>
          <t>€/MWh</t>
        </is>
      </c>
      <c r="E548" s="54" t="n">
        <v>0.06421200000000001</v>
      </c>
      <c r="F548" s="54" t="n"/>
      <c r="G548" t="inlineStr">
        <is>
          <t>no aplica (precio mayorista)</t>
        </is>
      </c>
      <c r="J548" t="inlineStr">
        <is>
          <t>2021-06-26</t>
        </is>
      </c>
      <c r="K548" t="inlineStr">
        <is>
          <t>marginalpdbc_20210627.1</t>
        </is>
      </c>
      <c r="L548" t="inlineStr">
        <is>
          <t>24 periodos; mín 12.82, máx 92.91 €/MWh</t>
        </is>
      </c>
    </row>
    <row r="549">
      <c r="A549" s="53" t="n">
        <v>44375</v>
      </c>
      <c r="B549" t="inlineStr">
        <is>
          <t>2021-06-28</t>
        </is>
      </c>
      <c r="C549" s="45" t="n">
        <v>86.435</v>
      </c>
      <c r="D549" t="inlineStr">
        <is>
          <t>€/MWh</t>
        </is>
      </c>
      <c r="E549" s="54" t="n">
        <v>0.086435</v>
      </c>
      <c r="F549" s="54" t="n"/>
      <c r="G549" t="inlineStr">
        <is>
          <t>no aplica (precio mayorista)</t>
        </is>
      </c>
      <c r="J549" t="inlineStr">
        <is>
          <t>2021-06-27</t>
        </is>
      </c>
      <c r="K549" t="inlineStr">
        <is>
          <t>marginalpdbc_20210628.1</t>
        </is>
      </c>
      <c r="L549" t="inlineStr">
        <is>
          <t>24 periodos; mín 67.99, máx 98.98 €/MWh</t>
        </is>
      </c>
    </row>
    <row r="550">
      <c r="A550" s="53" t="n">
        <v>44376</v>
      </c>
      <c r="B550" t="inlineStr">
        <is>
          <t>2021-06-29</t>
        </is>
      </c>
      <c r="C550" s="45" t="n">
        <v>93.49120000000001</v>
      </c>
      <c r="D550" t="inlineStr">
        <is>
          <t>€/MWh</t>
        </is>
      </c>
      <c r="E550" s="54" t="n">
        <v>0.093491</v>
      </c>
      <c r="F550" s="54" t="n"/>
      <c r="G550" t="inlineStr">
        <is>
          <t>no aplica (precio mayorista)</t>
        </is>
      </c>
      <c r="J550" t="inlineStr">
        <is>
          <t>2021-06-28</t>
        </is>
      </c>
      <c r="K550" t="inlineStr">
        <is>
          <t>marginalpdbc_20210629.1</t>
        </is>
      </c>
      <c r="L550" t="inlineStr">
        <is>
          <t>24 periodos; mín 87.12, máx 103.49 €/MWh</t>
        </is>
      </c>
    </row>
    <row r="551">
      <c r="A551" s="53" t="n">
        <v>44377</v>
      </c>
      <c r="B551" t="inlineStr">
        <is>
          <t>2021-06-30</t>
        </is>
      </c>
      <c r="C551" s="45" t="n">
        <v>93.8867</v>
      </c>
      <c r="D551" t="inlineStr">
        <is>
          <t>€/MWh</t>
        </is>
      </c>
      <c r="E551" s="54" t="n">
        <v>0.093887</v>
      </c>
      <c r="F551" s="54" t="n"/>
      <c r="G551" t="inlineStr">
        <is>
          <t>no aplica (precio mayorista)</t>
        </is>
      </c>
      <c r="J551" t="inlineStr">
        <is>
          <t>2021-06-29</t>
        </is>
      </c>
      <c r="K551" t="inlineStr">
        <is>
          <t>marginalpdbc_20210630.1</t>
        </is>
      </c>
      <c r="L551" t="inlineStr">
        <is>
          <t>24 periodos; mín 85.92, máx 99.93 €/MWh</t>
        </is>
      </c>
    </row>
    <row r="552">
      <c r="A552" s="53" t="n">
        <v>44378</v>
      </c>
      <c r="B552" t="inlineStr">
        <is>
          <t>2021-07-01</t>
        </is>
      </c>
      <c r="C552" s="45" t="n">
        <v>92.4408</v>
      </c>
      <c r="D552" t="inlineStr">
        <is>
          <t>€/MWh</t>
        </is>
      </c>
      <c r="E552" s="54" t="n">
        <v>0.092441</v>
      </c>
      <c r="F552" s="54" t="n"/>
      <c r="G552" t="inlineStr">
        <is>
          <t>no aplica (precio mayorista)</t>
        </is>
      </c>
      <c r="J552" t="inlineStr">
        <is>
          <t>2021-06-30</t>
        </is>
      </c>
      <c r="K552" t="inlineStr">
        <is>
          <t>marginalpdbc_20210701.1</t>
        </is>
      </c>
      <c r="L552" t="inlineStr">
        <is>
          <t>24 periodos; mín 84.04, máx 98.19 €/MWh</t>
        </is>
      </c>
    </row>
    <row r="553">
      <c r="A553" s="53" t="n">
        <v>44379</v>
      </c>
      <c r="B553" t="inlineStr">
        <is>
          <t>2021-07-02</t>
        </is>
      </c>
      <c r="C553" s="45" t="n">
        <v>99.7979</v>
      </c>
      <c r="D553" t="inlineStr">
        <is>
          <t>€/MWh</t>
        </is>
      </c>
      <c r="E553" s="54" t="n">
        <v>0.099798</v>
      </c>
      <c r="F553" s="54" t="n"/>
      <c r="G553" t="inlineStr">
        <is>
          <t>no aplica (precio mayorista)</t>
        </is>
      </c>
      <c r="J553" t="inlineStr">
        <is>
          <t>2021-07-01</t>
        </is>
      </c>
      <c r="K553" t="inlineStr">
        <is>
          <t>marginalpdbc_20210702.1</t>
        </is>
      </c>
      <c r="L553" t="inlineStr">
        <is>
          <t>24 periodos; mín 82.57, máx 110.00 €/MWh</t>
        </is>
      </c>
    </row>
    <row r="554">
      <c r="A554" s="53" t="n">
        <v>44380</v>
      </c>
      <c r="B554" t="inlineStr">
        <is>
          <t>2021-07-03</t>
        </is>
      </c>
      <c r="C554" s="45" t="n">
        <v>94.22750000000001</v>
      </c>
      <c r="D554" t="inlineStr">
        <is>
          <t>€/MWh</t>
        </is>
      </c>
      <c r="E554" s="54" t="n">
        <v>0.09422800000000001</v>
      </c>
      <c r="F554" s="54" t="n"/>
      <c r="G554" t="inlineStr">
        <is>
          <t>no aplica (precio mayorista)</t>
        </is>
      </c>
      <c r="J554" t="inlineStr">
        <is>
          <t>2021-07-02</t>
        </is>
      </c>
      <c r="K554" t="inlineStr">
        <is>
          <t>marginalpdbc_20210703.1</t>
        </is>
      </c>
      <c r="L554" t="inlineStr">
        <is>
          <t>24 periodos; mín 73.75, máx 106.95 €/MWh</t>
        </is>
      </c>
    </row>
    <row r="555">
      <c r="A555" s="53" t="n">
        <v>44381</v>
      </c>
      <c r="B555" t="inlineStr">
        <is>
          <t>2021-07-04</t>
        </is>
      </c>
      <c r="C555" s="45" t="n">
        <v>79.4267</v>
      </c>
      <c r="D555" t="inlineStr">
        <is>
          <t>€/MWh</t>
        </is>
      </c>
      <c r="E555" s="54" t="n">
        <v>0.079427</v>
      </c>
      <c r="F555" s="54" t="n"/>
      <c r="G555" t="inlineStr">
        <is>
          <t>no aplica (precio mayorista)</t>
        </is>
      </c>
      <c r="J555" t="inlineStr">
        <is>
          <t>2021-07-03</t>
        </is>
      </c>
      <c r="K555" t="inlineStr">
        <is>
          <t>marginalpdbc_20210704.1</t>
        </is>
      </c>
      <c r="L555" t="inlineStr">
        <is>
          <t>24 periodos; mín 58.45, máx 104.92 €/MWh</t>
        </is>
      </c>
    </row>
    <row r="556">
      <c r="A556" s="53" t="n">
        <v>44382</v>
      </c>
      <c r="B556" t="inlineStr">
        <is>
          <t>2021-07-05</t>
        </is>
      </c>
      <c r="C556" s="45" t="n">
        <v>93.85039999999999</v>
      </c>
      <c r="D556" t="inlineStr">
        <is>
          <t>€/MWh</t>
        </is>
      </c>
      <c r="E556" s="54" t="n">
        <v>0.09385</v>
      </c>
      <c r="F556" s="54" t="n"/>
      <c r="G556" t="inlineStr">
        <is>
          <t>no aplica (precio mayorista)</t>
        </is>
      </c>
      <c r="J556" t="inlineStr">
        <is>
          <t>2021-07-04</t>
        </is>
      </c>
      <c r="K556" t="inlineStr">
        <is>
          <t>marginalpdbc_20210705.1</t>
        </is>
      </c>
      <c r="L556" t="inlineStr">
        <is>
          <t>24 periodos; mín 78.40, máx 105.69 €/MWh</t>
        </is>
      </c>
    </row>
    <row r="557">
      <c r="A557" s="53" t="n">
        <v>44383</v>
      </c>
      <c r="B557" t="inlineStr">
        <is>
          <t>2021-07-06</t>
        </is>
      </c>
      <c r="C557" s="45" t="n">
        <v>93.57129999999999</v>
      </c>
      <c r="D557" t="inlineStr">
        <is>
          <t>€/MWh</t>
        </is>
      </c>
      <c r="E557" s="54" t="n">
        <v>0.093571</v>
      </c>
      <c r="F557" s="54" t="n"/>
      <c r="G557" t="inlineStr">
        <is>
          <t>no aplica (precio mayorista)</t>
        </is>
      </c>
      <c r="J557" t="inlineStr">
        <is>
          <t>2021-07-05</t>
        </is>
      </c>
      <c r="K557" t="inlineStr">
        <is>
          <t>marginalpdbc_20210706.1</t>
        </is>
      </c>
      <c r="L557" t="inlineStr">
        <is>
          <t>24 periodos; mín 78.27, máx 104.73 €/MWh</t>
        </is>
      </c>
    </row>
    <row r="558">
      <c r="A558" s="53" t="n">
        <v>44384</v>
      </c>
      <c r="B558" t="inlineStr">
        <is>
          <t>2021-07-07</t>
        </is>
      </c>
      <c r="C558" s="45" t="n">
        <v>98.72369999999999</v>
      </c>
      <c r="D558" t="inlineStr">
        <is>
          <t>€/MWh</t>
        </is>
      </c>
      <c r="E558" s="54" t="n">
        <v>0.09872400000000001</v>
      </c>
      <c r="F558" s="54" t="n"/>
      <c r="G558" t="inlineStr">
        <is>
          <t>no aplica (precio mayorista)</t>
        </is>
      </c>
      <c r="J558" t="inlineStr">
        <is>
          <t>2021-07-06</t>
        </is>
      </c>
      <c r="K558" t="inlineStr">
        <is>
          <t>marginalpdbc_20210707.1</t>
        </is>
      </c>
      <c r="L558" t="inlineStr">
        <is>
          <t>24 periodos; mín 92.05, máx 108.01 €/MWh</t>
        </is>
      </c>
    </row>
    <row r="559">
      <c r="A559" s="53" t="n">
        <v>44385</v>
      </c>
      <c r="B559" t="inlineStr">
        <is>
          <t>2021-07-08</t>
        </is>
      </c>
      <c r="C559" s="45" t="n">
        <v>93.6746</v>
      </c>
      <c r="D559" t="inlineStr">
        <is>
          <t>€/MWh</t>
        </is>
      </c>
      <c r="E559" s="54" t="n">
        <v>0.09367499999999999</v>
      </c>
      <c r="F559" s="54" t="n"/>
      <c r="G559" t="inlineStr">
        <is>
          <t>no aplica (precio mayorista)</t>
        </is>
      </c>
      <c r="J559" t="inlineStr">
        <is>
          <t>2021-07-07</t>
        </is>
      </c>
      <c r="K559" t="inlineStr">
        <is>
          <t>marginalpdbc_20210708.1</t>
        </is>
      </c>
      <c r="L559" t="inlineStr">
        <is>
          <t>24 periodos; mín 77.50, máx 102.10 €/MWh</t>
        </is>
      </c>
    </row>
    <row r="560">
      <c r="A560" s="53" t="n">
        <v>44386</v>
      </c>
      <c r="B560" t="inlineStr">
        <is>
          <t>2021-07-09</t>
        </is>
      </c>
      <c r="C560" s="45" t="n">
        <v>93.4975</v>
      </c>
      <c r="D560" t="inlineStr">
        <is>
          <t>€/MWh</t>
        </is>
      </c>
      <c r="E560" s="54" t="n">
        <v>0.093497</v>
      </c>
      <c r="F560" s="54" t="n"/>
      <c r="G560" t="inlineStr">
        <is>
          <t>no aplica (precio mayorista)</t>
        </is>
      </c>
      <c r="J560" t="inlineStr">
        <is>
          <t>2021-07-08</t>
        </is>
      </c>
      <c r="K560" t="inlineStr">
        <is>
          <t>marginalpdbc_20210709.1</t>
        </is>
      </c>
      <c r="L560" t="inlineStr">
        <is>
          <t>24 periodos; mín 82.50, máx 107.63 €/MWh</t>
        </is>
      </c>
    </row>
    <row r="561">
      <c r="A561" s="53" t="n">
        <v>44387</v>
      </c>
      <c r="B561" t="inlineStr">
        <is>
          <t>2021-07-10</t>
        </is>
      </c>
      <c r="C561" s="45" t="n">
        <v>90.4783</v>
      </c>
      <c r="D561" t="inlineStr">
        <is>
          <t>€/MWh</t>
        </is>
      </c>
      <c r="E561" s="54" t="n">
        <v>0.090478</v>
      </c>
      <c r="F561" s="54" t="n"/>
      <c r="G561" t="inlineStr">
        <is>
          <t>no aplica (precio mayorista)</t>
        </is>
      </c>
      <c r="J561" t="inlineStr">
        <is>
          <t>2021-07-09</t>
        </is>
      </c>
      <c r="K561" t="inlineStr">
        <is>
          <t>marginalpdbc_20210710.1</t>
        </is>
      </c>
      <c r="L561" t="inlineStr">
        <is>
          <t>24 periodos; mín 73.00, máx 100.05 €/MWh</t>
        </is>
      </c>
    </row>
    <row r="562">
      <c r="A562" s="53" t="n">
        <v>44388</v>
      </c>
      <c r="B562" t="inlineStr">
        <is>
          <t>2021-07-11</t>
        </is>
      </c>
      <c r="C562" s="45" t="n">
        <v>90.7662</v>
      </c>
      <c r="D562" t="inlineStr">
        <is>
          <t>€/MWh</t>
        </is>
      </c>
      <c r="E562" s="54" t="n">
        <v>0.090766</v>
      </c>
      <c r="F562" s="54" t="n"/>
      <c r="G562" t="inlineStr">
        <is>
          <t>no aplica (precio mayorista)</t>
        </is>
      </c>
      <c r="J562" t="inlineStr">
        <is>
          <t>2021-07-10</t>
        </is>
      </c>
      <c r="K562" t="inlineStr">
        <is>
          <t>marginalpdbc_20210711.1</t>
        </is>
      </c>
      <c r="L562" t="inlineStr">
        <is>
          <t>24 periodos; mín 67.98, máx 103.63 €/MWh</t>
        </is>
      </c>
    </row>
    <row r="563">
      <c r="A563" s="53" t="n">
        <v>44389</v>
      </c>
      <c r="B563" t="inlineStr">
        <is>
          <t>2021-07-12</t>
        </is>
      </c>
      <c r="C563" s="45" t="n">
        <v>86.675</v>
      </c>
      <c r="D563" t="inlineStr">
        <is>
          <t>€/MWh</t>
        </is>
      </c>
      <c r="E563" s="54" t="n">
        <v>0.086675</v>
      </c>
      <c r="F563" s="54" t="n"/>
      <c r="G563" t="inlineStr">
        <is>
          <t>no aplica (precio mayorista)</t>
        </is>
      </c>
      <c r="J563" t="inlineStr">
        <is>
          <t>2021-07-11</t>
        </is>
      </c>
      <c r="K563" t="inlineStr">
        <is>
          <t>marginalpdbc_20210712.1</t>
        </is>
      </c>
      <c r="L563" t="inlineStr">
        <is>
          <t>24 periodos; mín 72.68, máx 105.98 €/MWh</t>
        </is>
      </c>
    </row>
    <row r="564">
      <c r="A564" s="53" t="n">
        <v>44390</v>
      </c>
      <c r="B564" t="inlineStr">
        <is>
          <t>2021-07-13</t>
        </is>
      </c>
      <c r="C564" s="45" t="n">
        <v>94.39</v>
      </c>
      <c r="D564" t="inlineStr">
        <is>
          <t>€/MWh</t>
        </is>
      </c>
      <c r="E564" s="54" t="n">
        <v>0.09439</v>
      </c>
      <c r="F564" s="54" t="n"/>
      <c r="G564" t="inlineStr">
        <is>
          <t>no aplica (precio mayorista)</t>
        </is>
      </c>
      <c r="J564" t="inlineStr">
        <is>
          <t>2021-07-12</t>
        </is>
      </c>
      <c r="K564" t="inlineStr">
        <is>
          <t>marginalpdbc_20210713.1</t>
        </is>
      </c>
      <c r="L564" t="inlineStr">
        <is>
          <t>24 periodos; mín 81.02, máx 106.97 €/MWh</t>
        </is>
      </c>
    </row>
    <row r="565">
      <c r="A565" s="53" t="n">
        <v>44391</v>
      </c>
      <c r="B565" t="inlineStr">
        <is>
          <t>2021-07-14</t>
        </is>
      </c>
      <c r="C565" s="45" t="n">
        <v>84.45869999999999</v>
      </c>
      <c r="D565" t="inlineStr">
        <is>
          <t>€/MWh</t>
        </is>
      </c>
      <c r="E565" s="54" t="n">
        <v>0.08445900000000001</v>
      </c>
      <c r="F565" s="54" t="n"/>
      <c r="G565" t="inlineStr">
        <is>
          <t>no aplica (precio mayorista)</t>
        </is>
      </c>
      <c r="J565" t="inlineStr">
        <is>
          <t>2021-07-13</t>
        </is>
      </c>
      <c r="K565" t="inlineStr">
        <is>
          <t>marginalpdbc_20210714.1</t>
        </is>
      </c>
      <c r="L565" t="inlineStr">
        <is>
          <t>24 periodos; mín 72.90, máx 98.97 €/MWh</t>
        </is>
      </c>
    </row>
    <row r="566">
      <c r="A566" s="53" t="n">
        <v>44392</v>
      </c>
      <c r="B566" t="inlineStr">
        <is>
          <t>2021-07-15</t>
        </is>
      </c>
      <c r="C566" s="45" t="n">
        <v>87.1837</v>
      </c>
      <c r="D566" t="inlineStr">
        <is>
          <t>€/MWh</t>
        </is>
      </c>
      <c r="E566" s="54" t="n">
        <v>0.087184</v>
      </c>
      <c r="F566" s="54" t="n"/>
      <c r="G566" t="inlineStr">
        <is>
          <t>no aplica (precio mayorista)</t>
        </is>
      </c>
      <c r="J566" t="inlineStr">
        <is>
          <t>2021-07-14</t>
        </is>
      </c>
      <c r="K566" t="inlineStr">
        <is>
          <t>marginalpdbc_20210715.1</t>
        </is>
      </c>
      <c r="L566" t="inlineStr">
        <is>
          <t>24 periodos; mín 69.61, máx 98.00 €/MWh</t>
        </is>
      </c>
    </row>
    <row r="567">
      <c r="A567" s="53" t="n">
        <v>44393</v>
      </c>
      <c r="B567" t="inlineStr">
        <is>
          <t>2021-07-16</t>
        </is>
      </c>
      <c r="C567" s="45" t="n">
        <v>87.3171</v>
      </c>
      <c r="D567" t="inlineStr">
        <is>
          <t>€/MWh</t>
        </is>
      </c>
      <c r="E567" s="54" t="n">
        <v>0.08731700000000001</v>
      </c>
      <c r="F567" s="54" t="n"/>
      <c r="G567" t="inlineStr">
        <is>
          <t>no aplica (precio mayorista)</t>
        </is>
      </c>
      <c r="J567" t="inlineStr">
        <is>
          <t>2021-07-15</t>
        </is>
      </c>
      <c r="K567" t="inlineStr">
        <is>
          <t>marginalpdbc_20210716.1</t>
        </is>
      </c>
      <c r="L567" t="inlineStr">
        <is>
          <t>24 periodos; mín 70.99, máx 101.55 €/MWh</t>
        </is>
      </c>
    </row>
    <row r="568">
      <c r="A568" s="53" t="n">
        <v>44394</v>
      </c>
      <c r="B568" t="inlineStr">
        <is>
          <t>2021-07-17</t>
        </is>
      </c>
      <c r="C568" s="45" t="n">
        <v>90.9521</v>
      </c>
      <c r="D568" t="inlineStr">
        <is>
          <t>€/MWh</t>
        </is>
      </c>
      <c r="E568" s="54" t="n">
        <v>0.09095200000000001</v>
      </c>
      <c r="F568" s="54" t="n"/>
      <c r="G568" t="inlineStr">
        <is>
          <t>no aplica (precio mayorista)</t>
        </is>
      </c>
      <c r="J568" t="inlineStr">
        <is>
          <t>2021-07-16</t>
        </is>
      </c>
      <c r="K568" t="inlineStr">
        <is>
          <t>marginalpdbc_20210717.1</t>
        </is>
      </c>
      <c r="L568" t="inlineStr">
        <is>
          <t>24 periodos; mín 83.25, máx 101.30 €/MWh</t>
        </is>
      </c>
    </row>
    <row r="569">
      <c r="A569" s="53" t="n">
        <v>44395</v>
      </c>
      <c r="B569" t="inlineStr">
        <is>
          <t>2021-07-18</t>
        </is>
      </c>
      <c r="C569" s="45" t="n">
        <v>74.1938</v>
      </c>
      <c r="D569" t="inlineStr">
        <is>
          <t>€/MWh</t>
        </is>
      </c>
      <c r="E569" s="54" t="n">
        <v>0.074194</v>
      </c>
      <c r="F569" s="54" t="n"/>
      <c r="G569" t="inlineStr">
        <is>
          <t>no aplica (precio mayorista)</t>
        </is>
      </c>
      <c r="J569" t="inlineStr">
        <is>
          <t>2021-07-17</t>
        </is>
      </c>
      <c r="K569" t="inlineStr">
        <is>
          <t>marginalpdbc_20210718.1</t>
        </is>
      </c>
      <c r="L569" t="inlineStr">
        <is>
          <t>24 periodos; mín 7.00, máx 100.38 €/MWh</t>
        </is>
      </c>
    </row>
    <row r="570">
      <c r="A570" s="53" t="n">
        <v>44396</v>
      </c>
      <c r="B570" t="inlineStr">
        <is>
          <t>2021-07-19</t>
        </is>
      </c>
      <c r="C570" s="45" t="n">
        <v>98.80289999999999</v>
      </c>
      <c r="D570" t="inlineStr">
        <is>
          <t>€/MWh</t>
        </is>
      </c>
      <c r="E570" s="54" t="n">
        <v>0.098803</v>
      </c>
      <c r="F570" s="54" t="n"/>
      <c r="G570" t="inlineStr">
        <is>
          <t>no aplica (precio mayorista)</t>
        </is>
      </c>
      <c r="J570" t="inlineStr">
        <is>
          <t>2021-07-18</t>
        </is>
      </c>
      <c r="K570" t="inlineStr">
        <is>
          <t>marginalpdbc_20210719.1</t>
        </is>
      </c>
      <c r="L570" t="inlineStr">
        <is>
          <t>24 periodos; mín 92.09, máx 109.28 €/MWh</t>
        </is>
      </c>
    </row>
    <row r="571">
      <c r="A571" s="53" t="n">
        <v>44397</v>
      </c>
      <c r="B571" t="inlineStr">
        <is>
          <t>2021-07-20</t>
        </is>
      </c>
      <c r="C571" s="45" t="n">
        <v>101.8225</v>
      </c>
      <c r="D571" t="inlineStr">
        <is>
          <t>€/MWh</t>
        </is>
      </c>
      <c r="E571" s="54" t="n">
        <v>0.101822</v>
      </c>
      <c r="F571" s="54" t="n"/>
      <c r="G571" t="inlineStr">
        <is>
          <t>no aplica (precio mayorista)</t>
        </is>
      </c>
      <c r="J571" t="inlineStr">
        <is>
          <t>2021-07-19</t>
        </is>
      </c>
      <c r="K571" t="inlineStr">
        <is>
          <t>marginalpdbc_20210720.1</t>
        </is>
      </c>
      <c r="L571" t="inlineStr">
        <is>
          <t>24 periodos; mín 94.00, máx 111.36 €/MWh</t>
        </is>
      </c>
    </row>
    <row r="572">
      <c r="A572" s="53" t="n">
        <v>44398</v>
      </c>
      <c r="B572" t="inlineStr">
        <is>
          <t>2021-07-21</t>
        </is>
      </c>
      <c r="C572" s="45" t="n">
        <v>106.5733</v>
      </c>
      <c r="D572" t="inlineStr">
        <is>
          <t>€/MWh</t>
        </is>
      </c>
      <c r="E572" s="54" t="n">
        <v>0.106573</v>
      </c>
      <c r="F572" s="54" t="n"/>
      <c r="G572" t="inlineStr">
        <is>
          <t>no aplica (precio mayorista)</t>
        </is>
      </c>
      <c r="J572" t="inlineStr">
        <is>
          <t>2021-07-20</t>
        </is>
      </c>
      <c r="K572" t="inlineStr">
        <is>
          <t>marginalpdbc_20210721.1</t>
        </is>
      </c>
      <c r="L572" t="inlineStr">
        <is>
          <t>24 periodos; mín 100.83, máx 110.64 €/MWh</t>
        </is>
      </c>
    </row>
    <row r="573">
      <c r="A573" s="53" t="n">
        <v>44399</v>
      </c>
      <c r="B573" t="inlineStr">
        <is>
          <t>2021-07-22</t>
        </is>
      </c>
      <c r="C573" s="45" t="n">
        <v>101.5167</v>
      </c>
      <c r="D573" t="inlineStr">
        <is>
          <t>€/MWh</t>
        </is>
      </c>
      <c r="E573" s="54" t="n">
        <v>0.101517</v>
      </c>
      <c r="F573" s="54" t="n"/>
      <c r="G573" t="inlineStr">
        <is>
          <t>no aplica (precio mayorista)</t>
        </is>
      </c>
      <c r="J573" t="inlineStr">
        <is>
          <t>2021-07-21</t>
        </is>
      </c>
      <c r="K573" t="inlineStr">
        <is>
          <t>marginalpdbc_20210722.1</t>
        </is>
      </c>
      <c r="L573" t="inlineStr">
        <is>
          <t>24 periodos; mín 95.75, máx 106.04 €/MWh</t>
        </is>
      </c>
    </row>
    <row r="574">
      <c r="A574" s="53" t="n">
        <v>44400</v>
      </c>
      <c r="B574" t="inlineStr">
        <is>
          <t>2021-07-23</t>
        </is>
      </c>
      <c r="C574" s="45" t="n">
        <v>95.8871</v>
      </c>
      <c r="D574" t="inlineStr">
        <is>
          <t>€/MWh</t>
        </is>
      </c>
      <c r="E574" s="54" t="n">
        <v>0.095887</v>
      </c>
      <c r="F574" s="54" t="n"/>
      <c r="G574" t="inlineStr">
        <is>
          <t>no aplica (precio mayorista)</t>
        </is>
      </c>
      <c r="J574" t="inlineStr">
        <is>
          <t>2021-07-22</t>
        </is>
      </c>
      <c r="K574" t="inlineStr">
        <is>
          <t>marginalpdbc_20210723.1</t>
        </is>
      </c>
      <c r="L574" t="inlineStr">
        <is>
          <t>24 periodos; mín 75.80, máx 106.91 €/MWh</t>
        </is>
      </c>
    </row>
    <row r="575">
      <c r="A575" s="53" t="n">
        <v>44401</v>
      </c>
      <c r="B575" t="inlineStr">
        <is>
          <t>2021-07-24</t>
        </is>
      </c>
      <c r="C575" s="45" t="n">
        <v>92.0187</v>
      </c>
      <c r="D575" t="inlineStr">
        <is>
          <t>€/MWh</t>
        </is>
      </c>
      <c r="E575" s="54" t="n">
        <v>0.092019</v>
      </c>
      <c r="F575" s="54" t="n"/>
      <c r="G575" t="inlineStr">
        <is>
          <t>no aplica (precio mayorista)</t>
        </is>
      </c>
      <c r="J575" t="inlineStr">
        <is>
          <t>2021-07-23</t>
        </is>
      </c>
      <c r="K575" t="inlineStr">
        <is>
          <t>marginalpdbc_20210724.1</t>
        </is>
      </c>
      <c r="L575" t="inlineStr">
        <is>
          <t>24 periodos; mín 73.49, máx 106.23 €/MWh</t>
        </is>
      </c>
    </row>
    <row r="576">
      <c r="A576" s="53" t="n">
        <v>44402</v>
      </c>
      <c r="B576" t="inlineStr">
        <is>
          <t>2021-07-25</t>
        </is>
      </c>
      <c r="C576" s="45" t="n">
        <v>93.2021</v>
      </c>
      <c r="D576" t="inlineStr">
        <is>
          <t>€/MWh</t>
        </is>
      </c>
      <c r="E576" s="54" t="n">
        <v>0.09320199999999999</v>
      </c>
      <c r="F576" s="54" t="n"/>
      <c r="G576" t="inlineStr">
        <is>
          <t>no aplica (precio mayorista)</t>
        </is>
      </c>
      <c r="J576" t="inlineStr">
        <is>
          <t>2021-07-24</t>
        </is>
      </c>
      <c r="K576" t="inlineStr">
        <is>
          <t>marginalpdbc_20210725.1</t>
        </is>
      </c>
      <c r="L576" t="inlineStr">
        <is>
          <t>24 periodos; mín 77.70, máx 111.09 €/MWh</t>
        </is>
      </c>
    </row>
    <row r="577">
      <c r="A577" s="53" t="n">
        <v>44403</v>
      </c>
      <c r="B577" t="inlineStr">
        <is>
          <t>2021-07-26</t>
        </is>
      </c>
      <c r="C577" s="45" t="n">
        <v>99.52330000000001</v>
      </c>
      <c r="D577" t="inlineStr">
        <is>
          <t>€/MWh</t>
        </is>
      </c>
      <c r="E577" s="54" t="n">
        <v>0.099523</v>
      </c>
      <c r="F577" s="54" t="n"/>
      <c r="G577" t="inlineStr">
        <is>
          <t>no aplica (precio mayorista)</t>
        </is>
      </c>
      <c r="J577" t="inlineStr">
        <is>
          <t>2021-07-25</t>
        </is>
      </c>
      <c r="K577" t="inlineStr">
        <is>
          <t>marginalpdbc_20210726.1</t>
        </is>
      </c>
      <c r="L577" t="inlineStr">
        <is>
          <t>24 periodos; mín 86.60, máx 108.23 €/MWh</t>
        </is>
      </c>
    </row>
    <row r="578">
      <c r="A578" s="53" t="n">
        <v>44404</v>
      </c>
      <c r="B578" t="inlineStr">
        <is>
          <t>2021-07-27</t>
        </is>
      </c>
      <c r="C578" s="45" t="n">
        <v>99.0467</v>
      </c>
      <c r="D578" t="inlineStr">
        <is>
          <t>€/MWh</t>
        </is>
      </c>
      <c r="E578" s="54" t="n">
        <v>0.099047</v>
      </c>
      <c r="F578" s="54" t="n"/>
      <c r="G578" t="inlineStr">
        <is>
          <t>no aplica (precio mayorista)</t>
        </is>
      </c>
      <c r="J578" t="inlineStr">
        <is>
          <t>2021-07-26</t>
        </is>
      </c>
      <c r="K578" t="inlineStr">
        <is>
          <t>marginalpdbc_20210727.1</t>
        </is>
      </c>
      <c r="L578" t="inlineStr">
        <is>
          <t>24 periodos; mín 88.75, máx 104.54 €/MWh</t>
        </is>
      </c>
    </row>
    <row r="579">
      <c r="A579" s="53" t="n">
        <v>44405</v>
      </c>
      <c r="B579" t="inlineStr">
        <is>
          <t>2021-07-28</t>
        </is>
      </c>
      <c r="C579" s="45" t="n">
        <v>95.5742</v>
      </c>
      <c r="D579" t="inlineStr">
        <is>
          <t>€/MWh</t>
        </is>
      </c>
      <c r="E579" s="54" t="n">
        <v>0.09557400000000001</v>
      </c>
      <c r="F579" s="54" t="n"/>
      <c r="G579" t="inlineStr">
        <is>
          <t>no aplica (precio mayorista)</t>
        </is>
      </c>
      <c r="J579" t="inlineStr">
        <is>
          <t>2021-07-27</t>
        </is>
      </c>
      <c r="K579" t="inlineStr">
        <is>
          <t>marginalpdbc_20210728.1</t>
        </is>
      </c>
      <c r="L579" t="inlineStr">
        <is>
          <t>24 periodos; mín 73.86, máx 109.58 €/MWh</t>
        </is>
      </c>
    </row>
    <row r="580">
      <c r="A580" s="53" t="n">
        <v>44406</v>
      </c>
      <c r="B580" t="inlineStr">
        <is>
          <t>2021-07-29</t>
        </is>
      </c>
      <c r="C580" s="45" t="n">
        <v>98.8317</v>
      </c>
      <c r="D580" t="inlineStr">
        <is>
          <t>€/MWh</t>
        </is>
      </c>
      <c r="E580" s="54" t="n">
        <v>0.098832</v>
      </c>
      <c r="F580" s="54" t="n"/>
      <c r="G580" t="inlineStr">
        <is>
          <t>no aplica (precio mayorista)</t>
        </is>
      </c>
      <c r="J580" t="inlineStr">
        <is>
          <t>2021-07-28</t>
        </is>
      </c>
      <c r="K580" t="inlineStr">
        <is>
          <t>marginalpdbc_20210729.1</t>
        </is>
      </c>
      <c r="L580" t="inlineStr">
        <is>
          <t>24 periodos; mín 87.00, máx 107.25 €/MWh</t>
        </is>
      </c>
    </row>
    <row r="581">
      <c r="A581" s="53" t="n">
        <v>44407</v>
      </c>
      <c r="B581" t="inlineStr">
        <is>
          <t>2021-07-30</t>
        </is>
      </c>
      <c r="C581" s="45" t="n">
        <v>95.36620000000001</v>
      </c>
      <c r="D581" t="inlineStr">
        <is>
          <t>€/MWh</t>
        </is>
      </c>
      <c r="E581" s="54" t="n">
        <v>0.09536600000000001</v>
      </c>
      <c r="F581" s="54" t="n"/>
      <c r="G581" t="inlineStr">
        <is>
          <t>no aplica (precio mayorista)</t>
        </is>
      </c>
      <c r="J581" t="inlineStr">
        <is>
          <t>2021-07-29</t>
        </is>
      </c>
      <c r="K581" t="inlineStr">
        <is>
          <t>marginalpdbc_20210730.1</t>
        </is>
      </c>
      <c r="L581" t="inlineStr">
        <is>
          <t>24 periodos; mín 70.99, máx 104.02 €/MWh</t>
        </is>
      </c>
    </row>
    <row r="582">
      <c r="A582" s="53" t="n">
        <v>44408</v>
      </c>
      <c r="B582" t="inlineStr">
        <is>
          <t>2021-07-31</t>
        </is>
      </c>
      <c r="C582" s="45" t="n">
        <v>61.0862</v>
      </c>
      <c r="D582" t="inlineStr">
        <is>
          <t>€/MWh</t>
        </is>
      </c>
      <c r="E582" s="54" t="n">
        <v>0.061086</v>
      </c>
      <c r="F582" s="54" t="n"/>
      <c r="G582" t="inlineStr">
        <is>
          <t>no aplica (precio mayorista)</t>
        </is>
      </c>
      <c r="J582" t="inlineStr">
        <is>
          <t>2021-07-30</t>
        </is>
      </c>
      <c r="K582" t="inlineStr">
        <is>
          <t>marginalpdbc_20210731.1</t>
        </is>
      </c>
      <c r="L582" t="inlineStr">
        <is>
          <t>24 periodos; mín 2.67, máx 76.55 €/MWh</t>
        </is>
      </c>
    </row>
    <row r="583">
      <c r="A583" s="53" t="n">
        <v>44409</v>
      </c>
      <c r="B583" t="inlineStr">
        <is>
          <t>2021-08-01</t>
        </is>
      </c>
      <c r="C583" s="45" t="n">
        <v>76.8867</v>
      </c>
      <c r="D583" t="inlineStr">
        <is>
          <t>€/MWh</t>
        </is>
      </c>
      <c r="E583" s="54" t="n">
        <v>0.076887</v>
      </c>
      <c r="F583" s="54" t="n"/>
      <c r="G583" t="inlineStr">
        <is>
          <t>no aplica (precio mayorista)</t>
        </is>
      </c>
      <c r="J583" t="inlineStr">
        <is>
          <t>2021-07-31</t>
        </is>
      </c>
      <c r="K583" t="inlineStr">
        <is>
          <t>marginalpdbc_20210801.1</t>
        </is>
      </c>
      <c r="L583" t="inlineStr">
        <is>
          <t>24 periodos; mín 63.99, máx 110.68 €/MWh</t>
        </is>
      </c>
    </row>
    <row r="584">
      <c r="A584" s="53" t="n">
        <v>44410</v>
      </c>
      <c r="B584" t="inlineStr">
        <is>
          <t>2021-08-02</t>
        </is>
      </c>
      <c r="C584" s="45" t="n">
        <v>103.0746</v>
      </c>
      <c r="D584" t="inlineStr">
        <is>
          <t>€/MWh</t>
        </is>
      </c>
      <c r="E584" s="54" t="n">
        <v>0.103075</v>
      </c>
      <c r="F584" s="54" t="n"/>
      <c r="G584" t="inlineStr">
        <is>
          <t>no aplica (precio mayorista)</t>
        </is>
      </c>
      <c r="J584" t="inlineStr">
        <is>
          <t>2021-08-01</t>
        </is>
      </c>
      <c r="K584" t="inlineStr">
        <is>
          <t>marginalpdbc_20210802.1</t>
        </is>
      </c>
      <c r="L584" t="inlineStr">
        <is>
          <t>24 periodos; mín 98.55, máx 108.41 €/MWh</t>
        </is>
      </c>
    </row>
    <row r="585">
      <c r="A585" s="53" t="n">
        <v>44411</v>
      </c>
      <c r="B585" t="inlineStr">
        <is>
          <t>2021-08-03</t>
        </is>
      </c>
      <c r="C585" s="45" t="n">
        <v>106.2667</v>
      </c>
      <c r="D585" t="inlineStr">
        <is>
          <t>€/MWh</t>
        </is>
      </c>
      <c r="E585" s="54" t="n">
        <v>0.106267</v>
      </c>
      <c r="F585" s="54" t="n"/>
      <c r="G585" t="inlineStr">
        <is>
          <t>no aplica (precio mayorista)</t>
        </is>
      </c>
      <c r="J585" t="inlineStr">
        <is>
          <t>2021-08-02</t>
        </is>
      </c>
      <c r="K585" t="inlineStr">
        <is>
          <t>marginalpdbc_20210803.1</t>
        </is>
      </c>
      <c r="L585" t="inlineStr">
        <is>
          <t>24 periodos; mín 100.85, máx 113.51 €/MWh</t>
        </is>
      </c>
    </row>
    <row r="586">
      <c r="A586" s="53" t="n">
        <v>44412</v>
      </c>
      <c r="B586" t="inlineStr">
        <is>
          <t>2021-08-04</t>
        </is>
      </c>
      <c r="C586" s="45" t="n">
        <v>105.2392</v>
      </c>
      <c r="D586" t="inlineStr">
        <is>
          <t>€/MWh</t>
        </is>
      </c>
      <c r="E586" s="54" t="n">
        <v>0.105239</v>
      </c>
      <c r="F586" s="54" t="n"/>
      <c r="G586" t="inlineStr">
        <is>
          <t>no aplica (precio mayorista)</t>
        </is>
      </c>
      <c r="J586" t="inlineStr">
        <is>
          <t>2021-08-03</t>
        </is>
      </c>
      <c r="K586" t="inlineStr">
        <is>
          <t>marginalpdbc_20210804.1</t>
        </is>
      </c>
      <c r="L586" t="inlineStr">
        <is>
          <t>24 periodos; mín 88.91, máx 116.86 €/MWh</t>
        </is>
      </c>
    </row>
    <row r="587">
      <c r="A587" s="53" t="n">
        <v>44413</v>
      </c>
      <c r="B587" t="inlineStr">
        <is>
          <t>2021-08-05</t>
        </is>
      </c>
      <c r="C587" s="45" t="n">
        <v>101.6046</v>
      </c>
      <c r="D587" t="inlineStr">
        <is>
          <t>€/MWh</t>
        </is>
      </c>
      <c r="E587" s="54" t="n">
        <v>0.101605</v>
      </c>
      <c r="F587" s="54" t="n"/>
      <c r="G587" t="inlineStr">
        <is>
          <t>no aplica (precio mayorista)</t>
        </is>
      </c>
      <c r="J587" t="inlineStr">
        <is>
          <t>2021-08-04</t>
        </is>
      </c>
      <c r="K587" t="inlineStr">
        <is>
          <t>marginalpdbc_20210805.1</t>
        </is>
      </c>
      <c r="L587" t="inlineStr">
        <is>
          <t>24 periodos; mín 77.75, máx 115.27 €/MWh</t>
        </is>
      </c>
    </row>
    <row r="588">
      <c r="A588" s="53" t="n">
        <v>44414</v>
      </c>
      <c r="B588" t="inlineStr">
        <is>
          <t>2021-08-06</t>
        </is>
      </c>
      <c r="C588" s="45" t="n">
        <v>97.2158</v>
      </c>
      <c r="D588" t="inlineStr">
        <is>
          <t>€/MWh</t>
        </is>
      </c>
      <c r="E588" s="54" t="n">
        <v>0.097216</v>
      </c>
      <c r="F588" s="54" t="n"/>
      <c r="G588" t="inlineStr">
        <is>
          <t>no aplica (precio mayorista)</t>
        </is>
      </c>
      <c r="J588" t="inlineStr">
        <is>
          <t>2021-08-05</t>
        </is>
      </c>
      <c r="K588" t="inlineStr">
        <is>
          <t>marginalpdbc_20210806.1</t>
        </is>
      </c>
      <c r="L588" t="inlineStr">
        <is>
          <t>24 periodos; mín 71.11, máx 108.01 €/MWh</t>
        </is>
      </c>
    </row>
    <row r="589">
      <c r="A589" s="53" t="n">
        <v>44415</v>
      </c>
      <c r="B589" t="inlineStr">
        <is>
          <t>2021-08-07</t>
        </is>
      </c>
      <c r="C589" s="45" t="n">
        <v>65.6354</v>
      </c>
      <c r="D589" t="inlineStr">
        <is>
          <t>€/MWh</t>
        </is>
      </c>
      <c r="E589" s="54" t="n">
        <v>0.065635</v>
      </c>
      <c r="F589" s="54" t="n"/>
      <c r="G589" t="inlineStr">
        <is>
          <t>no aplica (precio mayorista)</t>
        </is>
      </c>
      <c r="J589" t="inlineStr">
        <is>
          <t>2021-08-06</t>
        </is>
      </c>
      <c r="K589" t="inlineStr">
        <is>
          <t>marginalpdbc_20210807.1</t>
        </is>
      </c>
      <c r="L589" t="inlineStr">
        <is>
          <t>24 periodos; mín 0.90, máx 101.24 €/MWh</t>
        </is>
      </c>
    </row>
    <row r="590">
      <c r="A590" s="53" t="n">
        <v>44416</v>
      </c>
      <c r="B590" t="inlineStr">
        <is>
          <t>2021-08-08</t>
        </is>
      </c>
      <c r="C590" s="45" t="n">
        <v>85.2921</v>
      </c>
      <c r="D590" t="inlineStr">
        <is>
          <t>€/MWh</t>
        </is>
      </c>
      <c r="E590" s="54" t="n">
        <v>0.08529200000000001</v>
      </c>
      <c r="F590" s="54" t="n"/>
      <c r="G590" t="inlineStr">
        <is>
          <t>no aplica (precio mayorista)</t>
        </is>
      </c>
      <c r="J590" t="inlineStr">
        <is>
          <t>2021-08-07</t>
        </is>
      </c>
      <c r="K590" t="inlineStr">
        <is>
          <t>marginalpdbc_20210808.1</t>
        </is>
      </c>
      <c r="L590" t="inlineStr">
        <is>
          <t>24 periodos; mín 62.99, máx 107.57 €/MWh</t>
        </is>
      </c>
    </row>
    <row r="591">
      <c r="A591" s="53" t="n">
        <v>44417</v>
      </c>
      <c r="B591" t="inlineStr">
        <is>
          <t>2021-08-09</t>
        </is>
      </c>
      <c r="C591" s="45" t="n">
        <v>106.7421</v>
      </c>
      <c r="D591" t="inlineStr">
        <is>
          <t>€/MWh</t>
        </is>
      </c>
      <c r="E591" s="54" t="n">
        <v>0.106742</v>
      </c>
      <c r="F591" s="54" t="n"/>
      <c r="G591" t="inlineStr">
        <is>
          <t>no aplica (precio mayorista)</t>
        </is>
      </c>
      <c r="J591" t="inlineStr">
        <is>
          <t>2021-08-08</t>
        </is>
      </c>
      <c r="K591" t="inlineStr">
        <is>
          <t>marginalpdbc_20210809.1</t>
        </is>
      </c>
      <c r="L591" t="inlineStr">
        <is>
          <t>24 periodos; mín 97.95, máx 114.07 €/MWh</t>
        </is>
      </c>
    </row>
    <row r="592">
      <c r="A592" s="53" t="n">
        <v>44418</v>
      </c>
      <c r="B592" t="inlineStr">
        <is>
          <t>2021-08-10</t>
        </is>
      </c>
      <c r="C592" s="45" t="n">
        <v>111.8758</v>
      </c>
      <c r="D592" t="inlineStr">
        <is>
          <t>€/MWh</t>
        </is>
      </c>
      <c r="E592" s="54" t="n">
        <v>0.111876</v>
      </c>
      <c r="F592" s="54" t="n"/>
      <c r="G592" t="inlineStr">
        <is>
          <t>no aplica (precio mayorista)</t>
        </is>
      </c>
      <c r="J592" t="inlineStr">
        <is>
          <t>2021-08-09</t>
        </is>
      </c>
      <c r="K592" t="inlineStr">
        <is>
          <t>marginalpdbc_20210810.1</t>
        </is>
      </c>
      <c r="L592" t="inlineStr">
        <is>
          <t>24 periodos; mín 102.02, máx 120.00 €/MWh</t>
        </is>
      </c>
    </row>
    <row r="593">
      <c r="A593" s="53" t="n">
        <v>44419</v>
      </c>
      <c r="B593" t="inlineStr">
        <is>
          <t>2021-08-11</t>
        </is>
      </c>
      <c r="C593" s="45" t="n">
        <v>113.9942</v>
      </c>
      <c r="D593" t="inlineStr">
        <is>
          <t>€/MWh</t>
        </is>
      </c>
      <c r="E593" s="54" t="n">
        <v>0.113994</v>
      </c>
      <c r="F593" s="54" t="n"/>
      <c r="G593" t="inlineStr">
        <is>
          <t>no aplica (precio mayorista)</t>
        </is>
      </c>
      <c r="J593" t="inlineStr">
        <is>
          <t>2021-08-10</t>
        </is>
      </c>
      <c r="K593" t="inlineStr">
        <is>
          <t>marginalpdbc_20210811.1</t>
        </is>
      </c>
      <c r="L593" t="inlineStr">
        <is>
          <t>24 periodos; mín 99.48, máx 125.43 €/MWh</t>
        </is>
      </c>
    </row>
    <row r="594">
      <c r="A594" s="53" t="n">
        <v>44420</v>
      </c>
      <c r="B594" t="inlineStr">
        <is>
          <t>2021-08-12</t>
        </is>
      </c>
      <c r="C594" s="45" t="n">
        <v>115.8267</v>
      </c>
      <c r="D594" t="inlineStr">
        <is>
          <t>€/MWh</t>
        </is>
      </c>
      <c r="E594" s="54" t="n">
        <v>0.115827</v>
      </c>
      <c r="F594" s="54" t="n"/>
      <c r="G594" t="inlineStr">
        <is>
          <t>no aplica (precio mayorista)</t>
        </is>
      </c>
      <c r="J594" t="inlineStr">
        <is>
          <t>2021-08-11</t>
        </is>
      </c>
      <c r="K594" t="inlineStr">
        <is>
          <t>marginalpdbc_20210812.1</t>
        </is>
      </c>
      <c r="L594" t="inlineStr">
        <is>
          <t>24 periodos; mín 105.51, máx 130.00 €/MWh</t>
        </is>
      </c>
    </row>
    <row r="595">
      <c r="A595" s="53" t="n">
        <v>44421</v>
      </c>
      <c r="B595" t="inlineStr">
        <is>
          <t>2021-08-13</t>
        </is>
      </c>
      <c r="C595" s="45" t="n">
        <v>117.2917</v>
      </c>
      <c r="D595" t="inlineStr">
        <is>
          <t>€/MWh</t>
        </is>
      </c>
      <c r="E595" s="54" t="n">
        <v>0.117292</v>
      </c>
      <c r="F595" s="54" t="n"/>
      <c r="G595" t="inlineStr">
        <is>
          <t>no aplica (precio mayorista)</t>
        </is>
      </c>
      <c r="J595" t="inlineStr">
        <is>
          <t>2021-08-12</t>
        </is>
      </c>
      <c r="K595" t="inlineStr">
        <is>
          <t>marginalpdbc_20210813.1</t>
        </is>
      </c>
      <c r="L595" t="inlineStr">
        <is>
          <t>24 periodos; mín 101.52, máx 128.54 €/MWh</t>
        </is>
      </c>
    </row>
    <row r="596">
      <c r="A596" s="53" t="n">
        <v>44422</v>
      </c>
      <c r="B596" t="inlineStr">
        <is>
          <t>2021-08-14</t>
        </is>
      </c>
      <c r="C596" s="45" t="n">
        <v>114.6333</v>
      </c>
      <c r="D596" t="inlineStr">
        <is>
          <t>€/MWh</t>
        </is>
      </c>
      <c r="E596" s="54" t="n">
        <v>0.114633</v>
      </c>
      <c r="F596" s="54" t="n"/>
      <c r="G596" t="inlineStr">
        <is>
          <t>no aplica (precio mayorista)</t>
        </is>
      </c>
      <c r="J596" t="inlineStr">
        <is>
          <t>2021-08-13</t>
        </is>
      </c>
      <c r="K596" t="inlineStr">
        <is>
          <t>marginalpdbc_20210814.1</t>
        </is>
      </c>
      <c r="L596" t="inlineStr">
        <is>
          <t>24 periodos; mín 89.14, máx 130.00 €/MWh</t>
        </is>
      </c>
    </row>
    <row r="597">
      <c r="A597" s="53" t="n">
        <v>44423</v>
      </c>
      <c r="B597" t="inlineStr">
        <is>
          <t>2021-08-15</t>
        </is>
      </c>
      <c r="C597" s="45" t="n">
        <v>110.0229</v>
      </c>
      <c r="D597" t="inlineStr">
        <is>
          <t>€/MWh</t>
        </is>
      </c>
      <c r="E597" s="54" t="n">
        <v>0.110023</v>
      </c>
      <c r="F597" s="54" t="n"/>
      <c r="G597" t="inlineStr">
        <is>
          <t>no aplica (precio mayorista)</t>
        </is>
      </c>
      <c r="J597" t="inlineStr">
        <is>
          <t>2021-08-14</t>
        </is>
      </c>
      <c r="K597" t="inlineStr">
        <is>
          <t>marginalpdbc_20210815.1</t>
        </is>
      </c>
      <c r="L597" t="inlineStr">
        <is>
          <t>24 periodos; mín 84.47, máx 124.91 €/MWh</t>
        </is>
      </c>
    </row>
    <row r="598">
      <c r="A598" s="53" t="n">
        <v>44424</v>
      </c>
      <c r="B598" t="inlineStr">
        <is>
          <t>2021-08-16</t>
        </is>
      </c>
      <c r="C598" s="45" t="n">
        <v>88.9246</v>
      </c>
      <c r="D598" t="inlineStr">
        <is>
          <t>€/MWh</t>
        </is>
      </c>
      <c r="E598" s="54" t="n">
        <v>0.088925</v>
      </c>
      <c r="F598" s="54" t="n"/>
      <c r="G598" t="inlineStr">
        <is>
          <t>no aplica (precio mayorista)</t>
        </is>
      </c>
      <c r="J598" t="inlineStr">
        <is>
          <t>2021-08-15</t>
        </is>
      </c>
      <c r="K598" t="inlineStr">
        <is>
          <t>marginalpdbc_20210816.1</t>
        </is>
      </c>
      <c r="L598" t="inlineStr">
        <is>
          <t>24 periodos; mín 82.60, máx 109.35 €/MWh</t>
        </is>
      </c>
    </row>
    <row r="599">
      <c r="A599" s="53" t="n">
        <v>44425</v>
      </c>
      <c r="B599" t="inlineStr">
        <is>
          <t>2021-08-17</t>
        </is>
      </c>
      <c r="C599" s="45" t="n">
        <v>89.4996</v>
      </c>
      <c r="D599" t="inlineStr">
        <is>
          <t>€/MWh</t>
        </is>
      </c>
      <c r="E599" s="54" t="n">
        <v>0.0895</v>
      </c>
      <c r="F599" s="54" t="n"/>
      <c r="G599" t="inlineStr">
        <is>
          <t>no aplica (precio mayorista)</t>
        </is>
      </c>
      <c r="J599" t="inlineStr">
        <is>
          <t>2021-08-16</t>
        </is>
      </c>
      <c r="K599" t="inlineStr">
        <is>
          <t>marginalpdbc_20210817.1</t>
        </is>
      </c>
      <c r="L599" t="inlineStr">
        <is>
          <t>24 periodos; mín 82.09, máx 120.00 €/MWh</t>
        </is>
      </c>
    </row>
    <row r="600">
      <c r="A600" s="53" t="n">
        <v>44426</v>
      </c>
      <c r="B600" t="inlineStr">
        <is>
          <t>2021-08-18</t>
        </is>
      </c>
      <c r="C600" s="45" t="n">
        <v>105.4038</v>
      </c>
      <c r="D600" t="inlineStr">
        <is>
          <t>€/MWh</t>
        </is>
      </c>
      <c r="E600" s="54" t="n">
        <v>0.105404</v>
      </c>
      <c r="F600" s="54" t="n"/>
      <c r="G600" t="inlineStr">
        <is>
          <t>no aplica (precio mayorista)</t>
        </is>
      </c>
      <c r="J600" t="inlineStr">
        <is>
          <t>2021-08-17</t>
        </is>
      </c>
      <c r="K600" t="inlineStr">
        <is>
          <t>marginalpdbc_20210818.1</t>
        </is>
      </c>
      <c r="L600" t="inlineStr">
        <is>
          <t>24 periodos; mín 83.99, máx 126.84 €/MWh</t>
        </is>
      </c>
    </row>
    <row r="601">
      <c r="A601" s="53" t="n">
        <v>44427</v>
      </c>
      <c r="B601" t="inlineStr">
        <is>
          <t>2021-08-19</t>
        </is>
      </c>
      <c r="C601" s="45" t="n">
        <v>113.4042</v>
      </c>
      <c r="D601" t="inlineStr">
        <is>
          <t>€/MWh</t>
        </is>
      </c>
      <c r="E601" s="54" t="n">
        <v>0.113404</v>
      </c>
      <c r="F601" s="54" t="n"/>
      <c r="G601" t="inlineStr">
        <is>
          <t>no aplica (precio mayorista)</t>
        </is>
      </c>
      <c r="J601" t="inlineStr">
        <is>
          <t>2021-08-18</t>
        </is>
      </c>
      <c r="K601" t="inlineStr">
        <is>
          <t>marginalpdbc_20210819.1</t>
        </is>
      </c>
      <c r="L601" t="inlineStr">
        <is>
          <t>24 periodos; mín 89.14, máx 129.37 €/MWh</t>
        </is>
      </c>
    </row>
    <row r="602">
      <c r="A602" s="53" t="n">
        <v>44428</v>
      </c>
      <c r="B602" t="inlineStr">
        <is>
          <t>2021-08-20</t>
        </is>
      </c>
      <c r="C602" s="45" t="n">
        <v>117.1392</v>
      </c>
      <c r="D602" t="inlineStr">
        <is>
          <t>€/MWh</t>
        </is>
      </c>
      <c r="E602" s="54" t="n">
        <v>0.117139</v>
      </c>
      <c r="F602" s="54" t="n"/>
      <c r="G602" t="inlineStr">
        <is>
          <t>no aplica (precio mayorista)</t>
        </is>
      </c>
      <c r="J602" t="inlineStr">
        <is>
          <t>2021-08-19</t>
        </is>
      </c>
      <c r="K602" t="inlineStr">
        <is>
          <t>marginalpdbc_20210820.1</t>
        </is>
      </c>
      <c r="L602" t="inlineStr">
        <is>
          <t>24 periodos; mín 104.07, máx 126.14 €/MWh</t>
        </is>
      </c>
    </row>
    <row r="603">
      <c r="A603" s="53" t="n">
        <v>44429</v>
      </c>
      <c r="B603" t="inlineStr">
        <is>
          <t>2021-08-21</t>
        </is>
      </c>
      <c r="C603" s="45" t="n">
        <v>110.1404</v>
      </c>
      <c r="D603" t="inlineStr">
        <is>
          <t>€/MWh</t>
        </is>
      </c>
      <c r="E603" s="54" t="n">
        <v>0.11014</v>
      </c>
      <c r="F603" s="54" t="n"/>
      <c r="G603" t="inlineStr">
        <is>
          <t>no aplica (precio mayorista)</t>
        </is>
      </c>
      <c r="J603" t="inlineStr">
        <is>
          <t>2021-08-20</t>
        </is>
      </c>
      <c r="K603" t="inlineStr">
        <is>
          <t>marginalpdbc_20210821.1</t>
        </is>
      </c>
      <c r="L603" t="inlineStr">
        <is>
          <t>24 periodos; mín 91.20, máx 123.00 €/MWh</t>
        </is>
      </c>
    </row>
    <row r="604">
      <c r="A604" s="53" t="n">
        <v>44430</v>
      </c>
      <c r="B604" t="inlineStr">
        <is>
          <t>2021-08-22</t>
        </is>
      </c>
      <c r="C604" s="45" t="n">
        <v>100.5092</v>
      </c>
      <c r="D604" t="inlineStr">
        <is>
          <t>€/MWh</t>
        </is>
      </c>
      <c r="E604" s="54" t="n">
        <v>0.100509</v>
      </c>
      <c r="F604" s="54" t="n"/>
      <c r="G604" t="inlineStr">
        <is>
          <t>no aplica (precio mayorista)</t>
        </is>
      </c>
      <c r="J604" t="inlineStr">
        <is>
          <t>2021-08-21</t>
        </is>
      </c>
      <c r="K604" t="inlineStr">
        <is>
          <t>marginalpdbc_20210822.1</t>
        </is>
      </c>
      <c r="L604" t="inlineStr">
        <is>
          <t>24 periodos; mín 88.14, máx 110.41 €/MWh</t>
        </is>
      </c>
    </row>
    <row r="605">
      <c r="A605" s="53" t="n">
        <v>44431</v>
      </c>
      <c r="B605" t="inlineStr">
        <is>
          <t>2021-08-23</t>
        </is>
      </c>
      <c r="C605" s="45" t="n">
        <v>99.755</v>
      </c>
      <c r="D605" t="inlineStr">
        <is>
          <t>€/MWh</t>
        </is>
      </c>
      <c r="E605" s="54" t="n">
        <v>0.099755</v>
      </c>
      <c r="F605" s="54" t="n"/>
      <c r="G605" t="inlineStr">
        <is>
          <t>no aplica (precio mayorista)</t>
        </is>
      </c>
      <c r="J605" t="inlineStr">
        <is>
          <t>2021-08-22</t>
        </is>
      </c>
      <c r="K605" t="inlineStr">
        <is>
          <t>marginalpdbc_20210823.1</t>
        </is>
      </c>
      <c r="L605" t="inlineStr">
        <is>
          <t>24 periodos; mín 85.84, máx 115.54 €/MWh</t>
        </is>
      </c>
    </row>
    <row r="606">
      <c r="A606" s="53" t="n">
        <v>44432</v>
      </c>
      <c r="B606" t="inlineStr">
        <is>
          <t>2021-08-24</t>
        </is>
      </c>
      <c r="C606" s="45" t="n">
        <v>102.0633</v>
      </c>
      <c r="D606" t="inlineStr">
        <is>
          <t>€/MWh</t>
        </is>
      </c>
      <c r="E606" s="54" t="n">
        <v>0.102063</v>
      </c>
      <c r="F606" s="54" t="n"/>
      <c r="G606" t="inlineStr">
        <is>
          <t>no aplica (precio mayorista)</t>
        </is>
      </c>
      <c r="J606" t="inlineStr">
        <is>
          <t>2021-08-23</t>
        </is>
      </c>
      <c r="K606" t="inlineStr">
        <is>
          <t>marginalpdbc_20210824.1</t>
        </is>
      </c>
      <c r="L606" t="inlineStr">
        <is>
          <t>24 periodos; mín 84.34, máx 120.35 €/MWh</t>
        </is>
      </c>
    </row>
    <row r="607">
      <c r="A607" s="53" t="n">
        <v>44433</v>
      </c>
      <c r="B607" t="inlineStr">
        <is>
          <t>2021-08-25</t>
        </is>
      </c>
      <c r="C607" s="45" t="n">
        <v>116.7338</v>
      </c>
      <c r="D607" t="inlineStr">
        <is>
          <t>€/MWh</t>
        </is>
      </c>
      <c r="E607" s="54" t="n">
        <v>0.116734</v>
      </c>
      <c r="F607" s="54" t="n"/>
      <c r="G607" t="inlineStr">
        <is>
          <t>no aplica (precio mayorista)</t>
        </is>
      </c>
      <c r="J607" t="inlineStr">
        <is>
          <t>2021-08-24</t>
        </is>
      </c>
      <c r="K607" t="inlineStr">
        <is>
          <t>marginalpdbc_20210825.1</t>
        </is>
      </c>
      <c r="L607" t="inlineStr">
        <is>
          <t>24 periodos; mín 105.72, máx 129.15 €/MWh</t>
        </is>
      </c>
    </row>
    <row r="608">
      <c r="A608" s="53" t="n">
        <v>44434</v>
      </c>
      <c r="B608" t="inlineStr">
        <is>
          <t>2021-08-26</t>
        </is>
      </c>
      <c r="C608" s="45" t="n">
        <v>122.7567</v>
      </c>
      <c r="D608" t="inlineStr">
        <is>
          <t>€/MWh</t>
        </is>
      </c>
      <c r="E608" s="54" t="n">
        <v>0.122757</v>
      </c>
      <c r="F608" s="54" t="n"/>
      <c r="G608" t="inlineStr">
        <is>
          <t>no aplica (precio mayorista)</t>
        </is>
      </c>
      <c r="J608" t="inlineStr">
        <is>
          <t>2021-08-25</t>
        </is>
      </c>
      <c r="K608" t="inlineStr">
        <is>
          <t>marginalpdbc_20210826.1</t>
        </is>
      </c>
      <c r="L608" t="inlineStr">
        <is>
          <t>24 periodos; mín 119.95, máx 129.81 €/MWh</t>
        </is>
      </c>
    </row>
    <row r="609">
      <c r="A609" s="53" t="n">
        <v>44435</v>
      </c>
      <c r="B609" t="inlineStr">
        <is>
          <t>2021-08-27</t>
        </is>
      </c>
      <c r="C609" s="45" t="n">
        <v>118.9942</v>
      </c>
      <c r="D609" t="inlineStr">
        <is>
          <t>€/MWh</t>
        </is>
      </c>
      <c r="E609" s="54" t="n">
        <v>0.118994</v>
      </c>
      <c r="F609" s="54" t="n"/>
      <c r="G609" t="inlineStr">
        <is>
          <t>no aplica (precio mayorista)</t>
        </is>
      </c>
      <c r="J609" t="inlineStr">
        <is>
          <t>2021-08-26</t>
        </is>
      </c>
      <c r="K609" t="inlineStr">
        <is>
          <t>marginalpdbc_20210827.1</t>
        </is>
      </c>
      <c r="L609" t="inlineStr">
        <is>
          <t>24 periodos; mín 106.75, máx 125.33 €/MWh</t>
        </is>
      </c>
    </row>
    <row r="610">
      <c r="A610" s="53" t="n">
        <v>44436</v>
      </c>
      <c r="B610" t="inlineStr">
        <is>
          <t>2021-08-28</t>
        </is>
      </c>
      <c r="C610" s="45" t="n">
        <v>110.22</v>
      </c>
      <c r="D610" t="inlineStr">
        <is>
          <t>€/MWh</t>
        </is>
      </c>
      <c r="E610" s="54" t="n">
        <v>0.11022</v>
      </c>
      <c r="F610" s="54" t="n"/>
      <c r="G610" t="inlineStr">
        <is>
          <t>no aplica (precio mayorista)</t>
        </is>
      </c>
      <c r="J610" t="inlineStr">
        <is>
          <t>2021-08-27</t>
        </is>
      </c>
      <c r="K610" t="inlineStr">
        <is>
          <t>marginalpdbc_20210828.1</t>
        </is>
      </c>
      <c r="L610" t="inlineStr">
        <is>
          <t>24 periodos; mín 87.95, máx 128.29 €/MWh</t>
        </is>
      </c>
    </row>
    <row r="611">
      <c r="A611" s="53" t="n">
        <v>44437</v>
      </c>
      <c r="B611" t="inlineStr">
        <is>
          <t>2021-08-29</t>
        </is>
      </c>
      <c r="C611" s="45" t="n">
        <v>102.0342</v>
      </c>
      <c r="D611" t="inlineStr">
        <is>
          <t>€/MWh</t>
        </is>
      </c>
      <c r="E611" s="54" t="n">
        <v>0.102034</v>
      </c>
      <c r="F611" s="54" t="n"/>
      <c r="G611" t="inlineStr">
        <is>
          <t>no aplica (precio mayorista)</t>
        </is>
      </c>
      <c r="J611" t="inlineStr">
        <is>
          <t>2021-08-28</t>
        </is>
      </c>
      <c r="K611" t="inlineStr">
        <is>
          <t>marginalpdbc_20210829.1</t>
        </is>
      </c>
      <c r="L611" t="inlineStr">
        <is>
          <t>24 periodos; mín 93.06, máx 128.41 €/MWh</t>
        </is>
      </c>
    </row>
    <row r="612">
      <c r="A612" s="53" t="n">
        <v>44438</v>
      </c>
      <c r="B612" t="inlineStr">
        <is>
          <t>2021-08-30</t>
        </is>
      </c>
      <c r="C612" s="45" t="n">
        <v>124.4513</v>
      </c>
      <c r="D612" t="inlineStr">
        <is>
          <t>€/MWh</t>
        </is>
      </c>
      <c r="E612" s="54" t="n">
        <v>0.124451</v>
      </c>
      <c r="F612" s="54" t="n"/>
      <c r="G612" t="inlineStr">
        <is>
          <t>no aplica (precio mayorista)</t>
        </is>
      </c>
      <c r="J612" t="inlineStr">
        <is>
          <t>2021-08-29</t>
        </is>
      </c>
      <c r="K612" t="inlineStr">
        <is>
          <t>marginalpdbc_20210830.1</t>
        </is>
      </c>
      <c r="L612" t="inlineStr">
        <is>
          <t>24 periodos; mín 112.31, máx 132.92 €/MWh</t>
        </is>
      </c>
    </row>
    <row r="613">
      <c r="A613" s="53" t="n">
        <v>44439</v>
      </c>
      <c r="B613" t="inlineStr">
        <is>
          <t>2021-08-31</t>
        </is>
      </c>
      <c r="C613" s="45" t="n">
        <v>130.5304</v>
      </c>
      <c r="D613" t="inlineStr">
        <is>
          <t>€/MWh</t>
        </is>
      </c>
      <c r="E613" s="54" t="n">
        <v>0.13053</v>
      </c>
      <c r="F613" s="54" t="n"/>
      <c r="G613" t="inlineStr">
        <is>
          <t>no aplica (precio mayorista)</t>
        </is>
      </c>
      <c r="J613" t="inlineStr">
        <is>
          <t>2021-08-30</t>
        </is>
      </c>
      <c r="K613" t="inlineStr">
        <is>
          <t>marginalpdbc_20210831.1</t>
        </is>
      </c>
      <c r="L613" t="inlineStr">
        <is>
          <t>24 periodos; mín 123.35, máx 137.46 €/MWh</t>
        </is>
      </c>
    </row>
    <row r="614">
      <c r="A614" s="53" t="n">
        <v>44440</v>
      </c>
      <c r="B614" t="inlineStr">
        <is>
          <t>2021-09-01</t>
        </is>
      </c>
      <c r="C614" s="45" t="n">
        <v>132.465</v>
      </c>
      <c r="D614" t="inlineStr">
        <is>
          <t>€/MWh</t>
        </is>
      </c>
      <c r="E614" s="54" t="n">
        <v>0.132465</v>
      </c>
      <c r="F614" s="54" t="n"/>
      <c r="G614" t="inlineStr">
        <is>
          <t>no aplica (precio mayorista)</t>
        </is>
      </c>
      <c r="J614" t="inlineStr">
        <is>
          <t>2021-08-31</t>
        </is>
      </c>
      <c r="K614" t="inlineStr">
        <is>
          <t>marginalpdbc_20210901.1</t>
        </is>
      </c>
      <c r="L614" t="inlineStr">
        <is>
          <t>24 periodos; mín 114.74, máx 139.95 €/MWh</t>
        </is>
      </c>
    </row>
    <row r="615">
      <c r="A615" s="53" t="n">
        <v>44441</v>
      </c>
      <c r="B615" t="inlineStr">
        <is>
          <t>2021-09-02</t>
        </is>
      </c>
      <c r="C615" s="45" t="n">
        <v>140.2271</v>
      </c>
      <c r="D615" t="inlineStr">
        <is>
          <t>€/MWh</t>
        </is>
      </c>
      <c r="E615" s="54" t="n">
        <v>0.140227</v>
      </c>
      <c r="F615" s="54" t="n"/>
      <c r="G615" t="inlineStr">
        <is>
          <t>no aplica (precio mayorista)</t>
        </is>
      </c>
      <c r="J615" t="inlineStr">
        <is>
          <t>2021-09-01</t>
        </is>
      </c>
      <c r="K615" t="inlineStr">
        <is>
          <t>marginalpdbc_20210902.1</t>
        </is>
      </c>
      <c r="L615" t="inlineStr">
        <is>
          <t>24 periodos; mín 137.45, máx 148.00 €/MWh</t>
        </is>
      </c>
    </row>
    <row r="616">
      <c r="A616" s="53" t="n">
        <v>44442</v>
      </c>
      <c r="B616" t="inlineStr">
        <is>
          <t>2021-09-03</t>
        </is>
      </c>
      <c r="C616" s="45" t="n">
        <v>137.7</v>
      </c>
      <c r="D616" t="inlineStr">
        <is>
          <t>€/MWh</t>
        </is>
      </c>
      <c r="E616" s="54" t="n">
        <v>0.1377</v>
      </c>
      <c r="F616" s="54" t="n"/>
      <c r="G616" t="inlineStr">
        <is>
          <t>no aplica (precio mayorista)</t>
        </is>
      </c>
      <c r="J616" t="inlineStr">
        <is>
          <t>2021-09-02</t>
        </is>
      </c>
      <c r="K616" t="inlineStr">
        <is>
          <t>marginalpdbc_20210903.1</t>
        </is>
      </c>
      <c r="L616" t="inlineStr">
        <is>
          <t>24 periodos; mín 119.42, máx 147.57 €/MWh</t>
        </is>
      </c>
    </row>
    <row r="617">
      <c r="A617" s="53" t="n">
        <v>44443</v>
      </c>
      <c r="B617" t="inlineStr">
        <is>
          <t>2021-09-04</t>
        </is>
      </c>
      <c r="C617" s="45" t="n">
        <v>134.8946</v>
      </c>
      <c r="D617" t="inlineStr">
        <is>
          <t>€/MWh</t>
        </is>
      </c>
      <c r="E617" s="54" t="n">
        <v>0.134895</v>
      </c>
      <c r="F617" s="54" t="n"/>
      <c r="G617" t="inlineStr">
        <is>
          <t>no aplica (precio mayorista)</t>
        </is>
      </c>
      <c r="J617" t="inlineStr">
        <is>
          <t>2021-09-03</t>
        </is>
      </c>
      <c r="K617" t="inlineStr">
        <is>
          <t>marginalpdbc_20210904.1</t>
        </is>
      </c>
      <c r="L617" t="inlineStr">
        <is>
          <t>24 periodos; mín 106.30, máx 152.27 €/MWh</t>
        </is>
      </c>
    </row>
    <row r="618">
      <c r="A618" s="53" t="n">
        <v>44444</v>
      </c>
      <c r="B618" t="inlineStr">
        <is>
          <t>2021-09-05</t>
        </is>
      </c>
      <c r="C618" s="45" t="n">
        <v>128.6962</v>
      </c>
      <c r="D618" t="inlineStr">
        <is>
          <t>€/MWh</t>
        </is>
      </c>
      <c r="E618" s="54" t="n">
        <v>0.128696</v>
      </c>
      <c r="F618" s="54" t="n"/>
      <c r="G618" t="inlineStr">
        <is>
          <t>no aplica (precio mayorista)</t>
        </is>
      </c>
      <c r="J618" t="inlineStr">
        <is>
          <t>2021-09-04</t>
        </is>
      </c>
      <c r="K618" t="inlineStr">
        <is>
          <t>marginalpdbc_20210905.1</t>
        </is>
      </c>
      <c r="L618" t="inlineStr">
        <is>
          <t>24 periodos; mín 104.20, máx 155.00 €/MWh</t>
        </is>
      </c>
    </row>
    <row r="619">
      <c r="A619" s="53" t="n">
        <v>44445</v>
      </c>
      <c r="B619" t="inlineStr">
        <is>
          <t>2021-09-06</t>
        </is>
      </c>
      <c r="C619" s="45" t="n">
        <v>132.645</v>
      </c>
      <c r="D619" t="inlineStr">
        <is>
          <t>€/MWh</t>
        </is>
      </c>
      <c r="E619" s="54" t="n">
        <v>0.132645</v>
      </c>
      <c r="F619" s="54" t="n"/>
      <c r="G619" t="inlineStr">
        <is>
          <t>no aplica (precio mayorista)</t>
        </is>
      </c>
      <c r="J619" t="inlineStr">
        <is>
          <t>2021-09-05</t>
        </is>
      </c>
      <c r="K619" t="inlineStr">
        <is>
          <t>marginalpdbc_20210906.1</t>
        </is>
      </c>
      <c r="L619" t="inlineStr">
        <is>
          <t>24 periodos; mín 108.52, máx 153.63 €/MWh</t>
        </is>
      </c>
    </row>
    <row r="620">
      <c r="A620" s="53" t="n">
        <v>44446</v>
      </c>
      <c r="B620" t="inlineStr">
        <is>
          <t>2021-09-07</t>
        </is>
      </c>
      <c r="C620" s="45" t="n">
        <v>127.3558</v>
      </c>
      <c r="D620" t="inlineStr">
        <is>
          <t>€/MWh</t>
        </is>
      </c>
      <c r="E620" s="54" t="n">
        <v>0.127356</v>
      </c>
      <c r="F620" s="54" t="n"/>
      <c r="G620" t="inlineStr">
        <is>
          <t>no aplica (precio mayorista)</t>
        </is>
      </c>
      <c r="J620" t="inlineStr">
        <is>
          <t>2021-09-06</t>
        </is>
      </c>
      <c r="K620" t="inlineStr">
        <is>
          <t>marginalpdbc_20210907.1</t>
        </is>
      </c>
      <c r="L620" t="inlineStr">
        <is>
          <t>24 periodos; mín 105.10, máx 153.45 €/MWh</t>
        </is>
      </c>
    </row>
    <row r="621">
      <c r="A621" s="53" t="n">
        <v>44447</v>
      </c>
      <c r="B621" t="inlineStr">
        <is>
          <t>2021-09-08</t>
        </is>
      </c>
      <c r="C621" s="45" t="n">
        <v>135.6542</v>
      </c>
      <c r="D621" t="inlineStr">
        <is>
          <t>€/MWh</t>
        </is>
      </c>
      <c r="E621" s="54" t="n">
        <v>0.135654</v>
      </c>
      <c r="F621" s="54" t="n"/>
      <c r="G621" t="inlineStr">
        <is>
          <t>no aplica (precio mayorista)</t>
        </is>
      </c>
      <c r="J621" t="inlineStr">
        <is>
          <t>2021-09-07</t>
        </is>
      </c>
      <c r="K621" t="inlineStr">
        <is>
          <t>marginalpdbc_20210908.1</t>
        </is>
      </c>
      <c r="L621" t="inlineStr">
        <is>
          <t>24 periodos; mín 109.08, máx 152.36 €/MWh</t>
        </is>
      </c>
    </row>
    <row r="622">
      <c r="A622" s="53" t="n">
        <v>44448</v>
      </c>
      <c r="B622" t="inlineStr">
        <is>
          <t>2021-09-09</t>
        </is>
      </c>
      <c r="C622" s="45" t="n">
        <v>141.7125</v>
      </c>
      <c r="D622" t="inlineStr">
        <is>
          <t>€/MWh</t>
        </is>
      </c>
      <c r="E622" s="54" t="n">
        <v>0.141713</v>
      </c>
      <c r="F622" s="54" t="n"/>
      <c r="G622" t="inlineStr">
        <is>
          <t>no aplica (precio mayorista)</t>
        </is>
      </c>
      <c r="J622" t="inlineStr">
        <is>
          <t>2021-09-08</t>
        </is>
      </c>
      <c r="K622" t="inlineStr">
        <is>
          <t>marginalpdbc_20210909.1</t>
        </is>
      </c>
      <c r="L622" t="inlineStr">
        <is>
          <t>24 periodos; mín 120.92, máx 155.62 €/MWh</t>
        </is>
      </c>
    </row>
    <row r="623">
      <c r="A623" s="53" t="n">
        <v>44449</v>
      </c>
      <c r="B623" t="inlineStr">
        <is>
          <t>2021-09-10</t>
        </is>
      </c>
      <c r="C623" s="45" t="n">
        <v>152.3196</v>
      </c>
      <c r="D623" t="inlineStr">
        <is>
          <t>€/MWh</t>
        </is>
      </c>
      <c r="E623" s="54" t="n">
        <v>0.15232</v>
      </c>
      <c r="F623" s="54" t="n"/>
      <c r="G623" t="inlineStr">
        <is>
          <t>no aplica (precio mayorista)</t>
        </is>
      </c>
      <c r="J623" t="inlineStr">
        <is>
          <t>2021-09-09</t>
        </is>
      </c>
      <c r="K623" t="inlineStr">
        <is>
          <t>marginalpdbc_20210910.1</t>
        </is>
      </c>
      <c r="L623" t="inlineStr">
        <is>
          <t>24 periodos; mín 146.29, máx 159.31 €/MWh</t>
        </is>
      </c>
    </row>
    <row r="624">
      <c r="A624" s="53" t="n">
        <v>44450</v>
      </c>
      <c r="B624" t="inlineStr">
        <is>
          <t>2021-09-11</t>
        </is>
      </c>
      <c r="C624" s="45" t="n">
        <v>150.7792</v>
      </c>
      <c r="D624" t="inlineStr">
        <is>
          <t>€/MWh</t>
        </is>
      </c>
      <c r="E624" s="54" t="n">
        <v>0.150779</v>
      </c>
      <c r="F624" s="54" t="n"/>
      <c r="G624" t="inlineStr">
        <is>
          <t>no aplica (precio mayorista)</t>
        </is>
      </c>
      <c r="J624" t="inlineStr">
        <is>
          <t>2021-09-10</t>
        </is>
      </c>
      <c r="K624" t="inlineStr">
        <is>
          <t>marginalpdbc_20210911.1</t>
        </is>
      </c>
      <c r="L624" t="inlineStr">
        <is>
          <t>24 periodos; mín 120.48, máx 165.00 €/MWh</t>
        </is>
      </c>
    </row>
    <row r="625">
      <c r="A625" s="53" t="n">
        <v>44451</v>
      </c>
      <c r="B625" t="inlineStr">
        <is>
          <t>2021-09-12</t>
        </is>
      </c>
      <c r="C625" s="45" t="n">
        <v>144.1779</v>
      </c>
      <c r="D625" t="inlineStr">
        <is>
          <t>€/MWh</t>
        </is>
      </c>
      <c r="E625" s="54" t="n">
        <v>0.144178</v>
      </c>
      <c r="F625" s="54" t="n"/>
      <c r="G625" t="inlineStr">
        <is>
          <t>no aplica (precio mayorista)</t>
        </is>
      </c>
      <c r="J625" t="inlineStr">
        <is>
          <t>2021-09-11</t>
        </is>
      </c>
      <c r="K625" t="inlineStr">
        <is>
          <t>marginalpdbc_20210912.1</t>
        </is>
      </c>
      <c r="L625" t="inlineStr">
        <is>
          <t>24 periodos; mín 110.01, máx 167.53 €/MWh</t>
        </is>
      </c>
    </row>
    <row r="626">
      <c r="A626" s="53" t="n">
        <v>44452</v>
      </c>
      <c r="B626" t="inlineStr">
        <is>
          <t>2021-09-13</t>
        </is>
      </c>
      <c r="C626" s="45" t="n">
        <v>154.1567</v>
      </c>
      <c r="D626" t="inlineStr">
        <is>
          <t>€/MWh</t>
        </is>
      </c>
      <c r="E626" s="54" t="n">
        <v>0.154157</v>
      </c>
      <c r="F626" s="54" t="n"/>
      <c r="G626" t="inlineStr">
        <is>
          <t>no aplica (precio mayorista)</t>
        </is>
      </c>
      <c r="J626" t="inlineStr">
        <is>
          <t>2021-09-12</t>
        </is>
      </c>
      <c r="K626" t="inlineStr">
        <is>
          <t>marginalpdbc_20210913.1</t>
        </is>
      </c>
      <c r="L626" t="inlineStr">
        <is>
          <t>24 periodos; mín 125.00, máx 170.00 €/MWh</t>
        </is>
      </c>
    </row>
    <row r="627">
      <c r="A627" s="53" t="n">
        <v>44453</v>
      </c>
      <c r="B627" t="inlineStr">
        <is>
          <t>2021-09-14</t>
        </is>
      </c>
      <c r="C627" s="45" t="n">
        <v>153.43</v>
      </c>
      <c r="D627" t="inlineStr">
        <is>
          <t>€/MWh</t>
        </is>
      </c>
      <c r="E627" s="54" t="n">
        <v>0.15343</v>
      </c>
      <c r="F627" s="54" t="n"/>
      <c r="G627" t="inlineStr">
        <is>
          <t>no aplica (precio mayorista)</t>
        </is>
      </c>
      <c r="J627" t="inlineStr">
        <is>
          <t>2021-09-13</t>
        </is>
      </c>
      <c r="K627" t="inlineStr">
        <is>
          <t>marginalpdbc_20210914.1</t>
        </is>
      </c>
      <c r="L627" t="inlineStr">
        <is>
          <t>24 periodos; mín 119.95, máx 171.58 €/MWh</t>
        </is>
      </c>
    </row>
    <row r="628">
      <c r="A628" s="53" t="n">
        <v>44454</v>
      </c>
      <c r="B628" t="inlineStr">
        <is>
          <t>2021-09-15</t>
        </is>
      </c>
      <c r="C628" s="45" t="n">
        <v>172.7833</v>
      </c>
      <c r="D628" t="inlineStr">
        <is>
          <t>€/MWh</t>
        </is>
      </c>
      <c r="E628" s="54" t="n">
        <v>0.172783</v>
      </c>
      <c r="F628" s="54" t="n"/>
      <c r="G628" t="inlineStr">
        <is>
          <t>no aplica (precio mayorista)</t>
        </is>
      </c>
      <c r="J628" t="inlineStr">
        <is>
          <t>2021-09-14</t>
        </is>
      </c>
      <c r="K628" t="inlineStr">
        <is>
          <t>marginalpdbc_20210915.1</t>
        </is>
      </c>
      <c r="L628" t="inlineStr">
        <is>
          <t>24 periodos; mín 159.42, máx 180.30 €/MWh</t>
        </is>
      </c>
    </row>
    <row r="629">
      <c r="A629" s="53" t="n">
        <v>44455</v>
      </c>
      <c r="B629" t="inlineStr">
        <is>
          <t>2021-09-16</t>
        </is>
      </c>
      <c r="C629" s="45" t="n">
        <v>188.1767</v>
      </c>
      <c r="D629" t="inlineStr">
        <is>
          <t>€/MWh</t>
        </is>
      </c>
      <c r="E629" s="54" t="n">
        <v>0.188177</v>
      </c>
      <c r="F629" s="54" t="n"/>
      <c r="G629" t="inlineStr">
        <is>
          <t>no aplica (precio mayorista)</t>
        </is>
      </c>
      <c r="J629" t="inlineStr">
        <is>
          <t>2021-09-15</t>
        </is>
      </c>
      <c r="K629" t="inlineStr">
        <is>
          <t>marginalpdbc_20210916.1</t>
        </is>
      </c>
      <c r="L629" t="inlineStr">
        <is>
          <t>24 periodos; mín 180.00, máx 198.85 €/MWh</t>
        </is>
      </c>
    </row>
    <row r="630">
      <c r="A630" s="53" t="n">
        <v>44456</v>
      </c>
      <c r="B630" t="inlineStr">
        <is>
          <t>2021-09-17</t>
        </is>
      </c>
      <c r="C630" s="45" t="n">
        <v>166.29</v>
      </c>
      <c r="D630" t="inlineStr">
        <is>
          <t>€/MWh</t>
        </is>
      </c>
      <c r="E630" s="54" t="n">
        <v>0.16629</v>
      </c>
      <c r="F630" s="54" t="n"/>
      <c r="G630" t="inlineStr">
        <is>
          <t>no aplica (precio mayorista)</t>
        </is>
      </c>
      <c r="J630" t="inlineStr">
        <is>
          <t>2021-09-16</t>
        </is>
      </c>
      <c r="K630" t="inlineStr">
        <is>
          <t>marginalpdbc_20210917.1</t>
        </is>
      </c>
      <c r="L630" t="inlineStr">
        <is>
          <t>24 periodos; mín 140.66, máx 188.17 €/MWh</t>
        </is>
      </c>
    </row>
    <row r="631">
      <c r="A631" s="53" t="n">
        <v>44457</v>
      </c>
      <c r="B631" t="inlineStr">
        <is>
          <t>2021-09-18</t>
        </is>
      </c>
      <c r="C631" s="45" t="n">
        <v>159.3683</v>
      </c>
      <c r="D631" t="inlineStr">
        <is>
          <t>€/MWh</t>
        </is>
      </c>
      <c r="E631" s="54" t="n">
        <v>0.159368</v>
      </c>
      <c r="F631" s="54" t="n"/>
      <c r="G631" t="inlineStr">
        <is>
          <t>no aplica (precio mayorista)</t>
        </is>
      </c>
      <c r="J631" t="inlineStr">
        <is>
          <t>2021-09-17</t>
        </is>
      </c>
      <c r="K631" t="inlineStr">
        <is>
          <t>marginalpdbc_20210918.1</t>
        </is>
      </c>
      <c r="L631" t="inlineStr">
        <is>
          <t>24 periodos; mín 125.94, máx 187.18 €/MWh</t>
        </is>
      </c>
    </row>
    <row r="632">
      <c r="A632" s="53" t="n">
        <v>44458</v>
      </c>
      <c r="B632" t="inlineStr">
        <is>
          <t>2021-09-19</t>
        </is>
      </c>
      <c r="C632" s="45" t="n">
        <v>146.5742</v>
      </c>
      <c r="D632" t="inlineStr">
        <is>
          <t>€/MWh</t>
        </is>
      </c>
      <c r="E632" s="54" t="n">
        <v>0.146574</v>
      </c>
      <c r="F632" s="54" t="n"/>
      <c r="G632" t="inlineStr">
        <is>
          <t>no aplica (precio mayorista)</t>
        </is>
      </c>
      <c r="J632" t="inlineStr">
        <is>
          <t>2021-09-18</t>
        </is>
      </c>
      <c r="K632" t="inlineStr">
        <is>
          <t>marginalpdbc_20210919.1</t>
        </is>
      </c>
      <c r="L632" t="inlineStr">
        <is>
          <t>24 periodos; mín 99.99, máx 187.92 €/MWh</t>
        </is>
      </c>
    </row>
    <row r="633">
      <c r="A633" s="53" t="n">
        <v>44459</v>
      </c>
      <c r="B633" t="inlineStr">
        <is>
          <t>2021-09-20</t>
        </is>
      </c>
      <c r="C633" s="45" t="n">
        <v>156.7479</v>
      </c>
      <c r="D633" t="inlineStr">
        <is>
          <t>€/MWh</t>
        </is>
      </c>
      <c r="E633" s="54" t="n">
        <v>0.156748</v>
      </c>
      <c r="F633" s="54" t="n"/>
      <c r="G633" t="inlineStr">
        <is>
          <t>no aplica (precio mayorista)</t>
        </is>
      </c>
      <c r="J633" t="inlineStr">
        <is>
          <t>2021-09-19</t>
        </is>
      </c>
      <c r="K633" t="inlineStr">
        <is>
          <t>marginalpdbc_20210920.1</t>
        </is>
      </c>
      <c r="L633" t="inlineStr">
        <is>
          <t>24 periodos; mín 133.48, máx 188.64 €/MWh</t>
        </is>
      </c>
    </row>
    <row r="634">
      <c r="A634" s="53" t="n">
        <v>44460</v>
      </c>
      <c r="B634" t="inlineStr">
        <is>
          <t>2021-09-21</t>
        </is>
      </c>
      <c r="C634" s="45" t="n">
        <v>150.2567</v>
      </c>
      <c r="D634" t="inlineStr">
        <is>
          <t>€/MWh</t>
        </is>
      </c>
      <c r="E634" s="54" t="n">
        <v>0.150257</v>
      </c>
      <c r="F634" s="54" t="n"/>
      <c r="G634" t="inlineStr">
        <is>
          <t>no aplica (precio mayorista)</t>
        </is>
      </c>
      <c r="J634" t="inlineStr">
        <is>
          <t>2021-09-20</t>
        </is>
      </c>
      <c r="K634" t="inlineStr">
        <is>
          <t>marginalpdbc_20210921.1</t>
        </is>
      </c>
      <c r="L634" t="inlineStr">
        <is>
          <t>24 periodos; mín 120.64, máx 190.00 €/MWh</t>
        </is>
      </c>
    </row>
    <row r="635">
      <c r="A635" s="53" t="n">
        <v>44461</v>
      </c>
      <c r="B635" t="inlineStr">
        <is>
          <t>2021-09-22</t>
        </is>
      </c>
      <c r="C635" s="45" t="n">
        <v>175.8721</v>
      </c>
      <c r="D635" t="inlineStr">
        <is>
          <t>€/MWh</t>
        </is>
      </c>
      <c r="E635" s="54" t="n">
        <v>0.175872</v>
      </c>
      <c r="F635" s="54" t="n"/>
      <c r="G635" t="inlineStr">
        <is>
          <t>no aplica (precio mayorista)</t>
        </is>
      </c>
      <c r="J635" t="inlineStr">
        <is>
          <t>2021-09-21</t>
        </is>
      </c>
      <c r="K635" t="inlineStr">
        <is>
          <t>marginalpdbc_20210922.1</t>
        </is>
      </c>
      <c r="L635" t="inlineStr">
        <is>
          <t>24 periodos; mín 147.30, máx 196.57 €/MWh</t>
        </is>
      </c>
    </row>
    <row r="636">
      <c r="A636" s="53" t="n">
        <v>44462</v>
      </c>
      <c r="B636" t="inlineStr">
        <is>
          <t>2021-09-23</t>
        </is>
      </c>
      <c r="C636" s="45" t="n">
        <v>165.19</v>
      </c>
      <c r="D636" t="inlineStr">
        <is>
          <t>€/MWh</t>
        </is>
      </c>
      <c r="E636" s="54" t="n">
        <v>0.16519</v>
      </c>
      <c r="F636" s="54" t="n"/>
      <c r="G636" t="inlineStr">
        <is>
          <t>no aplica (precio mayorista)</t>
        </is>
      </c>
      <c r="J636" t="inlineStr">
        <is>
          <t>2021-09-22</t>
        </is>
      </c>
      <c r="K636" t="inlineStr">
        <is>
          <t>marginalpdbc_20210923.1</t>
        </is>
      </c>
      <c r="L636" t="inlineStr">
        <is>
          <t>24 periodos; mín 132.30, máx 192.52 €/MWh</t>
        </is>
      </c>
    </row>
    <row r="637">
      <c r="A637" s="53" t="n">
        <v>44463</v>
      </c>
      <c r="B637" t="inlineStr">
        <is>
          <t>2021-09-24</t>
        </is>
      </c>
      <c r="C637" s="45" t="n">
        <v>172.9662</v>
      </c>
      <c r="D637" t="inlineStr">
        <is>
          <t>€/MWh</t>
        </is>
      </c>
      <c r="E637" s="54" t="n">
        <v>0.172966</v>
      </c>
      <c r="F637" s="54" t="n"/>
      <c r="G637" t="inlineStr">
        <is>
          <t>no aplica (precio mayorista)</t>
        </is>
      </c>
      <c r="J637" t="inlineStr">
        <is>
          <t>2021-09-23</t>
        </is>
      </c>
      <c r="K637" t="inlineStr">
        <is>
          <t>marginalpdbc_20210924.1</t>
        </is>
      </c>
      <c r="L637" t="inlineStr">
        <is>
          <t>24 periodos; mín 148.35, máx 190.00 €/MWh</t>
        </is>
      </c>
    </row>
    <row r="638">
      <c r="A638" s="53" t="n">
        <v>44464</v>
      </c>
      <c r="B638" t="inlineStr">
        <is>
          <t>2021-09-25</t>
        </is>
      </c>
      <c r="C638" s="45" t="n">
        <v>166.3592</v>
      </c>
      <c r="D638" t="inlineStr">
        <is>
          <t>€/MWh</t>
        </is>
      </c>
      <c r="E638" s="54" t="n">
        <v>0.166359</v>
      </c>
      <c r="F638" s="54" t="n"/>
      <c r="G638" t="inlineStr">
        <is>
          <t>no aplica (precio mayorista)</t>
        </is>
      </c>
      <c r="J638" t="inlineStr">
        <is>
          <t>2021-09-24</t>
        </is>
      </c>
      <c r="K638" t="inlineStr">
        <is>
          <t>marginalpdbc_20210925.1</t>
        </is>
      </c>
      <c r="L638" t="inlineStr">
        <is>
          <t>24 periodos; mín 114.96, máx 188.17 €/MWh</t>
        </is>
      </c>
    </row>
    <row r="639">
      <c r="A639" s="53" t="n">
        <v>44465</v>
      </c>
      <c r="B639" t="inlineStr">
        <is>
          <t>2021-09-26</t>
        </is>
      </c>
      <c r="C639" s="45" t="n">
        <v>160.4158</v>
      </c>
      <c r="D639" t="inlineStr">
        <is>
          <t>€/MWh</t>
        </is>
      </c>
      <c r="E639" s="54" t="n">
        <v>0.160416</v>
      </c>
      <c r="F639" s="54" t="n"/>
      <c r="G639" t="inlineStr">
        <is>
          <t>no aplica (precio mayorista)</t>
        </is>
      </c>
      <c r="J639" t="inlineStr">
        <is>
          <t>2021-09-25</t>
        </is>
      </c>
      <c r="K639" t="inlineStr">
        <is>
          <t>marginalpdbc_20210926.1</t>
        </is>
      </c>
      <c r="L639" t="inlineStr">
        <is>
          <t>24 periodos; mín 115.00, máx 199.00 €/MWh</t>
        </is>
      </c>
    </row>
    <row r="640">
      <c r="A640" s="53" t="n">
        <v>44466</v>
      </c>
      <c r="B640" t="inlineStr">
        <is>
          <t>2021-09-27</t>
        </is>
      </c>
      <c r="C640" s="45" t="n">
        <v>174.6833</v>
      </c>
      <c r="D640" t="inlineStr">
        <is>
          <t>€/MWh</t>
        </is>
      </c>
      <c r="E640" s="54" t="n">
        <v>0.174683</v>
      </c>
      <c r="F640" s="54" t="n"/>
      <c r="G640" t="inlineStr">
        <is>
          <t>no aplica (precio mayorista)</t>
        </is>
      </c>
      <c r="J640" t="inlineStr">
        <is>
          <t>2021-09-26</t>
        </is>
      </c>
      <c r="K640" t="inlineStr">
        <is>
          <t>marginalpdbc_20210927.1</t>
        </is>
      </c>
      <c r="L640" t="inlineStr">
        <is>
          <t>24 periodos; mín 138.60, máx 195.26 €/MWh</t>
        </is>
      </c>
    </row>
    <row r="641">
      <c r="A641" s="53" t="n">
        <v>44467</v>
      </c>
      <c r="B641" t="inlineStr">
        <is>
          <t>2021-09-28</t>
        </is>
      </c>
      <c r="C641" s="45" t="n">
        <v>182.7125</v>
      </c>
      <c r="D641" t="inlineStr">
        <is>
          <t>€/MWh</t>
        </is>
      </c>
      <c r="E641" s="54" t="n">
        <v>0.182712</v>
      </c>
      <c r="F641" s="54" t="n"/>
      <c r="G641" t="inlineStr">
        <is>
          <t>no aplica (precio mayorista)</t>
        </is>
      </c>
      <c r="J641" t="inlineStr">
        <is>
          <t>2021-09-27</t>
        </is>
      </c>
      <c r="K641" t="inlineStr">
        <is>
          <t>marginalpdbc_20210928.1</t>
        </is>
      </c>
      <c r="L641" t="inlineStr">
        <is>
          <t>24 periodos; mín 154.58, máx 195.33 €/MWh</t>
        </is>
      </c>
    </row>
    <row r="642">
      <c r="A642" s="53" t="n">
        <v>44468</v>
      </c>
      <c r="B642" t="inlineStr">
        <is>
          <t>2021-09-29</t>
        </is>
      </c>
      <c r="C642" s="45" t="n">
        <v>189.8983</v>
      </c>
      <c r="D642" t="inlineStr">
        <is>
          <t>€/MWh</t>
        </is>
      </c>
      <c r="E642" s="54" t="n">
        <v>0.189898</v>
      </c>
      <c r="F642" s="54" t="n"/>
      <c r="G642" t="inlineStr">
        <is>
          <t>no aplica (precio mayorista)</t>
        </is>
      </c>
      <c r="J642" t="inlineStr">
        <is>
          <t>2021-09-28</t>
        </is>
      </c>
      <c r="K642" t="inlineStr">
        <is>
          <t>marginalpdbc_20210929.1</t>
        </is>
      </c>
      <c r="L642" t="inlineStr">
        <is>
          <t>24 periodos; mín 167.01, máx 208.47 €/MWh</t>
        </is>
      </c>
    </row>
    <row r="643">
      <c r="A643" s="53" t="n">
        <v>44469</v>
      </c>
      <c r="B643" t="inlineStr">
        <is>
          <t>2021-09-30</t>
        </is>
      </c>
      <c r="C643" s="45" t="n">
        <v>189.8258</v>
      </c>
      <c r="D643" t="inlineStr">
        <is>
          <t>€/MWh</t>
        </is>
      </c>
      <c r="E643" s="54" t="n">
        <v>0.189826</v>
      </c>
      <c r="F643" s="54" t="n"/>
      <c r="G643" t="inlineStr">
        <is>
          <t>no aplica (precio mayorista)</t>
        </is>
      </c>
      <c r="J643" t="inlineStr">
        <is>
          <t>2021-09-29</t>
        </is>
      </c>
      <c r="K643" t="inlineStr">
        <is>
          <t>marginalpdbc_20210930.1</t>
        </is>
      </c>
      <c r="L643" t="inlineStr">
        <is>
          <t>24 periodos; mín 145.00, máx 221.00 €/MWh</t>
        </is>
      </c>
    </row>
    <row r="644">
      <c r="A644" s="53" t="n">
        <v>44470</v>
      </c>
      <c r="B644" t="inlineStr">
        <is>
          <t>2021-10-01</t>
        </is>
      </c>
      <c r="C644" s="45" t="n">
        <v>216.0083</v>
      </c>
      <c r="D644" t="inlineStr">
        <is>
          <t>€/MWh</t>
        </is>
      </c>
      <c r="E644" s="54" t="n">
        <v>0.216008</v>
      </c>
      <c r="F644" s="54" t="n"/>
      <c r="G644" t="inlineStr">
        <is>
          <t>no aplica (precio mayorista)</t>
        </is>
      </c>
      <c r="J644" t="inlineStr">
        <is>
          <t>2021-09-30</t>
        </is>
      </c>
      <c r="K644" t="inlineStr">
        <is>
          <t>marginalpdbc_20211001.1</t>
        </is>
      </c>
      <c r="L644" t="inlineStr">
        <is>
          <t>24 periodos; mín 198.77, máx 230.00 €/MWh</t>
        </is>
      </c>
    </row>
    <row r="645">
      <c r="A645" s="53" t="n">
        <v>44471</v>
      </c>
      <c r="B645" t="inlineStr">
        <is>
          <t>2021-10-02</t>
        </is>
      </c>
      <c r="C645" s="45" t="n">
        <v>173.6492</v>
      </c>
      <c r="D645" t="inlineStr">
        <is>
          <t>€/MWh</t>
        </is>
      </c>
      <c r="E645" s="54" t="n">
        <v>0.173649</v>
      </c>
      <c r="F645" s="54" t="n"/>
      <c r="G645" t="inlineStr">
        <is>
          <t>no aplica (precio mayorista)</t>
        </is>
      </c>
      <c r="J645" t="inlineStr">
        <is>
          <t>2021-10-01</t>
        </is>
      </c>
      <c r="K645" t="inlineStr">
        <is>
          <t>marginalpdbc_20211002.1</t>
        </is>
      </c>
      <c r="L645" t="inlineStr">
        <is>
          <t>24 periodos; mín 54.13, máx 234.37 €/MWh</t>
        </is>
      </c>
    </row>
    <row r="646">
      <c r="A646" s="53" t="n">
        <v>44472</v>
      </c>
      <c r="B646" t="inlineStr">
        <is>
          <t>2021-10-03</t>
        </is>
      </c>
      <c r="C646" s="45" t="n">
        <v>111.6012</v>
      </c>
      <c r="D646" t="inlineStr">
        <is>
          <t>€/MWh</t>
        </is>
      </c>
      <c r="E646" s="54" t="n">
        <v>0.111601</v>
      </c>
      <c r="F646" s="54" t="n"/>
      <c r="G646" t="inlineStr">
        <is>
          <t>no aplica (precio mayorista)</t>
        </is>
      </c>
      <c r="J646" t="inlineStr">
        <is>
          <t>2021-10-02</t>
        </is>
      </c>
      <c r="K646" t="inlineStr">
        <is>
          <t>marginalpdbc_20211003.1</t>
        </is>
      </c>
      <c r="L646" t="inlineStr">
        <is>
          <t>24 periodos; mín 15.00, máx 210.98 €/MWh</t>
        </is>
      </c>
    </row>
    <row r="647">
      <c r="A647" s="53" t="n">
        <v>44473</v>
      </c>
      <c r="B647" t="inlineStr">
        <is>
          <t>2021-10-04</t>
        </is>
      </c>
      <c r="C647" s="45" t="n">
        <v>186.4575</v>
      </c>
      <c r="D647" t="inlineStr">
        <is>
          <t>€/MWh</t>
        </is>
      </c>
      <c r="E647" s="54" t="n">
        <v>0.186457</v>
      </c>
      <c r="F647" s="54" t="n"/>
      <c r="G647" t="inlineStr">
        <is>
          <t>no aplica (precio mayorista)</t>
        </is>
      </c>
      <c r="J647" t="inlineStr">
        <is>
          <t>2021-10-03</t>
        </is>
      </c>
      <c r="K647" t="inlineStr">
        <is>
          <t>marginalpdbc_20211004.1</t>
        </is>
      </c>
      <c r="L647" t="inlineStr">
        <is>
          <t>24 periodos; mín 141.59, máx 249.00 €/MWh</t>
        </is>
      </c>
    </row>
    <row r="648">
      <c r="A648" s="53" t="n">
        <v>44474</v>
      </c>
      <c r="B648" t="inlineStr">
        <is>
          <t>2021-10-05</t>
        </is>
      </c>
      <c r="C648" s="45" t="n">
        <v>203.6821</v>
      </c>
      <c r="D648" t="inlineStr">
        <is>
          <t>€/MWh</t>
        </is>
      </c>
      <c r="E648" s="54" t="n">
        <v>0.203682</v>
      </c>
      <c r="F648" s="54" t="n"/>
      <c r="G648" t="inlineStr">
        <is>
          <t>no aplica (precio mayorista)</t>
        </is>
      </c>
      <c r="J648" t="inlineStr">
        <is>
          <t>2021-10-04</t>
        </is>
      </c>
      <c r="K648" t="inlineStr">
        <is>
          <t>marginalpdbc_20211005.1</t>
        </is>
      </c>
      <c r="L648" t="inlineStr">
        <is>
          <t>24 periodos; mín 165.00, máx 256.47 €/MWh</t>
        </is>
      </c>
    </row>
    <row r="649">
      <c r="A649" s="53" t="n">
        <v>44475</v>
      </c>
      <c r="B649" t="inlineStr">
        <is>
          <t>2021-10-06</t>
        </is>
      </c>
      <c r="C649" s="45" t="n">
        <v>228.5925</v>
      </c>
      <c r="D649" t="inlineStr">
        <is>
          <t>€/MWh</t>
        </is>
      </c>
      <c r="E649" s="54" t="n">
        <v>0.228593</v>
      </c>
      <c r="F649" s="54" t="n"/>
      <c r="G649" t="inlineStr">
        <is>
          <t>no aplica (precio mayorista)</t>
        </is>
      </c>
      <c r="J649" t="inlineStr">
        <is>
          <t>2021-10-05</t>
        </is>
      </c>
      <c r="K649" t="inlineStr">
        <is>
          <t>marginalpdbc_20211006.1</t>
        </is>
      </c>
      <c r="L649" t="inlineStr">
        <is>
          <t>24 periodos; mín 193.20, máx 260.00 €/MWh</t>
        </is>
      </c>
    </row>
    <row r="650">
      <c r="A650" s="53" t="n">
        <v>44476</v>
      </c>
      <c r="B650" t="inlineStr">
        <is>
          <t>2021-10-07</t>
        </is>
      </c>
      <c r="C650" s="45" t="n">
        <v>288.5254</v>
      </c>
      <c r="D650" t="inlineStr">
        <is>
          <t>€/MWh</t>
        </is>
      </c>
      <c r="E650" s="54" t="n">
        <v>0.288525</v>
      </c>
      <c r="F650" s="54" t="n"/>
      <c r="G650" t="inlineStr">
        <is>
          <t>no aplica (precio mayorista)</t>
        </is>
      </c>
      <c r="J650" t="inlineStr">
        <is>
          <t>2021-10-06</t>
        </is>
      </c>
      <c r="K650" t="inlineStr">
        <is>
          <t>marginalpdbc_20211007.1</t>
        </is>
      </c>
      <c r="L650" t="inlineStr">
        <is>
          <t>24 periodos; mín 249.08, máx 319.03 €/MWh</t>
        </is>
      </c>
    </row>
    <row r="651">
      <c r="A651" s="53" t="n">
        <v>44477</v>
      </c>
      <c r="B651" t="inlineStr">
        <is>
          <t>2021-10-08</t>
        </is>
      </c>
      <c r="C651" s="45" t="n">
        <v>229.2038</v>
      </c>
      <c r="D651" t="inlineStr">
        <is>
          <t>€/MWh</t>
        </is>
      </c>
      <c r="E651" s="54" t="n">
        <v>0.229204</v>
      </c>
      <c r="F651" s="54" t="n"/>
      <c r="G651" t="inlineStr">
        <is>
          <t>no aplica (precio mayorista)</t>
        </is>
      </c>
      <c r="J651" t="inlineStr">
        <is>
          <t>2021-10-07</t>
        </is>
      </c>
      <c r="K651" t="inlineStr">
        <is>
          <t>marginalpdbc_20211008.1</t>
        </is>
      </c>
      <c r="L651" t="inlineStr">
        <is>
          <t>24 periodos; mín 188.60, máx 290.00 €/MWh</t>
        </is>
      </c>
    </row>
    <row r="652">
      <c r="A652" s="53" t="n">
        <v>44478</v>
      </c>
      <c r="B652" t="inlineStr">
        <is>
          <t>2021-10-09</t>
        </is>
      </c>
      <c r="C652" s="45" t="n">
        <v>226.21</v>
      </c>
      <c r="D652" t="inlineStr">
        <is>
          <t>€/MWh</t>
        </is>
      </c>
      <c r="E652" s="54" t="n">
        <v>0.22621</v>
      </c>
      <c r="F652" s="54" t="n"/>
      <c r="G652" t="inlineStr">
        <is>
          <t>no aplica (precio mayorista)</t>
        </is>
      </c>
      <c r="J652" t="inlineStr">
        <is>
          <t>2021-10-08</t>
        </is>
      </c>
      <c r="K652" t="inlineStr">
        <is>
          <t>marginalpdbc_20211009.1</t>
        </is>
      </c>
      <c r="L652" t="inlineStr">
        <is>
          <t>24 periodos; mín 176.92, máx 254.45 €/MWh</t>
        </is>
      </c>
    </row>
    <row r="653">
      <c r="A653" s="53" t="n">
        <v>44479</v>
      </c>
      <c r="B653" t="inlineStr">
        <is>
          <t>2021-10-10</t>
        </is>
      </c>
      <c r="C653" s="45" t="n">
        <v>175.6404</v>
      </c>
      <c r="D653" t="inlineStr">
        <is>
          <t>€/MWh</t>
        </is>
      </c>
      <c r="E653" s="54" t="n">
        <v>0.17564</v>
      </c>
      <c r="F653" s="54" t="n"/>
      <c r="G653" t="inlineStr">
        <is>
          <t>no aplica (precio mayorista)</t>
        </is>
      </c>
      <c r="J653" t="inlineStr">
        <is>
          <t>2021-10-09</t>
        </is>
      </c>
      <c r="K653" t="inlineStr">
        <is>
          <t>marginalpdbc_20211010.1</t>
        </is>
      </c>
      <c r="L653" t="inlineStr">
        <is>
          <t>24 periodos; mín 135.07, máx 251.60 €/MWh</t>
        </is>
      </c>
    </row>
    <row r="654">
      <c r="A654" s="53" t="n">
        <v>44480</v>
      </c>
      <c r="B654" t="inlineStr">
        <is>
          <t>2021-10-11</t>
        </is>
      </c>
      <c r="C654" s="45" t="n">
        <v>184.4792</v>
      </c>
      <c r="D654" t="inlineStr">
        <is>
          <t>€/MWh</t>
        </is>
      </c>
      <c r="E654" s="54" t="n">
        <v>0.184479</v>
      </c>
      <c r="F654" s="54" t="n"/>
      <c r="G654" t="inlineStr">
        <is>
          <t>no aplica (precio mayorista)</t>
        </is>
      </c>
      <c r="J654" t="inlineStr">
        <is>
          <t>2021-10-10</t>
        </is>
      </c>
      <c r="K654" t="inlineStr">
        <is>
          <t>marginalpdbc_20211011.1</t>
        </is>
      </c>
      <c r="L654" t="inlineStr">
        <is>
          <t>24 periodos; mín 125.01, máx 241.27 €/MWh</t>
        </is>
      </c>
    </row>
    <row r="655">
      <c r="A655" s="53" t="n">
        <v>44481</v>
      </c>
      <c r="B655" t="inlineStr">
        <is>
          <t>2021-10-12</t>
        </is>
      </c>
      <c r="C655" s="45" t="n">
        <v>184.2942</v>
      </c>
      <c r="D655" t="inlineStr">
        <is>
          <t>€/MWh</t>
        </is>
      </c>
      <c r="E655" s="54" t="n">
        <v>0.184294</v>
      </c>
      <c r="F655" s="54" t="n"/>
      <c r="G655" t="inlineStr">
        <is>
          <t>no aplica (precio mayorista)</t>
        </is>
      </c>
      <c r="J655" t="inlineStr">
        <is>
          <t>2021-10-11</t>
        </is>
      </c>
      <c r="K655" t="inlineStr">
        <is>
          <t>marginalpdbc_20211012.1</t>
        </is>
      </c>
      <c r="L655" t="inlineStr">
        <is>
          <t>24 periodos; mín 149.36, máx 226.74 €/MWh</t>
        </is>
      </c>
    </row>
    <row r="656">
      <c r="A656" s="53" t="n">
        <v>44482</v>
      </c>
      <c r="B656" t="inlineStr">
        <is>
          <t>2021-10-13</t>
        </is>
      </c>
      <c r="C656" s="45" t="n">
        <v>185.7358</v>
      </c>
      <c r="D656" t="inlineStr">
        <is>
          <t>€/MWh</t>
        </is>
      </c>
      <c r="E656" s="54" t="n">
        <v>0.185736</v>
      </c>
      <c r="F656" s="54" t="n"/>
      <c r="G656" t="inlineStr">
        <is>
          <t>no aplica (precio mayorista)</t>
        </is>
      </c>
      <c r="J656" t="inlineStr">
        <is>
          <t>2021-10-12</t>
        </is>
      </c>
      <c r="K656" t="inlineStr">
        <is>
          <t>marginalpdbc_20211013.1</t>
        </is>
      </c>
      <c r="L656" t="inlineStr">
        <is>
          <t>24 periodos; mín 132.43, máx 240.00 €/MWh</t>
        </is>
      </c>
    </row>
    <row r="657">
      <c r="A657" s="53" t="n">
        <v>44483</v>
      </c>
      <c r="B657" t="inlineStr">
        <is>
          <t>2021-10-14</t>
        </is>
      </c>
      <c r="C657" s="45" t="n">
        <v>215.63</v>
      </c>
      <c r="D657" t="inlineStr">
        <is>
          <t>€/MWh</t>
        </is>
      </c>
      <c r="E657" s="54" t="n">
        <v>0.21563</v>
      </c>
      <c r="F657" s="54" t="n"/>
      <c r="G657" t="inlineStr">
        <is>
          <t>no aplica (precio mayorista)</t>
        </is>
      </c>
      <c r="J657" t="inlineStr">
        <is>
          <t>2021-10-13</t>
        </is>
      </c>
      <c r="K657" t="inlineStr">
        <is>
          <t>marginalpdbc_20211014.1</t>
        </is>
      </c>
      <c r="L657" t="inlineStr">
        <is>
          <t>24 periodos; mín 175.25, máx 260.00 €/MWh</t>
        </is>
      </c>
    </row>
    <row r="658">
      <c r="A658" s="53" t="n">
        <v>44484</v>
      </c>
      <c r="B658" t="inlineStr">
        <is>
          <t>2021-10-15</t>
        </is>
      </c>
      <c r="C658" s="45" t="n">
        <v>231.8171</v>
      </c>
      <c r="D658" t="inlineStr">
        <is>
          <t>€/MWh</t>
        </is>
      </c>
      <c r="E658" s="54" t="n">
        <v>0.231817</v>
      </c>
      <c r="F658" s="54" t="n"/>
      <c r="G658" t="inlineStr">
        <is>
          <t>no aplica (precio mayorista)</t>
        </is>
      </c>
      <c r="J658" t="inlineStr">
        <is>
          <t>2021-10-14</t>
        </is>
      </c>
      <c r="K658" t="inlineStr">
        <is>
          <t>marginalpdbc_20211015.1</t>
        </is>
      </c>
      <c r="L658" t="inlineStr">
        <is>
          <t>24 periodos; mín 201.06, máx 265.00 €/MWh</t>
        </is>
      </c>
    </row>
    <row r="659">
      <c r="A659" s="53" t="n">
        <v>44485</v>
      </c>
      <c r="B659" t="inlineStr">
        <is>
          <t>2021-10-16</t>
        </is>
      </c>
      <c r="C659" s="45" t="n">
        <v>226.9292</v>
      </c>
      <c r="D659" t="inlineStr">
        <is>
          <t>€/MWh</t>
        </is>
      </c>
      <c r="E659" s="54" t="n">
        <v>0.226929</v>
      </c>
      <c r="F659" s="54" t="n"/>
      <c r="G659" t="inlineStr">
        <is>
          <t>no aplica (precio mayorista)</t>
        </is>
      </c>
      <c r="J659" t="inlineStr">
        <is>
          <t>2021-10-15</t>
        </is>
      </c>
      <c r="K659" t="inlineStr">
        <is>
          <t>marginalpdbc_20211016.1</t>
        </is>
      </c>
      <c r="L659" t="inlineStr">
        <is>
          <t>24 periodos; mín 192.07, máx 264.54 €/MWh</t>
        </is>
      </c>
    </row>
    <row r="660">
      <c r="A660" s="53" t="n">
        <v>44486</v>
      </c>
      <c r="B660" t="inlineStr">
        <is>
          <t>2021-10-17</t>
        </is>
      </c>
      <c r="C660" s="45" t="n">
        <v>209.6254</v>
      </c>
      <c r="D660" t="inlineStr">
        <is>
          <t>€/MWh</t>
        </is>
      </c>
      <c r="E660" s="54" t="n">
        <v>0.209625</v>
      </c>
      <c r="F660" s="54" t="n"/>
      <c r="G660" t="inlineStr">
        <is>
          <t>no aplica (precio mayorista)</t>
        </is>
      </c>
      <c r="J660" t="inlineStr">
        <is>
          <t>2021-10-16</t>
        </is>
      </c>
      <c r="K660" t="inlineStr">
        <is>
          <t>marginalpdbc_20211017.1</t>
        </is>
      </c>
      <c r="L660" t="inlineStr">
        <is>
          <t>24 periodos; mín 183.84, máx 270.00 €/MWh</t>
        </is>
      </c>
    </row>
    <row r="661">
      <c r="A661" s="53" t="n">
        <v>44487</v>
      </c>
      <c r="B661" t="inlineStr">
        <is>
          <t>2021-10-18</t>
        </is>
      </c>
      <c r="C661" s="45" t="n">
        <v>227.4504</v>
      </c>
      <c r="D661" t="inlineStr">
        <is>
          <t>€/MWh</t>
        </is>
      </c>
      <c r="E661" s="54" t="n">
        <v>0.22745</v>
      </c>
      <c r="F661" s="54" t="n"/>
      <c r="G661" t="inlineStr">
        <is>
          <t>no aplica (precio mayorista)</t>
        </is>
      </c>
      <c r="J661" t="inlineStr">
        <is>
          <t>2021-10-17</t>
        </is>
      </c>
      <c r="K661" t="inlineStr">
        <is>
          <t>marginalpdbc_20211018.1</t>
        </is>
      </c>
      <c r="L661" t="inlineStr">
        <is>
          <t>24 periodos; mín 193.73, máx 280.00 €/MWh</t>
        </is>
      </c>
    </row>
    <row r="662">
      <c r="A662" s="53" t="n">
        <v>44488</v>
      </c>
      <c r="B662" t="inlineStr">
        <is>
          <t>2021-10-19</t>
        </is>
      </c>
      <c r="C662" s="45" t="n">
        <v>207.1392</v>
      </c>
      <c r="D662" t="inlineStr">
        <is>
          <t>€/MWh</t>
        </is>
      </c>
      <c r="E662" s="54" t="n">
        <v>0.207139</v>
      </c>
      <c r="F662" s="54" t="n"/>
      <c r="G662" t="inlineStr">
        <is>
          <t>no aplica (precio mayorista)</t>
        </is>
      </c>
      <c r="J662" t="inlineStr">
        <is>
          <t>2021-10-18</t>
        </is>
      </c>
      <c r="K662" t="inlineStr">
        <is>
          <t>marginalpdbc_20211019.1</t>
        </is>
      </c>
      <c r="L662" t="inlineStr">
        <is>
          <t>24 periodos; mín 171.60, máx 256.33 €/MWh</t>
        </is>
      </c>
    </row>
    <row r="663">
      <c r="A663" s="53" t="n">
        <v>44489</v>
      </c>
      <c r="B663" t="inlineStr">
        <is>
          <t>2021-10-20</t>
        </is>
      </c>
      <c r="C663" s="45" t="n">
        <v>201.3996</v>
      </c>
      <c r="D663" t="inlineStr">
        <is>
          <t>€/MWh</t>
        </is>
      </c>
      <c r="E663" s="54" t="n">
        <v>0.2014</v>
      </c>
      <c r="F663" s="54" t="n"/>
      <c r="G663" t="inlineStr">
        <is>
          <t>no aplica (precio mayorista)</t>
        </is>
      </c>
      <c r="J663" t="inlineStr">
        <is>
          <t>2021-10-19</t>
        </is>
      </c>
      <c r="K663" t="inlineStr">
        <is>
          <t>marginalpdbc_20211020.1</t>
        </is>
      </c>
      <c r="L663" t="inlineStr">
        <is>
          <t>24 periodos; mín 144.98, máx 261.53 €/MWh</t>
        </is>
      </c>
    </row>
    <row r="664">
      <c r="A664" s="53" t="n">
        <v>44490</v>
      </c>
      <c r="B664" t="inlineStr">
        <is>
          <t>2021-10-21</t>
        </is>
      </c>
      <c r="C664" s="45" t="n">
        <v>207.9246</v>
      </c>
      <c r="D664" t="inlineStr">
        <is>
          <t>€/MWh</t>
        </is>
      </c>
      <c r="E664" s="54" t="n">
        <v>0.207925</v>
      </c>
      <c r="F664" s="54" t="n"/>
      <c r="G664" t="inlineStr">
        <is>
          <t>no aplica (precio mayorista)</t>
        </is>
      </c>
      <c r="J664" t="inlineStr">
        <is>
          <t>2021-10-20</t>
        </is>
      </c>
      <c r="K664" t="inlineStr">
        <is>
          <t>marginalpdbc_20211021.1</t>
        </is>
      </c>
      <c r="L664" t="inlineStr">
        <is>
          <t>24 periodos; mín 180.59, máx 250.00 €/MWh</t>
        </is>
      </c>
    </row>
    <row r="665">
      <c r="A665" s="53" t="n">
        <v>44491</v>
      </c>
      <c r="B665" t="inlineStr">
        <is>
          <t>2021-10-22</t>
        </is>
      </c>
      <c r="C665" s="45" t="n">
        <v>203.5446</v>
      </c>
      <c r="D665" t="inlineStr">
        <is>
          <t>€/MWh</t>
        </is>
      </c>
      <c r="E665" s="54" t="n">
        <v>0.203545</v>
      </c>
      <c r="F665" s="54" t="n"/>
      <c r="G665" t="inlineStr">
        <is>
          <t>no aplica (precio mayorista)</t>
        </is>
      </c>
      <c r="J665" t="inlineStr">
        <is>
          <t>2021-10-21</t>
        </is>
      </c>
      <c r="K665" t="inlineStr">
        <is>
          <t>marginalpdbc_20211022.1</t>
        </is>
      </c>
      <c r="L665" t="inlineStr">
        <is>
          <t>24 periodos; mín 173.27, máx 255.50 €/MWh</t>
        </is>
      </c>
    </row>
    <row r="666">
      <c r="A666" s="53" t="n">
        <v>44492</v>
      </c>
      <c r="B666" t="inlineStr">
        <is>
          <t>2021-10-23</t>
        </is>
      </c>
      <c r="C666" s="45" t="n">
        <v>211.2125</v>
      </c>
      <c r="D666" t="inlineStr">
        <is>
          <t>€/MWh</t>
        </is>
      </c>
      <c r="E666" s="54" t="n">
        <v>0.211212</v>
      </c>
      <c r="F666" s="54" t="n"/>
      <c r="G666" t="inlineStr">
        <is>
          <t>no aplica (precio mayorista)</t>
        </is>
      </c>
      <c r="J666" t="inlineStr">
        <is>
          <t>2021-10-22</t>
        </is>
      </c>
      <c r="K666" t="inlineStr">
        <is>
          <t>marginalpdbc_20211023.1</t>
        </is>
      </c>
      <c r="L666" t="inlineStr">
        <is>
          <t>24 periodos; mín 179.21, máx 256.95 €/MWh</t>
        </is>
      </c>
    </row>
    <row r="667">
      <c r="A667" s="53" t="n">
        <v>44493</v>
      </c>
      <c r="B667" t="inlineStr">
        <is>
          <t>2021-10-24</t>
        </is>
      </c>
      <c r="C667" s="45" t="n">
        <v>213.2892</v>
      </c>
      <c r="D667" t="inlineStr">
        <is>
          <t>€/MWh</t>
        </is>
      </c>
      <c r="E667" s="54" t="n">
        <v>0.213289</v>
      </c>
      <c r="F667" s="54" t="n"/>
      <c r="G667" t="inlineStr">
        <is>
          <t>no aplica (precio mayorista)</t>
        </is>
      </c>
      <c r="J667" t="inlineStr">
        <is>
          <t>2021-10-23</t>
        </is>
      </c>
      <c r="K667" t="inlineStr">
        <is>
          <t>marginalpdbc_20211024.1</t>
        </is>
      </c>
      <c r="L667" t="inlineStr">
        <is>
          <t>24 periodos; mín 174.93, máx 271.80 €/MWh</t>
        </is>
      </c>
    </row>
    <row r="668">
      <c r="A668" s="53" t="n">
        <v>44494</v>
      </c>
      <c r="B668" t="inlineStr">
        <is>
          <t>2021-10-25</t>
        </is>
      </c>
      <c r="C668" s="45" t="n">
        <v>225.3625</v>
      </c>
      <c r="D668" t="inlineStr">
        <is>
          <t>€/MWh</t>
        </is>
      </c>
      <c r="E668" s="54" t="n">
        <v>0.225362</v>
      </c>
      <c r="F668" s="54" t="n"/>
      <c r="G668" t="inlineStr">
        <is>
          <t>no aplica (precio mayorista)</t>
        </is>
      </c>
      <c r="J668" t="inlineStr">
        <is>
          <t>2021-10-24</t>
        </is>
      </c>
      <c r="K668" t="inlineStr">
        <is>
          <t>marginalpdbc_20211025.1</t>
        </is>
      </c>
      <c r="L668" t="inlineStr">
        <is>
          <t>24 periodos; mín 200.91, máx 262.00 €/MWh</t>
        </is>
      </c>
    </row>
    <row r="669">
      <c r="A669" s="53" t="n">
        <v>44495</v>
      </c>
      <c r="B669" t="inlineStr">
        <is>
          <t>2021-10-26</t>
        </is>
      </c>
      <c r="C669" s="45" t="n">
        <v>215.8338</v>
      </c>
      <c r="D669" t="inlineStr">
        <is>
          <t>€/MWh</t>
        </is>
      </c>
      <c r="E669" s="54" t="n">
        <v>0.215834</v>
      </c>
      <c r="F669" s="54" t="n"/>
      <c r="G669" t="inlineStr">
        <is>
          <t>no aplica (precio mayorista)</t>
        </is>
      </c>
      <c r="J669" t="inlineStr">
        <is>
          <t>2021-10-25</t>
        </is>
      </c>
      <c r="K669" t="inlineStr">
        <is>
          <t>marginalpdbc_20211026.1</t>
        </is>
      </c>
      <c r="L669" t="inlineStr">
        <is>
          <t>24 periodos; mín 181.26, máx 270.00 €/MWh</t>
        </is>
      </c>
    </row>
    <row r="670">
      <c r="A670" s="53" t="n">
        <v>44496</v>
      </c>
      <c r="B670" t="inlineStr">
        <is>
          <t>2021-10-27</t>
        </is>
      </c>
      <c r="C670" s="45" t="n">
        <v>226.1529</v>
      </c>
      <c r="D670" t="inlineStr">
        <is>
          <t>€/MWh</t>
        </is>
      </c>
      <c r="E670" s="54" t="n">
        <v>0.226153</v>
      </c>
      <c r="F670" s="54" t="n"/>
      <c r="G670" t="inlineStr">
        <is>
          <t>no aplica (precio mayorista)</t>
        </is>
      </c>
      <c r="J670" t="inlineStr">
        <is>
          <t>2021-10-26</t>
        </is>
      </c>
      <c r="K670" t="inlineStr">
        <is>
          <t>marginalpdbc_20211027.1</t>
        </is>
      </c>
      <c r="L670" t="inlineStr">
        <is>
          <t>24 periodos; mín 180.10, máx 263.29 €/MWh</t>
        </is>
      </c>
    </row>
    <row r="671">
      <c r="A671" s="53" t="n">
        <v>44497</v>
      </c>
      <c r="B671" t="inlineStr">
        <is>
          <t>2021-10-28</t>
        </is>
      </c>
      <c r="C671" s="45" t="n">
        <v>205.045</v>
      </c>
      <c r="D671" t="inlineStr">
        <is>
          <t>€/MWh</t>
        </is>
      </c>
      <c r="E671" s="54" t="n">
        <v>0.205045</v>
      </c>
      <c r="F671" s="54" t="n"/>
      <c r="G671" t="inlineStr">
        <is>
          <t>no aplica (precio mayorista)</t>
        </is>
      </c>
      <c r="J671" t="inlineStr">
        <is>
          <t>2021-10-27</t>
        </is>
      </c>
      <c r="K671" t="inlineStr">
        <is>
          <t>marginalpdbc_20211028.1</t>
        </is>
      </c>
      <c r="L671" t="inlineStr">
        <is>
          <t>24 periodos; mín 169.00, máx 252.33 €/MWh</t>
        </is>
      </c>
    </row>
    <row r="672">
      <c r="A672" s="53" t="n">
        <v>44498</v>
      </c>
      <c r="B672" t="inlineStr">
        <is>
          <t>2021-10-29</t>
        </is>
      </c>
      <c r="C672" s="45" t="n">
        <v>175.8271</v>
      </c>
      <c r="D672" t="inlineStr">
        <is>
          <t>€/MWh</t>
        </is>
      </c>
      <c r="E672" s="54" t="n">
        <v>0.175827</v>
      </c>
      <c r="F672" s="54" t="n"/>
      <c r="G672" t="inlineStr">
        <is>
          <t>no aplica (precio mayorista)</t>
        </is>
      </c>
      <c r="J672" t="inlineStr">
        <is>
          <t>2021-10-28</t>
        </is>
      </c>
      <c r="K672" t="inlineStr">
        <is>
          <t>marginalpdbc_20211029.1</t>
        </is>
      </c>
      <c r="L672" t="inlineStr">
        <is>
          <t>24 periodos; mín 127.05, máx 216.53 €/MWh</t>
        </is>
      </c>
    </row>
    <row r="673">
      <c r="A673" s="53" t="n">
        <v>44499</v>
      </c>
      <c r="B673" t="inlineStr">
        <is>
          <t>2021-10-30</t>
        </is>
      </c>
      <c r="C673" s="45" t="n">
        <v>124.5263</v>
      </c>
      <c r="D673" t="inlineStr">
        <is>
          <t>€/MWh</t>
        </is>
      </c>
      <c r="E673" s="54" t="n">
        <v>0.124526</v>
      </c>
      <c r="F673" s="54" t="n"/>
      <c r="G673" t="inlineStr">
        <is>
          <t>no aplica (precio mayorista)</t>
        </is>
      </c>
      <c r="J673" t="inlineStr">
        <is>
          <t>2021-10-29</t>
        </is>
      </c>
      <c r="K673" t="inlineStr">
        <is>
          <t>marginalpdbc_20211030.1</t>
        </is>
      </c>
      <c r="L673" t="inlineStr">
        <is>
          <t>24 periodos; mín 58.79, máx 192.07 €/MWh</t>
        </is>
      </c>
    </row>
    <row r="674">
      <c r="A674" s="53" t="n">
        <v>44500</v>
      </c>
      <c r="B674" t="inlineStr">
        <is>
          <t>2021-10-31</t>
        </is>
      </c>
      <c r="C674" s="45" t="n">
        <v>78.9956</v>
      </c>
      <c r="D674" t="inlineStr">
        <is>
          <t>€/MWh</t>
        </is>
      </c>
      <c r="E674" s="54" t="n">
        <v>0.078996</v>
      </c>
      <c r="F674" s="54" t="n"/>
      <c r="G674" t="inlineStr">
        <is>
          <t>no aplica (precio mayorista)</t>
        </is>
      </c>
      <c r="J674" t="inlineStr">
        <is>
          <t>2021-10-30</t>
        </is>
      </c>
      <c r="K674" t="inlineStr">
        <is>
          <t>marginalpdbc_20211031.1</t>
        </is>
      </c>
      <c r="L674" t="inlineStr">
        <is>
          <t>25 periodos; mín 52.79, máx 148.00 €/MWh</t>
        </is>
      </c>
    </row>
    <row r="675">
      <c r="A675" s="53" t="n">
        <v>44501</v>
      </c>
      <c r="B675" t="inlineStr">
        <is>
          <t>2021-11-01</t>
        </is>
      </c>
      <c r="C675" s="45" t="n">
        <v>91.19629999999999</v>
      </c>
      <c r="D675" t="inlineStr">
        <is>
          <t>€/MWh</t>
        </is>
      </c>
      <c r="E675" s="54" t="n">
        <v>0.091196</v>
      </c>
      <c r="F675" s="54" t="n"/>
      <c r="G675" t="inlineStr">
        <is>
          <t>no aplica (precio mayorista)</t>
        </is>
      </c>
      <c r="J675" t="inlineStr">
        <is>
          <t>2021-10-31</t>
        </is>
      </c>
      <c r="K675" t="inlineStr">
        <is>
          <t>marginalpdbc_20211101.1</t>
        </is>
      </c>
      <c r="L675" t="inlineStr">
        <is>
          <t>24 periodos; mín 15.00, máx 183.00 €/MWh</t>
        </is>
      </c>
    </row>
    <row r="676">
      <c r="A676" s="53" t="n">
        <v>44502</v>
      </c>
      <c r="B676" t="inlineStr">
        <is>
          <t>2021-11-02</t>
        </is>
      </c>
      <c r="C676" s="45" t="n">
        <v>145.9483</v>
      </c>
      <c r="D676" t="inlineStr">
        <is>
          <t>€/MWh</t>
        </is>
      </c>
      <c r="E676" s="54" t="n">
        <v>0.145948</v>
      </c>
      <c r="F676" s="54" t="n"/>
      <c r="G676" t="inlineStr">
        <is>
          <t>no aplica (precio mayorista)</t>
        </is>
      </c>
      <c r="J676" t="inlineStr">
        <is>
          <t>2021-11-01</t>
        </is>
      </c>
      <c r="K676" t="inlineStr">
        <is>
          <t>marginalpdbc_20211102.1</t>
        </is>
      </c>
      <c r="L676" t="inlineStr">
        <is>
          <t>24 periodos; mín 94.13, máx 223.55 €/MWh</t>
        </is>
      </c>
    </row>
    <row r="677">
      <c r="A677" s="53" t="n">
        <v>44503</v>
      </c>
      <c r="B677" t="inlineStr">
        <is>
          <t>2021-11-03</t>
        </is>
      </c>
      <c r="C677" s="45" t="n">
        <v>154.2933</v>
      </c>
      <c r="D677" t="inlineStr">
        <is>
          <t>€/MWh</t>
        </is>
      </c>
      <c r="E677" s="54" t="n">
        <v>0.154293</v>
      </c>
      <c r="F677" s="54" t="n"/>
      <c r="G677" t="inlineStr">
        <is>
          <t>no aplica (precio mayorista)</t>
        </is>
      </c>
      <c r="J677" t="inlineStr">
        <is>
          <t>2021-11-02</t>
        </is>
      </c>
      <c r="K677" t="inlineStr">
        <is>
          <t>marginalpdbc_20211103.1</t>
        </is>
      </c>
      <c r="L677" t="inlineStr">
        <is>
          <t>24 periodos; mín 118.00, máx 202.90 €/MWh</t>
        </is>
      </c>
    </row>
    <row r="678">
      <c r="A678" s="53" t="n">
        <v>44504</v>
      </c>
      <c r="B678" t="inlineStr">
        <is>
          <t>2021-11-04</t>
        </is>
      </c>
      <c r="C678" s="45" t="n">
        <v>171.9125</v>
      </c>
      <c r="D678" t="inlineStr">
        <is>
          <t>€/MWh</t>
        </is>
      </c>
      <c r="E678" s="54" t="n">
        <v>0.171912</v>
      </c>
      <c r="F678" s="54" t="n"/>
      <c r="G678" t="inlineStr">
        <is>
          <t>no aplica (precio mayorista)</t>
        </is>
      </c>
      <c r="J678" t="inlineStr">
        <is>
          <t>2021-11-03</t>
        </is>
      </c>
      <c r="K678" t="inlineStr">
        <is>
          <t>marginalpdbc_20211104.1</t>
        </is>
      </c>
      <c r="L678" t="inlineStr">
        <is>
          <t>24 periodos; mín 143.06, máx 199.64 €/MWh</t>
        </is>
      </c>
    </row>
    <row r="679">
      <c r="A679" s="53" t="n">
        <v>44505</v>
      </c>
      <c r="B679" t="inlineStr">
        <is>
          <t>2021-11-05</t>
        </is>
      </c>
      <c r="C679" s="45" t="n">
        <v>171.4496</v>
      </c>
      <c r="D679" t="inlineStr">
        <is>
          <t>€/MWh</t>
        </is>
      </c>
      <c r="E679" s="54" t="n">
        <v>0.17145</v>
      </c>
      <c r="F679" s="54" t="n"/>
      <c r="G679" t="inlineStr">
        <is>
          <t>no aplica (precio mayorista)</t>
        </is>
      </c>
      <c r="J679" t="inlineStr">
        <is>
          <t>2021-11-04</t>
        </is>
      </c>
      <c r="K679" t="inlineStr">
        <is>
          <t>marginalpdbc_20211105.1</t>
        </is>
      </c>
      <c r="L679" t="inlineStr">
        <is>
          <t>24 periodos; mín 138.25, máx 203.24 €/MWh</t>
        </is>
      </c>
    </row>
    <row r="680">
      <c r="A680" s="53" t="n">
        <v>44506</v>
      </c>
      <c r="B680" t="inlineStr">
        <is>
          <t>2021-11-06</t>
        </is>
      </c>
      <c r="C680" s="45" t="n">
        <v>157.4292</v>
      </c>
      <c r="D680" t="inlineStr">
        <is>
          <t>€/MWh</t>
        </is>
      </c>
      <c r="E680" s="54" t="n">
        <v>0.157429</v>
      </c>
      <c r="F680" s="54" t="n"/>
      <c r="G680" t="inlineStr">
        <is>
          <t>no aplica (precio mayorista)</t>
        </is>
      </c>
      <c r="J680" t="inlineStr">
        <is>
          <t>2021-11-05</t>
        </is>
      </c>
      <c r="K680" t="inlineStr">
        <is>
          <t>marginalpdbc_20211106.1</t>
        </is>
      </c>
      <c r="L680" t="inlineStr">
        <is>
          <t>24 periodos; mín 131.83, máx 190.31 €/MWh</t>
        </is>
      </c>
    </row>
    <row r="681">
      <c r="A681" s="53" t="n">
        <v>44507</v>
      </c>
      <c r="B681" t="inlineStr">
        <is>
          <t>2021-11-07</t>
        </is>
      </c>
      <c r="C681" s="45" t="n">
        <v>131.4979</v>
      </c>
      <c r="D681" t="inlineStr">
        <is>
          <t>€/MWh</t>
        </is>
      </c>
      <c r="E681" s="54" t="n">
        <v>0.131498</v>
      </c>
      <c r="F681" s="54" t="n"/>
      <c r="G681" t="inlineStr">
        <is>
          <t>no aplica (precio mayorista)</t>
        </is>
      </c>
      <c r="J681" t="inlineStr">
        <is>
          <t>2021-11-06</t>
        </is>
      </c>
      <c r="K681" t="inlineStr">
        <is>
          <t>marginalpdbc_20211107.1</t>
        </is>
      </c>
      <c r="L681" t="inlineStr">
        <is>
          <t>24 periodos; mín 58.78, máx 194.80 €/MWh</t>
        </is>
      </c>
    </row>
    <row r="682">
      <c r="A682" s="53" t="n">
        <v>44508</v>
      </c>
      <c r="B682" t="inlineStr">
        <is>
          <t>2021-11-08</t>
        </is>
      </c>
      <c r="C682" s="45" t="n">
        <v>167.6725</v>
      </c>
      <c r="D682" t="inlineStr">
        <is>
          <t>€/MWh</t>
        </is>
      </c>
      <c r="E682" s="54" t="n">
        <v>0.167672</v>
      </c>
      <c r="F682" s="54" t="n"/>
      <c r="G682" t="inlineStr">
        <is>
          <t>no aplica (precio mayorista)</t>
        </is>
      </c>
      <c r="J682" t="inlineStr">
        <is>
          <t>2021-11-07</t>
        </is>
      </c>
      <c r="K682" t="inlineStr">
        <is>
          <t>marginalpdbc_20211108.1</t>
        </is>
      </c>
      <c r="L682" t="inlineStr">
        <is>
          <t>24 periodos; mín 139.36, máx 203.71 €/MWh</t>
        </is>
      </c>
    </row>
    <row r="683">
      <c r="A683" s="53" t="n">
        <v>44509</v>
      </c>
      <c r="B683" t="inlineStr">
        <is>
          <t>2021-11-09</t>
        </is>
      </c>
      <c r="C683" s="45" t="n">
        <v>178.4521</v>
      </c>
      <c r="D683" t="inlineStr">
        <is>
          <t>€/MWh</t>
        </is>
      </c>
      <c r="E683" s="54" t="n">
        <v>0.178452</v>
      </c>
      <c r="F683" s="54" t="n"/>
      <c r="G683" t="inlineStr">
        <is>
          <t>no aplica (precio mayorista)</t>
        </is>
      </c>
      <c r="J683" t="inlineStr">
        <is>
          <t>2021-11-08</t>
        </is>
      </c>
      <c r="K683" t="inlineStr">
        <is>
          <t>marginalpdbc_20211109.1</t>
        </is>
      </c>
      <c r="L683" t="inlineStr">
        <is>
          <t>24 periodos; mín 145.36, máx 220.01 €/MWh</t>
        </is>
      </c>
    </row>
    <row r="684">
      <c r="A684" s="53" t="n">
        <v>44510</v>
      </c>
      <c r="B684" t="inlineStr">
        <is>
          <t>2021-11-10</t>
        </is>
      </c>
      <c r="C684" s="45" t="n">
        <v>199.28</v>
      </c>
      <c r="D684" t="inlineStr">
        <is>
          <t>€/MWh</t>
        </is>
      </c>
      <c r="E684" s="54" t="n">
        <v>0.19928</v>
      </c>
      <c r="F684" s="54" t="n"/>
      <c r="G684" t="inlineStr">
        <is>
          <t>no aplica (precio mayorista)</t>
        </is>
      </c>
      <c r="J684" t="inlineStr">
        <is>
          <t>2021-11-09</t>
        </is>
      </c>
      <c r="K684" t="inlineStr">
        <is>
          <t>marginalpdbc_20211110.1</t>
        </is>
      </c>
      <c r="L684" t="inlineStr">
        <is>
          <t>24 periodos; mín 171.81, máx 230.01 €/MWh</t>
        </is>
      </c>
    </row>
    <row r="685">
      <c r="A685" s="53" t="n">
        <v>44511</v>
      </c>
      <c r="B685" t="inlineStr">
        <is>
          <t>2021-11-11</t>
        </is>
      </c>
      <c r="C685" s="45" t="n">
        <v>183.2058</v>
      </c>
      <c r="D685" t="inlineStr">
        <is>
          <t>€/MWh</t>
        </is>
      </c>
      <c r="E685" s="54" t="n">
        <v>0.183206</v>
      </c>
      <c r="F685" s="54" t="n"/>
      <c r="G685" t="inlineStr">
        <is>
          <t>no aplica (precio mayorista)</t>
        </is>
      </c>
      <c r="J685" t="inlineStr">
        <is>
          <t>2021-11-10</t>
        </is>
      </c>
      <c r="K685" t="inlineStr">
        <is>
          <t>marginalpdbc_20211111.1</t>
        </is>
      </c>
      <c r="L685" t="inlineStr">
        <is>
          <t>24 periodos; mín 152.50, máx 234.00 €/MWh</t>
        </is>
      </c>
    </row>
    <row r="686">
      <c r="A686" s="53" t="n">
        <v>44512</v>
      </c>
      <c r="B686" t="inlineStr">
        <is>
          <t>2021-11-12</t>
        </is>
      </c>
      <c r="C686" s="45" t="n">
        <v>185.0187</v>
      </c>
      <c r="D686" t="inlineStr">
        <is>
          <t>€/MWh</t>
        </is>
      </c>
      <c r="E686" s="54" t="n">
        <v>0.185019</v>
      </c>
      <c r="F686" s="54" t="n"/>
      <c r="G686" t="inlineStr">
        <is>
          <t>no aplica (precio mayorista)</t>
        </is>
      </c>
      <c r="J686" t="inlineStr">
        <is>
          <t>2021-11-11</t>
        </is>
      </c>
      <c r="K686" t="inlineStr">
        <is>
          <t>marginalpdbc_20211112.1</t>
        </is>
      </c>
      <c r="L686" t="inlineStr">
        <is>
          <t>24 periodos; mín 159.87, máx 211.05 €/MWh</t>
        </is>
      </c>
    </row>
    <row r="687">
      <c r="A687" s="53" t="n">
        <v>44513</v>
      </c>
      <c r="B687" t="inlineStr">
        <is>
          <t>2021-11-13</t>
        </is>
      </c>
      <c r="C687" s="45" t="n">
        <v>180.475</v>
      </c>
      <c r="D687" t="inlineStr">
        <is>
          <t>€/MWh</t>
        </is>
      </c>
      <c r="E687" s="54" t="n">
        <v>0.180475</v>
      </c>
      <c r="F687" s="54" t="n"/>
      <c r="G687" t="inlineStr">
        <is>
          <t>no aplica (precio mayorista)</t>
        </is>
      </c>
      <c r="J687" t="inlineStr">
        <is>
          <t>2021-11-12</t>
        </is>
      </c>
      <c r="K687" t="inlineStr">
        <is>
          <t>marginalpdbc_20211113.1</t>
        </is>
      </c>
      <c r="L687" t="inlineStr">
        <is>
          <t>24 periodos; mín 151.82, máx 220.00 €/MWh</t>
        </is>
      </c>
    </row>
    <row r="688">
      <c r="A688" s="53" t="n">
        <v>44514</v>
      </c>
      <c r="B688" t="inlineStr">
        <is>
          <t>2021-11-14</t>
        </is>
      </c>
      <c r="C688" s="45" t="n">
        <v>172.4721</v>
      </c>
      <c r="D688" t="inlineStr">
        <is>
          <t>€/MWh</t>
        </is>
      </c>
      <c r="E688" s="54" t="n">
        <v>0.172472</v>
      </c>
      <c r="F688" s="54" t="n"/>
      <c r="G688" t="inlineStr">
        <is>
          <t>no aplica (precio mayorista)</t>
        </is>
      </c>
      <c r="J688" t="inlineStr">
        <is>
          <t>2021-11-13</t>
        </is>
      </c>
      <c r="K688" t="inlineStr">
        <is>
          <t>marginalpdbc_20211114.1</t>
        </is>
      </c>
      <c r="L688" t="inlineStr">
        <is>
          <t>24 periodos; mín 145.00, máx 206.21 €/MWh</t>
        </is>
      </c>
    </row>
    <row r="689">
      <c r="A689" s="53" t="n">
        <v>44515</v>
      </c>
      <c r="B689" t="inlineStr">
        <is>
          <t>2021-11-15</t>
        </is>
      </c>
      <c r="C689" s="45" t="n">
        <v>180.5729</v>
      </c>
      <c r="D689" t="inlineStr">
        <is>
          <t>€/MWh</t>
        </is>
      </c>
      <c r="E689" s="54" t="n">
        <v>0.180573</v>
      </c>
      <c r="F689" s="54" t="n"/>
      <c r="G689" t="inlineStr">
        <is>
          <t>no aplica (precio mayorista)</t>
        </is>
      </c>
      <c r="J689" t="inlineStr">
        <is>
          <t>2021-11-14</t>
        </is>
      </c>
      <c r="K689" t="inlineStr">
        <is>
          <t>marginalpdbc_20211115.1</t>
        </is>
      </c>
      <c r="L689" t="inlineStr">
        <is>
          <t>24 periodos; mín 145.64, máx 235.00 €/MWh</t>
        </is>
      </c>
    </row>
    <row r="690">
      <c r="A690" s="53" t="n">
        <v>44516</v>
      </c>
      <c r="B690" t="inlineStr">
        <is>
          <t>2021-11-16</t>
        </is>
      </c>
      <c r="C690" s="45" t="n">
        <v>194.2258</v>
      </c>
      <c r="D690" t="inlineStr">
        <is>
          <t>€/MWh</t>
        </is>
      </c>
      <c r="E690" s="54" t="n">
        <v>0.194226</v>
      </c>
      <c r="F690" s="54" t="n"/>
      <c r="G690" t="inlineStr">
        <is>
          <t>no aplica (precio mayorista)</t>
        </is>
      </c>
      <c r="J690" t="inlineStr">
        <is>
          <t>2021-11-15</t>
        </is>
      </c>
      <c r="K690" t="inlineStr">
        <is>
          <t>marginalpdbc_20211116.1</t>
        </is>
      </c>
      <c r="L690" t="inlineStr">
        <is>
          <t>24 periodos; mín 160.25, máx 250.00 €/MWh</t>
        </is>
      </c>
    </row>
    <row r="691">
      <c r="A691" s="53" t="n">
        <v>44517</v>
      </c>
      <c r="B691" t="inlineStr">
        <is>
          <t>2021-11-17</t>
        </is>
      </c>
      <c r="C691" s="45" t="n">
        <v>194.8412</v>
      </c>
      <c r="D691" t="inlineStr">
        <is>
          <t>€/MWh</t>
        </is>
      </c>
      <c r="E691" s="54" t="n">
        <v>0.194841</v>
      </c>
      <c r="F691" s="54" t="n"/>
      <c r="G691" t="inlineStr">
        <is>
          <t>no aplica (precio mayorista)</t>
        </is>
      </c>
      <c r="J691" t="inlineStr">
        <is>
          <t>2021-11-16</t>
        </is>
      </c>
      <c r="K691" t="inlineStr">
        <is>
          <t>marginalpdbc_20211117.1</t>
        </is>
      </c>
      <c r="L691" t="inlineStr">
        <is>
          <t>24 periodos; mín 163.22, máx 249.90 €/MWh</t>
        </is>
      </c>
    </row>
    <row r="692">
      <c r="A692" s="53" t="n">
        <v>44518</v>
      </c>
      <c r="B692" t="inlineStr">
        <is>
          <t>2021-11-18</t>
        </is>
      </c>
      <c r="C692" s="45" t="n">
        <v>226.9425</v>
      </c>
      <c r="D692" t="inlineStr">
        <is>
          <t>€/MWh</t>
        </is>
      </c>
      <c r="E692" s="54" t="n">
        <v>0.226942</v>
      </c>
      <c r="F692" s="54" t="n"/>
      <c r="G692" t="inlineStr">
        <is>
          <t>no aplica (precio mayorista)</t>
        </is>
      </c>
      <c r="J692" t="inlineStr">
        <is>
          <t>2021-11-17</t>
        </is>
      </c>
      <c r="K692" t="inlineStr">
        <is>
          <t>marginalpdbc_20211118.1</t>
        </is>
      </c>
      <c r="L692" t="inlineStr">
        <is>
          <t>24 periodos; mín 177.63, máx 276.63 €/MWh</t>
        </is>
      </c>
    </row>
    <row r="693">
      <c r="A693" s="53" t="n">
        <v>44519</v>
      </c>
      <c r="B693" t="inlineStr">
        <is>
          <t>2021-11-19</t>
        </is>
      </c>
      <c r="C693" s="45" t="n">
        <v>228.8421</v>
      </c>
      <c r="D693" t="inlineStr">
        <is>
          <t>€/MWh</t>
        </is>
      </c>
      <c r="E693" s="54" t="n">
        <v>0.228842</v>
      </c>
      <c r="F693" s="54" t="n"/>
      <c r="G693" t="inlineStr">
        <is>
          <t>no aplica (precio mayorista)</t>
        </is>
      </c>
      <c r="J693" t="inlineStr">
        <is>
          <t>2021-11-18</t>
        </is>
      </c>
      <c r="K693" t="inlineStr">
        <is>
          <t>marginalpdbc_20211119.1</t>
        </is>
      </c>
      <c r="L693" t="inlineStr">
        <is>
          <t>24 periodos; mín 198.00, máx 266.08 €/MWh</t>
        </is>
      </c>
    </row>
    <row r="694">
      <c r="A694" s="53" t="n">
        <v>44520</v>
      </c>
      <c r="B694" t="inlineStr">
        <is>
          <t>2021-11-20</t>
        </is>
      </c>
      <c r="C694" s="45" t="n">
        <v>218.4608</v>
      </c>
      <c r="D694" t="inlineStr">
        <is>
          <t>€/MWh</t>
        </is>
      </c>
      <c r="E694" s="54" t="n">
        <v>0.218461</v>
      </c>
      <c r="F694" s="54" t="n"/>
      <c r="G694" t="inlineStr">
        <is>
          <t>no aplica (precio mayorista)</t>
        </is>
      </c>
      <c r="J694" t="inlineStr">
        <is>
          <t>2021-11-19</t>
        </is>
      </c>
      <c r="K694" t="inlineStr">
        <is>
          <t>marginalpdbc_20211120.1</t>
        </is>
      </c>
      <c r="L694" t="inlineStr">
        <is>
          <t>24 periodos; mín 188.00, máx 260.00 €/MWh</t>
        </is>
      </c>
    </row>
    <row r="695">
      <c r="A695" s="53" t="n">
        <v>44521</v>
      </c>
      <c r="B695" t="inlineStr">
        <is>
          <t>2021-11-21</t>
        </is>
      </c>
      <c r="C695" s="45" t="n">
        <v>229.6163</v>
      </c>
      <c r="D695" t="inlineStr">
        <is>
          <t>€/MWh</t>
        </is>
      </c>
      <c r="E695" s="54" t="n">
        <v>0.229616</v>
      </c>
      <c r="F695" s="54" t="n"/>
      <c r="G695" t="inlineStr">
        <is>
          <t>no aplica (precio mayorista)</t>
        </is>
      </c>
      <c r="J695" t="inlineStr">
        <is>
          <t>2021-11-20</t>
        </is>
      </c>
      <c r="K695" t="inlineStr">
        <is>
          <t>marginalpdbc_20211121.1</t>
        </is>
      </c>
      <c r="L695" t="inlineStr">
        <is>
          <t>24 periodos; mín 207.79, máx 269.66 €/MWh</t>
        </is>
      </c>
    </row>
    <row r="696">
      <c r="A696" s="53" t="n">
        <v>44522</v>
      </c>
      <c r="B696" t="inlineStr">
        <is>
          <t>2021-11-22</t>
        </is>
      </c>
      <c r="C696" s="45" t="n">
        <v>236.5071</v>
      </c>
      <c r="D696" t="inlineStr">
        <is>
          <t>€/MWh</t>
        </is>
      </c>
      <c r="E696" s="54" t="n">
        <v>0.236507</v>
      </c>
      <c r="F696" s="54" t="n"/>
      <c r="G696" t="inlineStr">
        <is>
          <t>no aplica (precio mayorista)</t>
        </is>
      </c>
      <c r="J696" t="inlineStr">
        <is>
          <t>2021-11-21</t>
        </is>
      </c>
      <c r="K696" t="inlineStr">
        <is>
          <t>marginalpdbc_20211122.1</t>
        </is>
      </c>
      <c r="L696" t="inlineStr">
        <is>
          <t>24 periodos; mín 194.51, máx 264.70 €/MWh</t>
        </is>
      </c>
    </row>
    <row r="697">
      <c r="A697" s="53" t="n">
        <v>44523</v>
      </c>
      <c r="B697" t="inlineStr">
        <is>
          <t>2021-11-23</t>
        </is>
      </c>
      <c r="C697" s="45" t="n">
        <v>225.575</v>
      </c>
      <c r="D697" t="inlineStr">
        <is>
          <t>€/MWh</t>
        </is>
      </c>
      <c r="E697" s="54" t="n">
        <v>0.225575</v>
      </c>
      <c r="F697" s="54" t="n"/>
      <c r="G697" t="inlineStr">
        <is>
          <t>no aplica (precio mayorista)</t>
        </is>
      </c>
      <c r="J697" t="inlineStr">
        <is>
          <t>2021-11-22</t>
        </is>
      </c>
      <c r="K697" t="inlineStr">
        <is>
          <t>marginalpdbc_20211123.1</t>
        </is>
      </c>
      <c r="L697" t="inlineStr">
        <is>
          <t>24 periodos; mín 190.83, máx 277.77 €/MWh</t>
        </is>
      </c>
    </row>
    <row r="698">
      <c r="A698" s="53" t="n">
        <v>44524</v>
      </c>
      <c r="B698" t="inlineStr">
        <is>
          <t>2021-11-24</t>
        </is>
      </c>
      <c r="C698" s="45" t="n">
        <v>225.7038</v>
      </c>
      <c r="D698" t="inlineStr">
        <is>
          <t>€/MWh</t>
        </is>
      </c>
      <c r="E698" s="54" t="n">
        <v>0.225704</v>
      </c>
      <c r="F698" s="54" t="n"/>
      <c r="G698" t="inlineStr">
        <is>
          <t>no aplica (precio mayorista)</t>
        </is>
      </c>
      <c r="J698" t="inlineStr">
        <is>
          <t>2021-11-23</t>
        </is>
      </c>
      <c r="K698" t="inlineStr">
        <is>
          <t>marginalpdbc_20211124.1</t>
        </is>
      </c>
      <c r="L698" t="inlineStr">
        <is>
          <t>24 periodos; mín 194.01, máx 265.00 €/MWh</t>
        </is>
      </c>
    </row>
    <row r="699">
      <c r="A699" s="53" t="n">
        <v>44525</v>
      </c>
      <c r="B699" t="inlineStr">
        <is>
          <t>2021-11-25</t>
        </is>
      </c>
      <c r="C699" s="45" t="n">
        <v>228.4171</v>
      </c>
      <c r="D699" t="inlineStr">
        <is>
          <t>€/MWh</t>
        </is>
      </c>
      <c r="E699" s="54" t="n">
        <v>0.228417</v>
      </c>
      <c r="F699" s="54" t="n"/>
      <c r="G699" t="inlineStr">
        <is>
          <t>no aplica (precio mayorista)</t>
        </is>
      </c>
      <c r="J699" t="inlineStr">
        <is>
          <t>2021-11-24</t>
        </is>
      </c>
      <c r="K699" t="inlineStr">
        <is>
          <t>marginalpdbc_20211125.1</t>
        </is>
      </c>
      <c r="L699" t="inlineStr">
        <is>
          <t>24 periodos; mín 201.28, máx 256.94 €/MWh</t>
        </is>
      </c>
    </row>
    <row r="700">
      <c r="A700" s="53" t="n">
        <v>44526</v>
      </c>
      <c r="B700" t="inlineStr">
        <is>
          <t>2021-11-26</t>
        </is>
      </c>
      <c r="C700" s="45" t="n">
        <v>227.5933</v>
      </c>
      <c r="D700" t="inlineStr">
        <is>
          <t>€/MWh</t>
        </is>
      </c>
      <c r="E700" s="54" t="n">
        <v>0.227593</v>
      </c>
      <c r="F700" s="54" t="n"/>
      <c r="G700" t="inlineStr">
        <is>
          <t>no aplica (precio mayorista)</t>
        </is>
      </c>
      <c r="J700" t="inlineStr">
        <is>
          <t>2021-11-25</t>
        </is>
      </c>
      <c r="K700" t="inlineStr">
        <is>
          <t>marginalpdbc_20211126.1</t>
        </is>
      </c>
      <c r="L700" t="inlineStr">
        <is>
          <t>24 periodos; mín 194.34, máx 251.32 €/MWh</t>
        </is>
      </c>
    </row>
    <row r="701">
      <c r="A701" s="53" t="n">
        <v>44527</v>
      </c>
      <c r="B701" t="inlineStr">
        <is>
          <t>2021-11-27</t>
        </is>
      </c>
      <c r="C701" s="45" t="n">
        <v>204.3529</v>
      </c>
      <c r="D701" t="inlineStr">
        <is>
          <t>€/MWh</t>
        </is>
      </c>
      <c r="E701" s="54" t="n">
        <v>0.204353</v>
      </c>
      <c r="F701" s="54" t="n"/>
      <c r="G701" t="inlineStr">
        <is>
          <t>no aplica (precio mayorista)</t>
        </is>
      </c>
      <c r="J701" t="inlineStr">
        <is>
          <t>2021-11-26</t>
        </is>
      </c>
      <c r="K701" t="inlineStr">
        <is>
          <t>marginalpdbc_20211127.1</t>
        </is>
      </c>
      <c r="L701" t="inlineStr">
        <is>
          <t>24 periodos; mín 171.77, máx 243.63 €/MWh</t>
        </is>
      </c>
    </row>
    <row r="702">
      <c r="A702" s="53" t="n">
        <v>44528</v>
      </c>
      <c r="B702" t="inlineStr">
        <is>
          <t>2021-11-28</t>
        </is>
      </c>
      <c r="C702" s="45" t="n">
        <v>201.4154</v>
      </c>
      <c r="D702" t="inlineStr">
        <is>
          <t>€/MWh</t>
        </is>
      </c>
      <c r="E702" s="54" t="n">
        <v>0.201415</v>
      </c>
      <c r="F702" s="54" t="n"/>
      <c r="G702" t="inlineStr">
        <is>
          <t>no aplica (precio mayorista)</t>
        </is>
      </c>
      <c r="J702" t="inlineStr">
        <is>
          <t>2021-11-27</t>
        </is>
      </c>
      <c r="K702" t="inlineStr">
        <is>
          <t>marginalpdbc_20211128.1</t>
        </is>
      </c>
      <c r="L702" t="inlineStr">
        <is>
          <t>24 periodos; mín 174.50, máx 247.94 €/MWh</t>
        </is>
      </c>
    </row>
    <row r="703">
      <c r="A703" s="53" t="n">
        <v>44529</v>
      </c>
      <c r="B703" t="inlineStr">
        <is>
          <t>2021-11-29</t>
        </is>
      </c>
      <c r="C703" s="45" t="n">
        <v>214.9971</v>
      </c>
      <c r="D703" t="inlineStr">
        <is>
          <t>€/MWh</t>
        </is>
      </c>
      <c r="E703" s="54" t="n">
        <v>0.214997</v>
      </c>
      <c r="F703" s="54" t="n"/>
      <c r="G703" t="inlineStr">
        <is>
          <t>no aplica (precio mayorista)</t>
        </is>
      </c>
      <c r="J703" t="inlineStr">
        <is>
          <t>2021-11-28</t>
        </is>
      </c>
      <c r="K703" t="inlineStr">
        <is>
          <t>marginalpdbc_20211129.1</t>
        </is>
      </c>
      <c r="L703" t="inlineStr">
        <is>
          <t>24 periodos; mín 99.94, máx 290.00 €/MWh</t>
        </is>
      </c>
    </row>
    <row r="704">
      <c r="A704" s="53" t="n">
        <v>44530</v>
      </c>
      <c r="B704" t="inlineStr">
        <is>
          <t>2021-11-30</t>
        </is>
      </c>
      <c r="C704" s="45" t="n">
        <v>274.5571</v>
      </c>
      <c r="D704" t="inlineStr">
        <is>
          <t>€/MWh</t>
        </is>
      </c>
      <c r="E704" s="54" t="n">
        <v>0.274557</v>
      </c>
      <c r="F704" s="54" t="n"/>
      <c r="G704" t="inlineStr">
        <is>
          <t>no aplica (precio mayorista)</t>
        </is>
      </c>
      <c r="J704" t="inlineStr">
        <is>
          <t>2021-11-29</t>
        </is>
      </c>
      <c r="K704" t="inlineStr">
        <is>
          <t>marginalpdbc_20211130.1</t>
        </is>
      </c>
      <c r="L704" t="inlineStr">
        <is>
          <t>24 periodos; mín 220.12, máx 309.30 €/MWh</t>
        </is>
      </c>
    </row>
    <row r="705">
      <c r="A705" s="53" t="n">
        <v>44531</v>
      </c>
      <c r="B705" t="inlineStr">
        <is>
          <t>2021-12-01</t>
        </is>
      </c>
      <c r="C705" s="45" t="n">
        <v>247.2096</v>
      </c>
      <c r="D705" t="inlineStr">
        <is>
          <t>€/MWh</t>
        </is>
      </c>
      <c r="E705" s="54" t="n">
        <v>0.24721</v>
      </c>
      <c r="F705" s="54" t="n"/>
      <c r="G705" t="inlineStr">
        <is>
          <t>no aplica (precio mayorista)</t>
        </is>
      </c>
      <c r="J705" t="inlineStr">
        <is>
          <t>2021-11-30</t>
        </is>
      </c>
      <c r="K705" t="inlineStr">
        <is>
          <t>marginalpdbc_20211201.1</t>
        </is>
      </c>
      <c r="L705" t="inlineStr">
        <is>
          <t>24 periodos; mín 192.81, máx 289.10 €/MWh</t>
        </is>
      </c>
    </row>
    <row r="706">
      <c r="A706" s="53" t="n">
        <v>44532</v>
      </c>
      <c r="B706" t="inlineStr">
        <is>
          <t>2021-12-02</t>
        </is>
      </c>
      <c r="C706" s="45" t="n">
        <v>220.6604</v>
      </c>
      <c r="D706" t="inlineStr">
        <is>
          <t>€/MWh</t>
        </is>
      </c>
      <c r="E706" s="54" t="n">
        <v>0.22066</v>
      </c>
      <c r="F706" s="54" t="n"/>
      <c r="G706" t="inlineStr">
        <is>
          <t>no aplica (precio mayorista)</t>
        </is>
      </c>
      <c r="J706" t="inlineStr">
        <is>
          <t>2021-12-01</t>
        </is>
      </c>
      <c r="K706" t="inlineStr">
        <is>
          <t>marginalpdbc_20211202.1</t>
        </is>
      </c>
      <c r="L706" t="inlineStr">
        <is>
          <t>24 periodos; mín 171.30, máx 277.98 €/MWh</t>
        </is>
      </c>
    </row>
    <row r="707">
      <c r="A707" s="53" t="n">
        <v>44533</v>
      </c>
      <c r="B707" t="inlineStr">
        <is>
          <t>2021-12-03</t>
        </is>
      </c>
      <c r="C707" s="45" t="n">
        <v>226.1471</v>
      </c>
      <c r="D707" t="inlineStr">
        <is>
          <t>€/MWh</t>
        </is>
      </c>
      <c r="E707" s="54" t="n">
        <v>0.226147</v>
      </c>
      <c r="F707" s="54" t="n"/>
      <c r="G707" t="inlineStr">
        <is>
          <t>no aplica (precio mayorista)</t>
        </is>
      </c>
      <c r="J707" t="inlineStr">
        <is>
          <t>2021-12-02</t>
        </is>
      </c>
      <c r="K707" t="inlineStr">
        <is>
          <t>marginalpdbc_20211203.1</t>
        </is>
      </c>
      <c r="L707" t="inlineStr">
        <is>
          <t>24 periodos; mín 194.06, máx 272.98 €/MWh</t>
        </is>
      </c>
    </row>
    <row r="708">
      <c r="A708" s="53" t="n">
        <v>44534</v>
      </c>
      <c r="B708" t="inlineStr">
        <is>
          <t>2021-12-04</t>
        </is>
      </c>
      <c r="C708" s="45" t="n">
        <v>220.8979</v>
      </c>
      <c r="D708" t="inlineStr">
        <is>
          <t>€/MWh</t>
        </is>
      </c>
      <c r="E708" s="54" t="n">
        <v>0.220898</v>
      </c>
      <c r="F708" s="54" t="n"/>
      <c r="G708" t="inlineStr">
        <is>
          <t>no aplica (precio mayorista)</t>
        </is>
      </c>
      <c r="J708" t="inlineStr">
        <is>
          <t>2021-12-03</t>
        </is>
      </c>
      <c r="K708" t="inlineStr">
        <is>
          <t>marginalpdbc_20211204.1</t>
        </is>
      </c>
      <c r="L708" t="inlineStr">
        <is>
          <t>24 periodos; mín 183.79, máx 250.00 €/MWh</t>
        </is>
      </c>
    </row>
    <row r="709">
      <c r="A709" s="53" t="n">
        <v>44535</v>
      </c>
      <c r="B709" t="inlineStr">
        <is>
          <t>2021-12-05</t>
        </is>
      </c>
      <c r="C709" s="45" t="n">
        <v>101.9725</v>
      </c>
      <c r="D709" t="inlineStr">
        <is>
          <t>€/MWh</t>
        </is>
      </c>
      <c r="E709" s="54" t="n">
        <v>0.101973</v>
      </c>
      <c r="F709" s="54" t="n"/>
      <c r="G709" t="inlineStr">
        <is>
          <t>no aplica (precio mayorista)</t>
        </is>
      </c>
      <c r="J709" t="inlineStr">
        <is>
          <t>2021-12-04</t>
        </is>
      </c>
      <c r="K709" t="inlineStr">
        <is>
          <t>marginalpdbc_20211205.1</t>
        </is>
      </c>
      <c r="L709" t="inlineStr">
        <is>
          <t>24 periodos; mín 2.67, máx 251.65 €/MWh</t>
        </is>
      </c>
    </row>
    <row r="710">
      <c r="A710" s="53" t="n">
        <v>44536</v>
      </c>
      <c r="B710" t="inlineStr">
        <is>
          <t>2021-12-06</t>
        </is>
      </c>
      <c r="C710" s="45" t="n">
        <v>209.7829</v>
      </c>
      <c r="D710" t="inlineStr">
        <is>
          <t>€/MWh</t>
        </is>
      </c>
      <c r="E710" s="54" t="n">
        <v>0.209783</v>
      </c>
      <c r="F710" s="54" t="n"/>
      <c r="G710" t="inlineStr">
        <is>
          <t>no aplica (precio mayorista)</t>
        </is>
      </c>
      <c r="J710" t="inlineStr">
        <is>
          <t>2021-12-05</t>
        </is>
      </c>
      <c r="K710" t="inlineStr">
        <is>
          <t>marginalpdbc_20211206.1</t>
        </is>
      </c>
      <c r="L710" t="inlineStr">
        <is>
          <t>24 periodos; mín 177.37, máx 273.61 €/MWh</t>
        </is>
      </c>
    </row>
    <row r="711">
      <c r="A711" s="53" t="n">
        <v>44537</v>
      </c>
      <c r="B711" t="inlineStr">
        <is>
          <t>2021-12-07</t>
        </is>
      </c>
      <c r="C711" s="45" t="n">
        <v>211.8058</v>
      </c>
      <c r="D711" t="inlineStr">
        <is>
          <t>€/MWh</t>
        </is>
      </c>
      <c r="E711" s="54" t="n">
        <v>0.211806</v>
      </c>
      <c r="F711" s="54" t="n"/>
      <c r="G711" t="inlineStr">
        <is>
          <t>no aplica (precio mayorista)</t>
        </is>
      </c>
      <c r="J711" t="inlineStr">
        <is>
          <t>2021-12-06</t>
        </is>
      </c>
      <c r="K711" t="inlineStr">
        <is>
          <t>marginalpdbc_20211207.1</t>
        </is>
      </c>
      <c r="L711" t="inlineStr">
        <is>
          <t>24 periodos; mín 186.28, máx 237.21 €/MWh</t>
        </is>
      </c>
    </row>
    <row r="712">
      <c r="A712" s="53" t="n">
        <v>44538</v>
      </c>
      <c r="B712" t="inlineStr">
        <is>
          <t>2021-12-08</t>
        </is>
      </c>
      <c r="C712" s="45" t="n">
        <v>108.7267</v>
      </c>
      <c r="D712" t="inlineStr">
        <is>
          <t>€/MWh</t>
        </is>
      </c>
      <c r="E712" s="54" t="n">
        <v>0.108727</v>
      </c>
      <c r="F712" s="54" t="n"/>
      <c r="G712" t="inlineStr">
        <is>
          <t>no aplica (precio mayorista)</t>
        </is>
      </c>
      <c r="J712" t="inlineStr">
        <is>
          <t>2021-12-07</t>
        </is>
      </c>
      <c r="K712" t="inlineStr">
        <is>
          <t>marginalpdbc_20211208.1</t>
        </is>
      </c>
      <c r="L712" t="inlineStr">
        <is>
          <t>24 periodos; mín 14.00, máx 238.75 €/MWh</t>
        </is>
      </c>
    </row>
    <row r="713">
      <c r="A713" s="53" t="n">
        <v>44539</v>
      </c>
      <c r="B713" t="inlineStr">
        <is>
          <t>2021-12-09</t>
        </is>
      </c>
      <c r="C713" s="45" t="n">
        <v>216.7371</v>
      </c>
      <c r="D713" t="inlineStr">
        <is>
          <t>€/MWh</t>
        </is>
      </c>
      <c r="E713" s="54" t="n">
        <v>0.216737</v>
      </c>
      <c r="F713" s="54" t="n"/>
      <c r="G713" t="inlineStr">
        <is>
          <t>no aplica (precio mayorista)</t>
        </is>
      </c>
      <c r="J713" t="inlineStr">
        <is>
          <t>2021-12-08</t>
        </is>
      </c>
      <c r="K713" t="inlineStr">
        <is>
          <t>marginalpdbc_20211209.1</t>
        </is>
      </c>
      <c r="L713" t="inlineStr">
        <is>
          <t>24 periodos; mín 175.10, máx 252.59 €/MWh</t>
        </is>
      </c>
    </row>
    <row r="714">
      <c r="A714" s="53" t="n">
        <v>44540</v>
      </c>
      <c r="B714" t="inlineStr">
        <is>
          <t>2021-12-10</t>
        </is>
      </c>
      <c r="C714" s="45" t="n">
        <v>208.4071</v>
      </c>
      <c r="D714" t="inlineStr">
        <is>
          <t>€/MWh</t>
        </is>
      </c>
      <c r="E714" s="54" t="n">
        <v>0.208407</v>
      </c>
      <c r="F714" s="54" t="n"/>
      <c r="G714" t="inlineStr">
        <is>
          <t>no aplica (precio mayorista)</t>
        </is>
      </c>
      <c r="J714" t="inlineStr">
        <is>
          <t>2021-12-09</t>
        </is>
      </c>
      <c r="K714" t="inlineStr">
        <is>
          <t>marginalpdbc_20211210.1</t>
        </is>
      </c>
      <c r="L714" t="inlineStr">
        <is>
          <t>24 periodos; mín 98.13, máx 262.16 €/MWh</t>
        </is>
      </c>
    </row>
    <row r="715">
      <c r="A715" s="53" t="n">
        <v>44541</v>
      </c>
      <c r="B715" t="inlineStr">
        <is>
          <t>2021-12-11</t>
        </is>
      </c>
      <c r="C715" s="45" t="n">
        <v>239.5325</v>
      </c>
      <c r="D715" t="inlineStr">
        <is>
          <t>€/MWh</t>
        </is>
      </c>
      <c r="E715" s="54" t="n">
        <v>0.239533</v>
      </c>
      <c r="F715" s="54" t="n"/>
      <c r="G715" t="inlineStr">
        <is>
          <t>no aplica (precio mayorista)</t>
        </is>
      </c>
      <c r="J715" t="inlineStr">
        <is>
          <t>2021-12-10</t>
        </is>
      </c>
      <c r="K715" t="inlineStr">
        <is>
          <t>marginalpdbc_20211211.1</t>
        </is>
      </c>
      <c r="L715" t="inlineStr">
        <is>
          <t>24 periodos; mín 201.60, máx 292.00 €/MWh</t>
        </is>
      </c>
    </row>
    <row r="716">
      <c r="A716" s="53" t="n">
        <v>44542</v>
      </c>
      <c r="B716" t="inlineStr">
        <is>
          <t>2021-12-12</t>
        </is>
      </c>
      <c r="C716" s="45" t="n">
        <v>256.9758</v>
      </c>
      <c r="D716" t="inlineStr">
        <is>
          <t>€/MWh</t>
        </is>
      </c>
      <c r="E716" s="54" t="n">
        <v>0.256976</v>
      </c>
      <c r="F716" s="54" t="n"/>
      <c r="G716" t="inlineStr">
        <is>
          <t>no aplica (precio mayorista)</t>
        </is>
      </c>
      <c r="J716" t="inlineStr">
        <is>
          <t>2021-12-11</t>
        </is>
      </c>
      <c r="K716" t="inlineStr">
        <is>
          <t>marginalpdbc_20211212.1</t>
        </is>
      </c>
      <c r="L716" t="inlineStr">
        <is>
          <t>24 periodos; mín 218.01, máx 298.00 €/MWh</t>
        </is>
      </c>
    </row>
    <row r="717">
      <c r="A717" s="53" t="n">
        <v>44543</v>
      </c>
      <c r="B717" t="inlineStr">
        <is>
          <t>2021-12-13</t>
        </is>
      </c>
      <c r="C717" s="45" t="n">
        <v>268.2075</v>
      </c>
      <c r="D717" t="inlineStr">
        <is>
          <t>€/MWh</t>
        </is>
      </c>
      <c r="E717" s="54" t="n">
        <v>0.268208</v>
      </c>
      <c r="F717" s="54" t="n"/>
      <c r="G717" t="inlineStr">
        <is>
          <t>no aplica (precio mayorista)</t>
        </is>
      </c>
      <c r="J717" t="inlineStr">
        <is>
          <t>2021-12-12</t>
        </is>
      </c>
      <c r="K717" t="inlineStr">
        <is>
          <t>marginalpdbc_20211213.1</t>
        </is>
      </c>
      <c r="L717" t="inlineStr">
        <is>
          <t>24 periodos; mín 217.71, máx 315.43 €/MWh</t>
        </is>
      </c>
    </row>
    <row r="718">
      <c r="A718" s="53" t="n">
        <v>44544</v>
      </c>
      <c r="B718" t="inlineStr">
        <is>
          <t>2021-12-14</t>
        </is>
      </c>
      <c r="C718" s="45" t="n">
        <v>287.7763</v>
      </c>
      <c r="D718" t="inlineStr">
        <is>
          <t>€/MWh</t>
        </is>
      </c>
      <c r="E718" s="54" t="n">
        <v>0.287776</v>
      </c>
      <c r="F718" s="54" t="n"/>
      <c r="G718" t="inlineStr">
        <is>
          <t>no aplica (precio mayorista)</t>
        </is>
      </c>
      <c r="J718" t="inlineStr">
        <is>
          <t>2021-12-13</t>
        </is>
      </c>
      <c r="K718" t="inlineStr">
        <is>
          <t>marginalpdbc_20211214.1</t>
        </is>
      </c>
      <c r="L718" t="inlineStr">
        <is>
          <t>24 periodos; mín 250.00, máx 320.00 €/MWh</t>
        </is>
      </c>
    </row>
    <row r="719">
      <c r="A719" s="53" t="n">
        <v>44545</v>
      </c>
      <c r="B719" t="inlineStr">
        <is>
          <t>2021-12-15</t>
        </is>
      </c>
      <c r="C719" s="45" t="n">
        <v>291.7275</v>
      </c>
      <c r="D719" t="inlineStr">
        <is>
          <t>€/MWh</t>
        </is>
      </c>
      <c r="E719" s="54" t="n">
        <v>0.291728</v>
      </c>
      <c r="F719" s="54" t="n"/>
      <c r="G719" t="inlineStr">
        <is>
          <t>no aplica (precio mayorista)</t>
        </is>
      </c>
      <c r="J719" t="inlineStr">
        <is>
          <t>2021-12-14</t>
        </is>
      </c>
      <c r="K719" t="inlineStr">
        <is>
          <t>marginalpdbc_20211215.1</t>
        </is>
      </c>
      <c r="L719" t="inlineStr">
        <is>
          <t>24 periodos; mín 261.73, máx 319.13 €/MWh</t>
        </is>
      </c>
    </row>
    <row r="720">
      <c r="A720" s="53" t="n">
        <v>44546</v>
      </c>
      <c r="B720" t="inlineStr">
        <is>
          <t>2021-12-16</t>
        </is>
      </c>
      <c r="C720" s="45" t="n">
        <v>302.4846</v>
      </c>
      <c r="D720" t="inlineStr">
        <is>
          <t>€/MWh</t>
        </is>
      </c>
      <c r="E720" s="54" t="n">
        <v>0.302485</v>
      </c>
      <c r="F720" s="54" t="n"/>
      <c r="G720" t="inlineStr">
        <is>
          <t>no aplica (precio mayorista)</t>
        </is>
      </c>
      <c r="J720" t="inlineStr">
        <is>
          <t>2021-12-15</t>
        </is>
      </c>
      <c r="K720" t="inlineStr">
        <is>
          <t>marginalpdbc_20211216.1</t>
        </is>
      </c>
      <c r="L720" t="inlineStr">
        <is>
          <t>24 periodos; mín 251.78, máx 345.00 €/MWh</t>
        </is>
      </c>
    </row>
    <row r="721">
      <c r="A721" s="53" t="n">
        <v>44547</v>
      </c>
      <c r="B721" t="inlineStr">
        <is>
          <t>2021-12-17</t>
        </is>
      </c>
      <c r="C721" s="45" t="n">
        <v>309.1963</v>
      </c>
      <c r="D721" t="inlineStr">
        <is>
          <t>€/MWh</t>
        </is>
      </c>
      <c r="E721" s="54" t="n">
        <v>0.309196</v>
      </c>
      <c r="F721" s="54" t="n"/>
      <c r="G721" t="inlineStr">
        <is>
          <t>no aplica (precio mayorista)</t>
        </is>
      </c>
      <c r="J721" t="inlineStr">
        <is>
          <t>2021-12-16</t>
        </is>
      </c>
      <c r="K721" t="inlineStr">
        <is>
          <t>marginalpdbc_20211217.1</t>
        </is>
      </c>
      <c r="L721" t="inlineStr">
        <is>
          <t>24 periodos; mín 250.00, máx 350.00 €/MWh</t>
        </is>
      </c>
    </row>
    <row r="722">
      <c r="A722" s="53" t="n">
        <v>44548</v>
      </c>
      <c r="B722" t="inlineStr">
        <is>
          <t>2021-12-18</t>
        </is>
      </c>
      <c r="C722" s="45" t="n">
        <v>306.3296</v>
      </c>
      <c r="D722" t="inlineStr">
        <is>
          <t>€/MWh</t>
        </is>
      </c>
      <c r="E722" s="54" t="n">
        <v>0.30633</v>
      </c>
      <c r="F722" s="54" t="n"/>
      <c r="G722" t="inlineStr">
        <is>
          <t>no aplica (precio mayorista)</t>
        </is>
      </c>
      <c r="J722" t="inlineStr">
        <is>
          <t>2021-12-17</t>
        </is>
      </c>
      <c r="K722" t="inlineStr">
        <is>
          <t>marginalpdbc_20211218.1</t>
        </is>
      </c>
      <c r="L722" t="inlineStr">
        <is>
          <t>24 periodos; mín 265.77, máx 342.03 €/MWh</t>
        </is>
      </c>
    </row>
    <row r="723">
      <c r="A723" s="53" t="n">
        <v>44549</v>
      </c>
      <c r="B723" t="inlineStr">
        <is>
          <t>2021-12-19</t>
        </is>
      </c>
      <c r="C723" s="45" t="n">
        <v>319.6283</v>
      </c>
      <c r="D723" t="inlineStr">
        <is>
          <t>€/MWh</t>
        </is>
      </c>
      <c r="E723" s="54" t="n">
        <v>0.319628</v>
      </c>
      <c r="F723" s="54" t="n"/>
      <c r="G723" t="inlineStr">
        <is>
          <t>no aplica (precio mayorista)</t>
        </is>
      </c>
      <c r="J723" t="inlineStr">
        <is>
          <t>2021-12-18</t>
        </is>
      </c>
      <c r="K723" t="inlineStr">
        <is>
          <t>marginalpdbc_20211219.1</t>
        </is>
      </c>
      <c r="L723" t="inlineStr">
        <is>
          <t>24 periodos; mín 274.90, máx 350.00 €/MWh</t>
        </is>
      </c>
    </row>
    <row r="724">
      <c r="A724" s="53" t="n">
        <v>44550</v>
      </c>
      <c r="B724" t="inlineStr">
        <is>
          <t>2021-12-20</t>
        </is>
      </c>
      <c r="C724" s="45" t="n">
        <v>339.8392</v>
      </c>
      <c r="D724" t="inlineStr">
        <is>
          <t>€/MWh</t>
        </is>
      </c>
      <c r="E724" s="54" t="n">
        <v>0.339839</v>
      </c>
      <c r="F724" s="54" t="n"/>
      <c r="G724" t="inlineStr">
        <is>
          <t>no aplica (precio mayorista)</t>
        </is>
      </c>
      <c r="J724" t="inlineStr">
        <is>
          <t>2021-12-19</t>
        </is>
      </c>
      <c r="K724" t="inlineStr">
        <is>
          <t>marginalpdbc_20211220.1</t>
        </is>
      </c>
      <c r="L724" t="inlineStr">
        <is>
          <t>24 periodos; mín 267.99, máx 375.00 €/MWh</t>
        </is>
      </c>
    </row>
    <row r="725">
      <c r="A725" s="53" t="n">
        <v>44551</v>
      </c>
      <c r="B725" t="inlineStr">
        <is>
          <t>2021-12-21</t>
        </is>
      </c>
      <c r="C725" s="45" t="n">
        <v>327.3796</v>
      </c>
      <c r="D725" t="inlineStr">
        <is>
          <t>€/MWh</t>
        </is>
      </c>
      <c r="E725" s="54" t="n">
        <v>0.32738</v>
      </c>
      <c r="F725" s="54" t="n"/>
      <c r="G725" t="inlineStr">
        <is>
          <t>no aplica (precio mayorista)</t>
        </is>
      </c>
      <c r="J725" t="inlineStr">
        <is>
          <t>2021-12-20</t>
        </is>
      </c>
      <c r="K725" t="inlineStr">
        <is>
          <t>marginalpdbc_20211221.1</t>
        </is>
      </c>
      <c r="L725" t="inlineStr">
        <is>
          <t>24 periodos; mín 270.00, máx 370.00 €/MWh</t>
        </is>
      </c>
    </row>
    <row r="726">
      <c r="A726" s="53" t="n">
        <v>44552</v>
      </c>
      <c r="B726" t="inlineStr">
        <is>
          <t>2021-12-22</t>
        </is>
      </c>
      <c r="C726" s="45" t="n">
        <v>360.0242</v>
      </c>
      <c r="D726" t="inlineStr">
        <is>
          <t>€/MWh</t>
        </is>
      </c>
      <c r="E726" s="54" t="n">
        <v>0.360024</v>
      </c>
      <c r="F726" s="54" t="n"/>
      <c r="G726" t="inlineStr">
        <is>
          <t>no aplica (precio mayorista)</t>
        </is>
      </c>
      <c r="J726" t="inlineStr">
        <is>
          <t>2021-12-21</t>
        </is>
      </c>
      <c r="K726" t="inlineStr">
        <is>
          <t>marginalpdbc_20211222.1</t>
        </is>
      </c>
      <c r="L726" t="inlineStr">
        <is>
          <t>24 periodos; mín 331.40, máx 380.00 €/MWh</t>
        </is>
      </c>
    </row>
    <row r="727">
      <c r="A727" s="53" t="n">
        <v>44553</v>
      </c>
      <c r="B727" t="inlineStr">
        <is>
          <t>2021-12-23</t>
        </is>
      </c>
      <c r="C727" s="45" t="n">
        <v>383.6725</v>
      </c>
      <c r="D727" t="inlineStr">
        <is>
          <t>€/MWh</t>
        </is>
      </c>
      <c r="E727" s="54" t="n">
        <v>0.383672</v>
      </c>
      <c r="F727" s="54" t="n"/>
      <c r="G727" t="inlineStr">
        <is>
          <t>no aplica (precio mayorista)</t>
        </is>
      </c>
      <c r="J727" t="inlineStr">
        <is>
          <t>2021-12-22</t>
        </is>
      </c>
      <c r="K727" t="inlineStr">
        <is>
          <t>marginalpdbc_20211223.1</t>
        </is>
      </c>
      <c r="L727" t="inlineStr">
        <is>
          <t>24 periodos; mín 303.00, máx 409.00 €/MWh</t>
        </is>
      </c>
    </row>
    <row r="728">
      <c r="A728" s="53" t="n">
        <v>44554</v>
      </c>
      <c r="B728" t="inlineStr">
        <is>
          <t>2021-12-24</t>
        </is>
      </c>
      <c r="C728" s="45" t="n">
        <v>311.0167</v>
      </c>
      <c r="D728" t="inlineStr">
        <is>
          <t>€/MWh</t>
        </is>
      </c>
      <c r="E728" s="54" t="n">
        <v>0.311017</v>
      </c>
      <c r="F728" s="54" t="n"/>
      <c r="G728" t="inlineStr">
        <is>
          <t>no aplica (precio mayorista)</t>
        </is>
      </c>
      <c r="J728" t="inlineStr">
        <is>
          <t>2021-12-23</t>
        </is>
      </c>
      <c r="K728" t="inlineStr">
        <is>
          <t>marginalpdbc_20211224.1</t>
        </is>
      </c>
      <c r="L728" t="inlineStr">
        <is>
          <t>24 periodos; mín 258.50, máx 373.34 €/MWh</t>
        </is>
      </c>
    </row>
    <row r="729">
      <c r="A729" s="53" t="n">
        <v>44555</v>
      </c>
      <c r="B729" t="inlineStr">
        <is>
          <t>2021-12-25</t>
        </is>
      </c>
      <c r="C729" s="45" t="n">
        <v>226.4162</v>
      </c>
      <c r="D729" t="inlineStr">
        <is>
          <t>€/MWh</t>
        </is>
      </c>
      <c r="E729" s="54" t="n">
        <v>0.226416</v>
      </c>
      <c r="F729" s="54" t="n"/>
      <c r="G729" t="inlineStr">
        <is>
          <t>no aplica (precio mayorista)</t>
        </is>
      </c>
      <c r="J729" t="inlineStr">
        <is>
          <t>2021-12-24</t>
        </is>
      </c>
      <c r="K729" t="inlineStr">
        <is>
          <t>marginalpdbc_20211225.1</t>
        </is>
      </c>
      <c r="L729" t="inlineStr">
        <is>
          <t>24 periodos; mín 125.31, máx 315.12 €/MWh</t>
        </is>
      </c>
    </row>
    <row r="730">
      <c r="A730" s="53" t="n">
        <v>44556</v>
      </c>
      <c r="B730" t="inlineStr">
        <is>
          <t>2021-12-26</t>
        </is>
      </c>
      <c r="C730" s="45" t="n">
        <v>188.5263</v>
      </c>
      <c r="D730" t="inlineStr">
        <is>
          <t>€/MWh</t>
        </is>
      </c>
      <c r="E730" s="54" t="n">
        <v>0.188526</v>
      </c>
      <c r="F730" s="54" t="n"/>
      <c r="G730" t="inlineStr">
        <is>
          <t>no aplica (precio mayorista)</t>
        </is>
      </c>
      <c r="J730" t="inlineStr">
        <is>
          <t>2021-12-25</t>
        </is>
      </c>
      <c r="K730" t="inlineStr">
        <is>
          <t>marginalpdbc_20211226.1</t>
        </is>
      </c>
      <c r="L730" t="inlineStr">
        <is>
          <t>24 periodos; mín 130.24, máx 241.25 €/MWh</t>
        </is>
      </c>
    </row>
    <row r="731">
      <c r="A731" s="53" t="n">
        <v>44557</v>
      </c>
      <c r="B731" t="inlineStr">
        <is>
          <t>2021-12-27</t>
        </is>
      </c>
      <c r="C731" s="45" t="n">
        <v>96.0783</v>
      </c>
      <c r="D731" t="inlineStr">
        <is>
          <t>€/MWh</t>
        </is>
      </c>
      <c r="E731" s="54" t="n">
        <v>0.096078</v>
      </c>
      <c r="F731" s="54" t="n"/>
      <c r="G731" t="inlineStr">
        <is>
          <t>no aplica (precio mayorista)</t>
        </is>
      </c>
      <c r="J731" t="inlineStr">
        <is>
          <t>2021-12-26</t>
        </is>
      </c>
      <c r="K731" t="inlineStr">
        <is>
          <t>marginalpdbc_20211227.1</t>
        </is>
      </c>
      <c r="L731" t="inlineStr">
        <is>
          <t>24 periodos; mín 2.67, máx 207.10 €/MWh</t>
        </is>
      </c>
    </row>
    <row r="732">
      <c r="A732" s="53" t="n">
        <v>44558</v>
      </c>
      <c r="B732" t="inlineStr">
        <is>
          <t>2021-12-28</t>
        </is>
      </c>
      <c r="C732" s="45" t="n">
        <v>104.3642</v>
      </c>
      <c r="D732" t="inlineStr">
        <is>
          <t>€/MWh</t>
        </is>
      </c>
      <c r="E732" s="54" t="n">
        <v>0.104364</v>
      </c>
      <c r="F732" s="54" t="n"/>
      <c r="G732" t="inlineStr">
        <is>
          <t>no aplica (precio mayorista)</t>
        </is>
      </c>
      <c r="J732" t="inlineStr">
        <is>
          <t>2021-12-27</t>
        </is>
      </c>
      <c r="K732" t="inlineStr">
        <is>
          <t>marginalpdbc_20211228.1</t>
        </is>
      </c>
      <c r="L732" t="inlineStr">
        <is>
          <t>24 periodos; mín 8.06, máx 176.03 €/MWh</t>
        </is>
      </c>
    </row>
    <row r="733">
      <c r="A733" s="53" t="n">
        <v>44559</v>
      </c>
      <c r="B733" t="inlineStr">
        <is>
          <t>2021-12-29</t>
        </is>
      </c>
      <c r="C733" s="45" t="n">
        <v>181.0883</v>
      </c>
      <c r="D733" t="inlineStr">
        <is>
          <t>€/MWh</t>
        </is>
      </c>
      <c r="E733" s="54" t="n">
        <v>0.181088</v>
      </c>
      <c r="F733" s="54" t="n"/>
      <c r="G733" t="inlineStr">
        <is>
          <t>no aplica (precio mayorista)</t>
        </is>
      </c>
      <c r="J733" t="inlineStr">
        <is>
          <t>2021-12-28</t>
        </is>
      </c>
      <c r="K733" t="inlineStr">
        <is>
          <t>marginalpdbc_20211229.1</t>
        </is>
      </c>
      <c r="L733" t="inlineStr">
        <is>
          <t>24 periodos; mín 90.82, máx 255.00 €/MWh</t>
        </is>
      </c>
    </row>
    <row r="734">
      <c r="A734" s="53" t="n">
        <v>44560</v>
      </c>
      <c r="B734" t="inlineStr">
        <is>
          <t>2021-12-30</t>
        </is>
      </c>
      <c r="C734" s="45" t="n">
        <v>200.6817</v>
      </c>
      <c r="D734" t="inlineStr">
        <is>
          <t>€/MWh</t>
        </is>
      </c>
      <c r="E734" s="54" t="n">
        <v>0.200682</v>
      </c>
      <c r="F734" s="54" t="n"/>
      <c r="G734" t="inlineStr">
        <is>
          <t>no aplica (precio mayorista)</t>
        </is>
      </c>
      <c r="J734" t="inlineStr">
        <is>
          <t>2021-12-29</t>
        </is>
      </c>
      <c r="K734" t="inlineStr">
        <is>
          <t>marginalpdbc_20211230.1</t>
        </is>
      </c>
      <c r="L734" t="inlineStr">
        <is>
          <t>24 periodos; mín 174.70, máx 252.22 €/MWh</t>
        </is>
      </c>
    </row>
    <row r="735">
      <c r="A735" s="53" t="n">
        <v>44561</v>
      </c>
      <c r="B735" t="inlineStr">
        <is>
          <t>2021-12-31</t>
        </is>
      </c>
      <c r="C735" s="45" t="n">
        <v>140.8212</v>
      </c>
      <c r="D735" t="inlineStr">
        <is>
          <t>€/MWh</t>
        </is>
      </c>
      <c r="E735" s="54" t="n">
        <v>0.140821</v>
      </c>
      <c r="F735" s="54" t="n"/>
      <c r="G735" t="inlineStr">
        <is>
          <t>no aplica (precio mayorista)</t>
        </is>
      </c>
      <c r="J735" t="inlineStr">
        <is>
          <t>2021-12-30</t>
        </is>
      </c>
      <c r="K735" t="inlineStr">
        <is>
          <t>marginalpdbc_20211231.1</t>
        </is>
      </c>
      <c r="L735" t="inlineStr">
        <is>
          <t>24 periodos; mín 111.10, máx 193.15 €/MWh</t>
        </is>
      </c>
    </row>
    <row r="736">
      <c r="A736" s="53" t="n">
        <v>44562</v>
      </c>
      <c r="B736" t="inlineStr">
        <is>
          <t>2022-01-01</t>
        </is>
      </c>
      <c r="C736" s="45" t="n">
        <v>122.6292</v>
      </c>
      <c r="D736" t="inlineStr">
        <is>
          <t>€/MWh</t>
        </is>
      </c>
      <c r="E736" s="54" t="n">
        <v>0.122629</v>
      </c>
      <c r="F736" s="54" t="n"/>
      <c r="G736" t="inlineStr">
        <is>
          <t>no aplica (precio mayorista)</t>
        </is>
      </c>
      <c r="J736" t="inlineStr">
        <is>
          <t>2021-12-31</t>
        </is>
      </c>
      <c r="K736" t="inlineStr">
        <is>
          <t>marginalpdbc_20220101.1</t>
        </is>
      </c>
      <c r="L736" t="inlineStr">
        <is>
          <t>24 periodos; mín 70.05, máx 190.81 €/MWh</t>
        </is>
      </c>
    </row>
    <row r="737">
      <c r="A737" s="53" t="n">
        <v>44563</v>
      </c>
      <c r="B737" t="inlineStr">
        <is>
          <t>2022-01-02</t>
        </is>
      </c>
      <c r="C737" s="45" t="n">
        <v>136.9683</v>
      </c>
      <c r="D737" t="inlineStr">
        <is>
          <t>€/MWh</t>
        </is>
      </c>
      <c r="E737" s="54" t="n">
        <v>0.136968</v>
      </c>
      <c r="F737" s="54" t="n"/>
      <c r="G737" t="inlineStr">
        <is>
          <t>no aplica (precio mayorista)</t>
        </is>
      </c>
      <c r="J737" t="inlineStr">
        <is>
          <t>2022-01-01</t>
        </is>
      </c>
      <c r="K737" t="inlineStr">
        <is>
          <t>marginalpdbc_20220102.1</t>
        </is>
      </c>
      <c r="L737" t="inlineStr">
        <is>
          <t>24 periodos; mín 103.70, máx 209.10 €/MWh</t>
        </is>
      </c>
    </row>
    <row r="738">
      <c r="A738" s="53" t="n">
        <v>44564</v>
      </c>
      <c r="B738" t="inlineStr">
        <is>
          <t>2022-01-03</t>
        </is>
      </c>
      <c r="C738" s="45" t="n">
        <v>150.4983</v>
      </c>
      <c r="D738" t="inlineStr">
        <is>
          <t>€/MWh</t>
        </is>
      </c>
      <c r="E738" s="54" t="n">
        <v>0.150498</v>
      </c>
      <c r="F738" s="54" t="n"/>
      <c r="G738" t="inlineStr">
        <is>
          <t>no aplica (precio mayorista)</t>
        </is>
      </c>
      <c r="J738" t="inlineStr">
        <is>
          <t>2022-01-02</t>
        </is>
      </c>
      <c r="K738" t="inlineStr">
        <is>
          <t>marginalpdbc_20220103.1</t>
        </is>
      </c>
      <c r="L738" t="inlineStr">
        <is>
          <t>24 periodos; mín 100.36, máx 189.26 €/MWh</t>
        </is>
      </c>
    </row>
    <row r="739">
      <c r="A739" s="53" t="n">
        <v>44565</v>
      </c>
      <c r="B739" t="inlineStr">
        <is>
          <t>2022-01-04</t>
        </is>
      </c>
      <c r="C739" s="45" t="n">
        <v>152.1454</v>
      </c>
      <c r="D739" t="inlineStr">
        <is>
          <t>€/MWh</t>
        </is>
      </c>
      <c r="E739" s="54" t="n">
        <v>0.152145</v>
      </c>
      <c r="F739" s="54" t="n"/>
      <c r="G739" t="inlineStr">
        <is>
          <t>no aplica (precio mayorista)</t>
        </is>
      </c>
      <c r="J739" t="inlineStr">
        <is>
          <t>2022-01-03</t>
        </is>
      </c>
      <c r="K739" t="inlineStr">
        <is>
          <t>marginalpdbc_20220104.1</t>
        </is>
      </c>
      <c r="L739" t="inlineStr">
        <is>
          <t>24 periodos; mín 105.00, máx 190.00 €/MWh</t>
        </is>
      </c>
    </row>
    <row r="740">
      <c r="A740" s="53" t="n">
        <v>44566</v>
      </c>
      <c r="B740" t="inlineStr">
        <is>
          <t>2022-01-05</t>
        </is>
      </c>
      <c r="C740" s="45" t="n">
        <v>180.2</v>
      </c>
      <c r="D740" t="inlineStr">
        <is>
          <t>€/MWh</t>
        </is>
      </c>
      <c r="E740" s="54" t="n">
        <v>0.1802</v>
      </c>
      <c r="F740" s="54" t="n"/>
      <c r="G740" t="inlineStr">
        <is>
          <t>no aplica (precio mayorista)</t>
        </is>
      </c>
      <c r="J740" t="inlineStr">
        <is>
          <t>2022-01-04</t>
        </is>
      </c>
      <c r="K740" t="inlineStr">
        <is>
          <t>marginalpdbc_20220105.1</t>
        </is>
      </c>
      <c r="L740" t="inlineStr">
        <is>
          <t>24 periodos; mín 75.38, máx 250.34 €/MWh</t>
        </is>
      </c>
    </row>
    <row r="741">
      <c r="A741" s="53" t="n">
        <v>44567</v>
      </c>
      <c r="B741" t="inlineStr">
        <is>
          <t>2022-01-06</t>
        </is>
      </c>
      <c r="C741" s="45" t="n">
        <v>212.9792</v>
      </c>
      <c r="D741" t="inlineStr">
        <is>
          <t>€/MWh</t>
        </is>
      </c>
      <c r="E741" s="54" t="n">
        <v>0.212979</v>
      </c>
      <c r="F741" s="54" t="n"/>
      <c r="G741" t="inlineStr">
        <is>
          <t>no aplica (precio mayorista)</t>
        </is>
      </c>
      <c r="J741" t="inlineStr">
        <is>
          <t>2022-01-05</t>
        </is>
      </c>
      <c r="K741" t="inlineStr">
        <is>
          <t>marginalpdbc_20220106.1</t>
        </is>
      </c>
      <c r="L741" t="inlineStr">
        <is>
          <t>24 periodos; mín 170.10, máx 278.36 €/MWh</t>
        </is>
      </c>
    </row>
    <row r="742">
      <c r="A742" s="53" t="n">
        <v>44568</v>
      </c>
      <c r="B742" t="inlineStr">
        <is>
          <t>2022-01-07</t>
        </is>
      </c>
      <c r="C742" s="45" t="n">
        <v>215.8558</v>
      </c>
      <c r="D742" t="inlineStr">
        <is>
          <t>€/MWh</t>
        </is>
      </c>
      <c r="E742" s="54" t="n">
        <v>0.215856</v>
      </c>
      <c r="F742" s="54" t="n"/>
      <c r="G742" t="inlineStr">
        <is>
          <t>no aplica (precio mayorista)</t>
        </is>
      </c>
      <c r="J742" t="inlineStr">
        <is>
          <t>2022-01-06</t>
        </is>
      </c>
      <c r="K742" t="inlineStr">
        <is>
          <t>marginalpdbc_20220107.1</t>
        </is>
      </c>
      <c r="L742" t="inlineStr">
        <is>
          <t>24 periodos; mín 162.80, máx 260.00 €/MWh</t>
        </is>
      </c>
    </row>
    <row r="743">
      <c r="A743" s="53" t="n">
        <v>44569</v>
      </c>
      <c r="B743" t="inlineStr">
        <is>
          <t>2022-01-08</t>
        </is>
      </c>
      <c r="C743" s="45" t="n">
        <v>203.4462</v>
      </c>
      <c r="D743" t="inlineStr">
        <is>
          <t>€/MWh</t>
        </is>
      </c>
      <c r="E743" s="54" t="n">
        <v>0.203446</v>
      </c>
      <c r="F743" s="54" t="n"/>
      <c r="G743" t="inlineStr">
        <is>
          <t>no aplica (precio mayorista)</t>
        </is>
      </c>
      <c r="J743" t="inlineStr">
        <is>
          <t>2022-01-07</t>
        </is>
      </c>
      <c r="K743" t="inlineStr">
        <is>
          <t>marginalpdbc_20220108.1</t>
        </is>
      </c>
      <c r="L743" t="inlineStr">
        <is>
          <t>24 periodos; mín 147.94, máx 270.02 €/MWh</t>
        </is>
      </c>
    </row>
    <row r="744">
      <c r="A744" s="53" t="n">
        <v>44570</v>
      </c>
      <c r="B744" t="inlineStr">
        <is>
          <t>2022-01-09</t>
        </is>
      </c>
      <c r="C744" s="45" t="n">
        <v>119.2437</v>
      </c>
      <c r="D744" t="inlineStr">
        <is>
          <t>€/MWh</t>
        </is>
      </c>
      <c r="E744" s="54" t="n">
        <v>0.119244</v>
      </c>
      <c r="F744" s="54" t="n"/>
      <c r="G744" t="inlineStr">
        <is>
          <t>no aplica (precio mayorista)</t>
        </is>
      </c>
      <c r="J744" t="inlineStr">
        <is>
          <t>2022-01-08</t>
        </is>
      </c>
      <c r="K744" t="inlineStr">
        <is>
          <t>marginalpdbc_20220109.1</t>
        </is>
      </c>
      <c r="L744" t="inlineStr">
        <is>
          <t>24 periodos; mín 14.00, máx 240.00 €/MWh</t>
        </is>
      </c>
    </row>
    <row r="745">
      <c r="A745" s="53" t="n">
        <v>44571</v>
      </c>
      <c r="B745" t="inlineStr">
        <is>
          <t>2022-01-10</t>
        </is>
      </c>
      <c r="C745" s="45" t="n">
        <v>217.2646</v>
      </c>
      <c r="D745" t="inlineStr">
        <is>
          <t>€/MWh</t>
        </is>
      </c>
      <c r="E745" s="54" t="n">
        <v>0.217265</v>
      </c>
      <c r="F745" s="54" t="n"/>
      <c r="G745" t="inlineStr">
        <is>
          <t>no aplica (precio mayorista)</t>
        </is>
      </c>
      <c r="J745" t="inlineStr">
        <is>
          <t>2022-01-09</t>
        </is>
      </c>
      <c r="K745" t="inlineStr">
        <is>
          <t>marginalpdbc_20220110.1</t>
        </is>
      </c>
      <c r="L745" t="inlineStr">
        <is>
          <t>24 periodos; mín 158.70, máx 294.98 €/MWh</t>
        </is>
      </c>
    </row>
    <row r="746">
      <c r="A746" s="53" t="n">
        <v>44572</v>
      </c>
      <c r="B746" t="inlineStr">
        <is>
          <t>2022-01-11</t>
        </is>
      </c>
      <c r="C746" s="45" t="n">
        <v>223.1633</v>
      </c>
      <c r="D746" t="inlineStr">
        <is>
          <t>€/MWh</t>
        </is>
      </c>
      <c r="E746" s="54" t="n">
        <v>0.223163</v>
      </c>
      <c r="F746" s="54" t="n"/>
      <c r="G746" t="inlineStr">
        <is>
          <t>no aplica (precio mayorista)</t>
        </is>
      </c>
      <c r="J746" t="inlineStr">
        <is>
          <t>2022-01-10</t>
        </is>
      </c>
      <c r="K746" t="inlineStr">
        <is>
          <t>marginalpdbc_20220111.1</t>
        </is>
      </c>
      <c r="L746" t="inlineStr">
        <is>
          <t>24 periodos; mín 193.00, máx 262.66 €/MWh</t>
        </is>
      </c>
    </row>
    <row r="747">
      <c r="A747" s="53" t="n">
        <v>44573</v>
      </c>
      <c r="B747" t="inlineStr">
        <is>
          <t>2022-01-12</t>
        </is>
      </c>
      <c r="C747" s="45" t="n">
        <v>206.0683</v>
      </c>
      <c r="D747" t="inlineStr">
        <is>
          <t>€/MWh</t>
        </is>
      </c>
      <c r="E747" s="54" t="n">
        <v>0.206068</v>
      </c>
      <c r="F747" s="54" t="n"/>
      <c r="G747" t="inlineStr">
        <is>
          <t>no aplica (precio mayorista)</t>
        </is>
      </c>
      <c r="J747" t="inlineStr">
        <is>
          <t>2022-01-11</t>
        </is>
      </c>
      <c r="K747" t="inlineStr">
        <is>
          <t>marginalpdbc_20220112.1</t>
        </is>
      </c>
      <c r="L747" t="inlineStr">
        <is>
          <t>24 periodos; mín 178.33, máx 261.38 €/MWh</t>
        </is>
      </c>
    </row>
    <row r="748">
      <c r="A748" s="53" t="n">
        <v>44574</v>
      </c>
      <c r="B748" t="inlineStr">
        <is>
          <t>2022-01-13</t>
        </is>
      </c>
      <c r="C748" s="45" t="n">
        <v>215.105</v>
      </c>
      <c r="D748" t="inlineStr">
        <is>
          <t>€/MWh</t>
        </is>
      </c>
      <c r="E748" s="54" t="n">
        <v>0.215105</v>
      </c>
      <c r="F748" s="54" t="n"/>
      <c r="G748" t="inlineStr">
        <is>
          <t>no aplica (precio mayorista)</t>
        </is>
      </c>
      <c r="J748" t="inlineStr">
        <is>
          <t>2022-01-12</t>
        </is>
      </c>
      <c r="K748" t="inlineStr">
        <is>
          <t>marginalpdbc_20220113.1</t>
        </is>
      </c>
      <c r="L748" t="inlineStr">
        <is>
          <t>24 periodos; mín 182.88, máx 262.95 €/MWh</t>
        </is>
      </c>
    </row>
    <row r="749">
      <c r="A749" s="53" t="n">
        <v>44575</v>
      </c>
      <c r="B749" t="inlineStr">
        <is>
          <t>2022-01-14</t>
        </is>
      </c>
      <c r="C749" s="45" t="n">
        <v>202.9471</v>
      </c>
      <c r="D749" t="inlineStr">
        <is>
          <t>€/MWh</t>
        </is>
      </c>
      <c r="E749" s="54" t="n">
        <v>0.202947</v>
      </c>
      <c r="F749" s="54" t="n"/>
      <c r="G749" t="inlineStr">
        <is>
          <t>no aplica (precio mayorista)</t>
        </is>
      </c>
      <c r="J749" t="inlineStr">
        <is>
          <t>2022-01-13</t>
        </is>
      </c>
      <c r="K749" t="inlineStr">
        <is>
          <t>marginalpdbc_20220114.1</t>
        </is>
      </c>
      <c r="L749" t="inlineStr">
        <is>
          <t>24 periodos; mín 180.30, máx 235.01 €/MWh</t>
        </is>
      </c>
    </row>
    <row r="750">
      <c r="A750" s="53" t="n">
        <v>44576</v>
      </c>
      <c r="B750" t="inlineStr">
        <is>
          <t>2022-01-15</t>
        </is>
      </c>
      <c r="C750" s="45" t="n">
        <v>218.8183</v>
      </c>
      <c r="D750" t="inlineStr">
        <is>
          <t>€/MWh</t>
        </is>
      </c>
      <c r="E750" s="54" t="n">
        <v>0.218818</v>
      </c>
      <c r="F750" s="54" t="n"/>
      <c r="G750" t="inlineStr">
        <is>
          <t>no aplica (precio mayorista)</t>
        </is>
      </c>
      <c r="J750" t="inlineStr">
        <is>
          <t>2022-01-14</t>
        </is>
      </c>
      <c r="K750" t="inlineStr">
        <is>
          <t>marginalpdbc_20220115.1</t>
        </is>
      </c>
      <c r="L750" t="inlineStr">
        <is>
          <t>24 periodos; mín 193.04, máx 267.03 €/MWh</t>
        </is>
      </c>
    </row>
    <row r="751">
      <c r="A751" s="53" t="n">
        <v>44577</v>
      </c>
      <c r="B751" t="inlineStr">
        <is>
          <t>2022-01-16</t>
        </is>
      </c>
      <c r="C751" s="45" t="n">
        <v>213.0963</v>
      </c>
      <c r="D751" t="inlineStr">
        <is>
          <t>€/MWh</t>
        </is>
      </c>
      <c r="E751" s="54" t="n">
        <v>0.213096</v>
      </c>
      <c r="F751" s="54" t="n"/>
      <c r="G751" t="inlineStr">
        <is>
          <t>no aplica (precio mayorista)</t>
        </is>
      </c>
      <c r="J751" t="inlineStr">
        <is>
          <t>2022-01-15</t>
        </is>
      </c>
      <c r="K751" t="inlineStr">
        <is>
          <t>marginalpdbc_20220116.1</t>
        </is>
      </c>
      <c r="L751" t="inlineStr">
        <is>
          <t>24 periodos; mín 186.60, máx 265.36 €/MWh</t>
        </is>
      </c>
    </row>
    <row r="752">
      <c r="A752" s="53" t="n">
        <v>44578</v>
      </c>
      <c r="B752" t="inlineStr">
        <is>
          <t>2022-01-17</t>
        </is>
      </c>
      <c r="C752" s="45" t="n">
        <v>244.6696</v>
      </c>
      <c r="D752" t="inlineStr">
        <is>
          <t>€/MWh</t>
        </is>
      </c>
      <c r="E752" s="54" t="n">
        <v>0.24467</v>
      </c>
      <c r="F752" s="54" t="n"/>
      <c r="G752" t="inlineStr">
        <is>
          <t>no aplica (precio mayorista)</t>
        </is>
      </c>
      <c r="J752" t="inlineStr">
        <is>
          <t>2022-01-16</t>
        </is>
      </c>
      <c r="K752" t="inlineStr">
        <is>
          <t>marginalpdbc_20220117.1</t>
        </is>
      </c>
      <c r="L752" t="inlineStr">
        <is>
          <t>24 periodos; mín 209.55, máx 285.68 €/MWh</t>
        </is>
      </c>
    </row>
    <row r="753">
      <c r="A753" s="53" t="n">
        <v>44579</v>
      </c>
      <c r="B753" t="inlineStr">
        <is>
          <t>2022-01-18</t>
        </is>
      </c>
      <c r="C753" s="45" t="n">
        <v>222.73</v>
      </c>
      <c r="D753" t="inlineStr">
        <is>
          <t>€/MWh</t>
        </is>
      </c>
      <c r="E753" s="54" t="n">
        <v>0.22273</v>
      </c>
      <c r="F753" s="54" t="n"/>
      <c r="G753" t="inlineStr">
        <is>
          <t>no aplica (precio mayorista)</t>
        </is>
      </c>
      <c r="J753" t="inlineStr">
        <is>
          <t>2022-01-17</t>
        </is>
      </c>
      <c r="K753" t="inlineStr">
        <is>
          <t>marginalpdbc_20220118.1</t>
        </is>
      </c>
      <c r="L753" t="inlineStr">
        <is>
          <t>24 periodos; mín 193.99, máx 272.22 €/MWh</t>
        </is>
      </c>
    </row>
    <row r="754">
      <c r="A754" s="53" t="n">
        <v>44580</v>
      </c>
      <c r="B754" t="inlineStr">
        <is>
          <t>2022-01-19</t>
        </is>
      </c>
      <c r="C754" s="45" t="n">
        <v>213.1608</v>
      </c>
      <c r="D754" t="inlineStr">
        <is>
          <t>€/MWh</t>
        </is>
      </c>
      <c r="E754" s="54" t="n">
        <v>0.213161</v>
      </c>
      <c r="F754" s="54" t="n"/>
      <c r="G754" t="inlineStr">
        <is>
          <t>no aplica (precio mayorista)</t>
        </is>
      </c>
      <c r="J754" t="inlineStr">
        <is>
          <t>2022-01-18</t>
        </is>
      </c>
      <c r="K754" t="inlineStr">
        <is>
          <t>marginalpdbc_20220119.1</t>
        </is>
      </c>
      <c r="L754" t="inlineStr">
        <is>
          <t>24 periodos; mín 179.64, máx 259.81 €/MWh</t>
        </is>
      </c>
    </row>
    <row r="755">
      <c r="A755" s="53" t="n">
        <v>44581</v>
      </c>
      <c r="B755" t="inlineStr">
        <is>
          <t>2022-01-20</t>
        </is>
      </c>
      <c r="C755" s="45" t="n">
        <v>190.6392</v>
      </c>
      <c r="D755" t="inlineStr">
        <is>
          <t>€/MWh</t>
        </is>
      </c>
      <c r="E755" s="54" t="n">
        <v>0.190639</v>
      </c>
      <c r="F755" s="54" t="n"/>
      <c r="G755" t="inlineStr">
        <is>
          <t>no aplica (precio mayorista)</t>
        </is>
      </c>
      <c r="J755" t="inlineStr">
        <is>
          <t>2022-01-19</t>
        </is>
      </c>
      <c r="K755" t="inlineStr">
        <is>
          <t>marginalpdbc_20220120.1</t>
        </is>
      </c>
      <c r="L755" t="inlineStr">
        <is>
          <t>24 periodos; mín 160.69, máx 239.38 €/MWh</t>
        </is>
      </c>
    </row>
    <row r="756">
      <c r="A756" s="53" t="n">
        <v>44582</v>
      </c>
      <c r="B756" t="inlineStr">
        <is>
          <t>2022-01-21</t>
        </is>
      </c>
      <c r="C756" s="45" t="n">
        <v>179.0896</v>
      </c>
      <c r="D756" t="inlineStr">
        <is>
          <t>€/MWh</t>
        </is>
      </c>
      <c r="E756" s="54" t="n">
        <v>0.17909</v>
      </c>
      <c r="F756" s="54" t="n"/>
      <c r="G756" t="inlineStr">
        <is>
          <t>no aplica (precio mayorista)</t>
        </is>
      </c>
      <c r="J756" t="inlineStr">
        <is>
          <t>2022-01-20</t>
        </is>
      </c>
      <c r="K756" t="inlineStr">
        <is>
          <t>marginalpdbc_20220121.1</t>
        </is>
      </c>
      <c r="L756" t="inlineStr">
        <is>
          <t>24 periodos; mín 154.70, máx 214.70 €/MWh</t>
        </is>
      </c>
    </row>
    <row r="757">
      <c r="A757" s="53" t="n">
        <v>44583</v>
      </c>
      <c r="B757" t="inlineStr">
        <is>
          <t>2022-01-22</t>
        </is>
      </c>
      <c r="C757" s="45" t="n">
        <v>190.4146</v>
      </c>
      <c r="D757" t="inlineStr">
        <is>
          <t>€/MWh</t>
        </is>
      </c>
      <c r="E757" s="54" t="n">
        <v>0.190415</v>
      </c>
      <c r="F757" s="54" t="n"/>
      <c r="G757" t="inlineStr">
        <is>
          <t>no aplica (precio mayorista)</t>
        </is>
      </c>
      <c r="J757" t="inlineStr">
        <is>
          <t>2022-01-21</t>
        </is>
      </c>
      <c r="K757" t="inlineStr">
        <is>
          <t>marginalpdbc_20220122.1</t>
        </is>
      </c>
      <c r="L757" t="inlineStr">
        <is>
          <t>24 periodos; mín 166.90, máx 245.27 €/MWh</t>
        </is>
      </c>
    </row>
    <row r="758">
      <c r="A758" s="53" t="n">
        <v>44584</v>
      </c>
      <c r="B758" t="inlineStr">
        <is>
          <t>2022-01-23</t>
        </is>
      </c>
      <c r="C758" s="45" t="n">
        <v>201.34</v>
      </c>
      <c r="D758" t="inlineStr">
        <is>
          <t>€/MWh</t>
        </is>
      </c>
      <c r="E758" s="54" t="n">
        <v>0.20134</v>
      </c>
      <c r="F758" s="54" t="n"/>
      <c r="G758" t="inlineStr">
        <is>
          <t>no aplica (precio mayorista)</t>
        </is>
      </c>
      <c r="J758" t="inlineStr">
        <is>
          <t>2022-01-22</t>
        </is>
      </c>
      <c r="K758" t="inlineStr">
        <is>
          <t>marginalpdbc_20220123.1</t>
        </is>
      </c>
      <c r="L758" t="inlineStr">
        <is>
          <t>24 periodos; mín 179.04, máx 249.00 €/MWh</t>
        </is>
      </c>
    </row>
    <row r="759">
      <c r="A759" s="53" t="n">
        <v>44585</v>
      </c>
      <c r="B759" t="inlineStr">
        <is>
          <t>2022-01-24</t>
        </is>
      </c>
      <c r="C759" s="45" t="n">
        <v>226.9988</v>
      </c>
      <c r="D759" t="inlineStr">
        <is>
          <t>€/MWh</t>
        </is>
      </c>
      <c r="E759" s="54" t="n">
        <v>0.226999</v>
      </c>
      <c r="F759" s="54" t="n"/>
      <c r="G759" t="inlineStr">
        <is>
          <t>no aplica (precio mayorista)</t>
        </is>
      </c>
      <c r="J759" t="inlineStr">
        <is>
          <t>2022-01-23</t>
        </is>
      </c>
      <c r="K759" t="inlineStr">
        <is>
          <t>marginalpdbc_20220124.1</t>
        </is>
      </c>
      <c r="L759" t="inlineStr">
        <is>
          <t>24 periodos; mín 177.46, máx 297.33 €/MWh</t>
        </is>
      </c>
    </row>
    <row r="760">
      <c r="A760" s="53" t="n">
        <v>44586</v>
      </c>
      <c r="B760" t="inlineStr">
        <is>
          <t>2022-01-25</t>
        </is>
      </c>
      <c r="C760" s="45" t="n">
        <v>224.2367</v>
      </c>
      <c r="D760" t="inlineStr">
        <is>
          <t>€/MWh</t>
        </is>
      </c>
      <c r="E760" s="54" t="n">
        <v>0.224237</v>
      </c>
      <c r="F760" s="54" t="n"/>
      <c r="G760" t="inlineStr">
        <is>
          <t>no aplica (precio mayorista)</t>
        </is>
      </c>
      <c r="J760" t="inlineStr">
        <is>
          <t>2022-01-24</t>
        </is>
      </c>
      <c r="K760" t="inlineStr">
        <is>
          <t>marginalpdbc_20220125.1</t>
        </is>
      </c>
      <c r="L760" t="inlineStr">
        <is>
          <t>24 periodos; mín 196.24, máx 256.36 €/MWh</t>
        </is>
      </c>
    </row>
    <row r="761">
      <c r="A761" s="53" t="n">
        <v>44587</v>
      </c>
      <c r="B761" t="inlineStr">
        <is>
          <t>2022-01-26</t>
        </is>
      </c>
      <c r="C761" s="45" t="n">
        <v>236.7713</v>
      </c>
      <c r="D761" t="inlineStr">
        <is>
          <t>€/MWh</t>
        </is>
      </c>
      <c r="E761" s="54" t="n">
        <v>0.236771</v>
      </c>
      <c r="F761" s="54" t="n"/>
      <c r="G761" t="inlineStr">
        <is>
          <t>no aplica (precio mayorista)</t>
        </is>
      </c>
      <c r="J761" t="inlineStr">
        <is>
          <t>2022-01-25</t>
        </is>
      </c>
      <c r="K761" t="inlineStr">
        <is>
          <t>marginalpdbc_20220126.1</t>
        </is>
      </c>
      <c r="L761" t="inlineStr">
        <is>
          <t>24 periodos; mín 225.01, máx 250.00 €/MWh</t>
        </is>
      </c>
    </row>
    <row r="762">
      <c r="A762" s="53" t="n">
        <v>44588</v>
      </c>
      <c r="B762" t="inlineStr">
        <is>
          <t>2022-01-27</t>
        </is>
      </c>
      <c r="C762" s="45" t="n">
        <v>232.5021</v>
      </c>
      <c r="D762" t="inlineStr">
        <is>
          <t>€/MWh</t>
        </is>
      </c>
      <c r="E762" s="54" t="n">
        <v>0.232502</v>
      </c>
      <c r="F762" s="54" t="n"/>
      <c r="G762" t="inlineStr">
        <is>
          <t>no aplica (precio mayorista)</t>
        </is>
      </c>
      <c r="J762" t="inlineStr">
        <is>
          <t>2022-01-26</t>
        </is>
      </c>
      <c r="K762" t="inlineStr">
        <is>
          <t>marginalpdbc_20220127.1</t>
        </is>
      </c>
      <c r="L762" t="inlineStr">
        <is>
          <t>24 periodos; mín 215.75, máx 249.01 €/MWh</t>
        </is>
      </c>
    </row>
    <row r="763">
      <c r="A763" s="53" t="n">
        <v>44589</v>
      </c>
      <c r="B763" t="inlineStr">
        <is>
          <t>2022-01-28</t>
        </is>
      </c>
      <c r="C763" s="45" t="n">
        <v>224.5879</v>
      </c>
      <c r="D763" t="inlineStr">
        <is>
          <t>€/MWh</t>
        </is>
      </c>
      <c r="E763" s="54" t="n">
        <v>0.224588</v>
      </c>
      <c r="F763" s="54" t="n"/>
      <c r="G763" t="inlineStr">
        <is>
          <t>no aplica (precio mayorista)</t>
        </is>
      </c>
      <c r="J763" t="inlineStr">
        <is>
          <t>2022-01-27</t>
        </is>
      </c>
      <c r="K763" t="inlineStr">
        <is>
          <t>marginalpdbc_20220128.1</t>
        </is>
      </c>
      <c r="L763" t="inlineStr">
        <is>
          <t>24 periodos; mín 190.00, máx 255.38 €/MWh</t>
        </is>
      </c>
    </row>
    <row r="764">
      <c r="A764" s="53" t="n">
        <v>44590</v>
      </c>
      <c r="B764" t="inlineStr">
        <is>
          <t>2022-01-29</t>
        </is>
      </c>
      <c r="C764" s="45" t="n">
        <v>223.355</v>
      </c>
      <c r="D764" t="inlineStr">
        <is>
          <t>€/MWh</t>
        </is>
      </c>
      <c r="E764" s="54" t="n">
        <v>0.223355</v>
      </c>
      <c r="F764" s="54" t="n"/>
      <c r="G764" t="inlineStr">
        <is>
          <t>no aplica (precio mayorista)</t>
        </is>
      </c>
      <c r="J764" t="inlineStr">
        <is>
          <t>2022-01-28</t>
        </is>
      </c>
      <c r="K764" t="inlineStr">
        <is>
          <t>marginalpdbc_20220129.1</t>
        </is>
      </c>
      <c r="L764" t="inlineStr">
        <is>
          <t>24 periodos; mín 181.97, máx 263.03 €/MWh</t>
        </is>
      </c>
    </row>
    <row r="765">
      <c r="A765" s="53" t="n">
        <v>44591</v>
      </c>
      <c r="B765" t="inlineStr">
        <is>
          <t>2022-01-30</t>
        </is>
      </c>
      <c r="C765" s="45" t="n">
        <v>230.5046</v>
      </c>
      <c r="D765" t="inlineStr">
        <is>
          <t>€/MWh</t>
        </is>
      </c>
      <c r="E765" s="54" t="n">
        <v>0.230505</v>
      </c>
      <c r="F765" s="54" t="n"/>
      <c r="G765" t="inlineStr">
        <is>
          <t>no aplica (precio mayorista)</t>
        </is>
      </c>
      <c r="J765" t="inlineStr">
        <is>
          <t>2022-01-29</t>
        </is>
      </c>
      <c r="K765" t="inlineStr">
        <is>
          <t>marginalpdbc_20220130.1</t>
        </is>
      </c>
      <c r="L765" t="inlineStr">
        <is>
          <t>24 periodos; mín 206.50, máx 268.65 €/MWh</t>
        </is>
      </c>
    </row>
    <row r="766">
      <c r="A766" s="53" t="n">
        <v>44592</v>
      </c>
      <c r="B766" t="inlineStr">
        <is>
          <t>2022-01-31</t>
        </is>
      </c>
      <c r="C766" s="45" t="n">
        <v>221.8171</v>
      </c>
      <c r="D766" t="inlineStr">
        <is>
          <t>€/MWh</t>
        </is>
      </c>
      <c r="E766" s="54" t="n">
        <v>0.221817</v>
      </c>
      <c r="F766" s="54" t="n"/>
      <c r="G766" t="inlineStr">
        <is>
          <t>no aplica (precio mayorista)</t>
        </is>
      </c>
      <c r="J766" t="inlineStr">
        <is>
          <t>2022-01-30</t>
        </is>
      </c>
      <c r="K766" t="inlineStr">
        <is>
          <t>marginalpdbc_20220131.1</t>
        </is>
      </c>
      <c r="L766" t="inlineStr">
        <is>
          <t>24 periodos; mín 167.80, máx 260.00 €/MWh</t>
        </is>
      </c>
    </row>
    <row r="767">
      <c r="A767" s="53" t="n">
        <v>44593</v>
      </c>
      <c r="B767" t="inlineStr">
        <is>
          <t>2022-02-01</t>
        </is>
      </c>
      <c r="C767" s="45" t="n">
        <v>206.5412</v>
      </c>
      <c r="D767" t="inlineStr">
        <is>
          <t>€/MWh</t>
        </is>
      </c>
      <c r="E767" s="54" t="n">
        <v>0.206541</v>
      </c>
      <c r="F767" s="54" t="n"/>
      <c r="G767" t="inlineStr">
        <is>
          <t>no aplica (precio mayorista)</t>
        </is>
      </c>
      <c r="J767" t="inlineStr">
        <is>
          <t>2022-01-31</t>
        </is>
      </c>
      <c r="K767" t="inlineStr">
        <is>
          <t>marginalpdbc_20220201.1</t>
        </is>
      </c>
      <c r="L767" t="inlineStr">
        <is>
          <t>24 periodos; mín 169.97, máx 253.00 €/MWh</t>
        </is>
      </c>
    </row>
    <row r="768">
      <c r="A768" s="53" t="n">
        <v>44594</v>
      </c>
      <c r="B768" t="inlineStr">
        <is>
          <t>2022-02-02</t>
        </is>
      </c>
      <c r="C768" s="45" t="n">
        <v>210.1762</v>
      </c>
      <c r="D768" t="inlineStr">
        <is>
          <t>€/MWh</t>
        </is>
      </c>
      <c r="E768" s="54" t="n">
        <v>0.210176</v>
      </c>
      <c r="F768" s="54" t="n"/>
      <c r="G768" t="inlineStr">
        <is>
          <t>no aplica (precio mayorista)</t>
        </is>
      </c>
      <c r="J768" t="inlineStr">
        <is>
          <t>2022-02-01</t>
        </is>
      </c>
      <c r="K768" t="inlineStr">
        <is>
          <t>marginalpdbc_20220202.1</t>
        </is>
      </c>
      <c r="L768" t="inlineStr">
        <is>
          <t>24 periodos; mín 168.08, máx 270.09 €/MWh</t>
        </is>
      </c>
    </row>
    <row r="769">
      <c r="A769" s="53" t="n">
        <v>44595</v>
      </c>
      <c r="B769" t="inlineStr">
        <is>
          <t>2022-02-03</t>
        </is>
      </c>
      <c r="C769" s="45" t="n">
        <v>207.89</v>
      </c>
      <c r="D769" t="inlineStr">
        <is>
          <t>€/MWh</t>
        </is>
      </c>
      <c r="E769" s="54" t="n">
        <v>0.20789</v>
      </c>
      <c r="F769" s="54" t="n"/>
      <c r="G769" t="inlineStr">
        <is>
          <t>no aplica (precio mayorista)</t>
        </is>
      </c>
      <c r="J769" t="inlineStr">
        <is>
          <t>2022-02-02</t>
        </is>
      </c>
      <c r="K769" t="inlineStr">
        <is>
          <t>marginalpdbc_20220203.1</t>
        </is>
      </c>
      <c r="L769" t="inlineStr">
        <is>
          <t>24 periodos; mín 173.25, máx 246.00 €/MWh</t>
        </is>
      </c>
    </row>
    <row r="770">
      <c r="A770" s="53" t="n">
        <v>44596</v>
      </c>
      <c r="B770" t="inlineStr">
        <is>
          <t>2022-02-04</t>
        </is>
      </c>
      <c r="C770" s="45" t="n">
        <v>197.0263</v>
      </c>
      <c r="D770" t="inlineStr">
        <is>
          <t>€/MWh</t>
        </is>
      </c>
      <c r="E770" s="54" t="n">
        <v>0.197026</v>
      </c>
      <c r="F770" s="54" t="n"/>
      <c r="G770" t="inlineStr">
        <is>
          <t>no aplica (precio mayorista)</t>
        </is>
      </c>
      <c r="J770" t="inlineStr">
        <is>
          <t>2022-02-03</t>
        </is>
      </c>
      <c r="K770" t="inlineStr">
        <is>
          <t>marginalpdbc_20220204.1</t>
        </is>
      </c>
      <c r="L770" t="inlineStr">
        <is>
          <t>24 periodos; mín 166.59, máx 233.34 €/MWh</t>
        </is>
      </c>
    </row>
    <row r="771">
      <c r="A771" s="53" t="n">
        <v>44597</v>
      </c>
      <c r="B771" t="inlineStr">
        <is>
          <t>2022-02-05</t>
        </is>
      </c>
      <c r="C771" s="45" t="n">
        <v>198.3725</v>
      </c>
      <c r="D771" t="inlineStr">
        <is>
          <t>€/MWh</t>
        </is>
      </c>
      <c r="E771" s="54" t="n">
        <v>0.198372</v>
      </c>
      <c r="F771" s="54" t="n"/>
      <c r="G771" t="inlineStr">
        <is>
          <t>no aplica (precio mayorista)</t>
        </is>
      </c>
      <c r="J771" t="inlineStr">
        <is>
          <t>2022-02-04</t>
        </is>
      </c>
      <c r="K771" t="inlineStr">
        <is>
          <t>marginalpdbc_20220205.1</t>
        </is>
      </c>
      <c r="L771" t="inlineStr">
        <is>
          <t>24 periodos; mín 170.47, máx 226.50 €/MWh</t>
        </is>
      </c>
    </row>
    <row r="772">
      <c r="A772" s="53" t="n">
        <v>44598</v>
      </c>
      <c r="B772" t="inlineStr">
        <is>
          <t>2022-02-06</t>
        </is>
      </c>
      <c r="C772" s="45" t="n">
        <v>190.4675</v>
      </c>
      <c r="D772" t="inlineStr">
        <is>
          <t>€/MWh</t>
        </is>
      </c>
      <c r="E772" s="54" t="n">
        <v>0.190468</v>
      </c>
      <c r="F772" s="54" t="n"/>
      <c r="G772" t="inlineStr">
        <is>
          <t>no aplica (precio mayorista)</t>
        </is>
      </c>
      <c r="J772" t="inlineStr">
        <is>
          <t>2022-02-05</t>
        </is>
      </c>
      <c r="K772" t="inlineStr">
        <is>
          <t>marginalpdbc_20220206.1</t>
        </is>
      </c>
      <c r="L772" t="inlineStr">
        <is>
          <t>24 periodos; mín 172.18, máx 246.43 €/MWh</t>
        </is>
      </c>
    </row>
    <row r="773">
      <c r="A773" s="53" t="n">
        <v>44599</v>
      </c>
      <c r="B773" t="inlineStr">
        <is>
          <t>2022-02-07</t>
        </is>
      </c>
      <c r="C773" s="45" t="n">
        <v>206.4621</v>
      </c>
      <c r="D773" t="inlineStr">
        <is>
          <t>€/MWh</t>
        </is>
      </c>
      <c r="E773" s="54" t="n">
        <v>0.206462</v>
      </c>
      <c r="F773" s="54" t="n"/>
      <c r="G773" t="inlineStr">
        <is>
          <t>no aplica (precio mayorista)</t>
        </is>
      </c>
      <c r="J773" t="inlineStr">
        <is>
          <t>2022-02-06</t>
        </is>
      </c>
      <c r="K773" t="inlineStr">
        <is>
          <t>marginalpdbc_20220207.1</t>
        </is>
      </c>
      <c r="L773" t="inlineStr">
        <is>
          <t>24 periodos; mín 165.97, máx 253.61 €/MWh</t>
        </is>
      </c>
    </row>
    <row r="774">
      <c r="A774" s="53" t="n">
        <v>44600</v>
      </c>
      <c r="B774" t="inlineStr">
        <is>
          <t>2022-02-08</t>
        </is>
      </c>
      <c r="C774" s="45" t="n">
        <v>203.6983</v>
      </c>
      <c r="D774" t="inlineStr">
        <is>
          <t>€/MWh</t>
        </is>
      </c>
      <c r="E774" s="54" t="n">
        <v>0.203698</v>
      </c>
      <c r="F774" s="54" t="n"/>
      <c r="G774" t="inlineStr">
        <is>
          <t>no aplica (precio mayorista)</t>
        </is>
      </c>
      <c r="J774" t="inlineStr">
        <is>
          <t>2022-02-07</t>
        </is>
      </c>
      <c r="K774" t="inlineStr">
        <is>
          <t>marginalpdbc_20220208.1</t>
        </is>
      </c>
      <c r="L774" t="inlineStr">
        <is>
          <t>24 periodos; mín 170.88, máx 250.00 €/MWh</t>
        </is>
      </c>
    </row>
    <row r="775">
      <c r="A775" s="53" t="n">
        <v>44601</v>
      </c>
      <c r="B775" t="inlineStr">
        <is>
          <t>2022-02-09</t>
        </is>
      </c>
      <c r="C775" s="45" t="n">
        <v>210.5246</v>
      </c>
      <c r="D775" t="inlineStr">
        <is>
          <t>€/MWh</t>
        </is>
      </c>
      <c r="E775" s="54" t="n">
        <v>0.210525</v>
      </c>
      <c r="F775" s="54" t="n"/>
      <c r="G775" t="inlineStr">
        <is>
          <t>no aplica (precio mayorista)</t>
        </is>
      </c>
      <c r="J775" t="inlineStr">
        <is>
          <t>2022-02-08</t>
        </is>
      </c>
      <c r="K775" t="inlineStr">
        <is>
          <t>marginalpdbc_20220209.1</t>
        </is>
      </c>
      <c r="L775" t="inlineStr">
        <is>
          <t>24 periodos; mín 182.59, máx 257.28 €/MWh</t>
        </is>
      </c>
    </row>
    <row r="776">
      <c r="A776" s="53" t="n">
        <v>44602</v>
      </c>
      <c r="B776" t="inlineStr">
        <is>
          <t>2022-02-10</t>
        </is>
      </c>
      <c r="C776" s="45" t="n">
        <v>205.7025</v>
      </c>
      <c r="D776" t="inlineStr">
        <is>
          <t>€/MWh</t>
        </is>
      </c>
      <c r="E776" s="54" t="n">
        <v>0.205702</v>
      </c>
      <c r="F776" s="54" t="n"/>
      <c r="G776" t="inlineStr">
        <is>
          <t>no aplica (precio mayorista)</t>
        </is>
      </c>
      <c r="J776" t="inlineStr">
        <is>
          <t>2022-02-09</t>
        </is>
      </c>
      <c r="K776" t="inlineStr">
        <is>
          <t>marginalpdbc_20220210.1</t>
        </is>
      </c>
      <c r="L776" t="inlineStr">
        <is>
          <t>24 periodos; mín 172.23, máx 248.01 €/MWh</t>
        </is>
      </c>
    </row>
    <row r="777">
      <c r="A777" s="53" t="n">
        <v>44603</v>
      </c>
      <c r="B777" t="inlineStr">
        <is>
          <t>2022-02-11</t>
        </is>
      </c>
      <c r="C777" s="45" t="n">
        <v>196.4929</v>
      </c>
      <c r="D777" t="inlineStr">
        <is>
          <t>€/MWh</t>
        </is>
      </c>
      <c r="E777" s="54" t="n">
        <v>0.196493</v>
      </c>
      <c r="F777" s="54" t="n"/>
      <c r="G777" t="inlineStr">
        <is>
          <t>no aplica (precio mayorista)</t>
        </is>
      </c>
      <c r="J777" t="inlineStr">
        <is>
          <t>2022-02-10</t>
        </is>
      </c>
      <c r="K777" t="inlineStr">
        <is>
          <t>marginalpdbc_20220211.1</t>
        </is>
      </c>
      <c r="L777" t="inlineStr">
        <is>
          <t>24 periodos; mín 165.00, máx 241.18 €/MWh</t>
        </is>
      </c>
    </row>
    <row r="778">
      <c r="A778" s="53" t="n">
        <v>44604</v>
      </c>
      <c r="B778" t="inlineStr">
        <is>
          <t>2022-02-12</t>
        </is>
      </c>
      <c r="C778" s="45" t="n">
        <v>198.9383</v>
      </c>
      <c r="D778" t="inlineStr">
        <is>
          <t>€/MWh</t>
        </is>
      </c>
      <c r="E778" s="54" t="n">
        <v>0.198938</v>
      </c>
      <c r="F778" s="54" t="n"/>
      <c r="G778" t="inlineStr">
        <is>
          <t>no aplica (precio mayorista)</t>
        </is>
      </c>
      <c r="J778" t="inlineStr">
        <is>
          <t>2022-02-11</t>
        </is>
      </c>
      <c r="K778" t="inlineStr">
        <is>
          <t>marginalpdbc_20220212.1</t>
        </is>
      </c>
      <c r="L778" t="inlineStr">
        <is>
          <t>24 periodos; mín 166.79, máx 231.55 €/MWh</t>
        </is>
      </c>
    </row>
    <row r="779">
      <c r="A779" s="53" t="n">
        <v>44605</v>
      </c>
      <c r="B779" t="inlineStr">
        <is>
          <t>2022-02-13</t>
        </is>
      </c>
      <c r="C779" s="45" t="n">
        <v>164.0442</v>
      </c>
      <c r="D779" t="inlineStr">
        <is>
          <t>€/MWh</t>
        </is>
      </c>
      <c r="E779" s="54" t="n">
        <v>0.164044</v>
      </c>
      <c r="F779" s="54" t="n"/>
      <c r="G779" t="inlineStr">
        <is>
          <t>no aplica (precio mayorista)</t>
        </is>
      </c>
      <c r="J779" t="inlineStr">
        <is>
          <t>2022-02-12</t>
        </is>
      </c>
      <c r="K779" t="inlineStr">
        <is>
          <t>marginalpdbc_20220213.1</t>
        </is>
      </c>
      <c r="L779" t="inlineStr">
        <is>
          <t>24 periodos; mín 70.00, máx 220.00 €/MWh</t>
        </is>
      </c>
    </row>
    <row r="780">
      <c r="A780" s="53" t="n">
        <v>44606</v>
      </c>
      <c r="B780" t="inlineStr">
        <is>
          <t>2022-02-14</t>
        </is>
      </c>
      <c r="C780" s="45" t="n">
        <v>183.3238</v>
      </c>
      <c r="D780" t="inlineStr">
        <is>
          <t>€/MWh</t>
        </is>
      </c>
      <c r="E780" s="54" t="n">
        <v>0.183324</v>
      </c>
      <c r="F780" s="54" t="n"/>
      <c r="G780" t="inlineStr">
        <is>
          <t>no aplica (precio mayorista)</t>
        </is>
      </c>
      <c r="J780" t="inlineStr">
        <is>
          <t>2022-02-13</t>
        </is>
      </c>
      <c r="K780" t="inlineStr">
        <is>
          <t>marginalpdbc_20220214.1</t>
        </is>
      </c>
      <c r="L780" t="inlineStr">
        <is>
          <t>24 periodos; mín 105.00, máx 248.71 €/MWh</t>
        </is>
      </c>
    </row>
    <row r="781">
      <c r="A781" s="53" t="n">
        <v>44607</v>
      </c>
      <c r="B781" t="inlineStr">
        <is>
          <t>2022-02-15</t>
        </is>
      </c>
      <c r="C781" s="45" t="n">
        <v>199.9446</v>
      </c>
      <c r="D781" t="inlineStr">
        <is>
          <t>€/MWh</t>
        </is>
      </c>
      <c r="E781" s="54" t="n">
        <v>0.199945</v>
      </c>
      <c r="F781" s="54" t="n"/>
      <c r="G781" t="inlineStr">
        <is>
          <t>no aplica (precio mayorista)</t>
        </is>
      </c>
      <c r="J781" t="inlineStr">
        <is>
          <t>2022-02-14</t>
        </is>
      </c>
      <c r="K781" t="inlineStr">
        <is>
          <t>marginalpdbc_20220215.1</t>
        </is>
      </c>
      <c r="L781" t="inlineStr">
        <is>
          <t>24 periodos; mín 162.52, máx 250.79 €/MWh</t>
        </is>
      </c>
    </row>
    <row r="782">
      <c r="A782" s="53" t="n">
        <v>44608</v>
      </c>
      <c r="B782" t="inlineStr">
        <is>
          <t>2022-02-16</t>
        </is>
      </c>
      <c r="C782" s="45" t="n">
        <v>178.0912</v>
      </c>
      <c r="D782" t="inlineStr">
        <is>
          <t>€/MWh</t>
        </is>
      </c>
      <c r="E782" s="54" t="n">
        <v>0.178091</v>
      </c>
      <c r="F782" s="54" t="n"/>
      <c r="G782" t="inlineStr">
        <is>
          <t>no aplica (precio mayorista)</t>
        </is>
      </c>
      <c r="J782" t="inlineStr">
        <is>
          <t>2022-02-15</t>
        </is>
      </c>
      <c r="K782" t="inlineStr">
        <is>
          <t>marginalpdbc_20220216.1</t>
        </is>
      </c>
      <c r="L782" t="inlineStr">
        <is>
          <t>24 periodos; mín 135.39, máx 236.73 €/MWh</t>
        </is>
      </c>
    </row>
    <row r="783">
      <c r="A783" s="53" t="n">
        <v>44609</v>
      </c>
      <c r="B783" t="inlineStr">
        <is>
          <t>2022-02-17</t>
        </is>
      </c>
      <c r="C783" s="45" t="n">
        <v>163.4092</v>
      </c>
      <c r="D783" t="inlineStr">
        <is>
          <t>€/MWh</t>
        </is>
      </c>
      <c r="E783" s="54" t="n">
        <v>0.163409</v>
      </c>
      <c r="F783" s="54" t="n"/>
      <c r="G783" t="inlineStr">
        <is>
          <t>no aplica (precio mayorista)</t>
        </is>
      </c>
      <c r="J783" t="inlineStr">
        <is>
          <t>2022-02-16</t>
        </is>
      </c>
      <c r="K783" t="inlineStr">
        <is>
          <t>marginalpdbc_20220217.1</t>
        </is>
      </c>
      <c r="L783" t="inlineStr">
        <is>
          <t>24 periodos; mín 100.00, máx 268.12 €/MWh</t>
        </is>
      </c>
    </row>
    <row r="784">
      <c r="A784" s="53" t="n">
        <v>44610</v>
      </c>
      <c r="B784" t="inlineStr">
        <is>
          <t>2022-02-18</t>
        </is>
      </c>
      <c r="C784" s="45" t="n">
        <v>184.2562</v>
      </c>
      <c r="D784" t="inlineStr">
        <is>
          <t>€/MWh</t>
        </is>
      </c>
      <c r="E784" s="54" t="n">
        <v>0.184256</v>
      </c>
      <c r="F784" s="54" t="n"/>
      <c r="G784" t="inlineStr">
        <is>
          <t>no aplica (precio mayorista)</t>
        </is>
      </c>
      <c r="J784" t="inlineStr">
        <is>
          <t>2022-02-17</t>
        </is>
      </c>
      <c r="K784" t="inlineStr">
        <is>
          <t>marginalpdbc_20220218.1</t>
        </is>
      </c>
      <c r="L784" t="inlineStr">
        <is>
          <t>24 periodos; mín 146.86, máx 215.00 €/MWh</t>
        </is>
      </c>
    </row>
    <row r="785">
      <c r="A785" s="53" t="n">
        <v>44611</v>
      </c>
      <c r="B785" t="inlineStr">
        <is>
          <t>2022-02-19</t>
        </is>
      </c>
      <c r="C785" s="45" t="n">
        <v>137.7579</v>
      </c>
      <c r="D785" t="inlineStr">
        <is>
          <t>€/MWh</t>
        </is>
      </c>
      <c r="E785" s="54" t="n">
        <v>0.137758</v>
      </c>
      <c r="F785" s="54" t="n"/>
      <c r="G785" t="inlineStr">
        <is>
          <t>no aplica (precio mayorista)</t>
        </is>
      </c>
      <c r="J785" t="inlineStr">
        <is>
          <t>2022-02-18</t>
        </is>
      </c>
      <c r="K785" t="inlineStr">
        <is>
          <t>marginalpdbc_20220219.1</t>
        </is>
      </c>
      <c r="L785" t="inlineStr">
        <is>
          <t>24 periodos; mín 77.20, máx 204.79 €/MWh</t>
        </is>
      </c>
    </row>
    <row r="786">
      <c r="A786" s="53" t="n">
        <v>44612</v>
      </c>
      <c r="B786" t="inlineStr">
        <is>
          <t>2022-02-20</t>
        </is>
      </c>
      <c r="C786" s="45" t="n">
        <v>162.6421</v>
      </c>
      <c r="D786" t="inlineStr">
        <is>
          <t>€/MWh</t>
        </is>
      </c>
      <c r="E786" s="54" t="n">
        <v>0.162642</v>
      </c>
      <c r="F786" s="54" t="n"/>
      <c r="G786" t="inlineStr">
        <is>
          <t>no aplica (precio mayorista)</t>
        </is>
      </c>
      <c r="J786" t="inlineStr">
        <is>
          <t>2022-02-19</t>
        </is>
      </c>
      <c r="K786" t="inlineStr">
        <is>
          <t>marginalpdbc_20220220.1</t>
        </is>
      </c>
      <c r="L786" t="inlineStr">
        <is>
          <t>24 periodos; mín 125.52, máx 225.00 €/MWh</t>
        </is>
      </c>
    </row>
    <row r="787">
      <c r="A787" s="53" t="n">
        <v>44613</v>
      </c>
      <c r="B787" t="inlineStr">
        <is>
          <t>2022-02-21</t>
        </is>
      </c>
      <c r="C787" s="45" t="n">
        <v>183.3179</v>
      </c>
      <c r="D787" t="inlineStr">
        <is>
          <t>€/MWh</t>
        </is>
      </c>
      <c r="E787" s="54" t="n">
        <v>0.183318</v>
      </c>
      <c r="F787" s="54" t="n"/>
      <c r="G787" t="inlineStr">
        <is>
          <t>no aplica (precio mayorista)</t>
        </is>
      </c>
      <c r="J787" t="inlineStr">
        <is>
          <t>2022-02-20</t>
        </is>
      </c>
      <c r="K787" t="inlineStr">
        <is>
          <t>marginalpdbc_20220221.1</t>
        </is>
      </c>
      <c r="L787" t="inlineStr">
        <is>
          <t>24 periodos; mín 125.52, máx 237.00 €/MWh</t>
        </is>
      </c>
    </row>
    <row r="788">
      <c r="A788" s="53" t="n">
        <v>44614</v>
      </c>
      <c r="B788" t="inlineStr">
        <is>
          <t>2022-02-22</t>
        </is>
      </c>
      <c r="C788" s="45" t="n">
        <v>179.7392</v>
      </c>
      <c r="D788" t="inlineStr">
        <is>
          <t>€/MWh</t>
        </is>
      </c>
      <c r="E788" s="54" t="n">
        <v>0.179739</v>
      </c>
      <c r="F788" s="54" t="n"/>
      <c r="G788" t="inlineStr">
        <is>
          <t>no aplica (precio mayorista)</t>
        </is>
      </c>
      <c r="J788" t="inlineStr">
        <is>
          <t>2022-02-21</t>
        </is>
      </c>
      <c r="K788" t="inlineStr">
        <is>
          <t>marginalpdbc_20220222.1</t>
        </is>
      </c>
      <c r="L788" t="inlineStr">
        <is>
          <t>24 periodos; mín 140.00, máx 221.70 €/MWh</t>
        </is>
      </c>
    </row>
    <row r="789">
      <c r="A789" s="53" t="n">
        <v>44615</v>
      </c>
      <c r="B789" t="inlineStr">
        <is>
          <t>2022-02-23</t>
        </is>
      </c>
      <c r="C789" s="45" t="n">
        <v>195.8621</v>
      </c>
      <c r="D789" t="inlineStr">
        <is>
          <t>€/MWh</t>
        </is>
      </c>
      <c r="E789" s="54" t="n">
        <v>0.195862</v>
      </c>
      <c r="F789" s="54" t="n"/>
      <c r="G789" t="inlineStr">
        <is>
          <t>no aplica (precio mayorista)</t>
        </is>
      </c>
      <c r="J789" t="inlineStr">
        <is>
          <t>2022-02-22</t>
        </is>
      </c>
      <c r="K789" t="inlineStr">
        <is>
          <t>marginalpdbc_20220223.1</t>
        </is>
      </c>
      <c r="L789" t="inlineStr">
        <is>
          <t>24 periodos; mín 163.07, máx 244.08 €/MWh</t>
        </is>
      </c>
    </row>
    <row r="790">
      <c r="A790" s="53" t="n">
        <v>44616</v>
      </c>
      <c r="B790" t="inlineStr">
        <is>
          <t>2022-02-24</t>
        </is>
      </c>
      <c r="C790" s="45" t="n">
        <v>205.6025</v>
      </c>
      <c r="D790" t="inlineStr">
        <is>
          <t>€/MWh</t>
        </is>
      </c>
      <c r="E790" s="54" t="n">
        <v>0.205602</v>
      </c>
      <c r="F790" s="54" t="n"/>
      <c r="G790" t="inlineStr">
        <is>
          <t>no aplica (precio mayorista)</t>
        </is>
      </c>
      <c r="J790" t="inlineStr">
        <is>
          <t>2022-02-23</t>
        </is>
      </c>
      <c r="K790" t="inlineStr">
        <is>
          <t>marginalpdbc_20220224.1</t>
        </is>
      </c>
      <c r="L790" t="inlineStr">
        <is>
          <t>24 periodos; mín 163.71, máx 234.49 €/MWh</t>
        </is>
      </c>
    </row>
    <row r="791">
      <c r="A791" s="53" t="n">
        <v>44617</v>
      </c>
      <c r="B791" t="inlineStr">
        <is>
          <t>2022-02-25</t>
        </is>
      </c>
      <c r="C791" s="45" t="n">
        <v>240.1312</v>
      </c>
      <c r="D791" t="inlineStr">
        <is>
          <t>€/MWh</t>
        </is>
      </c>
      <c r="E791" s="54" t="n">
        <v>0.240131</v>
      </c>
      <c r="F791" s="54" t="n"/>
      <c r="G791" t="inlineStr">
        <is>
          <t>no aplica (precio mayorista)</t>
        </is>
      </c>
      <c r="J791" t="inlineStr">
        <is>
          <t>2022-02-24</t>
        </is>
      </c>
      <c r="K791" t="inlineStr">
        <is>
          <t>marginalpdbc_20220225.1</t>
        </is>
      </c>
      <c r="L791" t="inlineStr">
        <is>
          <t>24 periodos; mín 153.32, máx 300.00 €/MWh</t>
        </is>
      </c>
    </row>
    <row r="792">
      <c r="A792" s="53" t="n">
        <v>44618</v>
      </c>
      <c r="B792" t="inlineStr">
        <is>
          <t>2022-02-26</t>
        </is>
      </c>
      <c r="C792" s="45" t="n">
        <v>261.1121</v>
      </c>
      <c r="D792" t="inlineStr">
        <is>
          <t>€/MWh</t>
        </is>
      </c>
      <c r="E792" s="54" t="n">
        <v>0.261112</v>
      </c>
      <c r="F792" s="54" t="n"/>
      <c r="G792" t="inlineStr">
        <is>
          <t>no aplica (precio mayorista)</t>
        </is>
      </c>
      <c r="J792" t="inlineStr">
        <is>
          <t>2022-02-25</t>
        </is>
      </c>
      <c r="K792" t="inlineStr">
        <is>
          <t>marginalpdbc_20220226.1</t>
        </is>
      </c>
      <c r="L792" t="inlineStr">
        <is>
          <t>24 periodos; mín 237.14, máx 300.70 €/MWh</t>
        </is>
      </c>
    </row>
    <row r="793">
      <c r="A793" s="53" t="n">
        <v>44619</v>
      </c>
      <c r="B793" t="inlineStr">
        <is>
          <t>2022-02-27</t>
        </is>
      </c>
      <c r="C793" s="45" t="n">
        <v>256.8375</v>
      </c>
      <c r="D793" t="inlineStr">
        <is>
          <t>€/MWh</t>
        </is>
      </c>
      <c r="E793" s="54" t="n">
        <v>0.256838</v>
      </c>
      <c r="F793" s="54" t="n"/>
      <c r="G793" t="inlineStr">
        <is>
          <t>no aplica (precio mayorista)</t>
        </is>
      </c>
      <c r="J793" t="inlineStr">
        <is>
          <t>2022-02-26</t>
        </is>
      </c>
      <c r="K793" t="inlineStr">
        <is>
          <t>marginalpdbc_20220227.1</t>
        </is>
      </c>
      <c r="L793" t="inlineStr">
        <is>
          <t>24 periodos; mín 209.14, máx 350.00 €/MWh</t>
        </is>
      </c>
    </row>
    <row r="794">
      <c r="A794" s="53" t="n">
        <v>44620</v>
      </c>
      <c r="B794" t="inlineStr">
        <is>
          <t>2022-02-28</t>
        </is>
      </c>
      <c r="C794" s="45" t="n">
        <v>277.775</v>
      </c>
      <c r="D794" t="inlineStr">
        <is>
          <t>€/MWh</t>
        </is>
      </c>
      <c r="E794" s="54" t="n">
        <v>0.277775</v>
      </c>
      <c r="F794" s="54" t="n"/>
      <c r="G794" t="inlineStr">
        <is>
          <t>no aplica (precio mayorista)</t>
        </is>
      </c>
      <c r="J794" t="inlineStr">
        <is>
          <t>2022-02-27</t>
        </is>
      </c>
      <c r="K794" t="inlineStr">
        <is>
          <t>marginalpdbc_20220228.1</t>
        </is>
      </c>
      <c r="L794" t="inlineStr">
        <is>
          <t>24 periodos; mín 218.97, máx 346.00 €/MWh</t>
        </is>
      </c>
    </row>
    <row r="795">
      <c r="A795" s="53" t="n">
        <v>44621</v>
      </c>
      <c r="B795" t="inlineStr">
        <is>
          <t>2022-03-01</t>
        </is>
      </c>
      <c r="C795" s="45" t="n">
        <v>258.6587</v>
      </c>
      <c r="D795" t="inlineStr">
        <is>
          <t>€/MWh</t>
        </is>
      </c>
      <c r="E795" s="54" t="n">
        <v>0.258659</v>
      </c>
      <c r="F795" s="54" t="n"/>
      <c r="G795" t="inlineStr">
        <is>
          <t>no aplica (precio mayorista)</t>
        </is>
      </c>
      <c r="J795" t="inlineStr">
        <is>
          <t>2022-02-28</t>
        </is>
      </c>
      <c r="K795" t="inlineStr">
        <is>
          <t>marginalpdbc_20220301.1</t>
        </is>
      </c>
      <c r="L795" t="inlineStr">
        <is>
          <t>24 periodos; mín 220.98, máx 315.87 €/MWh</t>
        </is>
      </c>
    </row>
    <row r="796">
      <c r="A796" s="53" t="n">
        <v>44622</v>
      </c>
      <c r="B796" t="inlineStr">
        <is>
          <t>2022-03-02</t>
        </is>
      </c>
      <c r="C796" s="45" t="n">
        <v>254.0304</v>
      </c>
      <c r="D796" t="inlineStr">
        <is>
          <t>€/MWh</t>
        </is>
      </c>
      <c r="E796" s="54" t="n">
        <v>0.25403</v>
      </c>
      <c r="F796" s="54" t="n"/>
      <c r="G796" t="inlineStr">
        <is>
          <t>no aplica (precio mayorista)</t>
        </is>
      </c>
      <c r="J796" t="inlineStr">
        <is>
          <t>2022-03-01</t>
        </is>
      </c>
      <c r="K796" t="inlineStr">
        <is>
          <t>marginalpdbc_20220302.1</t>
        </is>
      </c>
      <c r="L796" t="inlineStr">
        <is>
          <t>24 periodos; mín 204.15, máx 305.00 €/MWh</t>
        </is>
      </c>
    </row>
    <row r="797">
      <c r="A797" s="53" t="n">
        <v>44623</v>
      </c>
      <c r="B797" t="inlineStr">
        <is>
          <t>2022-03-03</t>
        </is>
      </c>
      <c r="C797" s="45" t="n">
        <v>341.5229</v>
      </c>
      <c r="D797" t="inlineStr">
        <is>
          <t>€/MWh</t>
        </is>
      </c>
      <c r="E797" s="54" t="n">
        <v>0.341523</v>
      </c>
      <c r="F797" s="54" t="n"/>
      <c r="G797" t="inlineStr">
        <is>
          <t>no aplica (precio mayorista)</t>
        </is>
      </c>
      <c r="J797" t="inlineStr">
        <is>
          <t>2022-03-02</t>
        </is>
      </c>
      <c r="K797" t="inlineStr">
        <is>
          <t>marginalpdbc_20220303.1</t>
        </is>
      </c>
      <c r="L797" t="inlineStr">
        <is>
          <t>24 periodos; mín 260.00, máx 400.00 €/MWh</t>
        </is>
      </c>
    </row>
    <row r="798">
      <c r="A798" s="53" t="n">
        <v>44624</v>
      </c>
      <c r="B798" t="inlineStr">
        <is>
          <t>2022-03-04</t>
        </is>
      </c>
      <c r="C798" s="45" t="n">
        <v>340.6954</v>
      </c>
      <c r="D798" t="inlineStr">
        <is>
          <t>€/MWh</t>
        </is>
      </c>
      <c r="E798" s="54" t="n">
        <v>0.340695</v>
      </c>
      <c r="F798" s="54" t="n"/>
      <c r="G798" t="inlineStr">
        <is>
          <t>no aplica (precio mayorista)</t>
        </is>
      </c>
      <c r="J798" t="inlineStr">
        <is>
          <t>2022-03-03</t>
        </is>
      </c>
      <c r="K798" t="inlineStr">
        <is>
          <t>marginalpdbc_20220304.1</t>
        </is>
      </c>
      <c r="L798" t="inlineStr">
        <is>
          <t>24 periodos; mín 264.61, máx 410.00 €/MWh</t>
        </is>
      </c>
    </row>
    <row r="799">
      <c r="A799" s="53" t="n">
        <v>44625</v>
      </c>
      <c r="B799" t="inlineStr">
        <is>
          <t>2022-03-05</t>
        </is>
      </c>
      <c r="C799" s="45" t="n">
        <v>366.5496</v>
      </c>
      <c r="D799" t="inlineStr">
        <is>
          <t>€/MWh</t>
        </is>
      </c>
      <c r="E799" s="54" t="n">
        <v>0.36655</v>
      </c>
      <c r="F799" s="54" t="n"/>
      <c r="G799" t="inlineStr">
        <is>
          <t>no aplica (precio mayorista)</t>
        </is>
      </c>
      <c r="J799" t="inlineStr">
        <is>
          <t>2022-03-04</t>
        </is>
      </c>
      <c r="K799" t="inlineStr">
        <is>
          <t>marginalpdbc_20220305.1</t>
        </is>
      </c>
      <c r="L799" t="inlineStr">
        <is>
          <t>24 periodos; mín 311.00, máx 409.30 €/MWh</t>
        </is>
      </c>
    </row>
    <row r="800">
      <c r="A800" s="53" t="n">
        <v>44626</v>
      </c>
      <c r="B800" t="inlineStr">
        <is>
          <t>2022-03-06</t>
        </is>
      </c>
      <c r="C800" s="45" t="n">
        <v>379.0312</v>
      </c>
      <c r="D800" t="inlineStr">
        <is>
          <t>€/MWh</t>
        </is>
      </c>
      <c r="E800" s="54" t="n">
        <v>0.379031</v>
      </c>
      <c r="F800" s="54" t="n"/>
      <c r="G800" t="inlineStr">
        <is>
          <t>no aplica (precio mayorista)</t>
        </is>
      </c>
      <c r="J800" t="inlineStr">
        <is>
          <t>2022-03-05</t>
        </is>
      </c>
      <c r="K800" t="inlineStr">
        <is>
          <t>marginalpdbc_20220306.1</t>
        </is>
      </c>
      <c r="L800" t="inlineStr">
        <is>
          <t>24 periodos; mín 334.21, máx 470.01 €/MWh</t>
        </is>
      </c>
    </row>
    <row r="801">
      <c r="A801" s="53" t="n">
        <v>44627</v>
      </c>
      <c r="B801" t="inlineStr">
        <is>
          <t>2022-03-07</t>
        </is>
      </c>
      <c r="C801" s="45" t="n">
        <v>442.5375</v>
      </c>
      <c r="D801" t="inlineStr">
        <is>
          <t>€/MWh</t>
        </is>
      </c>
      <c r="E801" s="54" t="n">
        <v>0.442537</v>
      </c>
      <c r="F801" s="54" t="n"/>
      <c r="G801" t="inlineStr">
        <is>
          <t>no aplica (precio mayorista)</t>
        </is>
      </c>
      <c r="J801" t="inlineStr">
        <is>
          <t>2022-03-06</t>
        </is>
      </c>
      <c r="K801" t="inlineStr">
        <is>
          <t>marginalpdbc_20220307.1</t>
        </is>
      </c>
      <c r="L801" t="inlineStr">
        <is>
          <t>24 periodos; mín 379.02, máx 500.00 €/MWh</t>
        </is>
      </c>
    </row>
    <row r="802">
      <c r="A802" s="53" t="n">
        <v>44628</v>
      </c>
      <c r="B802" t="inlineStr">
        <is>
          <t>2022-03-08</t>
        </is>
      </c>
      <c r="C802" s="45" t="n">
        <v>544.9837</v>
      </c>
      <c r="D802" t="inlineStr">
        <is>
          <t>€/MWh</t>
        </is>
      </c>
      <c r="E802" s="54" t="n">
        <v>0.544984</v>
      </c>
      <c r="F802" s="54" t="n"/>
      <c r="G802" t="inlineStr">
        <is>
          <t>no aplica (precio mayorista)</t>
        </is>
      </c>
      <c r="J802" t="inlineStr">
        <is>
          <t>2022-03-07</t>
        </is>
      </c>
      <c r="K802" t="inlineStr">
        <is>
          <t>marginalpdbc_20220308.1</t>
        </is>
      </c>
      <c r="L802" t="inlineStr">
        <is>
          <t>24 periodos; mín 424.88, máx 700.00 €/MWh</t>
        </is>
      </c>
    </row>
    <row r="803">
      <c r="A803" s="53" t="n">
        <v>44629</v>
      </c>
      <c r="B803" t="inlineStr">
        <is>
          <t>2022-03-09</t>
        </is>
      </c>
      <c r="C803" s="45" t="n">
        <v>472.9704</v>
      </c>
      <c r="D803" t="inlineStr">
        <is>
          <t>€/MWh</t>
        </is>
      </c>
      <c r="E803" s="54" t="n">
        <v>0.47297</v>
      </c>
      <c r="F803" s="54" t="n"/>
      <c r="G803" t="inlineStr">
        <is>
          <t>no aplica (precio mayorista)</t>
        </is>
      </c>
      <c r="J803" t="inlineStr">
        <is>
          <t>2022-03-08</t>
        </is>
      </c>
      <c r="K803" t="inlineStr">
        <is>
          <t>marginalpdbc_20220309.1</t>
        </is>
      </c>
      <c r="L803" t="inlineStr">
        <is>
          <t>24 periodos; mín 356.74, máx 605.00 €/MWh</t>
        </is>
      </c>
    </row>
    <row r="804">
      <c r="A804" s="53" t="n">
        <v>44630</v>
      </c>
      <c r="B804" t="inlineStr">
        <is>
          <t>2022-03-10</t>
        </is>
      </c>
      <c r="C804" s="45" t="n">
        <v>369.7475</v>
      </c>
      <c r="D804" t="inlineStr">
        <is>
          <t>€/MWh</t>
        </is>
      </c>
      <c r="E804" s="54" t="n">
        <v>0.369748</v>
      </c>
      <c r="F804" s="54" t="n"/>
      <c r="G804" t="inlineStr">
        <is>
          <t>no aplica (precio mayorista)</t>
        </is>
      </c>
      <c r="J804" t="inlineStr">
        <is>
          <t>2022-03-09</t>
        </is>
      </c>
      <c r="K804" t="inlineStr">
        <is>
          <t>marginalpdbc_20220310.1</t>
        </is>
      </c>
      <c r="L804" t="inlineStr">
        <is>
          <t>24 periodos; mín 319.50, máx 452.69 €/MWh</t>
        </is>
      </c>
    </row>
    <row r="805">
      <c r="A805" s="53" t="n">
        <v>44631</v>
      </c>
      <c r="B805" t="inlineStr">
        <is>
          <t>2022-03-11</t>
        </is>
      </c>
      <c r="C805" s="45" t="n">
        <v>284.5788</v>
      </c>
      <c r="D805" t="inlineStr">
        <is>
          <t>€/MWh</t>
        </is>
      </c>
      <c r="E805" s="54" t="n">
        <v>0.284579</v>
      </c>
      <c r="F805" s="54" t="n"/>
      <c r="G805" t="inlineStr">
        <is>
          <t>no aplica (precio mayorista)</t>
        </is>
      </c>
      <c r="J805" t="inlineStr">
        <is>
          <t>2022-03-10</t>
        </is>
      </c>
      <c r="K805" t="inlineStr">
        <is>
          <t>marginalpdbc_20220311.1</t>
        </is>
      </c>
      <c r="L805" t="inlineStr">
        <is>
          <t>24 periodos; mín 144.80, máx 403.97 €/MWh</t>
        </is>
      </c>
    </row>
    <row r="806">
      <c r="A806" s="53" t="n">
        <v>44632</v>
      </c>
      <c r="B806" t="inlineStr">
        <is>
          <t>2022-03-12</t>
        </is>
      </c>
      <c r="C806" s="45" t="n">
        <v>246.0512</v>
      </c>
      <c r="D806" t="inlineStr">
        <is>
          <t>€/MWh</t>
        </is>
      </c>
      <c r="E806" s="54" t="n">
        <v>0.246051</v>
      </c>
      <c r="F806" s="54" t="n"/>
      <c r="G806" t="inlineStr">
        <is>
          <t>no aplica (precio mayorista)</t>
        </is>
      </c>
      <c r="J806" t="inlineStr">
        <is>
          <t>2022-03-11</t>
        </is>
      </c>
      <c r="K806" t="inlineStr">
        <is>
          <t>marginalpdbc_20220312.1</t>
        </is>
      </c>
      <c r="L806" t="inlineStr">
        <is>
          <t>24 periodos; mín 195.15, máx 292.91 €/MWh</t>
        </is>
      </c>
    </row>
    <row r="807">
      <c r="A807" s="53" t="n">
        <v>44633</v>
      </c>
      <c r="B807" t="inlineStr">
        <is>
          <t>2022-03-13</t>
        </is>
      </c>
      <c r="C807" s="45" t="n">
        <v>247.8896</v>
      </c>
      <c r="D807" t="inlineStr">
        <is>
          <t>€/MWh</t>
        </is>
      </c>
      <c r="E807" s="54" t="n">
        <v>0.24789</v>
      </c>
      <c r="F807" s="54" t="n"/>
      <c r="G807" t="inlineStr">
        <is>
          <t>no aplica (precio mayorista)</t>
        </is>
      </c>
      <c r="J807" t="inlineStr">
        <is>
          <t>2022-03-12</t>
        </is>
      </c>
      <c r="K807" t="inlineStr">
        <is>
          <t>marginalpdbc_20220313.1</t>
        </is>
      </c>
      <c r="L807" t="inlineStr">
        <is>
          <t>24 periodos; mín 174.51, máx 389.90 €/MWh</t>
        </is>
      </c>
    </row>
    <row r="808">
      <c r="A808" s="53" t="n">
        <v>44634</v>
      </c>
      <c r="B808" t="inlineStr">
        <is>
          <t>2022-03-14</t>
        </is>
      </c>
      <c r="C808" s="45" t="n">
        <v>251.7042</v>
      </c>
      <c r="D808" t="inlineStr">
        <is>
          <t>€/MWh</t>
        </is>
      </c>
      <c r="E808" s="54" t="n">
        <v>0.251704</v>
      </c>
      <c r="F808" s="54" t="n"/>
      <c r="G808" t="inlineStr">
        <is>
          <t>no aplica (precio mayorista)</t>
        </is>
      </c>
      <c r="J808" t="inlineStr">
        <is>
          <t>2022-03-13</t>
        </is>
      </c>
      <c r="K808" t="inlineStr">
        <is>
          <t>marginalpdbc_20220314.1</t>
        </is>
      </c>
      <c r="L808" t="inlineStr">
        <is>
          <t>24 periodos; mín 214.48, máx 295.00 €/MWh</t>
        </is>
      </c>
    </row>
    <row r="809">
      <c r="A809" s="53" t="n">
        <v>44635</v>
      </c>
      <c r="B809" t="inlineStr">
        <is>
          <t>2022-03-15</t>
        </is>
      </c>
      <c r="C809" s="45" t="n">
        <v>249.6638</v>
      </c>
      <c r="D809" t="inlineStr">
        <is>
          <t>€/MWh</t>
        </is>
      </c>
      <c r="E809" s="54" t="n">
        <v>0.249664</v>
      </c>
      <c r="F809" s="54" t="n"/>
      <c r="G809" t="inlineStr">
        <is>
          <t>no aplica (precio mayorista)</t>
        </is>
      </c>
      <c r="J809" t="inlineStr">
        <is>
          <t>2022-03-14</t>
        </is>
      </c>
      <c r="K809" t="inlineStr">
        <is>
          <t>marginalpdbc_20220315.1</t>
        </is>
      </c>
      <c r="L809" t="inlineStr">
        <is>
          <t>24 periodos; mín 209.79, máx 311.71 €/MWh</t>
        </is>
      </c>
    </row>
    <row r="810">
      <c r="A810" s="53" t="n">
        <v>44636</v>
      </c>
      <c r="B810" t="inlineStr">
        <is>
          <t>2022-03-16</t>
        </is>
      </c>
      <c r="C810" s="45" t="n">
        <v>263.6471</v>
      </c>
      <c r="D810" t="inlineStr">
        <is>
          <t>€/MWh</t>
        </is>
      </c>
      <c r="E810" s="54" t="n">
        <v>0.263647</v>
      </c>
      <c r="F810" s="54" t="n"/>
      <c r="G810" t="inlineStr">
        <is>
          <t>no aplica (precio mayorista)</t>
        </is>
      </c>
      <c r="J810" t="inlineStr">
        <is>
          <t>2022-03-15</t>
        </is>
      </c>
      <c r="K810" t="inlineStr">
        <is>
          <t>marginalpdbc_20220316.1</t>
        </is>
      </c>
      <c r="L810" t="inlineStr">
        <is>
          <t>24 periodos; mín 191.54, máx 306.70 €/MWh</t>
        </is>
      </c>
    </row>
    <row r="811">
      <c r="A811" s="53" t="n">
        <v>44637</v>
      </c>
      <c r="B811" t="inlineStr">
        <is>
          <t>2022-03-17</t>
        </is>
      </c>
      <c r="C811" s="45" t="n">
        <v>217.1254</v>
      </c>
      <c r="D811" t="inlineStr">
        <is>
          <t>€/MWh</t>
        </is>
      </c>
      <c r="E811" s="54" t="n">
        <v>0.217125</v>
      </c>
      <c r="F811" s="54" t="n"/>
      <c r="G811" t="inlineStr">
        <is>
          <t>no aplica (precio mayorista)</t>
        </is>
      </c>
      <c r="J811" t="inlineStr">
        <is>
          <t>2022-03-16</t>
        </is>
      </c>
      <c r="K811" t="inlineStr">
        <is>
          <t>marginalpdbc_20220317.1</t>
        </is>
      </c>
      <c r="L811" t="inlineStr">
        <is>
          <t>24 periodos; mín 184.49, máx 295.92 €/MWh</t>
        </is>
      </c>
    </row>
    <row r="812">
      <c r="A812" s="53" t="n">
        <v>44638</v>
      </c>
      <c r="B812" t="inlineStr">
        <is>
          <t>2022-03-18</t>
        </is>
      </c>
      <c r="C812" s="45" t="n">
        <v>232.2821</v>
      </c>
      <c r="D812" t="inlineStr">
        <is>
          <t>€/MWh</t>
        </is>
      </c>
      <c r="E812" s="54" t="n">
        <v>0.232282</v>
      </c>
      <c r="F812" s="54" t="n"/>
      <c r="G812" t="inlineStr">
        <is>
          <t>no aplica (precio mayorista)</t>
        </is>
      </c>
      <c r="J812" t="inlineStr">
        <is>
          <t>2022-03-17</t>
        </is>
      </c>
      <c r="K812" t="inlineStr">
        <is>
          <t>marginalpdbc_20220318.1</t>
        </is>
      </c>
      <c r="L812" t="inlineStr">
        <is>
          <t>24 periodos; mín 198.88, máx 290.19 €/MWh</t>
        </is>
      </c>
    </row>
    <row r="813">
      <c r="A813" s="53" t="n">
        <v>44639</v>
      </c>
      <c r="B813" t="inlineStr">
        <is>
          <t>2022-03-19</t>
        </is>
      </c>
      <c r="C813" s="45" t="n">
        <v>221.9112</v>
      </c>
      <c r="D813" t="inlineStr">
        <is>
          <t>€/MWh</t>
        </is>
      </c>
      <c r="E813" s="54" t="n">
        <v>0.221911</v>
      </c>
      <c r="F813" s="54" t="n"/>
      <c r="G813" t="inlineStr">
        <is>
          <t>no aplica (precio mayorista)</t>
        </is>
      </c>
      <c r="J813" t="inlineStr">
        <is>
          <t>2022-03-18</t>
        </is>
      </c>
      <c r="K813" t="inlineStr">
        <is>
          <t>marginalpdbc_20220319.1</t>
        </is>
      </c>
      <c r="L813" t="inlineStr">
        <is>
          <t>24 periodos; mín 187.07, máx 285.02 €/MWh</t>
        </is>
      </c>
    </row>
    <row r="814">
      <c r="A814" s="53" t="n">
        <v>44640</v>
      </c>
      <c r="B814" t="inlineStr">
        <is>
          <t>2022-03-20</t>
        </is>
      </c>
      <c r="C814" s="45" t="n">
        <v>207.1125</v>
      </c>
      <c r="D814" t="inlineStr">
        <is>
          <t>€/MWh</t>
        </is>
      </c>
      <c r="E814" s="54" t="n">
        <v>0.207112</v>
      </c>
      <c r="F814" s="54" t="n"/>
      <c r="G814" t="inlineStr">
        <is>
          <t>no aplica (precio mayorista)</t>
        </is>
      </c>
      <c r="J814" t="inlineStr">
        <is>
          <t>2022-03-19</t>
        </is>
      </c>
      <c r="K814" t="inlineStr">
        <is>
          <t>marginalpdbc_20220320.1</t>
        </is>
      </c>
      <c r="L814" t="inlineStr">
        <is>
          <t>24 periodos; mín 186.80, máx 250.00 €/MWh</t>
        </is>
      </c>
    </row>
    <row r="815">
      <c r="A815" s="53" t="n">
        <v>44641</v>
      </c>
      <c r="B815" t="inlineStr">
        <is>
          <t>2022-03-21</t>
        </is>
      </c>
      <c r="C815" s="45" t="n">
        <v>229.7112</v>
      </c>
      <c r="D815" t="inlineStr">
        <is>
          <t>€/MWh</t>
        </is>
      </c>
      <c r="E815" s="54" t="n">
        <v>0.229711</v>
      </c>
      <c r="F815" s="54" t="n"/>
      <c r="G815" t="inlineStr">
        <is>
          <t>no aplica (precio mayorista)</t>
        </is>
      </c>
      <c r="J815" t="inlineStr">
        <is>
          <t>2022-03-20</t>
        </is>
      </c>
      <c r="K815" t="inlineStr">
        <is>
          <t>marginalpdbc_20220321.1</t>
        </is>
      </c>
      <c r="L815" t="inlineStr">
        <is>
          <t>24 periodos; mín 189.99, máx 287.57 €/MWh</t>
        </is>
      </c>
    </row>
    <row r="816">
      <c r="A816" s="53" t="n">
        <v>44642</v>
      </c>
      <c r="B816" t="inlineStr">
        <is>
          <t>2022-03-22</t>
        </is>
      </c>
      <c r="C816" s="45" t="n">
        <v>226.1425</v>
      </c>
      <c r="D816" t="inlineStr">
        <is>
          <t>€/MWh</t>
        </is>
      </c>
      <c r="E816" s="54" t="n">
        <v>0.226143</v>
      </c>
      <c r="F816" s="54" t="n"/>
      <c r="G816" t="inlineStr">
        <is>
          <t>no aplica (precio mayorista)</t>
        </is>
      </c>
      <c r="J816" t="inlineStr">
        <is>
          <t>2022-03-21</t>
        </is>
      </c>
      <c r="K816" t="inlineStr">
        <is>
          <t>marginalpdbc_20220322.1</t>
        </is>
      </c>
      <c r="L816" t="inlineStr">
        <is>
          <t>24 periodos; mín 194.75, máx 278.90 €/MWh</t>
        </is>
      </c>
    </row>
    <row r="817">
      <c r="A817" s="53" t="n">
        <v>44643</v>
      </c>
      <c r="B817" t="inlineStr">
        <is>
          <t>2022-03-23</t>
        </is>
      </c>
      <c r="C817" s="45" t="n">
        <v>212.4367</v>
      </c>
      <c r="D817" t="inlineStr">
        <is>
          <t>€/MWh</t>
        </is>
      </c>
      <c r="E817" s="54" t="n">
        <v>0.212437</v>
      </c>
      <c r="F817" s="54" t="n"/>
      <c r="G817" t="inlineStr">
        <is>
          <t>no aplica (precio mayorista)</t>
        </is>
      </c>
      <c r="J817" t="inlineStr">
        <is>
          <t>2022-03-22</t>
        </is>
      </c>
      <c r="K817" t="inlineStr">
        <is>
          <t>marginalpdbc_20220323.1</t>
        </is>
      </c>
      <c r="L817" t="inlineStr">
        <is>
          <t>24 periodos; mín 180.28, máx 249.30 €/MWh</t>
        </is>
      </c>
    </row>
    <row r="818">
      <c r="A818" s="53" t="n">
        <v>44644</v>
      </c>
      <c r="B818" t="inlineStr">
        <is>
          <t>2022-03-24</t>
        </is>
      </c>
      <c r="C818" s="45" t="n">
        <v>225.7125</v>
      </c>
      <c r="D818" t="inlineStr">
        <is>
          <t>€/MWh</t>
        </is>
      </c>
      <c r="E818" s="54" t="n">
        <v>0.225713</v>
      </c>
      <c r="F818" s="54" t="n"/>
      <c r="G818" t="inlineStr">
        <is>
          <t>no aplica (precio mayorista)</t>
        </is>
      </c>
      <c r="J818" t="inlineStr">
        <is>
          <t>2022-03-23</t>
        </is>
      </c>
      <c r="K818" t="inlineStr">
        <is>
          <t>marginalpdbc_20220324.1</t>
        </is>
      </c>
      <c r="L818" t="inlineStr">
        <is>
          <t>24 periodos; mín 183.15, máx 270.00 €/MWh</t>
        </is>
      </c>
    </row>
    <row r="819">
      <c r="A819" s="53" t="n">
        <v>44645</v>
      </c>
      <c r="B819" t="inlineStr">
        <is>
          <t>2022-03-25</t>
        </is>
      </c>
      <c r="C819" s="45" t="n">
        <v>263.8512</v>
      </c>
      <c r="D819" t="inlineStr">
        <is>
          <t>€/MWh</t>
        </is>
      </c>
      <c r="E819" s="54" t="n">
        <v>0.263851</v>
      </c>
      <c r="F819" s="54" t="n"/>
      <c r="G819" t="inlineStr">
        <is>
          <t>no aplica (precio mayorista)</t>
        </is>
      </c>
      <c r="J819" t="inlineStr">
        <is>
          <t>2022-03-24</t>
        </is>
      </c>
      <c r="K819" t="inlineStr">
        <is>
          <t>marginalpdbc_20220325.1</t>
        </is>
      </c>
      <c r="L819" t="inlineStr">
        <is>
          <t>24 periodos; mín 226.01, máx 300.00 €/MWh</t>
        </is>
      </c>
    </row>
    <row r="820">
      <c r="A820" s="53" t="n">
        <v>44646</v>
      </c>
      <c r="B820" t="inlineStr">
        <is>
          <t>2022-03-26</t>
        </is>
      </c>
      <c r="C820" s="45" t="n">
        <v>237.4454</v>
      </c>
      <c r="D820" t="inlineStr">
        <is>
          <t>€/MWh</t>
        </is>
      </c>
      <c r="E820" s="54" t="n">
        <v>0.237445</v>
      </c>
      <c r="F820" s="54" t="n"/>
      <c r="G820" t="inlineStr">
        <is>
          <t>no aplica (precio mayorista)</t>
        </is>
      </c>
      <c r="J820" t="inlineStr">
        <is>
          <t>2022-03-25</t>
        </is>
      </c>
      <c r="K820" t="inlineStr">
        <is>
          <t>marginalpdbc_20220326.1</t>
        </is>
      </c>
      <c r="L820" t="inlineStr">
        <is>
          <t>24 periodos; mín 199.69, máx 292.24 €/MWh</t>
        </is>
      </c>
    </row>
    <row r="821">
      <c r="A821" s="53" t="n">
        <v>44647</v>
      </c>
      <c r="B821" t="inlineStr">
        <is>
          <t>2022-03-27</t>
        </is>
      </c>
      <c r="C821" s="45" t="n">
        <v>219.4226</v>
      </c>
      <c r="D821" t="inlineStr">
        <is>
          <t>€/MWh</t>
        </is>
      </c>
      <c r="E821" s="54" t="n">
        <v>0.219423</v>
      </c>
      <c r="F821" s="54" t="n"/>
      <c r="G821" t="inlineStr">
        <is>
          <t>no aplica (precio mayorista)</t>
        </is>
      </c>
      <c r="J821" t="inlineStr">
        <is>
          <t>2022-03-26</t>
        </is>
      </c>
      <c r="K821" t="inlineStr">
        <is>
          <t>marginalpdbc_20220327.1</t>
        </is>
      </c>
      <c r="L821" t="inlineStr">
        <is>
          <t>23 periodos; mín 173.75, máx 285.00 €/MWh</t>
        </is>
      </c>
    </row>
    <row r="822">
      <c r="A822" s="53" t="n">
        <v>44648</v>
      </c>
      <c r="B822" t="inlineStr">
        <is>
          <t>2022-03-28</t>
        </is>
      </c>
      <c r="C822" s="45" t="n">
        <v>231.7188</v>
      </c>
      <c r="D822" t="inlineStr">
        <is>
          <t>€/MWh</t>
        </is>
      </c>
      <c r="E822" s="54" t="n">
        <v>0.231719</v>
      </c>
      <c r="F822" s="54" t="n"/>
      <c r="G822" t="inlineStr">
        <is>
          <t>no aplica (precio mayorista)</t>
        </is>
      </c>
      <c r="J822" t="inlineStr">
        <is>
          <t>2022-03-27</t>
        </is>
      </c>
      <c r="K822" t="inlineStr">
        <is>
          <t>marginalpdbc_20220328.1</t>
        </is>
      </c>
      <c r="L822" t="inlineStr">
        <is>
          <t>24 periodos; mín 195.01, máx 288.86 €/MWh</t>
        </is>
      </c>
    </row>
    <row r="823">
      <c r="A823" s="53" t="n">
        <v>44649</v>
      </c>
      <c r="B823" t="inlineStr">
        <is>
          <t>2022-03-29</t>
        </is>
      </c>
      <c r="C823" s="45" t="n">
        <v>248.0971</v>
      </c>
      <c r="D823" t="inlineStr">
        <is>
          <t>€/MWh</t>
        </is>
      </c>
      <c r="E823" s="54" t="n">
        <v>0.248097</v>
      </c>
      <c r="F823" s="54" t="n"/>
      <c r="G823" t="inlineStr">
        <is>
          <t>no aplica (precio mayorista)</t>
        </is>
      </c>
      <c r="J823" t="inlineStr">
        <is>
          <t>2022-03-28</t>
        </is>
      </c>
      <c r="K823" t="inlineStr">
        <is>
          <t>marginalpdbc_20220329.1</t>
        </is>
      </c>
      <c r="L823" t="inlineStr">
        <is>
          <t>24 periodos; mín 210.00, máx 279.60 €/MWh</t>
        </is>
      </c>
    </row>
    <row r="824">
      <c r="A824" s="53" t="n">
        <v>44650</v>
      </c>
      <c r="B824" t="inlineStr">
        <is>
          <t>2022-03-30</t>
        </is>
      </c>
      <c r="C824" s="45" t="n">
        <v>255.81</v>
      </c>
      <c r="D824" t="inlineStr">
        <is>
          <t>€/MWh</t>
        </is>
      </c>
      <c r="E824" s="54" t="n">
        <v>0.25581</v>
      </c>
      <c r="F824" s="54" t="n"/>
      <c r="G824" t="inlineStr">
        <is>
          <t>no aplica (precio mayorista)</t>
        </is>
      </c>
      <c r="J824" t="inlineStr">
        <is>
          <t>2022-03-29</t>
        </is>
      </c>
      <c r="K824" t="inlineStr">
        <is>
          <t>marginalpdbc_20220330.1</t>
        </is>
      </c>
      <c r="L824" t="inlineStr">
        <is>
          <t>24 periodos; mín 228.78, máx 282.69 €/MWh</t>
        </is>
      </c>
    </row>
    <row r="825">
      <c r="A825" s="53" t="n">
        <v>44651</v>
      </c>
      <c r="B825" t="inlineStr">
        <is>
          <t>2022-03-31</t>
        </is>
      </c>
      <c r="C825" s="45" t="n">
        <v>239.3692</v>
      </c>
      <c r="D825" t="inlineStr">
        <is>
          <t>€/MWh</t>
        </is>
      </c>
      <c r="E825" s="54" t="n">
        <v>0.239369</v>
      </c>
      <c r="F825" s="54" t="n"/>
      <c r="G825" t="inlineStr">
        <is>
          <t>no aplica (precio mayorista)</t>
        </is>
      </c>
      <c r="J825" t="inlineStr">
        <is>
          <t>2022-03-30</t>
        </is>
      </c>
      <c r="K825" t="inlineStr">
        <is>
          <t>marginalpdbc_20220331.1</t>
        </is>
      </c>
      <c r="L825" t="inlineStr">
        <is>
          <t>24 periodos; mín 175.65, máx 290.57 €/MWh</t>
        </is>
      </c>
    </row>
    <row r="826">
      <c r="A826" s="53" t="n">
        <v>44652</v>
      </c>
      <c r="B826" t="inlineStr">
        <is>
          <t>2022-04-01</t>
        </is>
      </c>
      <c r="C826" s="45" t="n">
        <v>224.7546</v>
      </c>
      <c r="D826" t="inlineStr">
        <is>
          <t>€/MWh</t>
        </is>
      </c>
      <c r="E826" s="54" t="n">
        <v>0.224755</v>
      </c>
      <c r="F826" s="54" t="n"/>
      <c r="G826" t="inlineStr">
        <is>
          <t>no aplica (precio mayorista)</t>
        </is>
      </c>
      <c r="J826" t="inlineStr">
        <is>
          <t>2022-03-31</t>
        </is>
      </c>
      <c r="K826" t="inlineStr">
        <is>
          <t>marginalpdbc_20220401.1</t>
        </is>
      </c>
      <c r="L826" t="inlineStr">
        <is>
          <t>24 periodos; mín 176.44, máx 319.32 €/MWh</t>
        </is>
      </c>
    </row>
    <row r="827">
      <c r="A827" s="53" t="n">
        <v>44653</v>
      </c>
      <c r="B827" t="inlineStr">
        <is>
          <t>2022-04-02</t>
        </is>
      </c>
      <c r="C827" s="45" t="n">
        <v>225.0838</v>
      </c>
      <c r="D827" t="inlineStr">
        <is>
          <t>€/MWh</t>
        </is>
      </c>
      <c r="E827" s="54" t="n">
        <v>0.225084</v>
      </c>
      <c r="F827" s="54" t="n"/>
      <c r="G827" t="inlineStr">
        <is>
          <t>no aplica (precio mayorista)</t>
        </is>
      </c>
      <c r="J827" t="inlineStr">
        <is>
          <t>2022-04-01</t>
        </is>
      </c>
      <c r="K827" t="inlineStr">
        <is>
          <t>marginalpdbc_20220402.1</t>
        </is>
      </c>
      <c r="L827" t="inlineStr">
        <is>
          <t>24 periodos; mín 93.69, máx 300.00 €/MWh</t>
        </is>
      </c>
    </row>
    <row r="828">
      <c r="A828" s="53" t="n">
        <v>44654</v>
      </c>
      <c r="B828" t="inlineStr">
        <is>
          <t>2022-04-03</t>
        </is>
      </c>
      <c r="C828" s="45" t="n">
        <v>228.2958</v>
      </c>
      <c r="D828" t="inlineStr">
        <is>
          <t>€/MWh</t>
        </is>
      </c>
      <c r="E828" s="54" t="n">
        <v>0.228296</v>
      </c>
      <c r="F828" s="54" t="n"/>
      <c r="G828" t="inlineStr">
        <is>
          <t>no aplica (precio mayorista)</t>
        </is>
      </c>
      <c r="J828" t="inlineStr">
        <is>
          <t>2022-04-02</t>
        </is>
      </c>
      <c r="K828" t="inlineStr">
        <is>
          <t>marginalpdbc_20220403.1</t>
        </is>
      </c>
      <c r="L828" t="inlineStr">
        <is>
          <t>24 periodos; mín 129.99, máx 290.00 €/MWh</t>
        </is>
      </c>
    </row>
    <row r="829">
      <c r="A829" s="53" t="n">
        <v>44655</v>
      </c>
      <c r="B829" t="inlineStr">
        <is>
          <t>2022-04-04</t>
        </is>
      </c>
      <c r="C829" s="45" t="n">
        <v>251.8675</v>
      </c>
      <c r="D829" t="inlineStr">
        <is>
          <t>€/MWh</t>
        </is>
      </c>
      <c r="E829" s="54" t="n">
        <v>0.251867</v>
      </c>
      <c r="F829" s="54" t="n"/>
      <c r="G829" t="inlineStr">
        <is>
          <t>no aplica (precio mayorista)</t>
        </is>
      </c>
      <c r="J829" t="inlineStr">
        <is>
          <t>2022-04-03</t>
        </is>
      </c>
      <c r="K829" t="inlineStr">
        <is>
          <t>marginalpdbc_20220404.1</t>
        </is>
      </c>
      <c r="L829" t="inlineStr">
        <is>
          <t>24 periodos; mín 172.65, máx 298.06 €/MWh</t>
        </is>
      </c>
    </row>
    <row r="830">
      <c r="A830" s="53" t="n">
        <v>44656</v>
      </c>
      <c r="B830" t="inlineStr">
        <is>
          <t>2022-04-05</t>
        </is>
      </c>
      <c r="C830" s="45" t="n">
        <v>265.0163</v>
      </c>
      <c r="D830" t="inlineStr">
        <is>
          <t>€/MWh</t>
        </is>
      </c>
      <c r="E830" s="54" t="n">
        <v>0.265016</v>
      </c>
      <c r="F830" s="54" t="n"/>
      <c r="G830" t="inlineStr">
        <is>
          <t>no aplica (precio mayorista)</t>
        </is>
      </c>
      <c r="J830" t="inlineStr">
        <is>
          <t>2022-04-04</t>
        </is>
      </c>
      <c r="K830" t="inlineStr">
        <is>
          <t>marginalpdbc_20220405.1</t>
        </is>
      </c>
      <c r="L830" t="inlineStr">
        <is>
          <t>24 periodos; mín 205.50, máx 300.97 €/MWh</t>
        </is>
      </c>
    </row>
    <row r="831">
      <c r="A831" s="53" t="n">
        <v>44657</v>
      </c>
      <c r="B831" t="inlineStr">
        <is>
          <t>2022-04-06</t>
        </is>
      </c>
      <c r="C831" s="45" t="n">
        <v>254.9946</v>
      </c>
      <c r="D831" t="inlineStr">
        <is>
          <t>€/MWh</t>
        </is>
      </c>
      <c r="E831" s="54" t="n">
        <v>0.254995</v>
      </c>
      <c r="F831" s="54" t="n"/>
      <c r="G831" t="inlineStr">
        <is>
          <t>no aplica (precio mayorista)</t>
        </is>
      </c>
      <c r="J831" t="inlineStr">
        <is>
          <t>2022-04-05</t>
        </is>
      </c>
      <c r="K831" t="inlineStr">
        <is>
          <t>marginalpdbc_20220406.1</t>
        </is>
      </c>
      <c r="L831" t="inlineStr">
        <is>
          <t>24 periodos; mín 198.94, máx 311.59 €/MWh</t>
        </is>
      </c>
    </row>
    <row r="832">
      <c r="A832" s="53" t="n">
        <v>44658</v>
      </c>
      <c r="B832" t="inlineStr">
        <is>
          <t>2022-04-07</t>
        </is>
      </c>
      <c r="C832" s="45" t="n">
        <v>214.7929</v>
      </c>
      <c r="D832" t="inlineStr">
        <is>
          <t>€/MWh</t>
        </is>
      </c>
      <c r="E832" s="54" t="n">
        <v>0.214793</v>
      </c>
      <c r="F832" s="54" t="n"/>
      <c r="G832" t="inlineStr">
        <is>
          <t>no aplica (precio mayorista)</t>
        </is>
      </c>
      <c r="J832" t="inlineStr">
        <is>
          <t>2022-04-06</t>
        </is>
      </c>
      <c r="K832" t="inlineStr">
        <is>
          <t>marginalpdbc_20220407.1</t>
        </is>
      </c>
      <c r="L832" t="inlineStr">
        <is>
          <t>24 periodos; mín 165.46, máx 270.00 €/MWh</t>
        </is>
      </c>
    </row>
    <row r="833">
      <c r="A833" s="53" t="n">
        <v>44659</v>
      </c>
      <c r="B833" t="inlineStr">
        <is>
          <t>2022-04-08</t>
        </is>
      </c>
      <c r="C833" s="45" t="n">
        <v>154.6962</v>
      </c>
      <c r="D833" t="inlineStr">
        <is>
          <t>€/MWh</t>
        </is>
      </c>
      <c r="E833" s="54" t="n">
        <v>0.154696</v>
      </c>
      <c r="F833" s="54" t="n"/>
      <c r="G833" t="inlineStr">
        <is>
          <t>no aplica (precio mayorista)</t>
        </is>
      </c>
      <c r="J833" t="inlineStr">
        <is>
          <t>2022-04-07</t>
        </is>
      </c>
      <c r="K833" t="inlineStr">
        <is>
          <t>marginalpdbc_20220408.1</t>
        </is>
      </c>
      <c r="L833" t="inlineStr">
        <is>
          <t>24 periodos; mín 7.00, máx 252.08 €/MWh</t>
        </is>
      </c>
    </row>
    <row r="834">
      <c r="A834" s="53" t="n">
        <v>44660</v>
      </c>
      <c r="B834" t="inlineStr">
        <is>
          <t>2022-04-09</t>
        </is>
      </c>
      <c r="C834" s="45" t="n">
        <v>241.5862</v>
      </c>
      <c r="D834" t="inlineStr">
        <is>
          <t>€/MWh</t>
        </is>
      </c>
      <c r="E834" s="54" t="n">
        <v>0.241586</v>
      </c>
      <c r="F834" s="54" t="n"/>
      <c r="G834" t="inlineStr">
        <is>
          <t>no aplica (precio mayorista)</t>
        </is>
      </c>
      <c r="J834" t="inlineStr">
        <is>
          <t>2022-04-08</t>
        </is>
      </c>
      <c r="K834" t="inlineStr">
        <is>
          <t>marginalpdbc_20220409.1</t>
        </is>
      </c>
      <c r="L834" t="inlineStr">
        <is>
          <t>24 periodos; mín 184.67, máx 294.88 €/MWh</t>
        </is>
      </c>
    </row>
    <row r="835">
      <c r="A835" s="53" t="n">
        <v>44661</v>
      </c>
      <c r="B835" t="inlineStr">
        <is>
          <t>2022-04-10</t>
        </is>
      </c>
      <c r="C835" s="45" t="n">
        <v>159.3312</v>
      </c>
      <c r="D835" t="inlineStr">
        <is>
          <t>€/MWh</t>
        </is>
      </c>
      <c r="E835" s="54" t="n">
        <v>0.159331</v>
      </c>
      <c r="F835" s="54" t="n"/>
      <c r="G835" t="inlineStr">
        <is>
          <t>no aplica (precio mayorista)</t>
        </is>
      </c>
      <c r="J835" t="inlineStr">
        <is>
          <t>2022-04-09</t>
        </is>
      </c>
      <c r="K835" t="inlineStr">
        <is>
          <t>marginalpdbc_20220410.1</t>
        </is>
      </c>
      <c r="L835" t="inlineStr">
        <is>
          <t>24 periodos; mín 1.03, máx 282.48 €/MWh</t>
        </is>
      </c>
    </row>
    <row r="836">
      <c r="A836" s="53" t="n">
        <v>44662</v>
      </c>
      <c r="B836" t="inlineStr">
        <is>
          <t>2022-04-11</t>
        </is>
      </c>
      <c r="C836" s="45" t="n">
        <v>163.1275</v>
      </c>
      <c r="D836" t="inlineStr">
        <is>
          <t>€/MWh</t>
        </is>
      </c>
      <c r="E836" s="54" t="n">
        <v>0.163128</v>
      </c>
      <c r="F836" s="54" t="n"/>
      <c r="G836" t="inlineStr">
        <is>
          <t>no aplica (precio mayorista)</t>
        </is>
      </c>
      <c r="J836" t="inlineStr">
        <is>
          <t>2022-04-10</t>
        </is>
      </c>
      <c r="K836" t="inlineStr">
        <is>
          <t>marginalpdbc_20220411.1</t>
        </is>
      </c>
      <c r="L836" t="inlineStr">
        <is>
          <t>24 periodos; mín 55.10, máx 270.20 €/MWh</t>
        </is>
      </c>
    </row>
    <row r="837">
      <c r="A837" s="53" t="n">
        <v>44663</v>
      </c>
      <c r="B837" t="inlineStr">
        <is>
          <t>2022-04-12</t>
        </is>
      </c>
      <c r="C837" s="45" t="n">
        <v>237.2996</v>
      </c>
      <c r="D837" t="inlineStr">
        <is>
          <t>€/MWh</t>
        </is>
      </c>
      <c r="E837" s="54" t="n">
        <v>0.2373</v>
      </c>
      <c r="F837" s="54" t="n"/>
      <c r="G837" t="inlineStr">
        <is>
          <t>no aplica (precio mayorista)</t>
        </is>
      </c>
      <c r="J837" t="inlineStr">
        <is>
          <t>2022-04-11</t>
        </is>
      </c>
      <c r="K837" t="inlineStr">
        <is>
          <t>marginalpdbc_20220412.1</t>
        </is>
      </c>
      <c r="L837" t="inlineStr">
        <is>
          <t>24 periodos; mín 183.00, máx 282.26 €/MWh</t>
        </is>
      </c>
    </row>
    <row r="838">
      <c r="A838" s="53" t="n">
        <v>44664</v>
      </c>
      <c r="B838" t="inlineStr">
        <is>
          <t>2022-04-13</t>
        </is>
      </c>
      <c r="C838" s="45" t="n">
        <v>229.435</v>
      </c>
      <c r="D838" t="inlineStr">
        <is>
          <t>€/MWh</t>
        </is>
      </c>
      <c r="E838" s="54" t="n">
        <v>0.229435</v>
      </c>
      <c r="F838" s="54" t="n"/>
      <c r="G838" t="inlineStr">
        <is>
          <t>no aplica (precio mayorista)</t>
        </is>
      </c>
      <c r="J838" t="inlineStr">
        <is>
          <t>2022-04-12</t>
        </is>
      </c>
      <c r="K838" t="inlineStr">
        <is>
          <t>marginalpdbc_20220413.1</t>
        </is>
      </c>
      <c r="L838" t="inlineStr">
        <is>
          <t>24 periodos; mín 190.90, máx 260.00 €/MWh</t>
        </is>
      </c>
    </row>
    <row r="839">
      <c r="A839" s="53" t="n">
        <v>44665</v>
      </c>
      <c r="B839" t="inlineStr">
        <is>
          <t>2022-04-14</t>
        </is>
      </c>
      <c r="C839" s="45" t="n">
        <v>220.7612</v>
      </c>
      <c r="D839" t="inlineStr">
        <is>
          <t>€/MWh</t>
        </is>
      </c>
      <c r="E839" s="54" t="n">
        <v>0.220761</v>
      </c>
      <c r="F839" s="54" t="n"/>
      <c r="G839" t="inlineStr">
        <is>
          <t>no aplica (precio mayorista)</t>
        </is>
      </c>
      <c r="J839" t="inlineStr">
        <is>
          <t>2022-04-13</t>
        </is>
      </c>
      <c r="K839" t="inlineStr">
        <is>
          <t>marginalpdbc_20220414.1</t>
        </is>
      </c>
      <c r="L839" t="inlineStr">
        <is>
          <t>24 periodos; mín 190.00, máx 272.31 €/MWh</t>
        </is>
      </c>
    </row>
    <row r="840">
      <c r="A840" s="53" t="n">
        <v>44666</v>
      </c>
      <c r="B840" t="inlineStr">
        <is>
          <t>2022-04-15</t>
        </is>
      </c>
      <c r="C840" s="45" t="n">
        <v>198.4729</v>
      </c>
      <c r="D840" t="inlineStr">
        <is>
          <t>€/MWh</t>
        </is>
      </c>
      <c r="E840" s="54" t="n">
        <v>0.198473</v>
      </c>
      <c r="F840" s="54" t="n"/>
      <c r="G840" t="inlineStr">
        <is>
          <t>no aplica (precio mayorista)</t>
        </is>
      </c>
      <c r="J840" t="inlineStr">
        <is>
          <t>2022-04-14</t>
        </is>
      </c>
      <c r="K840" t="inlineStr">
        <is>
          <t>marginalpdbc_20220415.1</t>
        </is>
      </c>
      <c r="L840" t="inlineStr">
        <is>
          <t>24 periodos; mín 151.11, máx 237.29 €/MWh</t>
        </is>
      </c>
    </row>
    <row r="841">
      <c r="A841" s="53" t="n">
        <v>44667</v>
      </c>
      <c r="B841" t="inlineStr">
        <is>
          <t>2022-04-16</t>
        </is>
      </c>
      <c r="C841" s="45" t="n">
        <v>153.85</v>
      </c>
      <c r="D841" t="inlineStr">
        <is>
          <t>€/MWh</t>
        </is>
      </c>
      <c r="E841" s="54" t="n">
        <v>0.15385</v>
      </c>
      <c r="F841" s="54" t="n"/>
      <c r="G841" t="inlineStr">
        <is>
          <t>no aplica (precio mayorista)</t>
        </is>
      </c>
      <c r="J841" t="inlineStr">
        <is>
          <t>2022-04-15</t>
        </is>
      </c>
      <c r="K841" t="inlineStr">
        <is>
          <t>marginalpdbc_20220416.1</t>
        </is>
      </c>
      <c r="L841" t="inlineStr">
        <is>
          <t>24 periodos; mín 40.32, máx 222.43 €/MWh</t>
        </is>
      </c>
    </row>
    <row r="842">
      <c r="A842" s="53" t="n">
        <v>44668</v>
      </c>
      <c r="B842" t="inlineStr">
        <is>
          <t>2022-04-17</t>
        </is>
      </c>
      <c r="C842" s="45" t="n">
        <v>111.3508</v>
      </c>
      <c r="D842" t="inlineStr">
        <is>
          <t>€/MWh</t>
        </is>
      </c>
      <c r="E842" s="54" t="n">
        <v>0.111351</v>
      </c>
      <c r="F842" s="54" t="n"/>
      <c r="G842" t="inlineStr">
        <is>
          <t>no aplica (precio mayorista)</t>
        </is>
      </c>
      <c r="J842" t="inlineStr">
        <is>
          <t>2022-04-16</t>
        </is>
      </c>
      <c r="K842" t="inlineStr">
        <is>
          <t>marginalpdbc_20220417.1</t>
        </is>
      </c>
      <c r="L842" t="inlineStr">
        <is>
          <t>24 periodos; mín 3.70, máx 191.54 €/MWh</t>
        </is>
      </c>
    </row>
    <row r="843">
      <c r="A843" s="53" t="n">
        <v>44669</v>
      </c>
      <c r="B843" t="inlineStr">
        <is>
          <t>2022-04-18</t>
        </is>
      </c>
      <c r="C843" s="45" t="n">
        <v>103.2433</v>
      </c>
      <c r="D843" t="inlineStr">
        <is>
          <t>€/MWh</t>
        </is>
      </c>
      <c r="E843" s="54" t="n">
        <v>0.103243</v>
      </c>
      <c r="F843" s="54" t="n"/>
      <c r="G843" t="inlineStr">
        <is>
          <t>no aplica (precio mayorista)</t>
        </is>
      </c>
      <c r="J843" t="inlineStr">
        <is>
          <t>2022-04-17</t>
        </is>
      </c>
      <c r="K843" t="inlineStr">
        <is>
          <t>marginalpdbc_20220418.1</t>
        </is>
      </c>
      <c r="L843" t="inlineStr">
        <is>
          <t>24 periodos; mín 45.00, máx 219.69 €/MWh</t>
        </is>
      </c>
    </row>
    <row r="844">
      <c r="A844" s="53" t="n">
        <v>44670</v>
      </c>
      <c r="B844" t="inlineStr">
        <is>
          <t>2022-04-19</t>
        </is>
      </c>
      <c r="C844" s="45" t="n">
        <v>112.1217</v>
      </c>
      <c r="D844" t="inlineStr">
        <is>
          <t>€/MWh</t>
        </is>
      </c>
      <c r="E844" s="54" t="n">
        <v>0.112122</v>
      </c>
      <c r="F844" s="54" t="n"/>
      <c r="G844" t="inlineStr">
        <is>
          <t>no aplica (precio mayorista)</t>
        </is>
      </c>
      <c r="J844" t="inlineStr">
        <is>
          <t>2022-04-18</t>
        </is>
      </c>
      <c r="K844" t="inlineStr">
        <is>
          <t>marginalpdbc_20220419.1</t>
        </is>
      </c>
      <c r="L844" t="inlineStr">
        <is>
          <t>24 periodos; mín 55.11, máx 170.91 €/MWh</t>
        </is>
      </c>
    </row>
    <row r="845">
      <c r="A845" s="53" t="n">
        <v>44671</v>
      </c>
      <c r="B845" t="inlineStr">
        <is>
          <t>2022-04-20</t>
        </is>
      </c>
      <c r="C845" s="45" t="n">
        <v>85.1892</v>
      </c>
      <c r="D845" t="inlineStr">
        <is>
          <t>€/MWh</t>
        </is>
      </c>
      <c r="E845" s="54" t="n">
        <v>0.085189</v>
      </c>
      <c r="F845" s="54" t="n"/>
      <c r="G845" t="inlineStr">
        <is>
          <t>no aplica (precio mayorista)</t>
        </is>
      </c>
      <c r="J845" t="inlineStr">
        <is>
          <t>2022-04-19</t>
        </is>
      </c>
      <c r="K845" t="inlineStr">
        <is>
          <t>marginalpdbc_20220420.1</t>
        </is>
      </c>
      <c r="L845" t="inlineStr">
        <is>
          <t>24 periodos; mín 6.00, máx 148.00 €/MWh</t>
        </is>
      </c>
    </row>
    <row r="846">
      <c r="A846" s="53" t="n">
        <v>44672</v>
      </c>
      <c r="B846" t="inlineStr">
        <is>
          <t>2022-04-21</t>
        </is>
      </c>
      <c r="C846" s="45" t="n">
        <v>161.7175</v>
      </c>
      <c r="D846" t="inlineStr">
        <is>
          <t>€/MWh</t>
        </is>
      </c>
      <c r="E846" s="54" t="n">
        <v>0.161718</v>
      </c>
      <c r="F846" s="54" t="n"/>
      <c r="G846" t="inlineStr">
        <is>
          <t>no aplica (precio mayorista)</t>
        </is>
      </c>
      <c r="J846" t="inlineStr">
        <is>
          <t>2022-04-20</t>
        </is>
      </c>
      <c r="K846" t="inlineStr">
        <is>
          <t>marginalpdbc_20220421.1</t>
        </is>
      </c>
      <c r="L846" t="inlineStr">
        <is>
          <t>24 periodos; mín 101.00, máx 223.61 €/MWh</t>
        </is>
      </c>
    </row>
    <row r="847">
      <c r="A847" s="53" t="n">
        <v>44673</v>
      </c>
      <c r="B847" t="inlineStr">
        <is>
          <t>2022-04-22</t>
        </is>
      </c>
      <c r="C847" s="45" t="n">
        <v>207.7687</v>
      </c>
      <c r="D847" t="inlineStr">
        <is>
          <t>€/MWh</t>
        </is>
      </c>
      <c r="E847" s="54" t="n">
        <v>0.207769</v>
      </c>
      <c r="F847" s="54" t="n"/>
      <c r="G847" t="inlineStr">
        <is>
          <t>no aplica (precio mayorista)</t>
        </is>
      </c>
      <c r="J847" t="inlineStr">
        <is>
          <t>2022-04-21</t>
        </is>
      </c>
      <c r="K847" t="inlineStr">
        <is>
          <t>marginalpdbc_20220422.1</t>
        </is>
      </c>
      <c r="L847" t="inlineStr">
        <is>
          <t>24 periodos; mín 176.09, máx 244.10 €/MWh</t>
        </is>
      </c>
    </row>
    <row r="848">
      <c r="A848" s="53" t="n">
        <v>44674</v>
      </c>
      <c r="B848" t="inlineStr">
        <is>
          <t>2022-04-23</t>
        </is>
      </c>
      <c r="C848" s="45" t="n">
        <v>86.2487</v>
      </c>
      <c r="D848" t="inlineStr">
        <is>
          <t>€/MWh</t>
        </is>
      </c>
      <c r="E848" s="54" t="n">
        <v>0.08624900000000001</v>
      </c>
      <c r="F848" s="54" t="n"/>
      <c r="G848" t="inlineStr">
        <is>
          <t>no aplica (precio mayorista)</t>
        </is>
      </c>
      <c r="J848" t="inlineStr">
        <is>
          <t>2022-04-22</t>
        </is>
      </c>
      <c r="K848" t="inlineStr">
        <is>
          <t>marginalpdbc_20220423.1</t>
        </is>
      </c>
      <c r="L848" t="inlineStr">
        <is>
          <t>24 periodos; mín 1.17, máx 182.48 €/MWh</t>
        </is>
      </c>
    </row>
    <row r="849">
      <c r="A849" s="53" t="n">
        <v>44675</v>
      </c>
      <c r="B849" t="inlineStr">
        <is>
          <t>2022-04-24</t>
        </is>
      </c>
      <c r="C849" s="45" t="n">
        <v>146.9467</v>
      </c>
      <c r="D849" t="inlineStr">
        <is>
          <t>€/MWh</t>
        </is>
      </c>
      <c r="E849" s="54" t="n">
        <v>0.146947</v>
      </c>
      <c r="F849" s="54" t="n"/>
      <c r="G849" t="inlineStr">
        <is>
          <t>no aplica (precio mayorista)</t>
        </is>
      </c>
      <c r="J849" t="inlineStr">
        <is>
          <t>2022-04-23</t>
        </is>
      </c>
      <c r="K849" t="inlineStr">
        <is>
          <t>marginalpdbc_20220424.1</t>
        </is>
      </c>
      <c r="L849" t="inlineStr">
        <is>
          <t>24 periodos; mín 102.00, máx 257.04 €/MWh</t>
        </is>
      </c>
    </row>
    <row r="850">
      <c r="A850" s="53" t="n">
        <v>44676</v>
      </c>
      <c r="B850" t="inlineStr">
        <is>
          <t>2022-04-25</t>
        </is>
      </c>
      <c r="C850" s="45" t="n">
        <v>226.5658</v>
      </c>
      <c r="D850" t="inlineStr">
        <is>
          <t>€/MWh</t>
        </is>
      </c>
      <c r="E850" s="54" t="n">
        <v>0.226566</v>
      </c>
      <c r="F850" s="54" t="n"/>
      <c r="G850" t="inlineStr">
        <is>
          <t>no aplica (precio mayorista)</t>
        </is>
      </c>
      <c r="J850" t="inlineStr">
        <is>
          <t>2022-04-24</t>
        </is>
      </c>
      <c r="K850" t="inlineStr">
        <is>
          <t>marginalpdbc_20220425.1</t>
        </is>
      </c>
      <c r="L850" t="inlineStr">
        <is>
          <t>24 periodos; mín 170.00, máx 275.71 €/MWh</t>
        </is>
      </c>
    </row>
    <row r="851">
      <c r="A851" s="53" t="n">
        <v>44677</v>
      </c>
      <c r="B851" t="inlineStr">
        <is>
          <t>2022-04-26</t>
        </is>
      </c>
      <c r="C851" s="45" t="n">
        <v>233.78</v>
      </c>
      <c r="D851" t="inlineStr">
        <is>
          <t>€/MWh</t>
        </is>
      </c>
      <c r="E851" s="54" t="n">
        <v>0.23378</v>
      </c>
      <c r="F851" s="54" t="n"/>
      <c r="G851" t="inlineStr">
        <is>
          <t>no aplica (precio mayorista)</t>
        </is>
      </c>
      <c r="J851" t="inlineStr">
        <is>
          <t>2022-04-25</t>
        </is>
      </c>
      <c r="K851" t="inlineStr">
        <is>
          <t>marginalpdbc_20220426.1</t>
        </is>
      </c>
      <c r="L851" t="inlineStr">
        <is>
          <t>24 periodos; mín 205.00, máx 270.01 €/MWh</t>
        </is>
      </c>
    </row>
    <row r="852">
      <c r="A852" s="53" t="n">
        <v>44678</v>
      </c>
      <c r="B852" t="inlineStr">
        <is>
          <t>2022-04-27</t>
        </is>
      </c>
      <c r="C852" s="45" t="n">
        <v>220.9462</v>
      </c>
      <c r="D852" t="inlineStr">
        <is>
          <t>€/MWh</t>
        </is>
      </c>
      <c r="E852" s="54" t="n">
        <v>0.220946</v>
      </c>
      <c r="F852" s="54" t="n"/>
      <c r="G852" t="inlineStr">
        <is>
          <t>no aplica (precio mayorista)</t>
        </is>
      </c>
      <c r="J852" t="inlineStr">
        <is>
          <t>2022-04-26</t>
        </is>
      </c>
      <c r="K852" t="inlineStr">
        <is>
          <t>marginalpdbc_20220427.1</t>
        </is>
      </c>
      <c r="L852" t="inlineStr">
        <is>
          <t>24 periodos; mín 190.96, máx 265.98 €/MWh</t>
        </is>
      </c>
    </row>
    <row r="853">
      <c r="A853" s="53" t="n">
        <v>44679</v>
      </c>
      <c r="B853" t="inlineStr">
        <is>
          <t>2022-04-28</t>
        </is>
      </c>
      <c r="C853" s="45" t="n">
        <v>224.965</v>
      </c>
      <c r="D853" t="inlineStr">
        <is>
          <t>€/MWh</t>
        </is>
      </c>
      <c r="E853" s="54" t="n">
        <v>0.224965</v>
      </c>
      <c r="F853" s="54" t="n"/>
      <c r="G853" t="inlineStr">
        <is>
          <t>no aplica (precio mayorista)</t>
        </is>
      </c>
      <c r="J853" t="inlineStr">
        <is>
          <t>2022-04-27</t>
        </is>
      </c>
      <c r="K853" t="inlineStr">
        <is>
          <t>marginalpdbc_20220428.1</t>
        </is>
      </c>
      <c r="L853" t="inlineStr">
        <is>
          <t>24 periodos; mín 196.30, máx 267.85 €/MWh</t>
        </is>
      </c>
    </row>
    <row r="854">
      <c r="A854" s="53" t="n">
        <v>44680</v>
      </c>
      <c r="B854" t="inlineStr">
        <is>
          <t>2022-04-29</t>
        </is>
      </c>
      <c r="C854" s="45" t="n">
        <v>214.8383</v>
      </c>
      <c r="D854" t="inlineStr">
        <is>
          <t>€/MWh</t>
        </is>
      </c>
      <c r="E854" s="54" t="n">
        <v>0.214838</v>
      </c>
      <c r="F854" s="54" t="n"/>
      <c r="G854" t="inlineStr">
        <is>
          <t>no aplica (precio mayorista)</t>
        </is>
      </c>
      <c r="J854" t="inlineStr">
        <is>
          <t>2022-04-28</t>
        </is>
      </c>
      <c r="K854" t="inlineStr">
        <is>
          <t>marginalpdbc_20220429.1</t>
        </is>
      </c>
      <c r="L854" t="inlineStr">
        <is>
          <t>24 periodos; mín 186.00, máx 254.97 €/MWh</t>
        </is>
      </c>
    </row>
    <row r="855">
      <c r="A855" s="53" t="n">
        <v>44681</v>
      </c>
      <c r="B855" t="inlineStr">
        <is>
          <t>2022-04-30</t>
        </is>
      </c>
      <c r="C855" s="45" t="n">
        <v>186.4492</v>
      </c>
      <c r="D855" t="inlineStr">
        <is>
          <t>€/MWh</t>
        </is>
      </c>
      <c r="E855" s="54" t="n">
        <v>0.186449</v>
      </c>
      <c r="F855" s="54" t="n"/>
      <c r="G855" t="inlineStr">
        <is>
          <t>no aplica (precio mayorista)</t>
        </is>
      </c>
      <c r="J855" t="inlineStr">
        <is>
          <t>2022-04-29</t>
        </is>
      </c>
      <c r="K855" t="inlineStr">
        <is>
          <t>marginalpdbc_20220430.1</t>
        </is>
      </c>
      <c r="L855" t="inlineStr">
        <is>
          <t>24 periodos; mín 138.00, máx 232.01 €/MWh</t>
        </is>
      </c>
    </row>
    <row r="856">
      <c r="A856" s="53" t="n">
        <v>44682</v>
      </c>
      <c r="B856" t="inlineStr">
        <is>
          <t>2022-05-01</t>
        </is>
      </c>
      <c r="C856" s="45" t="n">
        <v>177.8583</v>
      </c>
      <c r="D856" t="inlineStr">
        <is>
          <t>€/MWh</t>
        </is>
      </c>
      <c r="E856" s="54" t="n">
        <v>0.177858</v>
      </c>
      <c r="F856" s="54" t="n"/>
      <c r="G856" t="inlineStr">
        <is>
          <t>no aplica (precio mayorista)</t>
        </is>
      </c>
      <c r="J856" t="inlineStr">
        <is>
          <t>2022-04-30</t>
        </is>
      </c>
      <c r="K856" t="inlineStr">
        <is>
          <t>marginalpdbc_20220501.1</t>
        </is>
      </c>
      <c r="L856" t="inlineStr">
        <is>
          <t>24 periodos; mín 95.05, máx 227.00 €/MWh</t>
        </is>
      </c>
    </row>
    <row r="857">
      <c r="A857" s="53" t="n">
        <v>44683</v>
      </c>
      <c r="B857" t="inlineStr">
        <is>
          <t>2022-05-02</t>
        </is>
      </c>
      <c r="C857" s="45" t="n">
        <v>191.8063</v>
      </c>
      <c r="D857" t="inlineStr">
        <is>
          <t>€/MWh</t>
        </is>
      </c>
      <c r="E857" s="54" t="n">
        <v>0.191806</v>
      </c>
      <c r="F857" s="54" t="n"/>
      <c r="G857" t="inlineStr">
        <is>
          <t>no aplica (precio mayorista)</t>
        </is>
      </c>
      <c r="J857" t="inlineStr">
        <is>
          <t>2022-05-01</t>
        </is>
      </c>
      <c r="K857" t="inlineStr">
        <is>
          <t>marginalpdbc_20220502.1</t>
        </is>
      </c>
      <c r="L857" t="inlineStr">
        <is>
          <t>24 periodos; mín 155.01, máx 217.20 €/MWh</t>
        </is>
      </c>
    </row>
    <row r="858">
      <c r="A858" s="53" t="n">
        <v>44684</v>
      </c>
      <c r="B858" t="inlineStr">
        <is>
          <t>2022-05-03</t>
        </is>
      </c>
      <c r="C858" s="45" t="n">
        <v>191.4713</v>
      </c>
      <c r="D858" t="inlineStr">
        <is>
          <t>€/MWh</t>
        </is>
      </c>
      <c r="E858" s="54" t="n">
        <v>0.191471</v>
      </c>
      <c r="F858" s="54" t="n"/>
      <c r="G858" t="inlineStr">
        <is>
          <t>no aplica (precio mayorista)</t>
        </is>
      </c>
      <c r="J858" t="inlineStr">
        <is>
          <t>2022-05-02</t>
        </is>
      </c>
      <c r="K858" t="inlineStr">
        <is>
          <t>marginalpdbc_20220503.1</t>
        </is>
      </c>
      <c r="L858" t="inlineStr">
        <is>
          <t>24 periodos; mín 152.89, máx 223.50 €/MWh</t>
        </is>
      </c>
    </row>
    <row r="859">
      <c r="A859" s="53" t="n">
        <v>44685</v>
      </c>
      <c r="B859" t="inlineStr">
        <is>
          <t>2022-05-04</t>
        </is>
      </c>
      <c r="C859" s="45" t="n">
        <v>202.1492</v>
      </c>
      <c r="D859" t="inlineStr">
        <is>
          <t>€/MWh</t>
        </is>
      </c>
      <c r="E859" s="54" t="n">
        <v>0.202149</v>
      </c>
      <c r="F859" s="54" t="n"/>
      <c r="G859" t="inlineStr">
        <is>
          <t>no aplica (precio mayorista)</t>
        </is>
      </c>
      <c r="J859" t="inlineStr">
        <is>
          <t>2022-05-03</t>
        </is>
      </c>
      <c r="K859" t="inlineStr">
        <is>
          <t>marginalpdbc_20220504.1</t>
        </is>
      </c>
      <c r="L859" t="inlineStr">
        <is>
          <t>24 periodos; mín 185.25, máx 218.00 €/MWh</t>
        </is>
      </c>
    </row>
    <row r="860">
      <c r="A860" s="53" t="n">
        <v>44686</v>
      </c>
      <c r="B860" t="inlineStr">
        <is>
          <t>2022-05-05</t>
        </is>
      </c>
      <c r="C860" s="45" t="n">
        <v>190.7725</v>
      </c>
      <c r="D860" t="inlineStr">
        <is>
          <t>€/MWh</t>
        </is>
      </c>
      <c r="E860" s="54" t="n">
        <v>0.190773</v>
      </c>
      <c r="F860" s="54" t="n"/>
      <c r="G860" t="inlineStr">
        <is>
          <t>no aplica (precio mayorista)</t>
        </is>
      </c>
      <c r="J860" t="inlineStr">
        <is>
          <t>2022-05-04</t>
        </is>
      </c>
      <c r="K860" t="inlineStr">
        <is>
          <t>marginalpdbc_20220505.1</t>
        </is>
      </c>
      <c r="L860" t="inlineStr">
        <is>
          <t>24 periodos; mín 157.24, máx 225.14 €/MWh</t>
        </is>
      </c>
    </row>
    <row r="861">
      <c r="A861" s="53" t="n">
        <v>44687</v>
      </c>
      <c r="B861" t="inlineStr">
        <is>
          <t>2022-05-06</t>
        </is>
      </c>
      <c r="C861" s="45" t="n">
        <v>197.6321</v>
      </c>
      <c r="D861" t="inlineStr">
        <is>
          <t>€/MWh</t>
        </is>
      </c>
      <c r="E861" s="54" t="n">
        <v>0.197632</v>
      </c>
      <c r="F861" s="54" t="n"/>
      <c r="G861" t="inlineStr">
        <is>
          <t>no aplica (precio mayorista)</t>
        </is>
      </c>
      <c r="J861" t="inlineStr">
        <is>
          <t>2022-05-05</t>
        </is>
      </c>
      <c r="K861" t="inlineStr">
        <is>
          <t>marginalpdbc_20220506.1</t>
        </is>
      </c>
      <c r="L861" t="inlineStr">
        <is>
          <t>24 periodos; mín 150.05, máx 231.47 €/MWh</t>
        </is>
      </c>
    </row>
    <row r="862">
      <c r="A862" s="53" t="n">
        <v>44688</v>
      </c>
      <c r="B862" t="inlineStr">
        <is>
          <t>2022-05-07</t>
        </is>
      </c>
      <c r="C862" s="45" t="n">
        <v>184.8637</v>
      </c>
      <c r="D862" t="inlineStr">
        <is>
          <t>€/MWh</t>
        </is>
      </c>
      <c r="E862" s="54" t="n">
        <v>0.184864</v>
      </c>
      <c r="F862" s="54" t="n"/>
      <c r="G862" t="inlineStr">
        <is>
          <t>no aplica (precio mayorista)</t>
        </is>
      </c>
      <c r="J862" t="inlineStr">
        <is>
          <t>2022-05-06</t>
        </is>
      </c>
      <c r="K862" t="inlineStr">
        <is>
          <t>marginalpdbc_20220507.1</t>
        </is>
      </c>
      <c r="L862" t="inlineStr">
        <is>
          <t>24 periodos; mín 145.23, máx 229.00 €/MWh</t>
        </is>
      </c>
    </row>
    <row r="863">
      <c r="A863" s="53" t="n">
        <v>44689</v>
      </c>
      <c r="B863" t="inlineStr">
        <is>
          <t>2022-05-08</t>
        </is>
      </c>
      <c r="C863" s="45" t="n">
        <v>172.3921</v>
      </c>
      <c r="D863" t="inlineStr">
        <is>
          <t>€/MWh</t>
        </is>
      </c>
      <c r="E863" s="54" t="n">
        <v>0.172392</v>
      </c>
      <c r="F863" s="54" t="n"/>
      <c r="G863" t="inlineStr">
        <is>
          <t>no aplica (precio mayorista)</t>
        </is>
      </c>
      <c r="J863" t="inlineStr">
        <is>
          <t>2022-05-07</t>
        </is>
      </c>
      <c r="K863" t="inlineStr">
        <is>
          <t>marginalpdbc_20220508.1</t>
        </is>
      </c>
      <c r="L863" t="inlineStr">
        <is>
          <t>24 periodos; mín 93.26, máx 238.35 €/MWh</t>
        </is>
      </c>
    </row>
    <row r="864">
      <c r="A864" s="53" t="n">
        <v>44690</v>
      </c>
      <c r="B864" t="inlineStr">
        <is>
          <t>2022-05-09</t>
        </is>
      </c>
      <c r="C864" s="45" t="n">
        <v>208.7367</v>
      </c>
      <c r="D864" t="inlineStr">
        <is>
          <t>€/MWh</t>
        </is>
      </c>
      <c r="E864" s="54" t="n">
        <v>0.208737</v>
      </c>
      <c r="F864" s="54" t="n"/>
      <c r="G864" t="inlineStr">
        <is>
          <t>no aplica (precio mayorista)</t>
        </is>
      </c>
      <c r="J864" t="inlineStr">
        <is>
          <t>2022-05-08</t>
        </is>
      </c>
      <c r="K864" t="inlineStr">
        <is>
          <t>marginalpdbc_20220509.1</t>
        </is>
      </c>
      <c r="L864" t="inlineStr">
        <is>
          <t>24 periodos; mín 183.94, máx 250.44 €/MWh</t>
        </is>
      </c>
    </row>
    <row r="865">
      <c r="A865" s="53" t="n">
        <v>44691</v>
      </c>
      <c r="B865" t="inlineStr">
        <is>
          <t>2022-05-10</t>
        </is>
      </c>
      <c r="C865" s="45" t="n">
        <v>208.7062</v>
      </c>
      <c r="D865" t="inlineStr">
        <is>
          <t>€/MWh</t>
        </is>
      </c>
      <c r="E865" s="54" t="n">
        <v>0.208706</v>
      </c>
      <c r="F865" s="54" t="n"/>
      <c r="G865" t="inlineStr">
        <is>
          <t>no aplica (precio mayorista)</t>
        </is>
      </c>
      <c r="J865" t="inlineStr">
        <is>
          <t>2022-05-09</t>
        </is>
      </c>
      <c r="K865" t="inlineStr">
        <is>
          <t>marginalpdbc_20220510.1</t>
        </is>
      </c>
      <c r="L865" t="inlineStr">
        <is>
          <t>24 periodos; mín 176.22, máx 237.95 €/MWh</t>
        </is>
      </c>
    </row>
    <row r="866">
      <c r="A866" s="53" t="n">
        <v>44692</v>
      </c>
      <c r="B866" t="inlineStr">
        <is>
          <t>2022-05-11</t>
        </is>
      </c>
      <c r="C866" s="45" t="n">
        <v>186.8392</v>
      </c>
      <c r="D866" t="inlineStr">
        <is>
          <t>€/MWh</t>
        </is>
      </c>
      <c r="E866" s="54" t="n">
        <v>0.186839</v>
      </c>
      <c r="F866" s="54" t="n"/>
      <c r="G866" t="inlineStr">
        <is>
          <t>no aplica (precio mayorista)</t>
        </is>
      </c>
      <c r="J866" t="inlineStr">
        <is>
          <t>2022-05-10</t>
        </is>
      </c>
      <c r="K866" t="inlineStr">
        <is>
          <t>marginalpdbc_20220511.1</t>
        </is>
      </c>
      <c r="L866" t="inlineStr">
        <is>
          <t>24 periodos; mín 154.40, máx 228.84 €/MWh</t>
        </is>
      </c>
    </row>
    <row r="867">
      <c r="A867" s="53" t="n">
        <v>44693</v>
      </c>
      <c r="B867" t="inlineStr">
        <is>
          <t>2022-05-12</t>
        </is>
      </c>
      <c r="C867" s="45" t="n">
        <v>187.2663</v>
      </c>
      <c r="D867" t="inlineStr">
        <is>
          <t>€/MWh</t>
        </is>
      </c>
      <c r="E867" s="54" t="n">
        <v>0.187266</v>
      </c>
      <c r="F867" s="54" t="n"/>
      <c r="G867" t="inlineStr">
        <is>
          <t>no aplica (precio mayorista)</t>
        </is>
      </c>
      <c r="J867" t="inlineStr">
        <is>
          <t>2022-05-11</t>
        </is>
      </c>
      <c r="K867" t="inlineStr">
        <is>
          <t>marginalpdbc_20220512.1</t>
        </is>
      </c>
      <c r="L867" t="inlineStr">
        <is>
          <t>24 periodos; mín 161.11, máx 227.49 €/MWh</t>
        </is>
      </c>
    </row>
    <row r="868">
      <c r="A868" s="53" t="n">
        <v>44694</v>
      </c>
      <c r="B868" t="inlineStr">
        <is>
          <t>2022-05-13</t>
        </is>
      </c>
      <c r="C868" s="45" t="n">
        <v>202.9904</v>
      </c>
      <c r="D868" t="inlineStr">
        <is>
          <t>€/MWh</t>
        </is>
      </c>
      <c r="E868" s="54" t="n">
        <v>0.20299</v>
      </c>
      <c r="F868" s="54" t="n"/>
      <c r="G868" t="inlineStr">
        <is>
          <t>no aplica (precio mayorista)</t>
        </is>
      </c>
      <c r="J868" t="inlineStr">
        <is>
          <t>2022-05-12</t>
        </is>
      </c>
      <c r="K868" t="inlineStr">
        <is>
          <t>marginalpdbc_20220513.1</t>
        </is>
      </c>
      <c r="L868" t="inlineStr">
        <is>
          <t>24 periodos; mín 164.99, máx 242.74 €/MWh</t>
        </is>
      </c>
    </row>
    <row r="869">
      <c r="A869" s="53" t="n">
        <v>44695</v>
      </c>
      <c r="B869" t="inlineStr">
        <is>
          <t>2022-05-14</t>
        </is>
      </c>
      <c r="C869" s="45" t="n">
        <v>191.5525</v>
      </c>
      <c r="D869" t="inlineStr">
        <is>
          <t>€/MWh</t>
        </is>
      </c>
      <c r="E869" s="54" t="n">
        <v>0.191553</v>
      </c>
      <c r="F869" s="54" t="n"/>
      <c r="G869" t="inlineStr">
        <is>
          <t>no aplica (precio mayorista)</t>
        </is>
      </c>
      <c r="J869" t="inlineStr">
        <is>
          <t>2022-05-13</t>
        </is>
      </c>
      <c r="K869" t="inlineStr">
        <is>
          <t>marginalpdbc_20220514.1</t>
        </is>
      </c>
      <c r="L869" t="inlineStr">
        <is>
          <t>24 periodos; mín 136.59, máx 241.87 €/MWh</t>
        </is>
      </c>
    </row>
    <row r="870">
      <c r="A870" s="53" t="n">
        <v>44696</v>
      </c>
      <c r="B870" t="inlineStr">
        <is>
          <t>2022-05-15</t>
        </is>
      </c>
      <c r="C870" s="45" t="n">
        <v>127.2283</v>
      </c>
      <c r="D870" t="inlineStr">
        <is>
          <t>€/MWh</t>
        </is>
      </c>
      <c r="E870" s="54" t="n">
        <v>0.127228</v>
      </c>
      <c r="F870" s="54" t="n"/>
      <c r="G870" t="inlineStr">
        <is>
          <t>no aplica (precio mayorista)</t>
        </is>
      </c>
      <c r="J870" t="inlineStr">
        <is>
          <t>2022-05-14</t>
        </is>
      </c>
      <c r="K870" t="inlineStr">
        <is>
          <t>marginalpdbc_20220515.1</t>
        </is>
      </c>
      <c r="L870" t="inlineStr">
        <is>
          <t>24 periodos; mín 1.03, máx 226.18 €/MWh</t>
        </is>
      </c>
    </row>
    <row r="871">
      <c r="A871" s="53" t="n">
        <v>44697</v>
      </c>
      <c r="B871" t="inlineStr">
        <is>
          <t>2022-05-16</t>
        </is>
      </c>
      <c r="C871" s="45" t="n">
        <v>195.2346</v>
      </c>
      <c r="D871" t="inlineStr">
        <is>
          <t>€/MWh</t>
        </is>
      </c>
      <c r="E871" s="54" t="n">
        <v>0.195235</v>
      </c>
      <c r="F871" s="54" t="n"/>
      <c r="G871" t="inlineStr">
        <is>
          <t>no aplica (precio mayorista)</t>
        </is>
      </c>
      <c r="J871" t="inlineStr">
        <is>
          <t>2022-05-15</t>
        </is>
      </c>
      <c r="K871" t="inlineStr">
        <is>
          <t>marginalpdbc_20220516.1</t>
        </is>
      </c>
      <c r="L871" t="inlineStr">
        <is>
          <t>24 periodos; mín 160.32, máx 248.08 €/MWh</t>
        </is>
      </c>
    </row>
    <row r="872">
      <c r="A872" s="53" t="n">
        <v>44698</v>
      </c>
      <c r="B872" t="inlineStr">
        <is>
          <t>2022-05-17</t>
        </is>
      </c>
      <c r="C872" s="45" t="n">
        <v>199.3571</v>
      </c>
      <c r="D872" t="inlineStr">
        <is>
          <t>€/MWh</t>
        </is>
      </c>
      <c r="E872" s="54" t="n">
        <v>0.199357</v>
      </c>
      <c r="F872" s="54" t="n"/>
      <c r="G872" t="inlineStr">
        <is>
          <t>no aplica (precio mayorista)</t>
        </is>
      </c>
      <c r="J872" t="inlineStr">
        <is>
          <t>2022-05-16</t>
        </is>
      </c>
      <c r="K872" t="inlineStr">
        <is>
          <t>marginalpdbc_20220517.1</t>
        </is>
      </c>
      <c r="L872" t="inlineStr">
        <is>
          <t>24 periodos; mín 160.99, máx 265.88 €/MWh</t>
        </is>
      </c>
    </row>
    <row r="873">
      <c r="A873" s="53" t="n">
        <v>44699</v>
      </c>
      <c r="B873" t="inlineStr">
        <is>
          <t>2022-05-18</t>
        </is>
      </c>
      <c r="C873" s="45" t="n">
        <v>194.8617</v>
      </c>
      <c r="D873" t="inlineStr">
        <is>
          <t>€/MWh</t>
        </is>
      </c>
      <c r="E873" s="54" t="n">
        <v>0.194862</v>
      </c>
      <c r="F873" s="54" t="n"/>
      <c r="G873" t="inlineStr">
        <is>
          <t>no aplica (precio mayorista)</t>
        </is>
      </c>
      <c r="J873" t="inlineStr">
        <is>
          <t>2022-05-17</t>
        </is>
      </c>
      <c r="K873" t="inlineStr">
        <is>
          <t>marginalpdbc_20220518.1</t>
        </is>
      </c>
      <c r="L873" t="inlineStr">
        <is>
          <t>24 periodos; mín 165.04, máx 237.72 €/MWh</t>
        </is>
      </c>
    </row>
    <row r="874">
      <c r="A874" s="53" t="n">
        <v>44700</v>
      </c>
      <c r="B874" t="inlineStr">
        <is>
          <t>2022-05-19</t>
        </is>
      </c>
      <c r="C874" s="45" t="n">
        <v>191.0754</v>
      </c>
      <c r="D874" t="inlineStr">
        <is>
          <t>€/MWh</t>
        </is>
      </c>
      <c r="E874" s="54" t="n">
        <v>0.191075</v>
      </c>
      <c r="F874" s="54" t="n"/>
      <c r="G874" t="inlineStr">
        <is>
          <t>no aplica (precio mayorista)</t>
        </is>
      </c>
      <c r="J874" t="inlineStr">
        <is>
          <t>2022-05-18</t>
        </is>
      </c>
      <c r="K874" t="inlineStr">
        <is>
          <t>marginalpdbc_20220519.1</t>
        </is>
      </c>
      <c r="L874" t="inlineStr">
        <is>
          <t>24 periodos; mín 157.14, máx 236.21 €/MWh</t>
        </is>
      </c>
    </row>
    <row r="875">
      <c r="A875" s="53" t="n">
        <v>44701</v>
      </c>
      <c r="B875" t="inlineStr">
        <is>
          <t>2022-05-20</t>
        </is>
      </c>
      <c r="C875" s="45" t="n">
        <v>203.7363</v>
      </c>
      <c r="D875" t="inlineStr">
        <is>
          <t>€/MWh</t>
        </is>
      </c>
      <c r="E875" s="54" t="n">
        <v>0.203736</v>
      </c>
      <c r="F875" s="54" t="n"/>
      <c r="G875" t="inlineStr">
        <is>
          <t>no aplica (precio mayorista)</t>
        </is>
      </c>
      <c r="J875" t="inlineStr">
        <is>
          <t>2022-05-19</t>
        </is>
      </c>
      <c r="K875" t="inlineStr">
        <is>
          <t>marginalpdbc_20220520.1</t>
        </is>
      </c>
      <c r="L875" t="inlineStr">
        <is>
          <t>24 periodos; mín 174.00, máx 230.72 €/MWh</t>
        </is>
      </c>
    </row>
    <row r="876">
      <c r="A876" s="53" t="n">
        <v>44702</v>
      </c>
      <c r="B876" t="inlineStr">
        <is>
          <t>2022-05-21</t>
        </is>
      </c>
      <c r="C876" s="45" t="n">
        <v>178.7075</v>
      </c>
      <c r="D876" t="inlineStr">
        <is>
          <t>€/MWh</t>
        </is>
      </c>
      <c r="E876" s="54" t="n">
        <v>0.178707</v>
      </c>
      <c r="F876" s="54" t="n"/>
      <c r="G876" t="inlineStr">
        <is>
          <t>no aplica (precio mayorista)</t>
        </is>
      </c>
      <c r="J876" t="inlineStr">
        <is>
          <t>2022-05-20</t>
        </is>
      </c>
      <c r="K876" t="inlineStr">
        <is>
          <t>marginalpdbc_20220521.1</t>
        </is>
      </c>
      <c r="L876" t="inlineStr">
        <is>
          <t>24 periodos; mín 159.33, máx 228.11 €/MWh</t>
        </is>
      </c>
    </row>
    <row r="877">
      <c r="A877" s="53" t="n">
        <v>44703</v>
      </c>
      <c r="B877" t="inlineStr">
        <is>
          <t>2022-05-22</t>
        </is>
      </c>
      <c r="C877" s="45" t="n">
        <v>170.5613</v>
      </c>
      <c r="D877" t="inlineStr">
        <is>
          <t>€/MWh</t>
        </is>
      </c>
      <c r="E877" s="54" t="n">
        <v>0.170561</v>
      </c>
      <c r="F877" s="54" t="n"/>
      <c r="G877" t="inlineStr">
        <is>
          <t>no aplica (precio mayorista)</t>
        </is>
      </c>
      <c r="J877" t="inlineStr">
        <is>
          <t>2022-05-21</t>
        </is>
      </c>
      <c r="K877" t="inlineStr">
        <is>
          <t>marginalpdbc_20220522.1</t>
        </is>
      </c>
      <c r="L877" t="inlineStr">
        <is>
          <t>24 periodos; mín 101.40, máx 227.90 €/MWh</t>
        </is>
      </c>
    </row>
    <row r="878">
      <c r="A878" s="53" t="n">
        <v>44704</v>
      </c>
      <c r="B878" t="inlineStr">
        <is>
          <t>2022-05-23</t>
        </is>
      </c>
      <c r="C878" s="45" t="n">
        <v>194.1612</v>
      </c>
      <c r="D878" t="inlineStr">
        <is>
          <t>€/MWh</t>
        </is>
      </c>
      <c r="E878" s="54" t="n">
        <v>0.194161</v>
      </c>
      <c r="F878" s="54" t="n"/>
      <c r="G878" t="inlineStr">
        <is>
          <t>no aplica (precio mayorista)</t>
        </is>
      </c>
      <c r="J878" t="inlineStr">
        <is>
          <t>2022-05-22</t>
        </is>
      </c>
      <c r="K878" t="inlineStr">
        <is>
          <t>marginalpdbc_20220523.1</t>
        </is>
      </c>
      <c r="L878" t="inlineStr">
        <is>
          <t>24 periodos; mín 171.49, máx 230.02 €/MWh</t>
        </is>
      </c>
    </row>
    <row r="879">
      <c r="A879" s="53" t="n">
        <v>44705</v>
      </c>
      <c r="B879" t="inlineStr">
        <is>
          <t>2022-05-24</t>
        </is>
      </c>
      <c r="C879" s="45" t="n">
        <v>180.0108</v>
      </c>
      <c r="D879" t="inlineStr">
        <is>
          <t>€/MWh</t>
        </is>
      </c>
      <c r="E879" s="54" t="n">
        <v>0.180011</v>
      </c>
      <c r="F879" s="54" t="n"/>
      <c r="G879" t="inlineStr">
        <is>
          <t>no aplica (precio mayorista)</t>
        </is>
      </c>
      <c r="J879" t="inlineStr">
        <is>
          <t>2022-05-23</t>
        </is>
      </c>
      <c r="K879" t="inlineStr">
        <is>
          <t>marginalpdbc_20220524.1</t>
        </is>
      </c>
      <c r="L879" t="inlineStr">
        <is>
          <t>24 periodos; mín 159.22, máx 220.30 €/MWh</t>
        </is>
      </c>
    </row>
    <row r="880">
      <c r="A880" s="53" t="n">
        <v>44706</v>
      </c>
      <c r="B880" t="inlineStr">
        <is>
          <t>2022-05-25</t>
        </is>
      </c>
      <c r="C880" s="45" t="n">
        <v>184.5733</v>
      </c>
      <c r="D880" t="inlineStr">
        <is>
          <t>€/MWh</t>
        </is>
      </c>
      <c r="E880" s="54" t="n">
        <v>0.184573</v>
      </c>
      <c r="F880" s="54" t="n"/>
      <c r="G880" t="inlineStr">
        <is>
          <t>no aplica (precio mayorista)</t>
        </is>
      </c>
      <c r="J880" t="inlineStr">
        <is>
          <t>2022-05-24</t>
        </is>
      </c>
      <c r="K880" t="inlineStr">
        <is>
          <t>marginalpdbc_20220525.1</t>
        </is>
      </c>
      <c r="L880" t="inlineStr">
        <is>
          <t>24 periodos; mín 155.00, máx 227.98 €/MWh</t>
        </is>
      </c>
    </row>
    <row r="881">
      <c r="A881" s="53" t="n">
        <v>44707</v>
      </c>
      <c r="B881" t="inlineStr">
        <is>
          <t>2022-05-26</t>
        </is>
      </c>
      <c r="C881" s="45" t="n">
        <v>173.2883</v>
      </c>
      <c r="D881" t="inlineStr">
        <is>
          <t>€/MWh</t>
        </is>
      </c>
      <c r="E881" s="54" t="n">
        <v>0.173288</v>
      </c>
      <c r="F881" s="54" t="n"/>
      <c r="G881" t="inlineStr">
        <is>
          <t>no aplica (precio mayorista)</t>
        </is>
      </c>
      <c r="J881" t="inlineStr">
        <is>
          <t>2022-05-25</t>
        </is>
      </c>
      <c r="K881" t="inlineStr">
        <is>
          <t>marginalpdbc_20220526.1</t>
        </is>
      </c>
      <c r="L881" t="inlineStr">
        <is>
          <t>24 periodos; mín 150.54, máx 218.00 €/MWh</t>
        </is>
      </c>
    </row>
    <row r="882">
      <c r="A882" s="53" t="n">
        <v>44708</v>
      </c>
      <c r="B882" t="inlineStr">
        <is>
          <t>2022-05-27</t>
        </is>
      </c>
      <c r="C882" s="45" t="n">
        <v>168.5392</v>
      </c>
      <c r="D882" t="inlineStr">
        <is>
          <t>€/MWh</t>
        </is>
      </c>
      <c r="E882" s="54" t="n">
        <v>0.168539</v>
      </c>
      <c r="F882" s="54" t="n"/>
      <c r="G882" t="inlineStr">
        <is>
          <t>no aplica (precio mayorista)</t>
        </is>
      </c>
      <c r="J882" t="inlineStr">
        <is>
          <t>2022-05-26</t>
        </is>
      </c>
      <c r="K882" t="inlineStr">
        <is>
          <t>marginalpdbc_20220527.1</t>
        </is>
      </c>
      <c r="L882" t="inlineStr">
        <is>
          <t>24 periodos; mín 146.04, máx 214.57 €/MWh</t>
        </is>
      </c>
    </row>
    <row r="883">
      <c r="A883" s="53" t="n">
        <v>44709</v>
      </c>
      <c r="B883" t="inlineStr">
        <is>
          <t>2022-05-28</t>
        </is>
      </c>
      <c r="C883" s="45" t="n">
        <v>162.2517</v>
      </c>
      <c r="D883" t="inlineStr">
        <is>
          <t>€/MWh</t>
        </is>
      </c>
      <c r="E883" s="54" t="n">
        <v>0.162252</v>
      </c>
      <c r="F883" s="54" t="n"/>
      <c r="G883" t="inlineStr">
        <is>
          <t>no aplica (precio mayorista)</t>
        </is>
      </c>
      <c r="J883" t="inlineStr">
        <is>
          <t>2022-05-27</t>
        </is>
      </c>
      <c r="K883" t="inlineStr">
        <is>
          <t>marginalpdbc_20220528.1</t>
        </is>
      </c>
      <c r="L883" t="inlineStr">
        <is>
          <t>24 periodos; mín 126.04, máx 227.98 €/MWh</t>
        </is>
      </c>
    </row>
    <row r="884">
      <c r="A884" s="53" t="n">
        <v>44710</v>
      </c>
      <c r="B884" t="inlineStr">
        <is>
          <t>2022-05-29</t>
        </is>
      </c>
      <c r="C884" s="45" t="n">
        <v>161.8425</v>
      </c>
      <c r="D884" t="inlineStr">
        <is>
          <t>€/MWh</t>
        </is>
      </c>
      <c r="E884" s="54" t="n">
        <v>0.161843</v>
      </c>
      <c r="F884" s="54" t="n"/>
      <c r="G884" t="inlineStr">
        <is>
          <t>no aplica (precio mayorista)</t>
        </is>
      </c>
      <c r="J884" t="inlineStr">
        <is>
          <t>2022-05-28</t>
        </is>
      </c>
      <c r="K884" t="inlineStr">
        <is>
          <t>marginalpdbc_20220529.1</t>
        </is>
      </c>
      <c r="L884" t="inlineStr">
        <is>
          <t>24 periodos; mín 120.00, máx 228.03 €/MWh</t>
        </is>
      </c>
    </row>
    <row r="885">
      <c r="A885" s="53" t="n">
        <v>44711</v>
      </c>
      <c r="B885" t="inlineStr">
        <is>
          <t>2022-05-30</t>
        </is>
      </c>
      <c r="C885" s="45" t="n">
        <v>206.6188</v>
      </c>
      <c r="D885" t="inlineStr">
        <is>
          <t>€/MWh</t>
        </is>
      </c>
      <c r="E885" s="54" t="n">
        <v>0.206619</v>
      </c>
      <c r="F885" s="54" t="n"/>
      <c r="G885" t="inlineStr">
        <is>
          <t>no aplica (precio mayorista)</t>
        </is>
      </c>
      <c r="J885" t="inlineStr">
        <is>
          <t>2022-05-29</t>
        </is>
      </c>
      <c r="K885" t="inlineStr">
        <is>
          <t>marginalpdbc_20220530.1</t>
        </is>
      </c>
      <c r="L885" t="inlineStr">
        <is>
          <t>24 periodos; mín 169.00, máx 250.20 €/MWh</t>
        </is>
      </c>
    </row>
    <row r="886">
      <c r="A886" s="53" t="n">
        <v>44712</v>
      </c>
      <c r="B886" t="inlineStr">
        <is>
          <t>2022-05-31</t>
        </is>
      </c>
      <c r="C886" s="45" t="n">
        <v>213.8217</v>
      </c>
      <c r="D886" t="inlineStr">
        <is>
          <t>€/MWh</t>
        </is>
      </c>
      <c r="E886" s="54" t="n">
        <v>0.213822</v>
      </c>
      <c r="F886" s="54" t="n"/>
      <c r="G886" t="inlineStr">
        <is>
          <t>no aplica (precio mayorista)</t>
        </is>
      </c>
      <c r="J886" t="inlineStr">
        <is>
          <t>2022-05-30</t>
        </is>
      </c>
      <c r="K886" t="inlineStr">
        <is>
          <t>marginalpdbc_20220531.1</t>
        </is>
      </c>
      <c r="L886" t="inlineStr">
        <is>
          <t>24 periodos; mín 180.18, máx 247.77 €/MWh</t>
        </is>
      </c>
    </row>
    <row r="887">
      <c r="A887" s="53" t="n">
        <v>44713</v>
      </c>
      <c r="B887" t="inlineStr">
        <is>
          <t>2022-06-01</t>
        </is>
      </c>
      <c r="C887" s="45" t="n">
        <v>210.4533</v>
      </c>
      <c r="D887" t="inlineStr">
        <is>
          <t>€/MWh</t>
        </is>
      </c>
      <c r="E887" s="54" t="n">
        <v>0.210453</v>
      </c>
      <c r="F887" s="54" t="n"/>
      <c r="G887" t="inlineStr">
        <is>
          <t>no aplica (precio mayorista)</t>
        </is>
      </c>
      <c r="J887" t="inlineStr">
        <is>
          <t>2022-05-31</t>
        </is>
      </c>
      <c r="K887" t="inlineStr">
        <is>
          <t>marginalpdbc_20220601.1</t>
        </is>
      </c>
      <c r="L887" t="inlineStr">
        <is>
          <t>24 periodos; mín 171.10, máx 262.60 €/MWh</t>
        </is>
      </c>
    </row>
    <row r="888">
      <c r="A888" s="53" t="n">
        <v>44714</v>
      </c>
      <c r="B888" t="inlineStr">
        <is>
          <t>2022-06-02</t>
        </is>
      </c>
      <c r="C888" s="45" t="n">
        <v>214.7379</v>
      </c>
      <c r="D888" t="inlineStr">
        <is>
          <t>€/MWh</t>
        </is>
      </c>
      <c r="E888" s="54" t="n">
        <v>0.214738</v>
      </c>
      <c r="F888" s="54" t="n"/>
      <c r="G888" t="inlineStr">
        <is>
          <t>no aplica (precio mayorista)</t>
        </is>
      </c>
      <c r="J888" t="inlineStr">
        <is>
          <t>2022-06-01</t>
        </is>
      </c>
      <c r="K888" t="inlineStr">
        <is>
          <t>marginalpdbc_20220602.1</t>
        </is>
      </c>
      <c r="L888" t="inlineStr">
        <is>
          <t>24 periodos; mín 171.85, máx 256.46 €/MWh</t>
        </is>
      </c>
    </row>
    <row r="889">
      <c r="A889" s="53" t="n">
        <v>44715</v>
      </c>
      <c r="B889" t="inlineStr">
        <is>
          <t>2022-06-03</t>
        </is>
      </c>
      <c r="C889" s="45" t="n">
        <v>214.5042</v>
      </c>
      <c r="D889" t="inlineStr">
        <is>
          <t>€/MWh</t>
        </is>
      </c>
      <c r="E889" s="54" t="n">
        <v>0.214504</v>
      </c>
      <c r="F889" s="54" t="n"/>
      <c r="G889" t="inlineStr">
        <is>
          <t>no aplica (precio mayorista)</t>
        </is>
      </c>
      <c r="J889" t="inlineStr">
        <is>
          <t>2022-06-02</t>
        </is>
      </c>
      <c r="K889" t="inlineStr">
        <is>
          <t>marginalpdbc_20220603.1</t>
        </is>
      </c>
      <c r="L889" t="inlineStr">
        <is>
          <t>24 periodos; mín 172.44, máx 240.00 €/MWh</t>
        </is>
      </c>
    </row>
    <row r="890">
      <c r="A890" s="53" t="n">
        <v>44716</v>
      </c>
      <c r="B890" t="inlineStr">
        <is>
          <t>2022-06-04</t>
        </is>
      </c>
      <c r="C890" s="45" t="n">
        <v>203.8613</v>
      </c>
      <c r="D890" t="inlineStr">
        <is>
          <t>€/MWh</t>
        </is>
      </c>
      <c r="E890" s="54" t="n">
        <v>0.203861</v>
      </c>
      <c r="F890" s="54" t="n"/>
      <c r="G890" t="inlineStr">
        <is>
          <t>no aplica (precio mayorista)</t>
        </is>
      </c>
      <c r="J890" t="inlineStr">
        <is>
          <t>2022-06-03</t>
        </is>
      </c>
      <c r="K890" t="inlineStr">
        <is>
          <t>marginalpdbc_20220604.1</t>
        </is>
      </c>
      <c r="L890" t="inlineStr">
        <is>
          <t>24 periodos; mín 155.60, máx 245.86 €/MWh</t>
        </is>
      </c>
    </row>
    <row r="891">
      <c r="A891" s="53" t="n">
        <v>44717</v>
      </c>
      <c r="B891" t="inlineStr">
        <is>
          <t>2022-06-05</t>
        </is>
      </c>
      <c r="C891" s="45" t="n">
        <v>193.6542</v>
      </c>
      <c r="D891" t="inlineStr">
        <is>
          <t>€/MWh</t>
        </is>
      </c>
      <c r="E891" s="54" t="n">
        <v>0.193654</v>
      </c>
      <c r="F891" s="54" t="n"/>
      <c r="G891" t="inlineStr">
        <is>
          <t>no aplica (precio mayorista)</t>
        </is>
      </c>
      <c r="J891" t="inlineStr">
        <is>
          <t>2022-06-04</t>
        </is>
      </c>
      <c r="K891" t="inlineStr">
        <is>
          <t>marginalpdbc_20220605.1</t>
        </is>
      </c>
      <c r="L891" t="inlineStr">
        <is>
          <t>24 periodos; mín 153.51, máx 245.00 €/MWh</t>
        </is>
      </c>
    </row>
    <row r="892">
      <c r="A892" s="53" t="n">
        <v>44718</v>
      </c>
      <c r="B892" t="inlineStr">
        <is>
          <t>2022-06-06</t>
        </is>
      </c>
      <c r="C892" s="45" t="n">
        <v>194.9417</v>
      </c>
      <c r="D892" t="inlineStr">
        <is>
          <t>€/MWh</t>
        </is>
      </c>
      <c r="E892" s="54" t="n">
        <v>0.194942</v>
      </c>
      <c r="F892" s="54" t="n"/>
      <c r="G892" t="inlineStr">
        <is>
          <t>no aplica (precio mayorista)</t>
        </is>
      </c>
      <c r="J892" t="inlineStr">
        <is>
          <t>2022-06-05</t>
        </is>
      </c>
      <c r="K892" t="inlineStr">
        <is>
          <t>marginalpdbc_20220606.1</t>
        </is>
      </c>
      <c r="L892" t="inlineStr">
        <is>
          <t>24 periodos; mín 168.05, máx 235.80 €/MWh</t>
        </is>
      </c>
    </row>
    <row r="893">
      <c r="A893" s="53" t="n">
        <v>44719</v>
      </c>
      <c r="B893" t="inlineStr">
        <is>
          <t>2022-06-07</t>
        </is>
      </c>
      <c r="C893" s="45" t="n">
        <v>193.3204</v>
      </c>
      <c r="D893" t="inlineStr">
        <is>
          <t>€/MWh</t>
        </is>
      </c>
      <c r="E893" s="54" t="n">
        <v>0.19332</v>
      </c>
      <c r="F893" s="54" t="n"/>
      <c r="G893" t="inlineStr">
        <is>
          <t>no aplica (precio mayorista)</t>
        </is>
      </c>
      <c r="J893" t="inlineStr">
        <is>
          <t>2022-06-06</t>
        </is>
      </c>
      <c r="K893" t="inlineStr">
        <is>
          <t>marginalpdbc_20220607.1</t>
        </is>
      </c>
      <c r="L893" t="inlineStr">
        <is>
          <t>24 periodos; mín 164.07, máx 228.81 €/MWh</t>
        </is>
      </c>
    </row>
    <row r="894">
      <c r="A894" s="53" t="n">
        <v>44720</v>
      </c>
      <c r="B894" t="inlineStr">
        <is>
          <t>2022-06-08</t>
        </is>
      </c>
      <c r="C894" s="45" t="n">
        <v>185.4483</v>
      </c>
      <c r="D894" t="inlineStr">
        <is>
          <t>€/MWh</t>
        </is>
      </c>
      <c r="E894" s="54" t="n">
        <v>0.185448</v>
      </c>
      <c r="F894" s="54" t="n"/>
      <c r="G894" t="inlineStr">
        <is>
          <t>no aplica (precio mayorista)</t>
        </is>
      </c>
      <c r="J894" t="inlineStr">
        <is>
          <t>2022-06-07</t>
        </is>
      </c>
      <c r="K894" t="inlineStr">
        <is>
          <t>marginalpdbc_20220608.1</t>
        </is>
      </c>
      <c r="L894" t="inlineStr">
        <is>
          <t>24 periodos; mín 160.23, máx 215.01 €/MWh</t>
        </is>
      </c>
    </row>
    <row r="895">
      <c r="A895" s="53" t="n">
        <v>44721</v>
      </c>
      <c r="B895" t="inlineStr">
        <is>
          <t>2022-06-09</t>
        </is>
      </c>
      <c r="C895" s="45" t="n">
        <v>182.6696</v>
      </c>
      <c r="D895" t="inlineStr">
        <is>
          <t>€/MWh</t>
        </is>
      </c>
      <c r="E895" s="54" t="n">
        <v>0.18267</v>
      </c>
      <c r="F895" s="54" t="n"/>
      <c r="G895" t="inlineStr">
        <is>
          <t>no aplica (precio mayorista)</t>
        </is>
      </c>
      <c r="J895" t="inlineStr">
        <is>
          <t>2022-06-08</t>
        </is>
      </c>
      <c r="K895" t="inlineStr">
        <is>
          <t>marginalpdbc_20220609.1</t>
        </is>
      </c>
      <c r="L895" t="inlineStr">
        <is>
          <t>24 periodos; mín 154.37, máx 215.71 €/MWh</t>
        </is>
      </c>
    </row>
    <row r="896">
      <c r="A896" s="53" t="n">
        <v>44722</v>
      </c>
      <c r="B896" t="inlineStr">
        <is>
          <t>2022-06-10</t>
        </is>
      </c>
      <c r="C896" s="45" t="n">
        <v>194.3508</v>
      </c>
      <c r="D896" t="inlineStr">
        <is>
          <t>€/MWh</t>
        </is>
      </c>
      <c r="E896" s="54" t="n">
        <v>0.194351</v>
      </c>
      <c r="F896" s="54" t="n"/>
      <c r="G896" t="inlineStr">
        <is>
          <t>no aplica (precio mayorista)</t>
        </is>
      </c>
      <c r="J896" t="inlineStr">
        <is>
          <t>2022-06-09</t>
        </is>
      </c>
      <c r="K896" t="inlineStr">
        <is>
          <t>marginalpdbc_20220610.1</t>
        </is>
      </c>
      <c r="L896" t="inlineStr">
        <is>
          <t>24 periodos; mín 168.92, máx 220.46 €/MWh</t>
        </is>
      </c>
    </row>
    <row r="897">
      <c r="A897" s="53" t="n">
        <v>44723</v>
      </c>
      <c r="B897" t="inlineStr">
        <is>
          <t>2022-06-11</t>
        </is>
      </c>
      <c r="C897" s="45" t="n">
        <v>190.4983</v>
      </c>
      <c r="D897" t="inlineStr">
        <is>
          <t>€/MWh</t>
        </is>
      </c>
      <c r="E897" s="54" t="n">
        <v>0.190498</v>
      </c>
      <c r="F897" s="54" t="n"/>
      <c r="G897" t="inlineStr">
        <is>
          <t>no aplica (precio mayorista)</t>
        </is>
      </c>
      <c r="J897" t="inlineStr">
        <is>
          <t>2022-06-10</t>
        </is>
      </c>
      <c r="K897" t="inlineStr">
        <is>
          <t>marginalpdbc_20220611.1</t>
        </is>
      </c>
      <c r="L897" t="inlineStr">
        <is>
          <t>24 periodos; mín 159.00, máx 233.22 €/MWh</t>
        </is>
      </c>
    </row>
    <row r="898">
      <c r="A898" s="53" t="n">
        <v>44724</v>
      </c>
      <c r="B898" t="inlineStr">
        <is>
          <t>2022-06-12</t>
        </is>
      </c>
      <c r="C898" s="45" t="n">
        <v>167.0604</v>
      </c>
      <c r="D898" t="inlineStr">
        <is>
          <t>€/MWh</t>
        </is>
      </c>
      <c r="E898" s="54" t="n">
        <v>0.16706</v>
      </c>
      <c r="F898" s="54" t="n"/>
      <c r="G898" t="inlineStr">
        <is>
          <t>no aplica (precio mayorista)</t>
        </is>
      </c>
      <c r="J898" t="inlineStr">
        <is>
          <t>2022-06-11</t>
        </is>
      </c>
      <c r="K898" t="inlineStr">
        <is>
          <t>marginalpdbc_20220612.1</t>
        </is>
      </c>
      <c r="L898" t="inlineStr">
        <is>
          <t>24 periodos; mín 65.34, máx 225.88 €/MWh</t>
        </is>
      </c>
    </row>
    <row r="899">
      <c r="A899" s="53" t="n">
        <v>44725</v>
      </c>
      <c r="B899" t="inlineStr">
        <is>
          <t>2022-06-13</t>
        </is>
      </c>
      <c r="C899" s="45" t="n">
        <v>200.6175</v>
      </c>
      <c r="D899" t="inlineStr">
        <is>
          <t>€/MWh</t>
        </is>
      </c>
      <c r="E899" s="54" t="n">
        <v>0.200617</v>
      </c>
      <c r="F899" s="54" t="n"/>
      <c r="G899" t="inlineStr">
        <is>
          <t>no aplica (precio mayorista)</t>
        </is>
      </c>
      <c r="J899" t="inlineStr">
        <is>
          <t>2022-06-12</t>
        </is>
      </c>
      <c r="K899" t="inlineStr">
        <is>
          <t>marginalpdbc_20220613.1</t>
        </is>
      </c>
      <c r="L899" t="inlineStr">
        <is>
          <t>24 periodos; mín 160.50, máx 238.40 €/MWh</t>
        </is>
      </c>
    </row>
    <row r="900">
      <c r="A900" s="53" t="n">
        <v>44726</v>
      </c>
      <c r="B900" t="inlineStr">
        <is>
          <t>2022-06-14</t>
        </is>
      </c>
      <c r="C900" s="45" t="n">
        <v>214.0454</v>
      </c>
      <c r="D900" t="inlineStr">
        <is>
          <t>€/MWh</t>
        </is>
      </c>
      <c r="E900" s="54" t="n">
        <v>0.214045</v>
      </c>
      <c r="F900" s="54" t="n"/>
      <c r="G900" t="inlineStr">
        <is>
          <t>no aplica (precio mayorista)</t>
        </is>
      </c>
      <c r="J900" t="inlineStr">
        <is>
          <t>2022-06-13</t>
        </is>
      </c>
      <c r="K900" t="inlineStr">
        <is>
          <t>marginalpdbc_20220614.1</t>
        </is>
      </c>
      <c r="L900" t="inlineStr">
        <is>
          <t>24 periodos; mín 194.00, máx 242.27 €/MWh</t>
        </is>
      </c>
    </row>
    <row r="901">
      <c r="A901" s="53" t="n">
        <v>44727</v>
      </c>
      <c r="B901" t="inlineStr">
        <is>
          <t>2022-06-15</t>
        </is>
      </c>
      <c r="C901" s="45" t="n">
        <v>165.5896</v>
      </c>
      <c r="D901" t="inlineStr">
        <is>
          <t>€/MWh</t>
        </is>
      </c>
      <c r="E901" s="54" t="n">
        <v>0.16559</v>
      </c>
      <c r="F901" s="54" t="n"/>
      <c r="G901" t="inlineStr">
        <is>
          <t>no aplica (precio mayorista)</t>
        </is>
      </c>
      <c r="J901" t="inlineStr">
        <is>
          <t>2022-06-14</t>
        </is>
      </c>
      <c r="K901" t="inlineStr">
        <is>
          <t>marginalpdbc_20220615.1</t>
        </is>
      </c>
      <c r="L901" t="inlineStr">
        <is>
          <t>24 periodos; mín 144.17, máx 194.07 €/MWh</t>
        </is>
      </c>
    </row>
    <row r="902">
      <c r="A902" s="53" t="n">
        <v>44728</v>
      </c>
      <c r="B902" t="inlineStr">
        <is>
          <t>2022-06-16</t>
        </is>
      </c>
      <c r="C902" s="45" t="n">
        <v>170.8129</v>
      </c>
      <c r="D902" t="inlineStr">
        <is>
          <t>€/MWh</t>
        </is>
      </c>
      <c r="E902" s="54" t="n">
        <v>0.170813</v>
      </c>
      <c r="F902" s="54" t="n"/>
      <c r="G902" t="inlineStr">
        <is>
          <t>no aplica (precio mayorista)</t>
        </is>
      </c>
      <c r="J902" t="inlineStr">
        <is>
          <t>2022-06-15</t>
        </is>
      </c>
      <c r="K902" t="inlineStr">
        <is>
          <t>marginalpdbc_20220616.1</t>
        </is>
      </c>
      <c r="L902" t="inlineStr">
        <is>
          <t>24 periodos; mín 150.00, máx 210.44 €/MWh</t>
        </is>
      </c>
    </row>
    <row r="903">
      <c r="A903" s="53" t="n">
        <v>44729</v>
      </c>
      <c r="B903" t="inlineStr">
        <is>
          <t>2022-06-17</t>
        </is>
      </c>
      <c r="C903" s="45" t="n">
        <v>177.9033</v>
      </c>
      <c r="D903" t="inlineStr">
        <is>
          <t>€/MWh</t>
        </is>
      </c>
      <c r="E903" s="54" t="n">
        <v>0.177903</v>
      </c>
      <c r="F903" s="54" t="n"/>
      <c r="G903" t="inlineStr">
        <is>
          <t>no aplica (precio mayorista)</t>
        </is>
      </c>
      <c r="J903" t="inlineStr">
        <is>
          <t>2022-06-16</t>
        </is>
      </c>
      <c r="K903" t="inlineStr">
        <is>
          <t>marginalpdbc_20220617.1</t>
        </is>
      </c>
      <c r="L903" t="inlineStr">
        <is>
          <t>24 periodos; mín 159.81, máx 196.61 €/MWh</t>
        </is>
      </c>
    </row>
    <row r="904">
      <c r="A904" s="53" t="n">
        <v>44730</v>
      </c>
      <c r="B904" t="inlineStr">
        <is>
          <t>2022-06-18</t>
        </is>
      </c>
      <c r="C904" s="45" t="n">
        <v>146.5358</v>
      </c>
      <c r="D904" t="inlineStr">
        <is>
          <t>€/MWh</t>
        </is>
      </c>
      <c r="E904" s="54" t="n">
        <v>0.146536</v>
      </c>
      <c r="F904" s="54" t="n"/>
      <c r="G904" t="inlineStr">
        <is>
          <t>no aplica (precio mayorista)</t>
        </is>
      </c>
      <c r="J904" t="inlineStr">
        <is>
          <t>2022-06-17</t>
        </is>
      </c>
      <c r="K904" t="inlineStr">
        <is>
          <t>marginalpdbc_20220618.1</t>
        </is>
      </c>
      <c r="L904" t="inlineStr">
        <is>
          <t>24 periodos; mín 95.17, máx 226.05 €/MWh</t>
        </is>
      </c>
    </row>
    <row r="905">
      <c r="A905" s="53" t="n">
        <v>44731</v>
      </c>
      <c r="B905" t="inlineStr">
        <is>
          <t>2022-06-19</t>
        </is>
      </c>
      <c r="C905" s="45" t="n">
        <v>122.6117</v>
      </c>
      <c r="D905" t="inlineStr">
        <is>
          <t>€/MWh</t>
        </is>
      </c>
      <c r="E905" s="54" t="n">
        <v>0.122612</v>
      </c>
      <c r="F905" s="54" t="n"/>
      <c r="G905" t="inlineStr">
        <is>
          <t>no aplica (precio mayorista)</t>
        </is>
      </c>
      <c r="J905" t="inlineStr">
        <is>
          <t>2022-06-18</t>
        </is>
      </c>
      <c r="K905" t="inlineStr">
        <is>
          <t>marginalpdbc_20220619.1</t>
        </is>
      </c>
      <c r="L905" t="inlineStr">
        <is>
          <t>24 periodos; mín 50.00, máx 250.00 €/MWh</t>
        </is>
      </c>
    </row>
    <row r="906">
      <c r="A906" s="53" t="n">
        <v>44732</v>
      </c>
      <c r="B906" t="inlineStr">
        <is>
          <t>2022-06-20</t>
        </is>
      </c>
      <c r="C906" s="45" t="n">
        <v>157.4804</v>
      </c>
      <c r="D906" t="inlineStr">
        <is>
          <t>€/MWh</t>
        </is>
      </c>
      <c r="E906" s="54" t="n">
        <v>0.15748</v>
      </c>
      <c r="F906" s="54" t="n"/>
      <c r="G906" t="inlineStr">
        <is>
          <t>no aplica (precio mayorista)</t>
        </is>
      </c>
      <c r="J906" t="inlineStr">
        <is>
          <t>2022-06-19</t>
        </is>
      </c>
      <c r="K906" t="inlineStr">
        <is>
          <t>marginalpdbc_20220620.1</t>
        </is>
      </c>
      <c r="L906" t="inlineStr">
        <is>
          <t>24 periodos; mín 110.44, máx 197.91 €/MWh</t>
        </is>
      </c>
    </row>
    <row r="907">
      <c r="A907" s="53" t="n">
        <v>44733</v>
      </c>
      <c r="B907" t="inlineStr">
        <is>
          <t>2022-06-21</t>
        </is>
      </c>
      <c r="C907" s="45" t="n">
        <v>148.0279</v>
      </c>
      <c r="D907" t="inlineStr">
        <is>
          <t>€/MWh</t>
        </is>
      </c>
      <c r="E907" s="54" t="n">
        <v>0.148028</v>
      </c>
      <c r="F907" s="54" t="n"/>
      <c r="G907" t="inlineStr">
        <is>
          <t>no aplica (precio mayorista)</t>
        </is>
      </c>
      <c r="J907" t="inlineStr">
        <is>
          <t>2022-06-20</t>
        </is>
      </c>
      <c r="K907" t="inlineStr">
        <is>
          <t>marginalpdbc_20220621.1</t>
        </is>
      </c>
      <c r="L907" t="inlineStr">
        <is>
          <t>24 periodos; mín 126.36, máx 180.03 €/MWh</t>
        </is>
      </c>
    </row>
    <row r="908">
      <c r="A908" s="53" t="n">
        <v>44734</v>
      </c>
      <c r="B908" t="inlineStr">
        <is>
          <t>2022-06-22</t>
        </is>
      </c>
      <c r="C908" s="45" t="n">
        <v>152.75</v>
      </c>
      <c r="D908" t="inlineStr">
        <is>
          <t>€/MWh</t>
        </is>
      </c>
      <c r="E908" s="54" t="n">
        <v>0.15275</v>
      </c>
      <c r="F908" s="54" t="n"/>
      <c r="G908" t="inlineStr">
        <is>
          <t>no aplica (precio mayorista)</t>
        </is>
      </c>
      <c r="J908" t="inlineStr">
        <is>
          <t>2022-06-21</t>
        </is>
      </c>
      <c r="K908" t="inlineStr">
        <is>
          <t>marginalpdbc_20220622.1</t>
        </is>
      </c>
      <c r="L908" t="inlineStr">
        <is>
          <t>24 periodos; mín 132.66, máx 195.66 €/MWh</t>
        </is>
      </c>
    </row>
    <row r="909">
      <c r="A909" s="53" t="n">
        <v>44735</v>
      </c>
      <c r="B909" t="inlineStr">
        <is>
          <t>2022-06-23</t>
        </is>
      </c>
      <c r="C909" s="45" t="n">
        <v>149.8554</v>
      </c>
      <c r="D909" t="inlineStr">
        <is>
          <t>€/MWh</t>
        </is>
      </c>
      <c r="E909" s="54" t="n">
        <v>0.149855</v>
      </c>
      <c r="F909" s="54" t="n"/>
      <c r="G909" t="inlineStr">
        <is>
          <t>no aplica (precio mayorista)</t>
        </is>
      </c>
      <c r="J909" t="inlineStr">
        <is>
          <t>2022-06-22</t>
        </is>
      </c>
      <c r="K909" t="inlineStr">
        <is>
          <t>marginalpdbc_20220623.1</t>
        </is>
      </c>
      <c r="L909" t="inlineStr">
        <is>
          <t>24 periodos; mín 124.32, máx 186.50 €/MWh</t>
        </is>
      </c>
    </row>
    <row r="910">
      <c r="A910" s="53" t="n">
        <v>44736</v>
      </c>
      <c r="B910" t="inlineStr">
        <is>
          <t>2022-06-24</t>
        </is>
      </c>
      <c r="C910" s="45" t="n">
        <v>137.5879</v>
      </c>
      <c r="D910" t="inlineStr">
        <is>
          <t>€/MWh</t>
        </is>
      </c>
      <c r="E910" s="54" t="n">
        <v>0.137588</v>
      </c>
      <c r="F910" s="54" t="n"/>
      <c r="G910" t="inlineStr">
        <is>
          <t>no aplica (precio mayorista)</t>
        </is>
      </c>
      <c r="J910" t="inlineStr">
        <is>
          <t>2022-06-23</t>
        </is>
      </c>
      <c r="K910" t="inlineStr">
        <is>
          <t>marginalpdbc_20220624.1</t>
        </is>
      </c>
      <c r="L910" t="inlineStr">
        <is>
          <t>24 periodos; mín 111.70, máx 191.52 €/MWh</t>
        </is>
      </c>
    </row>
    <row r="911">
      <c r="A911" s="53" t="n">
        <v>44737</v>
      </c>
      <c r="B911" t="inlineStr">
        <is>
          <t>2022-06-25</t>
        </is>
      </c>
      <c r="C911" s="45" t="n">
        <v>128.7033</v>
      </c>
      <c r="D911" t="inlineStr">
        <is>
          <t>€/MWh</t>
        </is>
      </c>
      <c r="E911" s="54" t="n">
        <v>0.128703</v>
      </c>
      <c r="F911" s="54" t="n"/>
      <c r="G911" t="inlineStr">
        <is>
          <t>no aplica (precio mayorista)</t>
        </is>
      </c>
      <c r="J911" t="inlineStr">
        <is>
          <t>2022-06-24</t>
        </is>
      </c>
      <c r="K911" t="inlineStr">
        <is>
          <t>marginalpdbc_20220625.1</t>
        </is>
      </c>
      <c r="L911" t="inlineStr">
        <is>
          <t>24 periodos; mín 65.71, máx 185.00 €/MWh</t>
        </is>
      </c>
    </row>
    <row r="912">
      <c r="A912" s="53" t="n">
        <v>44738</v>
      </c>
      <c r="B912" t="inlineStr">
        <is>
          <t>2022-06-26</t>
        </is>
      </c>
      <c r="C912" s="45" t="n">
        <v>117.9425</v>
      </c>
      <c r="D912" t="inlineStr">
        <is>
          <t>€/MWh</t>
        </is>
      </c>
      <c r="E912" s="54" t="n">
        <v>0.117942</v>
      </c>
      <c r="F912" s="54" t="n"/>
      <c r="G912" t="inlineStr">
        <is>
          <t>no aplica (precio mayorista)</t>
        </is>
      </c>
      <c r="J912" t="inlineStr">
        <is>
          <t>2022-06-25</t>
        </is>
      </c>
      <c r="K912" t="inlineStr">
        <is>
          <t>marginalpdbc_20220626.1</t>
        </is>
      </c>
      <c r="L912" t="inlineStr">
        <is>
          <t>24 periodos; mín 74.25, máx 153.21 €/MWh</t>
        </is>
      </c>
    </row>
    <row r="913">
      <c r="A913" s="53" t="n">
        <v>44739</v>
      </c>
      <c r="B913" t="inlineStr">
        <is>
          <t>2022-06-27</t>
        </is>
      </c>
      <c r="C913" s="45" t="n">
        <v>143.27</v>
      </c>
      <c r="D913" t="inlineStr">
        <is>
          <t>€/MWh</t>
        </is>
      </c>
      <c r="E913" s="54" t="n">
        <v>0.14327</v>
      </c>
      <c r="F913" s="54" t="n"/>
      <c r="G913" t="inlineStr">
        <is>
          <t>no aplica (precio mayorista)</t>
        </is>
      </c>
      <c r="J913" t="inlineStr">
        <is>
          <t>2022-06-26</t>
        </is>
      </c>
      <c r="K913" t="inlineStr">
        <is>
          <t>marginalpdbc_20220627.1</t>
        </is>
      </c>
      <c r="L913" t="inlineStr">
        <is>
          <t>24 periodos; mín 115.25, máx 181.00 €/MWh</t>
        </is>
      </c>
    </row>
    <row r="914">
      <c r="A914" s="53" t="n">
        <v>44740</v>
      </c>
      <c r="B914" t="inlineStr">
        <is>
          <t>2022-06-28</t>
        </is>
      </c>
      <c r="C914" s="45" t="n">
        <v>144.6642</v>
      </c>
      <c r="D914" t="inlineStr">
        <is>
          <t>€/MWh</t>
        </is>
      </c>
      <c r="E914" s="54" t="n">
        <v>0.144664</v>
      </c>
      <c r="F914" s="54" t="n"/>
      <c r="G914" t="inlineStr">
        <is>
          <t>no aplica (precio mayorista)</t>
        </is>
      </c>
      <c r="J914" t="inlineStr">
        <is>
          <t>2022-06-27</t>
        </is>
      </c>
      <c r="K914" t="inlineStr">
        <is>
          <t>marginalpdbc_20220628.1</t>
        </is>
      </c>
      <c r="L914" t="inlineStr">
        <is>
          <t>24 periodos; mín 131.20, máx 171.09 €/MWh</t>
        </is>
      </c>
    </row>
    <row r="915">
      <c r="A915" s="53" t="n">
        <v>44741</v>
      </c>
      <c r="B915" t="inlineStr">
        <is>
          <t>2022-06-29</t>
        </is>
      </c>
      <c r="C915" s="45" t="n">
        <v>132.74</v>
      </c>
      <c r="D915" t="inlineStr">
        <is>
          <t>€/MWh</t>
        </is>
      </c>
      <c r="E915" s="54" t="n">
        <v>0.13274</v>
      </c>
      <c r="F915" s="54" t="n"/>
      <c r="G915" t="inlineStr">
        <is>
          <t>no aplica (precio mayorista)</t>
        </is>
      </c>
      <c r="J915" t="inlineStr">
        <is>
          <t>2022-06-28</t>
        </is>
      </c>
      <c r="K915" t="inlineStr">
        <is>
          <t>marginalpdbc_20220629.1</t>
        </is>
      </c>
      <c r="L915" t="inlineStr">
        <is>
          <t>24 periodos; mín 92.07, máx 172.28 €/MWh</t>
        </is>
      </c>
    </row>
    <row r="916">
      <c r="A916" s="53" t="n">
        <v>44742</v>
      </c>
      <c r="B916" t="inlineStr">
        <is>
          <t>2022-06-30</t>
        </is>
      </c>
      <c r="C916" s="45" t="n">
        <v>132.1325</v>
      </c>
      <c r="D916" t="inlineStr">
        <is>
          <t>€/MWh</t>
        </is>
      </c>
      <c r="E916" s="54" t="n">
        <v>0.132132</v>
      </c>
      <c r="F916" s="54" t="n"/>
      <c r="G916" t="inlineStr">
        <is>
          <t>no aplica (precio mayorista)</t>
        </is>
      </c>
      <c r="J916" t="inlineStr">
        <is>
          <t>2022-06-29</t>
        </is>
      </c>
      <c r="K916" t="inlineStr">
        <is>
          <t>marginalpdbc_20220630.1</t>
        </is>
      </c>
      <c r="L916" t="inlineStr">
        <is>
          <t>24 periodos; mín 99.36, máx 158.60 €/MWh</t>
        </is>
      </c>
    </row>
    <row r="917">
      <c r="A917" s="53" t="n">
        <v>44743</v>
      </c>
      <c r="B917" t="inlineStr">
        <is>
          <t>2022-07-01</t>
        </is>
      </c>
      <c r="C917" s="45" t="n">
        <v>145.2208</v>
      </c>
      <c r="D917" t="inlineStr">
        <is>
          <t>€/MWh</t>
        </is>
      </c>
      <c r="E917" s="54" t="n">
        <v>0.145221</v>
      </c>
      <c r="F917" s="54" t="n"/>
      <c r="G917" t="inlineStr">
        <is>
          <t>no aplica (precio mayorista)</t>
        </is>
      </c>
      <c r="J917" t="inlineStr">
        <is>
          <t>2022-06-30</t>
        </is>
      </c>
      <c r="K917" t="inlineStr">
        <is>
          <t>marginalpdbc_20220701.1</t>
        </is>
      </c>
      <c r="L917" t="inlineStr">
        <is>
          <t>24 periodos; mín 124.99, máx 154.70 €/MWh</t>
        </is>
      </c>
    </row>
    <row r="918">
      <c r="A918" s="53" t="n">
        <v>44744</v>
      </c>
      <c r="B918" t="inlineStr">
        <is>
          <t>2022-07-02</t>
        </is>
      </c>
      <c r="C918" s="45" t="n">
        <v>142.4238</v>
      </c>
      <c r="D918" t="inlineStr">
        <is>
          <t>€/MWh</t>
        </is>
      </c>
      <c r="E918" s="54" t="n">
        <v>0.142424</v>
      </c>
      <c r="F918" s="54" t="n"/>
      <c r="G918" t="inlineStr">
        <is>
          <t>no aplica (precio mayorista)</t>
        </is>
      </c>
      <c r="J918" t="inlineStr">
        <is>
          <t>2022-07-01</t>
        </is>
      </c>
      <c r="K918" t="inlineStr">
        <is>
          <t>marginalpdbc_20220702.1</t>
        </is>
      </c>
      <c r="L918" t="inlineStr">
        <is>
          <t>24 periodos; mín 109.25, máx 170.34 €/MWh</t>
        </is>
      </c>
    </row>
    <row r="919">
      <c r="A919" s="53" t="n">
        <v>44745</v>
      </c>
      <c r="B919" t="inlineStr">
        <is>
          <t>2022-07-03</t>
        </is>
      </c>
      <c r="C919" s="45" t="n">
        <v>133.495</v>
      </c>
      <c r="D919" t="inlineStr">
        <is>
          <t>€/MWh</t>
        </is>
      </c>
      <c r="E919" s="54" t="n">
        <v>0.133495</v>
      </c>
      <c r="F919" s="54" t="n"/>
      <c r="G919" t="inlineStr">
        <is>
          <t>no aplica (precio mayorista)</t>
        </is>
      </c>
      <c r="J919" t="inlineStr">
        <is>
          <t>2022-07-02</t>
        </is>
      </c>
      <c r="K919" t="inlineStr">
        <is>
          <t>marginalpdbc_20220703.1</t>
        </is>
      </c>
      <c r="L919" t="inlineStr">
        <is>
          <t>24 periodos; mín 91.20, máx 193.06 €/MWh</t>
        </is>
      </c>
    </row>
    <row r="920">
      <c r="A920" s="53" t="n">
        <v>44746</v>
      </c>
      <c r="B920" t="inlineStr">
        <is>
          <t>2022-07-04</t>
        </is>
      </c>
      <c r="C920" s="45" t="n">
        <v>159.9233</v>
      </c>
      <c r="D920" t="inlineStr">
        <is>
          <t>€/MWh</t>
        </is>
      </c>
      <c r="E920" s="54" t="n">
        <v>0.159923</v>
      </c>
      <c r="F920" s="54" t="n"/>
      <c r="G920" t="inlineStr">
        <is>
          <t>no aplica (precio mayorista)</t>
        </is>
      </c>
      <c r="J920" t="inlineStr">
        <is>
          <t>2022-07-03</t>
        </is>
      </c>
      <c r="K920" t="inlineStr">
        <is>
          <t>marginalpdbc_20220704.1</t>
        </is>
      </c>
      <c r="L920" t="inlineStr">
        <is>
          <t>24 periodos; mín 143.83, máx 176.00 €/MWh</t>
        </is>
      </c>
    </row>
    <row r="921">
      <c r="A921" s="53" t="n">
        <v>44747</v>
      </c>
      <c r="B921" t="inlineStr">
        <is>
          <t>2022-07-05</t>
        </is>
      </c>
      <c r="C921" s="45" t="n">
        <v>139.1642</v>
      </c>
      <c r="D921" t="inlineStr">
        <is>
          <t>€/MWh</t>
        </is>
      </c>
      <c r="E921" s="54" t="n">
        <v>0.139164</v>
      </c>
      <c r="F921" s="54" t="n"/>
      <c r="G921" t="inlineStr">
        <is>
          <t>no aplica (precio mayorista)</t>
        </is>
      </c>
      <c r="J921" t="inlineStr">
        <is>
          <t>2022-07-04</t>
        </is>
      </c>
      <c r="K921" t="inlineStr">
        <is>
          <t>marginalpdbc_20220705.1</t>
        </is>
      </c>
      <c r="L921" t="inlineStr">
        <is>
          <t>24 periodos; mín 114.57, máx 163.58 €/MWh</t>
        </is>
      </c>
    </row>
    <row r="922">
      <c r="A922" s="53" t="n">
        <v>44748</v>
      </c>
      <c r="B922" t="inlineStr">
        <is>
          <t>2022-07-06</t>
        </is>
      </c>
      <c r="C922" s="45" t="n">
        <v>145.2992</v>
      </c>
      <c r="D922" t="inlineStr">
        <is>
          <t>€/MWh</t>
        </is>
      </c>
      <c r="E922" s="54" t="n">
        <v>0.145299</v>
      </c>
      <c r="F922" s="54" t="n"/>
      <c r="G922" t="inlineStr">
        <is>
          <t>no aplica (precio mayorista)</t>
        </is>
      </c>
      <c r="J922" t="inlineStr">
        <is>
          <t>2022-07-05</t>
        </is>
      </c>
      <c r="K922" t="inlineStr">
        <is>
          <t>marginalpdbc_20220706.1</t>
        </is>
      </c>
      <c r="L922" t="inlineStr">
        <is>
          <t>24 periodos; mín 115.55, máx 174.50 €/MWh</t>
        </is>
      </c>
    </row>
    <row r="923">
      <c r="A923" s="53" t="n">
        <v>44749</v>
      </c>
      <c r="B923" t="inlineStr">
        <is>
          <t>2022-07-07</t>
        </is>
      </c>
      <c r="C923" s="45" t="n">
        <v>124.2029</v>
      </c>
      <c r="D923" t="inlineStr">
        <is>
          <t>€/MWh</t>
        </is>
      </c>
      <c r="E923" s="54" t="n">
        <v>0.124203</v>
      </c>
      <c r="F923" s="54" t="n"/>
      <c r="G923" t="inlineStr">
        <is>
          <t>no aplica (precio mayorista)</t>
        </is>
      </c>
      <c r="J923" t="inlineStr">
        <is>
          <t>2022-07-06</t>
        </is>
      </c>
      <c r="K923" t="inlineStr">
        <is>
          <t>marginalpdbc_20220707.1</t>
        </is>
      </c>
      <c r="L923" t="inlineStr">
        <is>
          <t>24 periodos; mín 108.01, máx 169.00 €/MWh</t>
        </is>
      </c>
    </row>
    <row r="924">
      <c r="A924" s="53" t="n">
        <v>44750</v>
      </c>
      <c r="B924" t="inlineStr">
        <is>
          <t>2022-07-08</t>
        </is>
      </c>
      <c r="C924" s="45" t="n">
        <v>146.7321</v>
      </c>
      <c r="D924" t="inlineStr">
        <is>
          <t>€/MWh</t>
        </is>
      </c>
      <c r="E924" s="54" t="n">
        <v>0.146732</v>
      </c>
      <c r="F924" s="54" t="n"/>
      <c r="G924" t="inlineStr">
        <is>
          <t>no aplica (precio mayorista)</t>
        </is>
      </c>
      <c r="J924" t="inlineStr">
        <is>
          <t>2022-07-07</t>
        </is>
      </c>
      <c r="K924" t="inlineStr">
        <is>
          <t>marginalpdbc_20220708.1</t>
        </is>
      </c>
      <c r="L924" t="inlineStr">
        <is>
          <t>24 periodos; mín 120.89, máx 169.12 €/MWh</t>
        </is>
      </c>
    </row>
    <row r="925">
      <c r="A925" s="53" t="n">
        <v>44751</v>
      </c>
      <c r="B925" t="inlineStr">
        <is>
          <t>2022-07-09</t>
        </is>
      </c>
      <c r="C925" s="45" t="n">
        <v>148.6208</v>
      </c>
      <c r="D925" t="inlineStr">
        <is>
          <t>€/MWh</t>
        </is>
      </c>
      <c r="E925" s="54" t="n">
        <v>0.148621</v>
      </c>
      <c r="F925" s="54" t="n"/>
      <c r="G925" t="inlineStr">
        <is>
          <t>no aplica (precio mayorista)</t>
        </is>
      </c>
      <c r="J925" t="inlineStr">
        <is>
          <t>2022-07-08</t>
        </is>
      </c>
      <c r="K925" t="inlineStr">
        <is>
          <t>marginalpdbc_20220709.1</t>
        </is>
      </c>
      <c r="L925" t="inlineStr">
        <is>
          <t>24 periodos; mín 129.50, máx 179.85 €/MWh</t>
        </is>
      </c>
    </row>
    <row r="926">
      <c r="A926" s="53" t="n">
        <v>44752</v>
      </c>
      <c r="B926" t="inlineStr">
        <is>
          <t>2022-07-10</t>
        </is>
      </c>
      <c r="C926" s="45" t="n">
        <v>138.6208</v>
      </c>
      <c r="D926" t="inlineStr">
        <is>
          <t>€/MWh</t>
        </is>
      </c>
      <c r="E926" s="54" t="n">
        <v>0.138621</v>
      </c>
      <c r="F926" s="54" t="n"/>
      <c r="G926" t="inlineStr">
        <is>
          <t>no aplica (precio mayorista)</t>
        </is>
      </c>
      <c r="J926" t="inlineStr">
        <is>
          <t>2022-07-09</t>
        </is>
      </c>
      <c r="K926" t="inlineStr">
        <is>
          <t>marginalpdbc_20220710.1</t>
        </is>
      </c>
      <c r="L926" t="inlineStr">
        <is>
          <t>24 periodos; mín 116.62, máx 184.00 €/MWh</t>
        </is>
      </c>
    </row>
    <row r="927">
      <c r="A927" s="53" t="n">
        <v>44753</v>
      </c>
      <c r="B927" t="inlineStr">
        <is>
          <t>2022-07-11</t>
        </is>
      </c>
      <c r="C927" s="45" t="n">
        <v>157.5383</v>
      </c>
      <c r="D927" t="inlineStr">
        <is>
          <t>€/MWh</t>
        </is>
      </c>
      <c r="E927" s="54" t="n">
        <v>0.157538</v>
      </c>
      <c r="F927" s="54" t="n"/>
      <c r="G927" t="inlineStr">
        <is>
          <t>no aplica (precio mayorista)</t>
        </is>
      </c>
      <c r="J927" t="inlineStr">
        <is>
          <t>2022-07-10</t>
        </is>
      </c>
      <c r="K927" t="inlineStr">
        <is>
          <t>marginalpdbc_20220711.1</t>
        </is>
      </c>
      <c r="L927" t="inlineStr">
        <is>
          <t>24 periodos; mín 135.06, máx 191.39 €/MWh</t>
        </is>
      </c>
    </row>
    <row r="928">
      <c r="A928" s="53" t="n">
        <v>44754</v>
      </c>
      <c r="B928" t="inlineStr">
        <is>
          <t>2022-07-12</t>
        </is>
      </c>
      <c r="C928" s="45" t="n">
        <v>155.705</v>
      </c>
      <c r="D928" t="inlineStr">
        <is>
          <t>€/MWh</t>
        </is>
      </c>
      <c r="E928" s="54" t="n">
        <v>0.155705</v>
      </c>
      <c r="F928" s="54" t="n"/>
      <c r="G928" t="inlineStr">
        <is>
          <t>no aplica (precio mayorista)</t>
        </is>
      </c>
      <c r="J928" t="inlineStr">
        <is>
          <t>2022-07-11</t>
        </is>
      </c>
      <c r="K928" t="inlineStr">
        <is>
          <t>marginalpdbc_20220712.1</t>
        </is>
      </c>
      <c r="L928" t="inlineStr">
        <is>
          <t>24 periodos; mín 123.55, máx 201.60 €/MWh</t>
        </is>
      </c>
    </row>
    <row r="929">
      <c r="A929" s="53" t="n">
        <v>44755</v>
      </c>
      <c r="B929" t="inlineStr">
        <is>
          <t>2022-07-13</t>
        </is>
      </c>
      <c r="C929" s="45" t="n">
        <v>159.45</v>
      </c>
      <c r="D929" t="inlineStr">
        <is>
          <t>€/MWh</t>
        </is>
      </c>
      <c r="E929" s="54" t="n">
        <v>0.15945</v>
      </c>
      <c r="F929" s="54" t="n"/>
      <c r="G929" t="inlineStr">
        <is>
          <t>no aplica (precio mayorista)</t>
        </is>
      </c>
      <c r="J929" t="inlineStr">
        <is>
          <t>2022-07-12</t>
        </is>
      </c>
      <c r="K929" t="inlineStr">
        <is>
          <t>marginalpdbc_20220713.1</t>
        </is>
      </c>
      <c r="L929" t="inlineStr">
        <is>
          <t>24 periodos; mín 140.00, máx 186.31 €/MWh</t>
        </is>
      </c>
    </row>
    <row r="930">
      <c r="A930" s="53" t="n">
        <v>44756</v>
      </c>
      <c r="B930" t="inlineStr">
        <is>
          <t>2022-07-14</t>
        </is>
      </c>
      <c r="C930" s="45" t="n">
        <v>162.2225</v>
      </c>
      <c r="D930" t="inlineStr">
        <is>
          <t>€/MWh</t>
        </is>
      </c>
      <c r="E930" s="54" t="n">
        <v>0.162222</v>
      </c>
      <c r="F930" s="54" t="n"/>
      <c r="G930" t="inlineStr">
        <is>
          <t>no aplica (precio mayorista)</t>
        </is>
      </c>
      <c r="J930" t="inlineStr">
        <is>
          <t>2022-07-13</t>
        </is>
      </c>
      <c r="K930" t="inlineStr">
        <is>
          <t>marginalpdbc_20220714.1</t>
        </is>
      </c>
      <c r="L930" t="inlineStr">
        <is>
          <t>24 periodos; mín 140.00, máx 190.00 €/MWh</t>
        </is>
      </c>
    </row>
    <row r="931">
      <c r="A931" s="53" t="n">
        <v>44757</v>
      </c>
      <c r="B931" t="inlineStr">
        <is>
          <t>2022-07-15</t>
        </is>
      </c>
      <c r="C931" s="45" t="n">
        <v>147.2517</v>
      </c>
      <c r="D931" t="inlineStr">
        <is>
          <t>€/MWh</t>
        </is>
      </c>
      <c r="E931" s="54" t="n">
        <v>0.147252</v>
      </c>
      <c r="F931" s="54" t="n"/>
      <c r="G931" t="inlineStr">
        <is>
          <t>no aplica (precio mayorista)</t>
        </is>
      </c>
      <c r="J931" t="inlineStr">
        <is>
          <t>2022-07-14</t>
        </is>
      </c>
      <c r="K931" t="inlineStr">
        <is>
          <t>marginalpdbc_20220715.1</t>
        </is>
      </c>
      <c r="L931" t="inlineStr">
        <is>
          <t>24 periodos; mín 126.00, máx 184.01 €/MWh</t>
        </is>
      </c>
    </row>
    <row r="932">
      <c r="A932" s="53" t="n">
        <v>44758</v>
      </c>
      <c r="B932" t="inlineStr">
        <is>
          <t>2022-07-16</t>
        </is>
      </c>
      <c r="C932" s="45" t="n">
        <v>136.8329</v>
      </c>
      <c r="D932" t="inlineStr">
        <is>
          <t>€/MWh</t>
        </is>
      </c>
      <c r="E932" s="54" t="n">
        <v>0.136833</v>
      </c>
      <c r="F932" s="54" t="n"/>
      <c r="G932" t="inlineStr">
        <is>
          <t>no aplica (precio mayorista)</t>
        </is>
      </c>
      <c r="J932" t="inlineStr">
        <is>
          <t>2022-07-15</t>
        </is>
      </c>
      <c r="K932" t="inlineStr">
        <is>
          <t>marginalpdbc_20220716.1</t>
        </is>
      </c>
      <c r="L932" t="inlineStr">
        <is>
          <t>24 periodos; mín 120.69, máx 176.16 €/MWh</t>
        </is>
      </c>
    </row>
    <row r="933">
      <c r="A933" s="53" t="n">
        <v>44759</v>
      </c>
      <c r="B933" t="inlineStr">
        <is>
          <t>2022-07-17</t>
        </is>
      </c>
      <c r="C933" s="45" t="n">
        <v>102.445</v>
      </c>
      <c r="D933" t="inlineStr">
        <is>
          <t>€/MWh</t>
        </is>
      </c>
      <c r="E933" s="54" t="n">
        <v>0.102445</v>
      </c>
      <c r="F933" s="54" t="n"/>
      <c r="G933" t="inlineStr">
        <is>
          <t>no aplica (precio mayorista)</t>
        </is>
      </c>
      <c r="J933" t="inlineStr">
        <is>
          <t>2022-07-16</t>
        </is>
      </c>
      <c r="K933" t="inlineStr">
        <is>
          <t>marginalpdbc_20220717.1</t>
        </is>
      </c>
      <c r="L933" t="inlineStr">
        <is>
          <t>24 periodos; mín 69.05, máx 179.27 €/MWh</t>
        </is>
      </c>
    </row>
    <row r="934">
      <c r="A934" s="53" t="n">
        <v>44760</v>
      </c>
      <c r="B934" t="inlineStr">
        <is>
          <t>2022-07-18</t>
        </is>
      </c>
      <c r="C934" s="45" t="n">
        <v>115.7679</v>
      </c>
      <c r="D934" t="inlineStr">
        <is>
          <t>€/MWh</t>
        </is>
      </c>
      <c r="E934" s="54" t="n">
        <v>0.115768</v>
      </c>
      <c r="F934" s="54" t="n"/>
      <c r="G934" t="inlineStr">
        <is>
          <t>no aplica (precio mayorista)</t>
        </is>
      </c>
      <c r="J934" t="inlineStr">
        <is>
          <t>2022-07-17</t>
        </is>
      </c>
      <c r="K934" t="inlineStr">
        <is>
          <t>marginalpdbc_20220718.1</t>
        </is>
      </c>
      <c r="L934" t="inlineStr">
        <is>
          <t>24 periodos; mín 91.27, máx 150.00 €/MWh</t>
        </is>
      </c>
    </row>
    <row r="935">
      <c r="A935" s="53" t="n">
        <v>44761</v>
      </c>
      <c r="B935" t="inlineStr">
        <is>
          <t>2022-07-19</t>
        </is>
      </c>
      <c r="C935" s="45" t="n">
        <v>142.3538</v>
      </c>
      <c r="D935" t="inlineStr">
        <is>
          <t>€/MWh</t>
        </is>
      </c>
      <c r="E935" s="54" t="n">
        <v>0.142354</v>
      </c>
      <c r="F935" s="54" t="n"/>
      <c r="G935" t="inlineStr">
        <is>
          <t>no aplica (precio mayorista)</t>
        </is>
      </c>
      <c r="J935" t="inlineStr">
        <is>
          <t>2022-07-18</t>
        </is>
      </c>
      <c r="K935" t="inlineStr">
        <is>
          <t>marginalpdbc_20220719.1</t>
        </is>
      </c>
      <c r="L935" t="inlineStr">
        <is>
          <t>24 periodos; mín 118.49, máx 182.49 €/MWh</t>
        </is>
      </c>
    </row>
    <row r="936">
      <c r="A936" s="53" t="n">
        <v>44762</v>
      </c>
      <c r="B936" t="inlineStr">
        <is>
          <t>2022-07-20</t>
        </is>
      </c>
      <c r="C936" s="45" t="n">
        <v>147.5375</v>
      </c>
      <c r="D936" t="inlineStr">
        <is>
          <t>€/MWh</t>
        </is>
      </c>
      <c r="E936" s="54" t="n">
        <v>0.147537</v>
      </c>
      <c r="F936" s="54" t="n"/>
      <c r="G936" t="inlineStr">
        <is>
          <t>no aplica (precio mayorista)</t>
        </is>
      </c>
      <c r="J936" t="inlineStr">
        <is>
          <t>2022-07-19</t>
        </is>
      </c>
      <c r="K936" t="inlineStr">
        <is>
          <t>marginalpdbc_20220720.1</t>
        </is>
      </c>
      <c r="L936" t="inlineStr">
        <is>
          <t>24 periodos; mín 137.47, máx 154.35 €/MWh</t>
        </is>
      </c>
    </row>
    <row r="937">
      <c r="A937" s="53" t="n">
        <v>44763</v>
      </c>
      <c r="B937" t="inlineStr">
        <is>
          <t>2022-07-21</t>
        </is>
      </c>
      <c r="C937" s="45" t="n">
        <v>138.8438</v>
      </c>
      <c r="D937" t="inlineStr">
        <is>
          <t>€/MWh</t>
        </is>
      </c>
      <c r="E937" s="54" t="n">
        <v>0.138844</v>
      </c>
      <c r="F937" s="54" t="n"/>
      <c r="G937" t="inlineStr">
        <is>
          <t>no aplica (precio mayorista)</t>
        </is>
      </c>
      <c r="J937" t="inlineStr">
        <is>
          <t>2022-07-20</t>
        </is>
      </c>
      <c r="K937" t="inlineStr">
        <is>
          <t>marginalpdbc_20220721.1</t>
        </is>
      </c>
      <c r="L937" t="inlineStr">
        <is>
          <t>24 periodos; mín 111.25, máx 151.22 €/MWh</t>
        </is>
      </c>
    </row>
    <row r="938">
      <c r="A938" s="53" t="n">
        <v>44764</v>
      </c>
      <c r="B938" t="inlineStr">
        <is>
          <t>2022-07-22</t>
        </is>
      </c>
      <c r="C938" s="45" t="n">
        <v>133.4525</v>
      </c>
      <c r="D938" t="inlineStr">
        <is>
          <t>€/MWh</t>
        </is>
      </c>
      <c r="E938" s="54" t="n">
        <v>0.133453</v>
      </c>
      <c r="F938" s="54" t="n"/>
      <c r="G938" t="inlineStr">
        <is>
          <t>no aplica (precio mayorista)</t>
        </is>
      </c>
      <c r="J938" t="inlineStr">
        <is>
          <t>2022-07-21</t>
        </is>
      </c>
      <c r="K938" t="inlineStr">
        <is>
          <t>marginalpdbc_20220722.1</t>
        </is>
      </c>
      <c r="L938" t="inlineStr">
        <is>
          <t>24 periodos; mín 110.10, máx 148.18 €/MWh</t>
        </is>
      </c>
    </row>
    <row r="939">
      <c r="A939" s="53" t="n">
        <v>44765</v>
      </c>
      <c r="B939" t="inlineStr">
        <is>
          <t>2022-07-23</t>
        </is>
      </c>
      <c r="C939" s="45" t="n">
        <v>155.9896</v>
      </c>
      <c r="D939" t="inlineStr">
        <is>
          <t>€/MWh</t>
        </is>
      </c>
      <c r="E939" s="54" t="n">
        <v>0.15599</v>
      </c>
      <c r="F939" s="54" t="n"/>
      <c r="G939" t="inlineStr">
        <is>
          <t>no aplica (precio mayorista)</t>
        </is>
      </c>
      <c r="J939" t="inlineStr">
        <is>
          <t>2022-07-22</t>
        </is>
      </c>
      <c r="K939" t="inlineStr">
        <is>
          <t>marginalpdbc_20220723.1</t>
        </is>
      </c>
      <c r="L939" t="inlineStr">
        <is>
          <t>24 periodos; mín 139.87, máx 221.10 €/MWh</t>
        </is>
      </c>
    </row>
    <row r="940">
      <c r="A940" s="53" t="n">
        <v>44766</v>
      </c>
      <c r="B940" t="inlineStr">
        <is>
          <t>2022-07-24</t>
        </is>
      </c>
      <c r="C940" s="45" t="n">
        <v>136.9863</v>
      </c>
      <c r="D940" t="inlineStr">
        <is>
          <t>€/MWh</t>
        </is>
      </c>
      <c r="E940" s="54" t="n">
        <v>0.136986</v>
      </c>
      <c r="F940" s="54" t="n"/>
      <c r="G940" t="inlineStr">
        <is>
          <t>no aplica (precio mayorista)</t>
        </is>
      </c>
      <c r="J940" t="inlineStr">
        <is>
          <t>2022-07-23</t>
        </is>
      </c>
      <c r="K940" t="inlineStr">
        <is>
          <t>marginalpdbc_20220724.1</t>
        </is>
      </c>
      <c r="L940" t="inlineStr">
        <is>
          <t>24 periodos; mín 91.47, máx 192.01 €/MWh</t>
        </is>
      </c>
    </row>
    <row r="941">
      <c r="A941" s="53" t="n">
        <v>44767</v>
      </c>
      <c r="B941" t="inlineStr">
        <is>
          <t>2022-07-25</t>
        </is>
      </c>
      <c r="C941" s="45" t="n">
        <v>158.02</v>
      </c>
      <c r="D941" t="inlineStr">
        <is>
          <t>€/MWh</t>
        </is>
      </c>
      <c r="E941" s="54" t="n">
        <v>0.15802</v>
      </c>
      <c r="F941" s="54" t="n"/>
      <c r="G941" t="inlineStr">
        <is>
          <t>no aplica (precio mayorista)</t>
        </is>
      </c>
      <c r="J941" t="inlineStr">
        <is>
          <t>2022-07-24</t>
        </is>
      </c>
      <c r="K941" t="inlineStr">
        <is>
          <t>marginalpdbc_20220725.1</t>
        </is>
      </c>
      <c r="L941" t="inlineStr">
        <is>
          <t>24 periodos; mín 125.12, máx 186.58 €/MWh</t>
        </is>
      </c>
    </row>
    <row r="942">
      <c r="A942" s="53" t="n">
        <v>44768</v>
      </c>
      <c r="B942" t="inlineStr">
        <is>
          <t>2022-07-26</t>
        </is>
      </c>
      <c r="C942" s="45" t="n">
        <v>145.6475</v>
      </c>
      <c r="D942" t="inlineStr">
        <is>
          <t>€/MWh</t>
        </is>
      </c>
      <c r="E942" s="54" t="n">
        <v>0.145648</v>
      </c>
      <c r="F942" s="54" t="n"/>
      <c r="G942" t="inlineStr">
        <is>
          <t>no aplica (precio mayorista)</t>
        </is>
      </c>
      <c r="J942" t="inlineStr">
        <is>
          <t>2022-07-25</t>
        </is>
      </c>
      <c r="K942" t="inlineStr">
        <is>
          <t>marginalpdbc_20220726.1</t>
        </is>
      </c>
      <c r="L942" t="inlineStr">
        <is>
          <t>24 periodos; mín 125.10, máx 165.00 €/MWh</t>
        </is>
      </c>
    </row>
    <row r="943">
      <c r="A943" s="53" t="n">
        <v>44769</v>
      </c>
      <c r="B943" t="inlineStr">
        <is>
          <t>2022-07-27</t>
        </is>
      </c>
      <c r="C943" s="45" t="n">
        <v>148.2529</v>
      </c>
      <c r="D943" t="inlineStr">
        <is>
          <t>€/MWh</t>
        </is>
      </c>
      <c r="E943" s="54" t="n">
        <v>0.148253</v>
      </c>
      <c r="F943" s="54" t="n"/>
      <c r="G943" t="inlineStr">
        <is>
          <t>no aplica (precio mayorista)</t>
        </is>
      </c>
      <c r="J943" t="inlineStr">
        <is>
          <t>2022-07-26</t>
        </is>
      </c>
      <c r="K943" t="inlineStr">
        <is>
          <t>marginalpdbc_20220727.1</t>
        </is>
      </c>
      <c r="L943" t="inlineStr">
        <is>
          <t>24 periodos; mín 125.12, máx 164.20 €/MWh</t>
        </is>
      </c>
    </row>
    <row r="944">
      <c r="A944" s="53" t="n">
        <v>44770</v>
      </c>
      <c r="B944" t="inlineStr">
        <is>
          <t>2022-07-28</t>
        </is>
      </c>
      <c r="C944" s="45" t="n">
        <v>169.86</v>
      </c>
      <c r="D944" t="inlineStr">
        <is>
          <t>€/MWh</t>
        </is>
      </c>
      <c r="E944" s="54" t="n">
        <v>0.16986</v>
      </c>
      <c r="F944" s="54" t="n"/>
      <c r="G944" t="inlineStr">
        <is>
          <t>no aplica (precio mayorista)</t>
        </is>
      </c>
      <c r="J944" t="inlineStr">
        <is>
          <t>2022-07-27</t>
        </is>
      </c>
      <c r="K944" t="inlineStr">
        <is>
          <t>marginalpdbc_20220728.1</t>
        </is>
      </c>
      <c r="L944" t="inlineStr">
        <is>
          <t>24 periodos; mín 151.17, máx 180.00 €/MWh</t>
        </is>
      </c>
    </row>
    <row r="945">
      <c r="A945" s="53" t="n">
        <v>44771</v>
      </c>
      <c r="B945" t="inlineStr">
        <is>
          <t>2022-07-29</t>
        </is>
      </c>
      <c r="C945" s="45" t="n">
        <v>141.5062</v>
      </c>
      <c r="D945" t="inlineStr">
        <is>
          <t>€/MWh</t>
        </is>
      </c>
      <c r="E945" s="54" t="n">
        <v>0.141506</v>
      </c>
      <c r="F945" s="54" t="n"/>
      <c r="G945" t="inlineStr">
        <is>
          <t>no aplica (precio mayorista)</t>
        </is>
      </c>
      <c r="J945" t="inlineStr">
        <is>
          <t>2022-07-28</t>
        </is>
      </c>
      <c r="K945" t="inlineStr">
        <is>
          <t>marginalpdbc_20220729.1</t>
        </is>
      </c>
      <c r="L945" t="inlineStr">
        <is>
          <t>24 periodos; mín 119.00, máx 161.00 €/MWh</t>
        </is>
      </c>
    </row>
    <row r="946">
      <c r="A946" s="53" t="n">
        <v>44772</v>
      </c>
      <c r="B946" t="inlineStr">
        <is>
          <t>2022-07-30</t>
        </is>
      </c>
      <c r="C946" s="45" t="n">
        <v>129.9779</v>
      </c>
      <c r="D946" t="inlineStr">
        <is>
          <t>€/MWh</t>
        </is>
      </c>
      <c r="E946" s="54" t="n">
        <v>0.129978</v>
      </c>
      <c r="F946" s="54" t="n"/>
      <c r="G946" t="inlineStr">
        <is>
          <t>no aplica (precio mayorista)</t>
        </is>
      </c>
      <c r="J946" t="inlineStr">
        <is>
          <t>2022-07-29</t>
        </is>
      </c>
      <c r="K946" t="inlineStr">
        <is>
          <t>marginalpdbc_20220730.1</t>
        </is>
      </c>
      <c r="L946" t="inlineStr">
        <is>
          <t>24 periodos; mín 114.30, máx 163.78 €/MWh</t>
        </is>
      </c>
    </row>
    <row r="947">
      <c r="A947" s="53" t="n">
        <v>44773</v>
      </c>
      <c r="B947" t="inlineStr">
        <is>
          <t>2022-07-31</t>
        </is>
      </c>
      <c r="C947" s="45" t="n">
        <v>113.0917</v>
      </c>
      <c r="D947" t="inlineStr">
        <is>
          <t>€/MWh</t>
        </is>
      </c>
      <c r="E947" s="54" t="n">
        <v>0.113092</v>
      </c>
      <c r="F947" s="54" t="n"/>
      <c r="G947" t="inlineStr">
        <is>
          <t>no aplica (precio mayorista)</t>
        </is>
      </c>
      <c r="J947" t="inlineStr">
        <is>
          <t>2022-07-30</t>
        </is>
      </c>
      <c r="K947" t="inlineStr">
        <is>
          <t>marginalpdbc_20220731.1</t>
        </is>
      </c>
      <c r="L947" t="inlineStr">
        <is>
          <t>24 periodos; mín 80.00, máx 183.03 €/MWh</t>
        </is>
      </c>
    </row>
    <row r="948">
      <c r="A948" s="53" t="n">
        <v>44774</v>
      </c>
      <c r="B948" t="inlineStr">
        <is>
          <t>2022-08-01</t>
        </is>
      </c>
      <c r="C948" s="45" t="n">
        <v>147.4346</v>
      </c>
      <c r="D948" t="inlineStr">
        <is>
          <t>€/MWh</t>
        </is>
      </c>
      <c r="E948" s="54" t="n">
        <v>0.147435</v>
      </c>
      <c r="F948" s="54" t="n"/>
      <c r="G948" t="inlineStr">
        <is>
          <t>no aplica (precio mayorista)</t>
        </is>
      </c>
      <c r="J948" t="inlineStr">
        <is>
          <t>2022-07-31</t>
        </is>
      </c>
      <c r="K948" t="inlineStr">
        <is>
          <t>marginalpdbc_20220801.1</t>
        </is>
      </c>
      <c r="L948" t="inlineStr">
        <is>
          <t>24 periodos; mín 123.72, máx 165.09 €/MWh</t>
        </is>
      </c>
    </row>
    <row r="949">
      <c r="A949" s="53" t="n">
        <v>44775</v>
      </c>
      <c r="B949" t="inlineStr">
        <is>
          <t>2022-08-02</t>
        </is>
      </c>
      <c r="C949" s="45" t="n">
        <v>151.2942</v>
      </c>
      <c r="D949" t="inlineStr">
        <is>
          <t>€/MWh</t>
        </is>
      </c>
      <c r="E949" s="54" t="n">
        <v>0.151294</v>
      </c>
      <c r="F949" s="54" t="n"/>
      <c r="G949" t="inlineStr">
        <is>
          <t>no aplica (precio mayorista)</t>
        </is>
      </c>
      <c r="J949" t="inlineStr">
        <is>
          <t>2022-08-01</t>
        </is>
      </c>
      <c r="K949" t="inlineStr">
        <is>
          <t>marginalpdbc_20220802.1</t>
        </is>
      </c>
      <c r="L949" t="inlineStr">
        <is>
          <t>24 periodos; mín 129.00, máx 180.00 €/MWh</t>
        </is>
      </c>
    </row>
    <row r="950">
      <c r="A950" s="53" t="n">
        <v>44776</v>
      </c>
      <c r="B950" t="inlineStr">
        <is>
          <t>2022-08-03</t>
        </is>
      </c>
      <c r="C950" s="45" t="n">
        <v>147.85</v>
      </c>
      <c r="D950" t="inlineStr">
        <is>
          <t>€/MWh</t>
        </is>
      </c>
      <c r="E950" s="54" t="n">
        <v>0.14785</v>
      </c>
      <c r="F950" s="54" t="n"/>
      <c r="G950" t="inlineStr">
        <is>
          <t>no aplica (precio mayorista)</t>
        </is>
      </c>
      <c r="J950" t="inlineStr">
        <is>
          <t>2022-08-02</t>
        </is>
      </c>
      <c r="K950" t="inlineStr">
        <is>
          <t>marginalpdbc_20220803.1</t>
        </is>
      </c>
      <c r="L950" t="inlineStr">
        <is>
          <t>24 periodos; mín 126.00, máx 176.00 €/MWh</t>
        </is>
      </c>
    </row>
    <row r="951">
      <c r="A951" s="53" t="n">
        <v>44777</v>
      </c>
      <c r="B951" t="inlineStr">
        <is>
          <t>2022-08-04</t>
        </is>
      </c>
      <c r="C951" s="45" t="n">
        <v>147.2338</v>
      </c>
      <c r="D951" t="inlineStr">
        <is>
          <t>€/MWh</t>
        </is>
      </c>
      <c r="E951" s="54" t="n">
        <v>0.147234</v>
      </c>
      <c r="F951" s="54" t="n"/>
      <c r="G951" t="inlineStr">
        <is>
          <t>no aplica (precio mayorista)</t>
        </is>
      </c>
      <c r="J951" t="inlineStr">
        <is>
          <t>2022-08-03</t>
        </is>
      </c>
      <c r="K951" t="inlineStr">
        <is>
          <t>marginalpdbc_20220804.1</t>
        </is>
      </c>
      <c r="L951" t="inlineStr">
        <is>
          <t>24 periodos; mín 124.99, máx 170.00 €/MWh</t>
        </is>
      </c>
    </row>
    <row r="952">
      <c r="A952" s="53" t="n">
        <v>44778</v>
      </c>
      <c r="B952" t="inlineStr">
        <is>
          <t>2022-08-05</t>
        </is>
      </c>
      <c r="C952" s="45" t="n">
        <v>135.2413</v>
      </c>
      <c r="D952" t="inlineStr">
        <is>
          <t>€/MWh</t>
        </is>
      </c>
      <c r="E952" s="54" t="n">
        <v>0.135241</v>
      </c>
      <c r="F952" s="54" t="n"/>
      <c r="G952" t="inlineStr">
        <is>
          <t>no aplica (precio mayorista)</t>
        </is>
      </c>
      <c r="J952" t="inlineStr">
        <is>
          <t>2022-08-04</t>
        </is>
      </c>
      <c r="K952" t="inlineStr">
        <is>
          <t>marginalpdbc_20220805.1</t>
        </is>
      </c>
      <c r="L952" t="inlineStr">
        <is>
          <t>24 periodos; mín 120.30, máx 164.00 €/MWh</t>
        </is>
      </c>
    </row>
    <row r="953">
      <c r="A953" s="53" t="n">
        <v>44779</v>
      </c>
      <c r="B953" t="inlineStr">
        <is>
          <t>2022-08-06</t>
        </is>
      </c>
      <c r="C953" s="45" t="n">
        <v>135.5342</v>
      </c>
      <c r="D953" t="inlineStr">
        <is>
          <t>€/MWh</t>
        </is>
      </c>
      <c r="E953" s="54" t="n">
        <v>0.135534</v>
      </c>
      <c r="F953" s="54" t="n"/>
      <c r="G953" t="inlineStr">
        <is>
          <t>no aplica (precio mayorista)</t>
        </is>
      </c>
      <c r="J953" t="inlineStr">
        <is>
          <t>2022-08-05</t>
        </is>
      </c>
      <c r="K953" t="inlineStr">
        <is>
          <t>marginalpdbc_20220806.1</t>
        </is>
      </c>
      <c r="L953" t="inlineStr">
        <is>
          <t>24 periodos; mín 112.30, máx 180.00 €/MWh</t>
        </is>
      </c>
    </row>
    <row r="954">
      <c r="A954" s="53" t="n">
        <v>44780</v>
      </c>
      <c r="B954" t="inlineStr">
        <is>
          <t>2022-08-07</t>
        </is>
      </c>
      <c r="C954" s="45" t="n">
        <v>123.9754</v>
      </c>
      <c r="D954" t="inlineStr">
        <is>
          <t>€/MWh</t>
        </is>
      </c>
      <c r="E954" s="54" t="n">
        <v>0.123975</v>
      </c>
      <c r="F954" s="54" t="n"/>
      <c r="G954" t="inlineStr">
        <is>
          <t>no aplica (precio mayorista)</t>
        </is>
      </c>
      <c r="J954" t="inlineStr">
        <is>
          <t>2022-08-06</t>
        </is>
      </c>
      <c r="K954" t="inlineStr">
        <is>
          <t>marginalpdbc_20220807.1</t>
        </is>
      </c>
      <c r="L954" t="inlineStr">
        <is>
          <t>24 periodos; mín 72.08, máx 175.00 €/MWh</t>
        </is>
      </c>
    </row>
    <row r="955">
      <c r="A955" s="53" t="n">
        <v>44781</v>
      </c>
      <c r="B955" t="inlineStr">
        <is>
          <t>2022-08-08</t>
        </is>
      </c>
      <c r="C955" s="45" t="n">
        <v>146.3079</v>
      </c>
      <c r="D955" t="inlineStr">
        <is>
          <t>€/MWh</t>
        </is>
      </c>
      <c r="E955" s="54" t="n">
        <v>0.146308</v>
      </c>
      <c r="F955" s="54" t="n"/>
      <c r="G955" t="inlineStr">
        <is>
          <t>no aplica (precio mayorista)</t>
        </is>
      </c>
      <c r="J955" t="inlineStr">
        <is>
          <t>2022-08-07</t>
        </is>
      </c>
      <c r="K955" t="inlineStr">
        <is>
          <t>marginalpdbc_20220808.1</t>
        </is>
      </c>
      <c r="L955" t="inlineStr">
        <is>
          <t>24 periodos; mín 126.00, máx 170.36 €/MWh</t>
        </is>
      </c>
    </row>
    <row r="956">
      <c r="A956" s="53" t="n">
        <v>44782</v>
      </c>
      <c r="B956" t="inlineStr">
        <is>
          <t>2022-08-09</t>
        </is>
      </c>
      <c r="C956" s="45" t="n">
        <v>143.9875</v>
      </c>
      <c r="D956" t="inlineStr">
        <is>
          <t>€/MWh</t>
        </is>
      </c>
      <c r="E956" s="54" t="n">
        <v>0.143987</v>
      </c>
      <c r="F956" s="54" t="n"/>
      <c r="G956" t="inlineStr">
        <is>
          <t>no aplica (precio mayorista)</t>
        </is>
      </c>
      <c r="J956" t="inlineStr">
        <is>
          <t>2022-08-08</t>
        </is>
      </c>
      <c r="K956" t="inlineStr">
        <is>
          <t>marginalpdbc_20220809.1</t>
        </is>
      </c>
      <c r="L956" t="inlineStr">
        <is>
          <t>24 periodos; mín 121.00, máx 170.17 €/MWh</t>
        </is>
      </c>
    </row>
    <row r="957">
      <c r="A957" s="53" t="n">
        <v>44783</v>
      </c>
      <c r="B957" t="inlineStr">
        <is>
          <t>2022-08-10</t>
        </is>
      </c>
      <c r="C957" s="45" t="n">
        <v>144.7779</v>
      </c>
      <c r="D957" t="inlineStr">
        <is>
          <t>€/MWh</t>
        </is>
      </c>
      <c r="E957" s="54" t="n">
        <v>0.144778</v>
      </c>
      <c r="F957" s="54" t="n"/>
      <c r="G957" t="inlineStr">
        <is>
          <t>no aplica (precio mayorista)</t>
        </is>
      </c>
      <c r="J957" t="inlineStr">
        <is>
          <t>2022-08-09</t>
        </is>
      </c>
      <c r="K957" t="inlineStr">
        <is>
          <t>marginalpdbc_20220810.1</t>
        </is>
      </c>
      <c r="L957" t="inlineStr">
        <is>
          <t>24 periodos; mín 122.00, máx 171.68 €/MWh</t>
        </is>
      </c>
    </row>
    <row r="958">
      <c r="A958" s="53" t="n">
        <v>44784</v>
      </c>
      <c r="B958" t="inlineStr">
        <is>
          <t>2022-08-11</t>
        </is>
      </c>
      <c r="C958" s="45" t="n">
        <v>150.1271</v>
      </c>
      <c r="D958" t="inlineStr">
        <is>
          <t>€/MWh</t>
        </is>
      </c>
      <c r="E958" s="54" t="n">
        <v>0.150127</v>
      </c>
      <c r="F958" s="54" t="n"/>
      <c r="G958" t="inlineStr">
        <is>
          <t>no aplica (precio mayorista)</t>
        </is>
      </c>
      <c r="J958" t="inlineStr">
        <is>
          <t>2022-08-10</t>
        </is>
      </c>
      <c r="K958" t="inlineStr">
        <is>
          <t>marginalpdbc_20220811.1</t>
        </is>
      </c>
      <c r="L958" t="inlineStr">
        <is>
          <t>24 periodos; mín 122.50, máx 176.05 €/MWh</t>
        </is>
      </c>
    </row>
    <row r="959">
      <c r="A959" s="53" t="n">
        <v>44785</v>
      </c>
      <c r="B959" t="inlineStr">
        <is>
          <t>2022-08-12</t>
        </is>
      </c>
      <c r="C959" s="45" t="n">
        <v>158.2475</v>
      </c>
      <c r="D959" t="inlineStr">
        <is>
          <t>€/MWh</t>
        </is>
      </c>
      <c r="E959" s="54" t="n">
        <v>0.158248</v>
      </c>
      <c r="F959" s="54" t="n"/>
      <c r="G959" t="inlineStr">
        <is>
          <t>no aplica (precio mayorista)</t>
        </is>
      </c>
      <c r="J959" t="inlineStr">
        <is>
          <t>2022-08-11</t>
        </is>
      </c>
      <c r="K959" t="inlineStr">
        <is>
          <t>marginalpdbc_20220812.1</t>
        </is>
      </c>
      <c r="L959" t="inlineStr">
        <is>
          <t>24 periodos; mín 124.69, máx 182.78 €/MWh</t>
        </is>
      </c>
    </row>
    <row r="960">
      <c r="A960" s="53" t="n">
        <v>44786</v>
      </c>
      <c r="B960" t="inlineStr">
        <is>
          <t>2022-08-13</t>
        </is>
      </c>
      <c r="C960" s="45" t="n">
        <v>152.3237</v>
      </c>
      <c r="D960" t="inlineStr">
        <is>
          <t>€/MWh</t>
        </is>
      </c>
      <c r="E960" s="54" t="n">
        <v>0.152324</v>
      </c>
      <c r="F960" s="54" t="n"/>
      <c r="G960" t="inlineStr">
        <is>
          <t>no aplica (precio mayorista)</t>
        </is>
      </c>
      <c r="J960" t="inlineStr">
        <is>
          <t>2022-08-12</t>
        </is>
      </c>
      <c r="K960" t="inlineStr">
        <is>
          <t>marginalpdbc_20220813.1</t>
        </is>
      </c>
      <c r="L960" t="inlineStr">
        <is>
          <t>24 periodos; mín 118.25, máx 180.60 €/MWh</t>
        </is>
      </c>
    </row>
    <row r="961">
      <c r="A961" s="53" t="n">
        <v>44787</v>
      </c>
      <c r="B961" t="inlineStr">
        <is>
          <t>2022-08-14</t>
        </is>
      </c>
      <c r="C961" s="45" t="n">
        <v>149.1817</v>
      </c>
      <c r="D961" t="inlineStr">
        <is>
          <t>€/MWh</t>
        </is>
      </c>
      <c r="E961" s="54" t="n">
        <v>0.149182</v>
      </c>
      <c r="F961" s="54" t="n"/>
      <c r="G961" t="inlineStr">
        <is>
          <t>no aplica (precio mayorista)</t>
        </is>
      </c>
      <c r="J961" t="inlineStr">
        <is>
          <t>2022-08-13</t>
        </is>
      </c>
      <c r="K961" t="inlineStr">
        <is>
          <t>marginalpdbc_20220814.1</t>
        </is>
      </c>
      <c r="L961" t="inlineStr">
        <is>
          <t>24 periodos; mín 90.40, máx 200.01 €/MWh</t>
        </is>
      </c>
    </row>
    <row r="962">
      <c r="A962" s="53" t="n">
        <v>44788</v>
      </c>
      <c r="B962" t="inlineStr">
        <is>
          <t>2022-08-15</t>
        </is>
      </c>
      <c r="C962" s="45" t="n">
        <v>145.3512</v>
      </c>
      <c r="D962" t="inlineStr">
        <is>
          <t>€/MWh</t>
        </is>
      </c>
      <c r="E962" s="54" t="n">
        <v>0.145351</v>
      </c>
      <c r="F962" s="54" t="n"/>
      <c r="G962" t="inlineStr">
        <is>
          <t>no aplica (precio mayorista)</t>
        </is>
      </c>
      <c r="J962" t="inlineStr">
        <is>
          <t>2022-08-14</t>
        </is>
      </c>
      <c r="K962" t="inlineStr">
        <is>
          <t>marginalpdbc_20220815.1</t>
        </is>
      </c>
      <c r="L962" t="inlineStr">
        <is>
          <t>24 periodos; mín 110.00, máx 195.00 €/MWh</t>
        </is>
      </c>
    </row>
    <row r="963">
      <c r="A963" s="53" t="n">
        <v>44789</v>
      </c>
      <c r="B963" t="inlineStr">
        <is>
          <t>2022-08-16</t>
        </is>
      </c>
      <c r="C963" s="45" t="n">
        <v>143.2046</v>
      </c>
      <c r="D963" t="inlineStr">
        <is>
          <t>€/MWh</t>
        </is>
      </c>
      <c r="E963" s="54" t="n">
        <v>0.143205</v>
      </c>
      <c r="F963" s="54" t="n"/>
      <c r="G963" t="inlineStr">
        <is>
          <t>no aplica (precio mayorista)</t>
        </is>
      </c>
      <c r="J963" t="inlineStr">
        <is>
          <t>2022-08-15</t>
        </is>
      </c>
      <c r="K963" t="inlineStr">
        <is>
          <t>marginalpdbc_20220816.1</t>
        </is>
      </c>
      <c r="L963" t="inlineStr">
        <is>
          <t>24 periodos; mín 105.00, máx 180.03 €/MWh</t>
        </is>
      </c>
    </row>
    <row r="964">
      <c r="A964" s="53" t="n">
        <v>44790</v>
      </c>
      <c r="B964" t="inlineStr">
        <is>
          <t>2022-08-17</t>
        </is>
      </c>
      <c r="C964" s="45" t="n">
        <v>139.2967</v>
      </c>
      <c r="D964" t="inlineStr">
        <is>
          <t>€/MWh</t>
        </is>
      </c>
      <c r="E964" s="54" t="n">
        <v>0.139297</v>
      </c>
      <c r="F964" s="54" t="n"/>
      <c r="G964" t="inlineStr">
        <is>
          <t>no aplica (precio mayorista)</t>
        </is>
      </c>
      <c r="J964" t="inlineStr">
        <is>
          <t>2022-08-16</t>
        </is>
      </c>
      <c r="K964" t="inlineStr">
        <is>
          <t>marginalpdbc_20220817.1</t>
        </is>
      </c>
      <c r="L964" t="inlineStr">
        <is>
          <t>24 periodos; mín 99.67, máx 172.01 €/MWh</t>
        </is>
      </c>
    </row>
    <row r="965">
      <c r="A965" s="53" t="n">
        <v>44791</v>
      </c>
      <c r="B965" t="inlineStr">
        <is>
          <t>2022-08-18</t>
        </is>
      </c>
      <c r="C965" s="45" t="n">
        <v>134.6738</v>
      </c>
      <c r="D965" t="inlineStr">
        <is>
          <t>€/MWh</t>
        </is>
      </c>
      <c r="E965" s="54" t="n">
        <v>0.134674</v>
      </c>
      <c r="F965" s="54" t="n"/>
      <c r="G965" t="inlineStr">
        <is>
          <t>no aplica (precio mayorista)</t>
        </is>
      </c>
      <c r="J965" t="inlineStr">
        <is>
          <t>2022-08-17</t>
        </is>
      </c>
      <c r="K965" t="inlineStr">
        <is>
          <t>marginalpdbc_20220818.1</t>
        </is>
      </c>
      <c r="L965" t="inlineStr">
        <is>
          <t>24 periodos; mín 98.60, máx 189.33 €/MWh</t>
        </is>
      </c>
    </row>
    <row r="966">
      <c r="A966" s="53" t="n">
        <v>44792</v>
      </c>
      <c r="B966" t="inlineStr">
        <is>
          <t>2022-08-19</t>
        </is>
      </c>
      <c r="C966" s="45" t="n">
        <v>135.35</v>
      </c>
      <c r="D966" t="inlineStr">
        <is>
          <t>€/MWh</t>
        </is>
      </c>
      <c r="E966" s="54" t="n">
        <v>0.13535</v>
      </c>
      <c r="F966" s="54" t="n"/>
      <c r="G966" t="inlineStr">
        <is>
          <t>no aplica (precio mayorista)</t>
        </is>
      </c>
      <c r="J966" t="inlineStr">
        <is>
          <t>2022-08-18</t>
        </is>
      </c>
      <c r="K966" t="inlineStr">
        <is>
          <t>marginalpdbc_20220819.1</t>
        </is>
      </c>
      <c r="L966" t="inlineStr">
        <is>
          <t>24 periodos; mín 90.00, máx 230.18 €/MWh</t>
        </is>
      </c>
    </row>
    <row r="967">
      <c r="A967" s="53" t="n">
        <v>44793</v>
      </c>
      <c r="B967" t="inlineStr">
        <is>
          <t>2022-08-20</t>
        </is>
      </c>
      <c r="C967" s="45" t="n">
        <v>169.1142</v>
      </c>
      <c r="D967" t="inlineStr">
        <is>
          <t>€/MWh</t>
        </is>
      </c>
      <c r="E967" s="54" t="n">
        <v>0.169114</v>
      </c>
      <c r="F967" s="54" t="n"/>
      <c r="G967" t="inlineStr">
        <is>
          <t>no aplica (precio mayorista)</t>
        </is>
      </c>
      <c r="J967" t="inlineStr">
        <is>
          <t>2022-08-19</t>
        </is>
      </c>
      <c r="K967" t="inlineStr">
        <is>
          <t>marginalpdbc_20220820.1</t>
        </is>
      </c>
      <c r="L967" t="inlineStr">
        <is>
          <t>24 periodos; mín 120.00, máx 230.00 €/MWh</t>
        </is>
      </c>
    </row>
    <row r="968">
      <c r="A968" s="53" t="n">
        <v>44794</v>
      </c>
      <c r="B968" t="inlineStr">
        <is>
          <t>2022-08-21</t>
        </is>
      </c>
      <c r="C968" s="45" t="n">
        <v>141.0992</v>
      </c>
      <c r="D968" t="inlineStr">
        <is>
          <t>€/MWh</t>
        </is>
      </c>
      <c r="E968" s="54" t="n">
        <v>0.141099</v>
      </c>
      <c r="F968" s="54" t="n"/>
      <c r="G968" t="inlineStr">
        <is>
          <t>no aplica (precio mayorista)</t>
        </is>
      </c>
      <c r="J968" t="inlineStr">
        <is>
          <t>2022-08-20</t>
        </is>
      </c>
      <c r="K968" t="inlineStr">
        <is>
          <t>marginalpdbc_20220821.1</t>
        </is>
      </c>
      <c r="L968" t="inlineStr">
        <is>
          <t>24 periodos; mín 25.09, máx 205.41 €/MWh</t>
        </is>
      </c>
    </row>
    <row r="969">
      <c r="A969" s="53" t="n">
        <v>44795</v>
      </c>
      <c r="B969" t="inlineStr">
        <is>
          <t>2022-08-22</t>
        </is>
      </c>
      <c r="C969" s="45" t="n">
        <v>176.5767</v>
      </c>
      <c r="D969" t="inlineStr">
        <is>
          <t>€/MWh</t>
        </is>
      </c>
      <c r="E969" s="54" t="n">
        <v>0.176577</v>
      </c>
      <c r="F969" s="54" t="n"/>
      <c r="G969" t="inlineStr">
        <is>
          <t>no aplica (precio mayorista)</t>
        </is>
      </c>
      <c r="J969" t="inlineStr">
        <is>
          <t>2022-08-21</t>
        </is>
      </c>
      <c r="K969" t="inlineStr">
        <is>
          <t>marginalpdbc_20220822.1</t>
        </is>
      </c>
      <c r="L969" t="inlineStr">
        <is>
          <t>24 periodos; mín 125.00, máx 250.00 €/MWh</t>
        </is>
      </c>
    </row>
    <row r="970">
      <c r="A970" s="53" t="n">
        <v>44796</v>
      </c>
      <c r="B970" t="inlineStr">
        <is>
          <t>2022-08-23</t>
        </is>
      </c>
      <c r="C970" s="45" t="n">
        <v>182.93</v>
      </c>
      <c r="D970" t="inlineStr">
        <is>
          <t>€/MWh</t>
        </is>
      </c>
      <c r="E970" s="54" t="n">
        <v>0.18293</v>
      </c>
      <c r="F970" s="54" t="n"/>
      <c r="G970" t="inlineStr">
        <is>
          <t>no aplica (precio mayorista)</t>
        </is>
      </c>
      <c r="J970" t="inlineStr">
        <is>
          <t>2022-08-22</t>
        </is>
      </c>
      <c r="K970" t="inlineStr">
        <is>
          <t>marginalpdbc_20220823.1</t>
        </is>
      </c>
      <c r="L970" t="inlineStr">
        <is>
          <t>24 periodos; mín 148.60, máx 250.00 €/MWh</t>
        </is>
      </c>
    </row>
    <row r="971">
      <c r="A971" s="53" t="n">
        <v>44797</v>
      </c>
      <c r="B971" t="inlineStr">
        <is>
          <t>2022-08-24</t>
        </is>
      </c>
      <c r="C971" s="45" t="n">
        <v>186.9521</v>
      </c>
      <c r="D971" t="inlineStr">
        <is>
          <t>€/MWh</t>
        </is>
      </c>
      <c r="E971" s="54" t="n">
        <v>0.186952</v>
      </c>
      <c r="F971" s="54" t="n"/>
      <c r="G971" t="inlineStr">
        <is>
          <t>no aplica (precio mayorista)</t>
        </is>
      </c>
      <c r="J971" t="inlineStr">
        <is>
          <t>2022-08-23</t>
        </is>
      </c>
      <c r="K971" t="inlineStr">
        <is>
          <t>marginalpdbc_20220824.1</t>
        </is>
      </c>
      <c r="L971" t="inlineStr">
        <is>
          <t>24 periodos; mín 140.07, máx 236.79 €/MWh</t>
        </is>
      </c>
    </row>
    <row r="972">
      <c r="A972" s="53" t="n">
        <v>44798</v>
      </c>
      <c r="B972" t="inlineStr">
        <is>
          <t>2022-08-25</t>
        </is>
      </c>
      <c r="C972" s="45" t="n">
        <v>161.8787</v>
      </c>
      <c r="D972" t="inlineStr">
        <is>
          <t>€/MWh</t>
        </is>
      </c>
      <c r="E972" s="54" t="n">
        <v>0.161879</v>
      </c>
      <c r="F972" s="54" t="n"/>
      <c r="G972" t="inlineStr">
        <is>
          <t>no aplica (precio mayorista)</t>
        </is>
      </c>
      <c r="J972" t="inlineStr">
        <is>
          <t>2022-08-24</t>
        </is>
      </c>
      <c r="K972" t="inlineStr">
        <is>
          <t>marginalpdbc_20220825.1</t>
        </is>
      </c>
      <c r="L972" t="inlineStr">
        <is>
          <t>24 periodos; mín 133.10, máx 209.26 €/MWh</t>
        </is>
      </c>
    </row>
    <row r="973">
      <c r="A973" s="53" t="n">
        <v>44799</v>
      </c>
      <c r="B973" t="inlineStr">
        <is>
          <t>2022-08-26</t>
        </is>
      </c>
      <c r="C973" s="45" t="n">
        <v>175.3262</v>
      </c>
      <c r="D973" t="inlineStr">
        <is>
          <t>€/MWh</t>
        </is>
      </c>
      <c r="E973" s="54" t="n">
        <v>0.175326</v>
      </c>
      <c r="F973" s="54" t="n"/>
      <c r="G973" t="inlineStr">
        <is>
          <t>no aplica (precio mayorista)</t>
        </is>
      </c>
      <c r="J973" t="inlineStr">
        <is>
          <t>2022-08-25</t>
        </is>
      </c>
      <c r="K973" t="inlineStr">
        <is>
          <t>marginalpdbc_20220826.1</t>
        </is>
      </c>
      <c r="L973" t="inlineStr">
        <is>
          <t>24 periodos; mín 125.00, máx 243.86 €/MWh</t>
        </is>
      </c>
    </row>
    <row r="974">
      <c r="A974" s="53" t="n">
        <v>44800</v>
      </c>
      <c r="B974" t="inlineStr">
        <is>
          <t>2022-08-27</t>
        </is>
      </c>
      <c r="C974" s="45" t="n">
        <v>160.0387</v>
      </c>
      <c r="D974" t="inlineStr">
        <is>
          <t>€/MWh</t>
        </is>
      </c>
      <c r="E974" s="54" t="n">
        <v>0.160039</v>
      </c>
      <c r="F974" s="54" t="n"/>
      <c r="G974" t="inlineStr">
        <is>
          <t>no aplica (precio mayorista)</t>
        </is>
      </c>
      <c r="J974" t="inlineStr">
        <is>
          <t>2022-08-26</t>
        </is>
      </c>
      <c r="K974" t="inlineStr">
        <is>
          <t>marginalpdbc_20220827.1</t>
        </is>
      </c>
      <c r="L974" t="inlineStr">
        <is>
          <t>24 periodos; mín 127.00, máx 242.82 €/MWh</t>
        </is>
      </c>
    </row>
    <row r="975">
      <c r="A975" s="53" t="n">
        <v>44801</v>
      </c>
      <c r="B975" t="inlineStr">
        <is>
          <t>2022-08-28</t>
        </is>
      </c>
      <c r="C975" s="45" t="n">
        <v>138.7438</v>
      </c>
      <c r="D975" t="inlineStr">
        <is>
          <t>€/MWh</t>
        </is>
      </c>
      <c r="E975" s="54" t="n">
        <v>0.138744</v>
      </c>
      <c r="F975" s="54" t="n"/>
      <c r="G975" t="inlineStr">
        <is>
          <t>no aplica (precio mayorista)</t>
        </is>
      </c>
      <c r="J975" t="inlineStr">
        <is>
          <t>2022-08-27</t>
        </is>
      </c>
      <c r="K975" t="inlineStr">
        <is>
          <t>marginalpdbc_20220828.1</t>
        </is>
      </c>
      <c r="L975" t="inlineStr">
        <is>
          <t>24 periodos; mín 57.91, máx 225.00 €/MWh</t>
        </is>
      </c>
    </row>
    <row r="976">
      <c r="A976" s="53" t="n">
        <v>44802</v>
      </c>
      <c r="B976" t="inlineStr">
        <is>
          <t>2022-08-29</t>
        </is>
      </c>
      <c r="C976" s="45" t="n">
        <v>188.4212</v>
      </c>
      <c r="D976" t="inlineStr">
        <is>
          <t>€/MWh</t>
        </is>
      </c>
      <c r="E976" s="54" t="n">
        <v>0.188421</v>
      </c>
      <c r="F976" s="54" t="n"/>
      <c r="G976" t="inlineStr">
        <is>
          <t>no aplica (precio mayorista)</t>
        </is>
      </c>
      <c r="J976" t="inlineStr">
        <is>
          <t>2022-08-28</t>
        </is>
      </c>
      <c r="K976" t="inlineStr">
        <is>
          <t>marginalpdbc_20220829.1</t>
        </is>
      </c>
      <c r="L976" t="inlineStr">
        <is>
          <t>24 periodos; mín 132.90, máx 253.07 €/MWh</t>
        </is>
      </c>
    </row>
    <row r="977">
      <c r="A977" s="53" t="n">
        <v>44803</v>
      </c>
      <c r="B977" t="inlineStr">
        <is>
          <t>2022-08-30</t>
        </is>
      </c>
      <c r="C977" s="45" t="n">
        <v>201.9629</v>
      </c>
      <c r="D977" t="inlineStr">
        <is>
          <t>€/MWh</t>
        </is>
      </c>
      <c r="E977" s="54" t="n">
        <v>0.201963</v>
      </c>
      <c r="F977" s="54" t="n"/>
      <c r="G977" t="inlineStr">
        <is>
          <t>no aplica (precio mayorista)</t>
        </is>
      </c>
      <c r="J977" t="inlineStr">
        <is>
          <t>2022-08-29</t>
        </is>
      </c>
      <c r="K977" t="inlineStr">
        <is>
          <t>marginalpdbc_20220830.1</t>
        </is>
      </c>
      <c r="L977" t="inlineStr">
        <is>
          <t>24 periodos; mín 160.00, máx 237.00 €/MWh</t>
        </is>
      </c>
    </row>
    <row r="978">
      <c r="A978" s="53" t="n">
        <v>44804</v>
      </c>
      <c r="B978" t="inlineStr">
        <is>
          <t>2022-08-31</t>
        </is>
      </c>
      <c r="C978" s="45" t="n">
        <v>187.2958</v>
      </c>
      <c r="D978" t="inlineStr">
        <is>
          <t>€/MWh</t>
        </is>
      </c>
      <c r="E978" s="54" t="n">
        <v>0.187296</v>
      </c>
      <c r="F978" s="54" t="n"/>
      <c r="G978" t="inlineStr">
        <is>
          <t>no aplica (precio mayorista)</t>
        </is>
      </c>
      <c r="J978" t="inlineStr">
        <is>
          <t>2022-08-30</t>
        </is>
      </c>
      <c r="K978" t="inlineStr">
        <is>
          <t>marginalpdbc_20220831.1</t>
        </is>
      </c>
      <c r="L978" t="inlineStr">
        <is>
          <t>24 periodos; mín 156.25, máx 227.82 €/MWh</t>
        </is>
      </c>
    </row>
    <row r="979">
      <c r="A979" s="53" t="n">
        <v>44805</v>
      </c>
      <c r="B979" t="inlineStr">
        <is>
          <t>2022-09-01</t>
        </is>
      </c>
      <c r="C979" s="45" t="n">
        <v>193.3613</v>
      </c>
      <c r="D979" t="inlineStr">
        <is>
          <t>€/MWh</t>
        </is>
      </c>
      <c r="E979" s="54" t="n">
        <v>0.193361</v>
      </c>
      <c r="F979" s="54" t="n"/>
      <c r="G979" t="inlineStr">
        <is>
          <t>no aplica (precio mayorista)</t>
        </is>
      </c>
      <c r="J979" t="inlineStr">
        <is>
          <t>2022-08-31</t>
        </is>
      </c>
      <c r="K979" t="inlineStr">
        <is>
          <t>marginalpdbc_20220901.1</t>
        </is>
      </c>
      <c r="L979" t="inlineStr">
        <is>
          <t>24 periodos; mín 148.60, máx 250.00 €/MWh</t>
        </is>
      </c>
    </row>
    <row r="980">
      <c r="A980" s="53" t="n">
        <v>44806</v>
      </c>
      <c r="B980" t="inlineStr">
        <is>
          <t>2022-09-02</t>
        </is>
      </c>
      <c r="C980" s="45" t="n">
        <v>152.1358</v>
      </c>
      <c r="D980" t="inlineStr">
        <is>
          <t>€/MWh</t>
        </is>
      </c>
      <c r="E980" s="54" t="n">
        <v>0.152136</v>
      </c>
      <c r="F980" s="54" t="n"/>
      <c r="G980" t="inlineStr">
        <is>
          <t>no aplica (precio mayorista)</t>
        </is>
      </c>
      <c r="J980" t="inlineStr">
        <is>
          <t>2022-09-01</t>
        </is>
      </c>
      <c r="K980" t="inlineStr">
        <is>
          <t>marginalpdbc_20220902.1</t>
        </is>
      </c>
      <c r="L980" t="inlineStr">
        <is>
          <t>24 periodos; mín 119.77, máx 205.27 €/MWh</t>
        </is>
      </c>
    </row>
    <row r="981">
      <c r="A981" s="53" t="n">
        <v>44807</v>
      </c>
      <c r="B981" t="inlineStr">
        <is>
          <t>2022-09-03</t>
        </is>
      </c>
      <c r="C981" s="45" t="n">
        <v>119.2237</v>
      </c>
      <c r="D981" t="inlineStr">
        <is>
          <t>€/MWh</t>
        </is>
      </c>
      <c r="E981" s="54" t="n">
        <v>0.119224</v>
      </c>
      <c r="F981" s="54" t="n"/>
      <c r="G981" t="inlineStr">
        <is>
          <t>no aplica (precio mayorista)</t>
        </is>
      </c>
      <c r="J981" t="inlineStr">
        <is>
          <t>2022-09-02</t>
        </is>
      </c>
      <c r="K981" t="inlineStr">
        <is>
          <t>marginalpdbc_20220903.1</t>
        </is>
      </c>
      <c r="L981" t="inlineStr">
        <is>
          <t>24 periodos; mín 23.77, máx 206.80 €/MWh</t>
        </is>
      </c>
    </row>
    <row r="982">
      <c r="A982" s="53" t="n">
        <v>44808</v>
      </c>
      <c r="B982" t="inlineStr">
        <is>
          <t>2022-09-04</t>
        </is>
      </c>
      <c r="C982" s="45" t="n">
        <v>146.6167</v>
      </c>
      <c r="D982" t="inlineStr">
        <is>
          <t>€/MWh</t>
        </is>
      </c>
      <c r="E982" s="54" t="n">
        <v>0.146617</v>
      </c>
      <c r="F982" s="54" t="n"/>
      <c r="G982" t="inlineStr">
        <is>
          <t>no aplica (precio mayorista)</t>
        </is>
      </c>
      <c r="J982" t="inlineStr">
        <is>
          <t>2022-09-03</t>
        </is>
      </c>
      <c r="K982" t="inlineStr">
        <is>
          <t>marginalpdbc_20220904.1</t>
        </is>
      </c>
      <c r="L982" t="inlineStr">
        <is>
          <t>24 periodos; mín 19.90, máx 252.02 €/MWh</t>
        </is>
      </c>
    </row>
    <row r="983">
      <c r="A983" s="53" t="n">
        <v>44809</v>
      </c>
      <c r="B983" t="inlineStr">
        <is>
          <t>2022-09-05</t>
        </is>
      </c>
      <c r="C983" s="45" t="n">
        <v>188.5317</v>
      </c>
      <c r="D983" t="inlineStr">
        <is>
          <t>€/MWh</t>
        </is>
      </c>
      <c r="E983" s="54" t="n">
        <v>0.188532</v>
      </c>
      <c r="F983" s="54" t="n"/>
      <c r="G983" t="inlineStr">
        <is>
          <t>no aplica (precio mayorista)</t>
        </is>
      </c>
      <c r="J983" t="inlineStr">
        <is>
          <t>2022-09-04</t>
        </is>
      </c>
      <c r="K983" t="inlineStr">
        <is>
          <t>marginalpdbc_20220905.1</t>
        </is>
      </c>
      <c r="L983" t="inlineStr">
        <is>
          <t>24 periodos; mín 121.19, máx 277.00 €/MWh</t>
        </is>
      </c>
    </row>
    <row r="984">
      <c r="A984" s="53" t="n">
        <v>44810</v>
      </c>
      <c r="B984" t="inlineStr">
        <is>
          <t>2022-09-06</t>
        </is>
      </c>
      <c r="C984" s="45" t="n">
        <v>169.5679</v>
      </c>
      <c r="D984" t="inlineStr">
        <is>
          <t>€/MWh</t>
        </is>
      </c>
      <c r="E984" s="54" t="n">
        <v>0.169568</v>
      </c>
      <c r="F984" s="54" t="n"/>
      <c r="G984" t="inlineStr">
        <is>
          <t>no aplica (precio mayorista)</t>
        </is>
      </c>
      <c r="J984" t="inlineStr">
        <is>
          <t>2022-09-05</t>
        </is>
      </c>
      <c r="K984" t="inlineStr">
        <is>
          <t>marginalpdbc_20220906.1</t>
        </is>
      </c>
      <c r="L984" t="inlineStr">
        <is>
          <t>24 periodos; mín 129.77, máx 261.67 €/MWh</t>
        </is>
      </c>
    </row>
    <row r="985">
      <c r="A985" s="53" t="n">
        <v>44811</v>
      </c>
      <c r="B985" t="inlineStr">
        <is>
          <t>2022-09-07</t>
        </is>
      </c>
      <c r="C985" s="45" t="n">
        <v>106.5629</v>
      </c>
      <c r="D985" t="inlineStr">
        <is>
          <t>€/MWh</t>
        </is>
      </c>
      <c r="E985" s="54" t="n">
        <v>0.106563</v>
      </c>
      <c r="F985" s="54" t="n"/>
      <c r="G985" t="inlineStr">
        <is>
          <t>no aplica (precio mayorista)</t>
        </is>
      </c>
      <c r="J985" t="inlineStr">
        <is>
          <t>2022-09-06</t>
        </is>
      </c>
      <c r="K985" t="inlineStr">
        <is>
          <t>marginalpdbc_20220907.1</t>
        </is>
      </c>
      <c r="L985" t="inlineStr">
        <is>
          <t>24 periodos; mín 48.42, máx 189.15 €/MWh</t>
        </is>
      </c>
    </row>
    <row r="986">
      <c r="A986" s="53" t="n">
        <v>44812</v>
      </c>
      <c r="B986" t="inlineStr">
        <is>
          <t>2022-09-08</t>
        </is>
      </c>
      <c r="C986" s="45" t="n">
        <v>155.9363</v>
      </c>
      <c r="D986" t="inlineStr">
        <is>
          <t>€/MWh</t>
        </is>
      </c>
      <c r="E986" s="54" t="n">
        <v>0.155936</v>
      </c>
      <c r="F986" s="54" t="n"/>
      <c r="G986" t="inlineStr">
        <is>
          <t>no aplica (precio mayorista)</t>
        </is>
      </c>
      <c r="J986" t="inlineStr">
        <is>
          <t>2022-09-07</t>
        </is>
      </c>
      <c r="K986" t="inlineStr">
        <is>
          <t>marginalpdbc_20220908.1</t>
        </is>
      </c>
      <c r="L986" t="inlineStr">
        <is>
          <t>24 periodos; mín 125.00, máx 250.00 €/MWh</t>
        </is>
      </c>
    </row>
    <row r="987">
      <c r="A987" s="53" t="n">
        <v>44813</v>
      </c>
      <c r="B987" t="inlineStr">
        <is>
          <t>2022-09-09</t>
        </is>
      </c>
      <c r="C987" s="45" t="n">
        <v>159.725</v>
      </c>
      <c r="D987" t="inlineStr">
        <is>
          <t>€/MWh</t>
        </is>
      </c>
      <c r="E987" s="54" t="n">
        <v>0.159725</v>
      </c>
      <c r="F987" s="54" t="n"/>
      <c r="G987" t="inlineStr">
        <is>
          <t>no aplica (precio mayorista)</t>
        </is>
      </c>
      <c r="J987" t="inlineStr">
        <is>
          <t>2022-09-08</t>
        </is>
      </c>
      <c r="K987" t="inlineStr">
        <is>
          <t>marginalpdbc_20220909.1</t>
        </is>
      </c>
      <c r="L987" t="inlineStr">
        <is>
          <t>24 periodos; mín 118.00, máx 250.00 €/MWh</t>
        </is>
      </c>
    </row>
    <row r="988">
      <c r="A988" s="53" t="n">
        <v>44814</v>
      </c>
      <c r="B988" t="inlineStr">
        <is>
          <t>2022-09-10</t>
        </is>
      </c>
      <c r="C988" s="45" t="n">
        <v>176.0529</v>
      </c>
      <c r="D988" t="inlineStr">
        <is>
          <t>€/MWh</t>
        </is>
      </c>
      <c r="E988" s="54" t="n">
        <v>0.176053</v>
      </c>
      <c r="F988" s="54" t="n"/>
      <c r="G988" t="inlineStr">
        <is>
          <t>no aplica (precio mayorista)</t>
        </is>
      </c>
      <c r="J988" t="inlineStr">
        <is>
          <t>2022-09-09</t>
        </is>
      </c>
      <c r="K988" t="inlineStr">
        <is>
          <t>marginalpdbc_20220910.1</t>
        </is>
      </c>
      <c r="L988" t="inlineStr">
        <is>
          <t>24 periodos; mín 120.83, máx 300.00 €/MWh</t>
        </is>
      </c>
    </row>
    <row r="989">
      <c r="A989" s="53" t="n">
        <v>44815</v>
      </c>
      <c r="B989" t="inlineStr">
        <is>
          <t>2022-09-11</t>
        </is>
      </c>
      <c r="C989" s="45" t="n">
        <v>161.4213</v>
      </c>
      <c r="D989" t="inlineStr">
        <is>
          <t>€/MWh</t>
        </is>
      </c>
      <c r="E989" s="54" t="n">
        <v>0.161421</v>
      </c>
      <c r="F989" s="54" t="n"/>
      <c r="G989" t="inlineStr">
        <is>
          <t>no aplica (precio mayorista)</t>
        </is>
      </c>
      <c r="J989" t="inlineStr">
        <is>
          <t>2022-09-10</t>
        </is>
      </c>
      <c r="K989" t="inlineStr">
        <is>
          <t>marginalpdbc_20220911.1</t>
        </is>
      </c>
      <c r="L989" t="inlineStr">
        <is>
          <t>24 periodos; mín 98.50, máx 252.00 €/MWh</t>
        </is>
      </c>
    </row>
    <row r="990">
      <c r="A990" s="53" t="n">
        <v>44816</v>
      </c>
      <c r="B990" t="inlineStr">
        <is>
          <t>2022-09-12</t>
        </is>
      </c>
      <c r="C990" s="45" t="n">
        <v>175.6312</v>
      </c>
      <c r="D990" t="inlineStr">
        <is>
          <t>€/MWh</t>
        </is>
      </c>
      <c r="E990" s="54" t="n">
        <v>0.175631</v>
      </c>
      <c r="F990" s="54" t="n"/>
      <c r="G990" t="inlineStr">
        <is>
          <t>no aplica (precio mayorista)</t>
        </is>
      </c>
      <c r="J990" t="inlineStr">
        <is>
          <t>2022-09-11</t>
        </is>
      </c>
      <c r="K990" t="inlineStr">
        <is>
          <t>marginalpdbc_20220912.1</t>
        </is>
      </c>
      <c r="L990" t="inlineStr">
        <is>
          <t>24 periodos; mín 135.00, máx 240.01 €/MWh</t>
        </is>
      </c>
    </row>
    <row r="991">
      <c r="A991" s="53" t="n">
        <v>44817</v>
      </c>
      <c r="B991" t="inlineStr">
        <is>
          <t>2022-09-13</t>
        </is>
      </c>
      <c r="C991" s="45" t="n">
        <v>128.7525</v>
      </c>
      <c r="D991" t="inlineStr">
        <is>
          <t>€/MWh</t>
        </is>
      </c>
      <c r="E991" s="54" t="n">
        <v>0.128752</v>
      </c>
      <c r="F991" s="54" t="n"/>
      <c r="G991" t="inlineStr">
        <is>
          <t>no aplica (precio mayorista)</t>
        </is>
      </c>
      <c r="J991" t="inlineStr">
        <is>
          <t>2022-09-12</t>
        </is>
      </c>
      <c r="K991" t="inlineStr">
        <is>
          <t>marginalpdbc_20220913.1</t>
        </is>
      </c>
      <c r="L991" t="inlineStr">
        <is>
          <t>24 periodos; mín 90.00, máx 212.00 €/MWh</t>
        </is>
      </c>
    </row>
    <row r="992">
      <c r="A992" s="53" t="n">
        <v>44818</v>
      </c>
      <c r="B992" t="inlineStr">
        <is>
          <t>2022-09-14</t>
        </is>
      </c>
      <c r="C992" s="45" t="n">
        <v>133.6133</v>
      </c>
      <c r="D992" t="inlineStr">
        <is>
          <t>€/MWh</t>
        </is>
      </c>
      <c r="E992" s="54" t="n">
        <v>0.133613</v>
      </c>
      <c r="F992" s="54" t="n"/>
      <c r="G992" t="inlineStr">
        <is>
          <t>no aplica (precio mayorista)</t>
        </is>
      </c>
      <c r="J992" t="inlineStr">
        <is>
          <t>2022-09-13</t>
        </is>
      </c>
      <c r="K992" t="inlineStr">
        <is>
          <t>marginalpdbc_20220914.1</t>
        </is>
      </c>
      <c r="L992" t="inlineStr">
        <is>
          <t>24 periodos; mín 94.25, máx 240.00 €/MWh</t>
        </is>
      </c>
    </row>
    <row r="993">
      <c r="A993" s="53" t="n">
        <v>44819</v>
      </c>
      <c r="B993" t="inlineStr">
        <is>
          <t>2022-09-15</t>
        </is>
      </c>
      <c r="C993" s="45" t="n">
        <v>176.4612</v>
      </c>
      <c r="D993" t="inlineStr">
        <is>
          <t>€/MWh</t>
        </is>
      </c>
      <c r="E993" s="54" t="n">
        <v>0.176461</v>
      </c>
      <c r="F993" s="54" t="n"/>
      <c r="G993" t="inlineStr">
        <is>
          <t>no aplica (precio mayorista)</t>
        </is>
      </c>
      <c r="J993" t="inlineStr">
        <is>
          <t>2022-09-14</t>
        </is>
      </c>
      <c r="K993" t="inlineStr">
        <is>
          <t>marginalpdbc_20220915.1</t>
        </is>
      </c>
      <c r="L993" t="inlineStr">
        <is>
          <t>24 periodos; mín 155.00, máx 215.25 €/MWh</t>
        </is>
      </c>
    </row>
    <row r="994">
      <c r="A994" s="53" t="n">
        <v>44820</v>
      </c>
      <c r="B994" t="inlineStr">
        <is>
          <t>2022-09-16</t>
        </is>
      </c>
      <c r="C994" s="45" t="n">
        <v>171.4638</v>
      </c>
      <c r="D994" t="inlineStr">
        <is>
          <t>€/MWh</t>
        </is>
      </c>
      <c r="E994" s="54" t="n">
        <v>0.171464</v>
      </c>
      <c r="F994" s="54" t="n"/>
      <c r="G994" t="inlineStr">
        <is>
          <t>no aplica (precio mayorista)</t>
        </is>
      </c>
      <c r="J994" t="inlineStr">
        <is>
          <t>2022-09-15</t>
        </is>
      </c>
      <c r="K994" t="inlineStr">
        <is>
          <t>marginalpdbc_20220916.1</t>
        </is>
      </c>
      <c r="L994" t="inlineStr">
        <is>
          <t>24 periodos; mín 140.00, máx 202.28 €/MWh</t>
        </is>
      </c>
    </row>
    <row r="995">
      <c r="A995" s="53" t="n">
        <v>44821</v>
      </c>
      <c r="B995" t="inlineStr">
        <is>
          <t>2022-09-17</t>
        </is>
      </c>
      <c r="C995" s="45" t="n">
        <v>61.6829</v>
      </c>
      <c r="D995" t="inlineStr">
        <is>
          <t>€/MWh</t>
        </is>
      </c>
      <c r="E995" s="54" t="n">
        <v>0.061683</v>
      </c>
      <c r="F995" s="54" t="n"/>
      <c r="G995" t="inlineStr">
        <is>
          <t>no aplica (precio mayorista)</t>
        </is>
      </c>
      <c r="J995" t="inlineStr">
        <is>
          <t>2022-09-16</t>
        </is>
      </c>
      <c r="K995" t="inlineStr">
        <is>
          <t>marginalpdbc_20220917.1</t>
        </is>
      </c>
      <c r="L995" t="inlineStr">
        <is>
          <t>24 periodos; mín 10.00, máx 167.50 €/MWh</t>
        </is>
      </c>
    </row>
    <row r="996">
      <c r="A996" s="53" t="n">
        <v>44822</v>
      </c>
      <c r="B996" t="inlineStr">
        <is>
          <t>2022-09-18</t>
        </is>
      </c>
      <c r="C996" s="45" t="n">
        <v>131.6079</v>
      </c>
      <c r="D996" t="inlineStr">
        <is>
          <t>€/MWh</t>
        </is>
      </c>
      <c r="E996" s="54" t="n">
        <v>0.131608</v>
      </c>
      <c r="F996" s="54" t="n"/>
      <c r="G996" t="inlineStr">
        <is>
          <t>no aplica (precio mayorista)</t>
        </is>
      </c>
      <c r="J996" t="inlineStr">
        <is>
          <t>2022-09-17</t>
        </is>
      </c>
      <c r="K996" t="inlineStr">
        <is>
          <t>marginalpdbc_20220918.1</t>
        </is>
      </c>
      <c r="L996" t="inlineStr">
        <is>
          <t>24 periodos; mín 61.01, máx 202.28 €/MWh</t>
        </is>
      </c>
    </row>
    <row r="997">
      <c r="A997" s="53" t="n">
        <v>44823</v>
      </c>
      <c r="B997" t="inlineStr">
        <is>
          <t>2022-09-19</t>
        </is>
      </c>
      <c r="C997" s="45" t="n">
        <v>193.0308</v>
      </c>
      <c r="D997" t="inlineStr">
        <is>
          <t>€/MWh</t>
        </is>
      </c>
      <c r="E997" s="54" t="n">
        <v>0.193031</v>
      </c>
      <c r="F997" s="54" t="n"/>
      <c r="G997" t="inlineStr">
        <is>
          <t>no aplica (precio mayorista)</t>
        </is>
      </c>
      <c r="J997" t="inlineStr">
        <is>
          <t>2022-09-18</t>
        </is>
      </c>
      <c r="K997" t="inlineStr">
        <is>
          <t>marginalpdbc_20220919.1</t>
        </is>
      </c>
      <c r="L997" t="inlineStr">
        <is>
          <t>24 periodos; mín 147.70, máx 248.80 €/MWh</t>
        </is>
      </c>
    </row>
    <row r="998">
      <c r="A998" s="53" t="n">
        <v>44824</v>
      </c>
      <c r="B998" t="inlineStr">
        <is>
          <t>2022-09-20</t>
        </is>
      </c>
      <c r="C998" s="45" t="n">
        <v>149.4712</v>
      </c>
      <c r="D998" t="inlineStr">
        <is>
          <t>€/MWh</t>
        </is>
      </c>
      <c r="E998" s="54" t="n">
        <v>0.149471</v>
      </c>
      <c r="F998" s="54" t="n"/>
      <c r="G998" t="inlineStr">
        <is>
          <t>no aplica (precio mayorista)</t>
        </is>
      </c>
      <c r="J998" t="inlineStr">
        <is>
          <t>2022-09-19</t>
        </is>
      </c>
      <c r="K998" t="inlineStr">
        <is>
          <t>marginalpdbc_20220920.1</t>
        </is>
      </c>
      <c r="L998" t="inlineStr">
        <is>
          <t>24 periodos; mín 124.50, máx 191.85 €/MWh</t>
        </is>
      </c>
    </row>
    <row r="999">
      <c r="A999" s="53" t="n">
        <v>44825</v>
      </c>
      <c r="B999" t="inlineStr">
        <is>
          <t>2022-09-21</t>
        </is>
      </c>
      <c r="C999" s="45" t="n">
        <v>137.4029</v>
      </c>
      <c r="D999" t="inlineStr">
        <is>
          <t>€/MWh</t>
        </is>
      </c>
      <c r="E999" s="54" t="n">
        <v>0.137403</v>
      </c>
      <c r="F999" s="54" t="n"/>
      <c r="G999" t="inlineStr">
        <is>
          <t>no aplica (precio mayorista)</t>
        </is>
      </c>
      <c r="J999" t="inlineStr">
        <is>
          <t>2022-09-20</t>
        </is>
      </c>
      <c r="K999" t="inlineStr">
        <is>
          <t>marginalpdbc_20220921.1</t>
        </is>
      </c>
      <c r="L999" t="inlineStr">
        <is>
          <t>24 periodos; mín 104.89, máx 187.93 €/MWh</t>
        </is>
      </c>
    </row>
    <row r="1000">
      <c r="A1000" s="53" t="n">
        <v>44826</v>
      </c>
      <c r="B1000" t="inlineStr">
        <is>
          <t>2022-09-22</t>
        </is>
      </c>
      <c r="C1000" s="45" t="n">
        <v>175.4192</v>
      </c>
      <c r="D1000" t="inlineStr">
        <is>
          <t>€/MWh</t>
        </is>
      </c>
      <c r="E1000" s="54" t="n">
        <v>0.175419</v>
      </c>
      <c r="F1000" s="54" t="n"/>
      <c r="G1000" t="inlineStr">
        <is>
          <t>no aplica (precio mayorista)</t>
        </is>
      </c>
      <c r="J1000" t="inlineStr">
        <is>
          <t>2022-09-21</t>
        </is>
      </c>
      <c r="K1000" t="inlineStr">
        <is>
          <t>marginalpdbc_20220922.1</t>
        </is>
      </c>
      <c r="L1000" t="inlineStr">
        <is>
          <t>24 periodos; mín 138.70, máx 250.00 €/MWh</t>
        </is>
      </c>
    </row>
    <row r="1001">
      <c r="A1001" s="53" t="n">
        <v>44827</v>
      </c>
      <c r="B1001" t="inlineStr">
        <is>
          <t>2022-09-23</t>
        </is>
      </c>
      <c r="C1001" s="45" t="n">
        <v>127.9067</v>
      </c>
      <c r="D1001" t="inlineStr">
        <is>
          <t>€/MWh</t>
        </is>
      </c>
      <c r="E1001" s="54" t="n">
        <v>0.127907</v>
      </c>
      <c r="F1001" s="54" t="n"/>
      <c r="G1001" t="inlineStr">
        <is>
          <t>no aplica (precio mayorista)</t>
        </is>
      </c>
      <c r="J1001" t="inlineStr">
        <is>
          <t>2022-09-22</t>
        </is>
      </c>
      <c r="K1001" t="inlineStr">
        <is>
          <t>marginalpdbc_20220923.1</t>
        </is>
      </c>
      <c r="L1001" t="inlineStr">
        <is>
          <t>24 periodos; mín 95.70, máx 182.17 €/MWh</t>
        </is>
      </c>
    </row>
    <row r="1002">
      <c r="A1002" s="53" t="n">
        <v>44828</v>
      </c>
      <c r="B1002" t="inlineStr">
        <is>
          <t>2022-09-24</t>
        </is>
      </c>
      <c r="C1002" s="45" t="n">
        <v>106.7429</v>
      </c>
      <c r="D1002" t="inlineStr">
        <is>
          <t>€/MWh</t>
        </is>
      </c>
      <c r="E1002" s="54" t="n">
        <v>0.106743</v>
      </c>
      <c r="F1002" s="54" t="n"/>
      <c r="G1002" t="inlineStr">
        <is>
          <t>no aplica (precio mayorista)</t>
        </is>
      </c>
      <c r="J1002" t="inlineStr">
        <is>
          <t>2022-09-23</t>
        </is>
      </c>
      <c r="K1002" t="inlineStr">
        <is>
          <t>marginalpdbc_20220924.1</t>
        </is>
      </c>
      <c r="L1002" t="inlineStr">
        <is>
          <t>24 periodos; mín 50.10, máx 160.08 €/MWh</t>
        </is>
      </c>
    </row>
    <row r="1003">
      <c r="A1003" s="53" t="n">
        <v>44829</v>
      </c>
      <c r="B1003" t="inlineStr">
        <is>
          <t>2022-09-25</t>
        </is>
      </c>
      <c r="C1003" s="45" t="n">
        <v>71.9663</v>
      </c>
      <c r="D1003" t="inlineStr">
        <is>
          <t>€/MWh</t>
        </is>
      </c>
      <c r="E1003" s="54" t="n">
        <v>0.071966</v>
      </c>
      <c r="F1003" s="54" t="n"/>
      <c r="G1003" t="inlineStr">
        <is>
          <t>no aplica (precio mayorista)</t>
        </is>
      </c>
      <c r="J1003" t="inlineStr">
        <is>
          <t>2022-09-24</t>
        </is>
      </c>
      <c r="K1003" t="inlineStr">
        <is>
          <t>marginalpdbc_20220925.1</t>
        </is>
      </c>
      <c r="L1003" t="inlineStr">
        <is>
          <t>24 periodos; mín 1.29, máx 156.82 €/MWh</t>
        </is>
      </c>
    </row>
    <row r="1004">
      <c r="A1004" s="53" t="n">
        <v>44830</v>
      </c>
      <c r="B1004" t="inlineStr">
        <is>
          <t>2022-09-26</t>
        </is>
      </c>
      <c r="C1004" s="45" t="n">
        <v>119.7667</v>
      </c>
      <c r="D1004" t="inlineStr">
        <is>
          <t>€/MWh</t>
        </is>
      </c>
      <c r="E1004" s="54" t="n">
        <v>0.119767</v>
      </c>
      <c r="F1004" s="54" t="n"/>
      <c r="G1004" t="inlineStr">
        <is>
          <t>no aplica (precio mayorista)</t>
        </is>
      </c>
      <c r="J1004" t="inlineStr">
        <is>
          <t>2022-09-25</t>
        </is>
      </c>
      <c r="K1004" t="inlineStr">
        <is>
          <t>marginalpdbc_20220926.1</t>
        </is>
      </c>
      <c r="L1004" t="inlineStr">
        <is>
          <t>24 periodos; mín 75.64, máx 218.60 €/MWh</t>
        </is>
      </c>
    </row>
    <row r="1005">
      <c r="A1005" s="53" t="n">
        <v>44831</v>
      </c>
      <c r="B1005" t="inlineStr">
        <is>
          <t>2022-09-27</t>
        </is>
      </c>
      <c r="C1005" s="45" t="n">
        <v>100.1587</v>
      </c>
      <c r="D1005" t="inlineStr">
        <is>
          <t>€/MWh</t>
        </is>
      </c>
      <c r="E1005" s="54" t="n">
        <v>0.100159</v>
      </c>
      <c r="F1005" s="54" t="n"/>
      <c r="G1005" t="inlineStr">
        <is>
          <t>no aplica (precio mayorista)</t>
        </is>
      </c>
      <c r="J1005" t="inlineStr">
        <is>
          <t>2022-09-26</t>
        </is>
      </c>
      <c r="K1005" t="inlineStr">
        <is>
          <t>marginalpdbc_20220927.1</t>
        </is>
      </c>
      <c r="L1005" t="inlineStr">
        <is>
          <t>24 periodos; mín 21.01, máx 164.00 €/MWh</t>
        </is>
      </c>
    </row>
    <row r="1006">
      <c r="A1006" s="53" t="n">
        <v>44832</v>
      </c>
      <c r="B1006" t="inlineStr">
        <is>
          <t>2022-09-28</t>
        </is>
      </c>
      <c r="C1006" s="45" t="n">
        <v>108.8008</v>
      </c>
      <c r="D1006" t="inlineStr">
        <is>
          <t>€/MWh</t>
        </is>
      </c>
      <c r="E1006" s="54" t="n">
        <v>0.108801</v>
      </c>
      <c r="F1006" s="54" t="n"/>
      <c r="G1006" t="inlineStr">
        <is>
          <t>no aplica (precio mayorista)</t>
        </is>
      </c>
      <c r="J1006" t="inlineStr">
        <is>
          <t>2022-09-27</t>
        </is>
      </c>
      <c r="K1006" t="inlineStr">
        <is>
          <t>marginalpdbc_20220928.1</t>
        </is>
      </c>
      <c r="L1006" t="inlineStr">
        <is>
          <t>24 periodos; mín 36.18, máx 203.74 €/MWh</t>
        </is>
      </c>
    </row>
    <row r="1007">
      <c r="A1007" s="53" t="n">
        <v>44833</v>
      </c>
      <c r="B1007" t="inlineStr">
        <is>
          <t>2022-09-29</t>
        </is>
      </c>
      <c r="C1007" s="45" t="n">
        <v>114.6862</v>
      </c>
      <c r="D1007" t="inlineStr">
        <is>
          <t>€/MWh</t>
        </is>
      </c>
      <c r="E1007" s="54" t="n">
        <v>0.114686</v>
      </c>
      <c r="F1007" s="54" t="n"/>
      <c r="G1007" t="inlineStr">
        <is>
          <t>no aplica (precio mayorista)</t>
        </is>
      </c>
      <c r="J1007" t="inlineStr">
        <is>
          <t>2022-09-28</t>
        </is>
      </c>
      <c r="K1007" t="inlineStr">
        <is>
          <t>marginalpdbc_20220929.1</t>
        </is>
      </c>
      <c r="L1007" t="inlineStr">
        <is>
          <t>24 periodos; mín 86.00, máx 200.00 €/MWh</t>
        </is>
      </c>
    </row>
    <row r="1008">
      <c r="A1008" s="53" t="n">
        <v>44834</v>
      </c>
      <c r="B1008" t="inlineStr">
        <is>
          <t>2022-09-30</t>
        </is>
      </c>
      <c r="C1008" s="45" t="n">
        <v>118.3896</v>
      </c>
      <c r="D1008" t="inlineStr">
        <is>
          <t>€/MWh</t>
        </is>
      </c>
      <c r="E1008" s="54" t="n">
        <v>0.11839</v>
      </c>
      <c r="F1008" s="54" t="n"/>
      <c r="G1008" t="inlineStr">
        <is>
          <t>no aplica (precio mayorista)</t>
        </is>
      </c>
      <c r="J1008" t="inlineStr">
        <is>
          <t>2022-09-29</t>
        </is>
      </c>
      <c r="K1008" t="inlineStr">
        <is>
          <t>marginalpdbc_20220930.1</t>
        </is>
      </c>
      <c r="L1008" t="inlineStr">
        <is>
          <t>24 periodos; mín 80.00, máx 218.00 €/MWh</t>
        </is>
      </c>
    </row>
    <row r="1009">
      <c r="A1009" s="53" t="n">
        <v>44835</v>
      </c>
      <c r="B1009" t="inlineStr">
        <is>
          <t>2022-10-01</t>
        </is>
      </c>
      <c r="C1009" s="45" t="n">
        <v>116.085</v>
      </c>
      <c r="D1009" t="inlineStr">
        <is>
          <t>€/MWh</t>
        </is>
      </c>
      <c r="E1009" s="54" t="n">
        <v>0.116085</v>
      </c>
      <c r="F1009" s="54" t="n"/>
      <c r="G1009" t="inlineStr">
        <is>
          <t>no aplica (precio mayorista)</t>
        </is>
      </c>
      <c r="J1009" t="inlineStr">
        <is>
          <t>2022-09-30</t>
        </is>
      </c>
      <c r="K1009" t="inlineStr">
        <is>
          <t>marginalpdbc_20221001.1</t>
        </is>
      </c>
      <c r="L1009" t="inlineStr">
        <is>
          <t>24 periodos; mín 72.72, máx 218.65 €/MWh</t>
        </is>
      </c>
    </row>
    <row r="1010">
      <c r="A1010" s="53" t="n">
        <v>44836</v>
      </c>
      <c r="B1010" t="inlineStr">
        <is>
          <t>2022-10-02</t>
        </is>
      </c>
      <c r="C1010" s="45" t="n">
        <v>145.0046</v>
      </c>
      <c r="D1010" t="inlineStr">
        <is>
          <t>€/MWh</t>
        </is>
      </c>
      <c r="E1010" s="54" t="n">
        <v>0.145005</v>
      </c>
      <c r="F1010" s="54" t="n"/>
      <c r="G1010" t="inlineStr">
        <is>
          <t>no aplica (precio mayorista)</t>
        </is>
      </c>
      <c r="J1010" t="inlineStr">
        <is>
          <t>2022-10-01</t>
        </is>
      </c>
      <c r="K1010" t="inlineStr">
        <is>
          <t>marginalpdbc_20221002.1</t>
        </is>
      </c>
      <c r="L1010" t="inlineStr">
        <is>
          <t>24 periodos; mín 88.00, máx 232.99 €/MWh</t>
        </is>
      </c>
    </row>
    <row r="1011">
      <c r="A1011" s="53" t="n">
        <v>44837</v>
      </c>
      <c r="B1011" t="inlineStr">
        <is>
          <t>2022-10-03</t>
        </is>
      </c>
      <c r="C1011" s="45" t="n">
        <v>200.3804</v>
      </c>
      <c r="D1011" t="inlineStr">
        <is>
          <t>€/MWh</t>
        </is>
      </c>
      <c r="E1011" s="54" t="n">
        <v>0.20038</v>
      </c>
      <c r="F1011" s="54" t="n"/>
      <c r="G1011" t="inlineStr">
        <is>
          <t>no aplica (precio mayorista)</t>
        </is>
      </c>
      <c r="J1011" t="inlineStr">
        <is>
          <t>2022-10-02</t>
        </is>
      </c>
      <c r="K1011" t="inlineStr">
        <is>
          <t>marginalpdbc_20221003.1</t>
        </is>
      </c>
      <c r="L1011" t="inlineStr">
        <is>
          <t>24 periodos; mín 165.00, máx 270.00 €/MWh</t>
        </is>
      </c>
    </row>
    <row r="1012">
      <c r="A1012" s="53" t="n">
        <v>44838</v>
      </c>
      <c r="B1012" t="inlineStr">
        <is>
          <t>2022-10-04</t>
        </is>
      </c>
      <c r="C1012" s="45" t="n">
        <v>190.5254</v>
      </c>
      <c r="D1012" t="inlineStr">
        <is>
          <t>€/MWh</t>
        </is>
      </c>
      <c r="E1012" s="54" t="n">
        <v>0.190525</v>
      </c>
      <c r="F1012" s="54" t="n"/>
      <c r="G1012" t="inlineStr">
        <is>
          <t>no aplica (precio mayorista)</t>
        </is>
      </c>
      <c r="J1012" t="inlineStr">
        <is>
          <t>2022-10-03</t>
        </is>
      </c>
      <c r="K1012" t="inlineStr">
        <is>
          <t>marginalpdbc_20221004.1</t>
        </is>
      </c>
      <c r="L1012" t="inlineStr">
        <is>
          <t>24 periodos; mín 130.00, máx 280.00 €/MWh</t>
        </is>
      </c>
    </row>
    <row r="1013">
      <c r="A1013" s="53" t="n">
        <v>44839</v>
      </c>
      <c r="B1013" t="inlineStr">
        <is>
          <t>2022-10-05</t>
        </is>
      </c>
      <c r="C1013" s="45" t="n">
        <v>167.9612</v>
      </c>
      <c r="D1013" t="inlineStr">
        <is>
          <t>€/MWh</t>
        </is>
      </c>
      <c r="E1013" s="54" t="n">
        <v>0.167961</v>
      </c>
      <c r="F1013" s="54" t="n"/>
      <c r="G1013" t="inlineStr">
        <is>
          <t>no aplica (precio mayorista)</t>
        </is>
      </c>
      <c r="J1013" t="inlineStr">
        <is>
          <t>2022-10-04</t>
        </is>
      </c>
      <c r="K1013" t="inlineStr">
        <is>
          <t>marginalpdbc_20221005.1</t>
        </is>
      </c>
      <c r="L1013" t="inlineStr">
        <is>
          <t>24 periodos; mín 126.78, máx 250.00 €/MWh</t>
        </is>
      </c>
    </row>
    <row r="1014">
      <c r="A1014" s="53" t="n">
        <v>44840</v>
      </c>
      <c r="B1014" t="inlineStr">
        <is>
          <t>2022-10-06</t>
        </is>
      </c>
      <c r="C1014" s="45" t="n">
        <v>113.1058</v>
      </c>
      <c r="D1014" t="inlineStr">
        <is>
          <t>€/MWh</t>
        </is>
      </c>
      <c r="E1014" s="54" t="n">
        <v>0.113106</v>
      </c>
      <c r="F1014" s="54" t="n"/>
      <c r="G1014" t="inlineStr">
        <is>
          <t>no aplica (precio mayorista)</t>
        </is>
      </c>
      <c r="J1014" t="inlineStr">
        <is>
          <t>2022-10-05</t>
        </is>
      </c>
      <c r="K1014" t="inlineStr">
        <is>
          <t>marginalpdbc_20221006.1</t>
        </is>
      </c>
      <c r="L1014" t="inlineStr">
        <is>
          <t>24 periodos; mín 75.00, máx 220.00 €/MWh</t>
        </is>
      </c>
    </row>
    <row r="1015">
      <c r="A1015" s="53" t="n">
        <v>44841</v>
      </c>
      <c r="B1015" t="inlineStr">
        <is>
          <t>2022-10-07</t>
        </is>
      </c>
      <c r="C1015" s="45" t="n">
        <v>154.3704</v>
      </c>
      <c r="D1015" t="inlineStr">
        <is>
          <t>€/MWh</t>
        </is>
      </c>
      <c r="E1015" s="54" t="n">
        <v>0.15437</v>
      </c>
      <c r="F1015" s="54" t="n"/>
      <c r="G1015" t="inlineStr">
        <is>
          <t>no aplica (precio mayorista)</t>
        </is>
      </c>
      <c r="J1015" t="inlineStr">
        <is>
          <t>2022-10-06</t>
        </is>
      </c>
      <c r="K1015" t="inlineStr">
        <is>
          <t>marginalpdbc_20221007.1</t>
        </is>
      </c>
      <c r="L1015" t="inlineStr">
        <is>
          <t>24 periodos; mín 112.38, máx 240.00 €/MWh</t>
        </is>
      </c>
    </row>
    <row r="1016">
      <c r="A1016" s="53" t="n">
        <v>44842</v>
      </c>
      <c r="B1016" t="inlineStr">
        <is>
          <t>2022-10-08</t>
        </is>
      </c>
      <c r="C1016" s="45" t="n">
        <v>119.3062</v>
      </c>
      <c r="D1016" t="inlineStr">
        <is>
          <t>€/MWh</t>
        </is>
      </c>
      <c r="E1016" s="54" t="n">
        <v>0.119306</v>
      </c>
      <c r="F1016" s="54" t="n"/>
      <c r="G1016" t="inlineStr">
        <is>
          <t>no aplica (precio mayorista)</t>
        </is>
      </c>
      <c r="J1016" t="inlineStr">
        <is>
          <t>2022-10-07</t>
        </is>
      </c>
      <c r="K1016" t="inlineStr">
        <is>
          <t>marginalpdbc_20221008.1</t>
        </is>
      </c>
      <c r="L1016" t="inlineStr">
        <is>
          <t>24 periodos; mín 81.49, máx 190.01 €/MWh</t>
        </is>
      </c>
    </row>
    <row r="1017">
      <c r="A1017" s="53" t="n">
        <v>44843</v>
      </c>
      <c r="B1017" t="inlineStr">
        <is>
          <t>2022-10-09</t>
        </is>
      </c>
      <c r="C1017" s="45" t="n">
        <v>114.2313</v>
      </c>
      <c r="D1017" t="inlineStr">
        <is>
          <t>€/MWh</t>
        </is>
      </c>
      <c r="E1017" s="54" t="n">
        <v>0.114231</v>
      </c>
      <c r="F1017" s="54" t="n"/>
      <c r="G1017" t="inlineStr">
        <is>
          <t>no aplica (precio mayorista)</t>
        </is>
      </c>
      <c r="J1017" t="inlineStr">
        <is>
          <t>2022-10-08</t>
        </is>
      </c>
      <c r="K1017" t="inlineStr">
        <is>
          <t>marginalpdbc_20221009.1</t>
        </is>
      </c>
      <c r="L1017" t="inlineStr">
        <is>
          <t>24 periodos; mín 75.44, máx 214.83 €/MWh</t>
        </is>
      </c>
    </row>
    <row r="1018">
      <c r="A1018" s="53" t="n">
        <v>44844</v>
      </c>
      <c r="B1018" t="inlineStr">
        <is>
          <t>2022-10-10</t>
        </is>
      </c>
      <c r="C1018" s="45" t="n">
        <v>163.9167</v>
      </c>
      <c r="D1018" t="inlineStr">
        <is>
          <t>€/MWh</t>
        </is>
      </c>
      <c r="E1018" s="54" t="n">
        <v>0.163917</v>
      </c>
      <c r="F1018" s="54" t="n"/>
      <c r="G1018" t="inlineStr">
        <is>
          <t>no aplica (precio mayorista)</t>
        </is>
      </c>
      <c r="J1018" t="inlineStr">
        <is>
          <t>2022-10-09</t>
        </is>
      </c>
      <c r="K1018" t="inlineStr">
        <is>
          <t>marginalpdbc_20221010.1</t>
        </is>
      </c>
      <c r="L1018" t="inlineStr">
        <is>
          <t>24 periodos; mín 102.84, máx 270.00 €/MWh</t>
        </is>
      </c>
    </row>
    <row r="1019">
      <c r="A1019" s="53" t="n">
        <v>44845</v>
      </c>
      <c r="B1019" t="inlineStr">
        <is>
          <t>2022-10-11</t>
        </is>
      </c>
      <c r="C1019" s="45" t="n">
        <v>170.77</v>
      </c>
      <c r="D1019" t="inlineStr">
        <is>
          <t>€/MWh</t>
        </is>
      </c>
      <c r="E1019" s="54" t="n">
        <v>0.17077</v>
      </c>
      <c r="F1019" s="54" t="n"/>
      <c r="G1019" t="inlineStr">
        <is>
          <t>no aplica (precio mayorista)</t>
        </is>
      </c>
      <c r="J1019" t="inlineStr">
        <is>
          <t>2022-10-10</t>
        </is>
      </c>
      <c r="K1019" t="inlineStr">
        <is>
          <t>marginalpdbc_20221011.1</t>
        </is>
      </c>
      <c r="L1019" t="inlineStr">
        <is>
          <t>24 periodos; mín 135.10, máx 246.00 €/MWh</t>
        </is>
      </c>
    </row>
    <row r="1020">
      <c r="A1020" s="53" t="n">
        <v>44846</v>
      </c>
      <c r="B1020" t="inlineStr">
        <is>
          <t>2022-10-12</t>
        </is>
      </c>
      <c r="C1020" s="45" t="n">
        <v>133.9571</v>
      </c>
      <c r="D1020" t="inlineStr">
        <is>
          <t>€/MWh</t>
        </is>
      </c>
      <c r="E1020" s="54" t="n">
        <v>0.133957</v>
      </c>
      <c r="F1020" s="54" t="n"/>
      <c r="G1020" t="inlineStr">
        <is>
          <t>no aplica (precio mayorista)</t>
        </is>
      </c>
      <c r="J1020" t="inlineStr">
        <is>
          <t>2022-10-11</t>
        </is>
      </c>
      <c r="K1020" t="inlineStr">
        <is>
          <t>marginalpdbc_20221012.1</t>
        </is>
      </c>
      <c r="L1020" t="inlineStr">
        <is>
          <t>24 periodos; mín 104.57, máx 188.60 €/MWh</t>
        </is>
      </c>
    </row>
    <row r="1021">
      <c r="A1021" s="53" t="n">
        <v>44847</v>
      </c>
      <c r="B1021" t="inlineStr">
        <is>
          <t>2022-10-13</t>
        </is>
      </c>
      <c r="C1021" s="45" t="n">
        <v>145.72</v>
      </c>
      <c r="D1021" t="inlineStr">
        <is>
          <t>€/MWh</t>
        </is>
      </c>
      <c r="E1021" s="54" t="n">
        <v>0.14572</v>
      </c>
      <c r="F1021" s="54" t="n"/>
      <c r="G1021" t="inlineStr">
        <is>
          <t>no aplica (precio mayorista)</t>
        </is>
      </c>
      <c r="J1021" t="inlineStr">
        <is>
          <t>2022-10-12</t>
        </is>
      </c>
      <c r="K1021" t="inlineStr">
        <is>
          <t>marginalpdbc_20221013.1</t>
        </is>
      </c>
      <c r="L1021" t="inlineStr">
        <is>
          <t>24 periodos; mín 111.94, máx 202.07 €/MWh</t>
        </is>
      </c>
    </row>
    <row r="1022">
      <c r="A1022" s="53" t="n">
        <v>44848</v>
      </c>
      <c r="B1022" t="inlineStr">
        <is>
          <t>2022-10-14</t>
        </is>
      </c>
      <c r="C1022" s="45" t="n">
        <v>134.3267</v>
      </c>
      <c r="D1022" t="inlineStr">
        <is>
          <t>€/MWh</t>
        </is>
      </c>
      <c r="E1022" s="54" t="n">
        <v>0.134327</v>
      </c>
      <c r="F1022" s="54" t="n"/>
      <c r="G1022" t="inlineStr">
        <is>
          <t>no aplica (precio mayorista)</t>
        </is>
      </c>
      <c r="J1022" t="inlineStr">
        <is>
          <t>2022-10-13</t>
        </is>
      </c>
      <c r="K1022" t="inlineStr">
        <is>
          <t>marginalpdbc_20221014.1</t>
        </is>
      </c>
      <c r="L1022" t="inlineStr">
        <is>
          <t>24 periodos; mín 92.00, máx 202.00 €/MWh</t>
        </is>
      </c>
    </row>
    <row r="1023">
      <c r="A1023" s="53" t="n">
        <v>44849</v>
      </c>
      <c r="B1023" t="inlineStr">
        <is>
          <t>2022-10-15</t>
        </is>
      </c>
      <c r="C1023" s="45" t="n">
        <v>115.7275</v>
      </c>
      <c r="D1023" t="inlineStr">
        <is>
          <t>€/MWh</t>
        </is>
      </c>
      <c r="E1023" s="54" t="n">
        <v>0.115728</v>
      </c>
      <c r="F1023" s="54" t="n"/>
      <c r="G1023" t="inlineStr">
        <is>
          <t>no aplica (precio mayorista)</t>
        </is>
      </c>
      <c r="J1023" t="inlineStr">
        <is>
          <t>2022-10-14</t>
        </is>
      </c>
      <c r="K1023" t="inlineStr">
        <is>
          <t>marginalpdbc_20221015.1</t>
        </is>
      </c>
      <c r="L1023" t="inlineStr">
        <is>
          <t>24 periodos; mín 58.40, máx 167.76 €/MWh</t>
        </is>
      </c>
    </row>
    <row r="1024">
      <c r="A1024" s="53" t="n">
        <v>44850</v>
      </c>
      <c r="B1024" t="inlineStr">
        <is>
          <t>2022-10-16</t>
        </is>
      </c>
      <c r="C1024" s="45" t="n">
        <v>103.9658</v>
      </c>
      <c r="D1024" t="inlineStr">
        <is>
          <t>€/MWh</t>
        </is>
      </c>
      <c r="E1024" s="54" t="n">
        <v>0.103966</v>
      </c>
      <c r="F1024" s="54" t="n"/>
      <c r="G1024" t="inlineStr">
        <is>
          <t>no aplica (precio mayorista)</t>
        </is>
      </c>
      <c r="J1024" t="inlineStr">
        <is>
          <t>2022-10-15</t>
        </is>
      </c>
      <c r="K1024" t="inlineStr">
        <is>
          <t>marginalpdbc_20221016.1</t>
        </is>
      </c>
      <c r="L1024" t="inlineStr">
        <is>
          <t>24 periodos; mín 70.10, máx 148.90 €/MWh</t>
        </is>
      </c>
    </row>
    <row r="1025">
      <c r="A1025" s="53" t="n">
        <v>44851</v>
      </c>
      <c r="B1025" t="inlineStr">
        <is>
          <t>2022-10-17</t>
        </is>
      </c>
      <c r="C1025" s="45" t="n">
        <v>140.2292</v>
      </c>
      <c r="D1025" t="inlineStr">
        <is>
          <t>€/MWh</t>
        </is>
      </c>
      <c r="E1025" s="54" t="n">
        <v>0.140229</v>
      </c>
      <c r="F1025" s="54" t="n"/>
      <c r="G1025" t="inlineStr">
        <is>
          <t>no aplica (precio mayorista)</t>
        </is>
      </c>
      <c r="J1025" t="inlineStr">
        <is>
          <t>2022-10-16</t>
        </is>
      </c>
      <c r="K1025" t="inlineStr">
        <is>
          <t>marginalpdbc_20221017.1</t>
        </is>
      </c>
      <c r="L1025" t="inlineStr">
        <is>
          <t>24 periodos; mín 89.64, máx 205.00 €/MWh</t>
        </is>
      </c>
    </row>
    <row r="1026">
      <c r="A1026" s="53" t="n">
        <v>44852</v>
      </c>
      <c r="B1026" t="inlineStr">
        <is>
          <t>2022-10-18</t>
        </is>
      </c>
      <c r="C1026" s="45" t="n">
        <v>107.4629</v>
      </c>
      <c r="D1026" t="inlineStr">
        <is>
          <t>€/MWh</t>
        </is>
      </c>
      <c r="E1026" s="54" t="n">
        <v>0.107463</v>
      </c>
      <c r="F1026" s="54" t="n"/>
      <c r="G1026" t="inlineStr">
        <is>
          <t>no aplica (precio mayorista)</t>
        </is>
      </c>
      <c r="J1026" t="inlineStr">
        <is>
          <t>2022-10-17</t>
        </is>
      </c>
      <c r="K1026" t="inlineStr">
        <is>
          <t>marginalpdbc_20221018.1</t>
        </is>
      </c>
      <c r="L1026" t="inlineStr">
        <is>
          <t>24 periodos; mín 47.83, máx 162.01 €/MWh</t>
        </is>
      </c>
    </row>
    <row r="1027">
      <c r="A1027" s="53" t="n">
        <v>44853</v>
      </c>
      <c r="B1027" t="inlineStr">
        <is>
          <t>2022-10-19</t>
        </is>
      </c>
      <c r="C1027" s="45" t="n">
        <v>81.71210000000001</v>
      </c>
      <c r="D1027" t="inlineStr">
        <is>
          <t>€/MWh</t>
        </is>
      </c>
      <c r="E1027" s="54" t="n">
        <v>0.08171200000000001</v>
      </c>
      <c r="F1027" s="54" t="n"/>
      <c r="G1027" t="inlineStr">
        <is>
          <t>no aplica (precio mayorista)</t>
        </is>
      </c>
      <c r="J1027" t="inlineStr">
        <is>
          <t>2022-10-18</t>
        </is>
      </c>
      <c r="K1027" t="inlineStr">
        <is>
          <t>marginalpdbc_20221019.1</t>
        </is>
      </c>
      <c r="L1027" t="inlineStr">
        <is>
          <t>24 periodos; mín 48.37, máx 136.74 €/MWh</t>
        </is>
      </c>
    </row>
    <row r="1028">
      <c r="A1028" s="53" t="n">
        <v>44854</v>
      </c>
      <c r="B1028" t="inlineStr">
        <is>
          <t>2022-10-20</t>
        </is>
      </c>
      <c r="C1028" s="45" t="n">
        <v>86.6554</v>
      </c>
      <c r="D1028" t="inlineStr">
        <is>
          <t>€/MWh</t>
        </is>
      </c>
      <c r="E1028" s="54" t="n">
        <v>0.086655</v>
      </c>
      <c r="F1028" s="54" t="n"/>
      <c r="G1028" t="inlineStr">
        <is>
          <t>no aplica (precio mayorista)</t>
        </is>
      </c>
      <c r="J1028" t="inlineStr">
        <is>
          <t>2022-10-19</t>
        </is>
      </c>
      <c r="K1028" t="inlineStr">
        <is>
          <t>marginalpdbc_20221020.1</t>
        </is>
      </c>
      <c r="L1028" t="inlineStr">
        <is>
          <t>24 periodos; mín 64.22, máx 122.96 €/MWh</t>
        </is>
      </c>
    </row>
    <row r="1029">
      <c r="A1029" s="53" t="n">
        <v>44855</v>
      </c>
      <c r="B1029" t="inlineStr">
        <is>
          <t>2022-10-21</t>
        </is>
      </c>
      <c r="C1029" s="45" t="n">
        <v>107.8033</v>
      </c>
      <c r="D1029" t="inlineStr">
        <is>
          <t>€/MWh</t>
        </is>
      </c>
      <c r="E1029" s="54" t="n">
        <v>0.107803</v>
      </c>
      <c r="F1029" s="54" t="n"/>
      <c r="G1029" t="inlineStr">
        <is>
          <t>no aplica (precio mayorista)</t>
        </is>
      </c>
      <c r="J1029" t="inlineStr">
        <is>
          <t>2022-10-20</t>
        </is>
      </c>
      <c r="K1029" t="inlineStr">
        <is>
          <t>marginalpdbc_20221021.1</t>
        </is>
      </c>
      <c r="L1029" t="inlineStr">
        <is>
          <t>24 periodos; mín 75.00, máx 172.76 €/MWh</t>
        </is>
      </c>
    </row>
    <row r="1030">
      <c r="A1030" s="53" t="n">
        <v>44856</v>
      </c>
      <c r="B1030" t="inlineStr">
        <is>
          <t>2022-10-22</t>
        </is>
      </c>
      <c r="C1030" s="45" t="n">
        <v>105.905</v>
      </c>
      <c r="D1030" t="inlineStr">
        <is>
          <t>€/MWh</t>
        </is>
      </c>
      <c r="E1030" s="54" t="n">
        <v>0.105905</v>
      </c>
      <c r="F1030" s="54" t="n"/>
      <c r="G1030" t="inlineStr">
        <is>
          <t>no aplica (precio mayorista)</t>
        </is>
      </c>
      <c r="J1030" t="inlineStr">
        <is>
          <t>2022-10-21</t>
        </is>
      </c>
      <c r="K1030" t="inlineStr">
        <is>
          <t>marginalpdbc_20221022.1</t>
        </is>
      </c>
      <c r="L1030" t="inlineStr">
        <is>
          <t>24 periodos; mín 55.20, máx 143.43 €/MWh</t>
        </is>
      </c>
    </row>
    <row r="1031">
      <c r="A1031" s="53" t="n">
        <v>44857</v>
      </c>
      <c r="B1031" t="inlineStr">
        <is>
          <t>2022-10-23</t>
        </is>
      </c>
      <c r="C1031" s="45" t="n">
        <v>72.83580000000001</v>
      </c>
      <c r="D1031" t="inlineStr">
        <is>
          <t>€/MWh</t>
        </is>
      </c>
      <c r="E1031" s="54" t="n">
        <v>0.072836</v>
      </c>
      <c r="F1031" s="54" t="n"/>
      <c r="G1031" t="inlineStr">
        <is>
          <t>no aplica (precio mayorista)</t>
        </is>
      </c>
      <c r="J1031" t="inlineStr">
        <is>
          <t>2022-10-22</t>
        </is>
      </c>
      <c r="K1031" t="inlineStr">
        <is>
          <t>marginalpdbc_20221023.1</t>
        </is>
      </c>
      <c r="L1031" t="inlineStr">
        <is>
          <t>24 periodos; mín 4.11, máx 138.22 €/MWh</t>
        </is>
      </c>
    </row>
    <row r="1032">
      <c r="A1032" s="53" t="n">
        <v>44858</v>
      </c>
      <c r="B1032" t="inlineStr">
        <is>
          <t>2022-10-24</t>
        </is>
      </c>
      <c r="C1032" s="45" t="n">
        <v>109.7846</v>
      </c>
      <c r="D1032" t="inlineStr">
        <is>
          <t>€/MWh</t>
        </is>
      </c>
      <c r="E1032" s="54" t="n">
        <v>0.109785</v>
      </c>
      <c r="F1032" s="54" t="n"/>
      <c r="G1032" t="inlineStr">
        <is>
          <t>no aplica (precio mayorista)</t>
        </is>
      </c>
      <c r="J1032" t="inlineStr">
        <is>
          <t>2022-10-23</t>
        </is>
      </c>
      <c r="K1032" t="inlineStr">
        <is>
          <t>marginalpdbc_20221024.1</t>
        </is>
      </c>
      <c r="L1032" t="inlineStr">
        <is>
          <t>24 periodos; mín 77.60, máx 180.01 €/MWh</t>
        </is>
      </c>
    </row>
    <row r="1033">
      <c r="A1033" s="53" t="n">
        <v>44859</v>
      </c>
      <c r="B1033" t="inlineStr">
        <is>
          <t>2022-10-25</t>
        </is>
      </c>
      <c r="C1033" s="45" t="n">
        <v>106.6583</v>
      </c>
      <c r="D1033" t="inlineStr">
        <is>
          <t>€/MWh</t>
        </is>
      </c>
      <c r="E1033" s="54" t="n">
        <v>0.106658</v>
      </c>
      <c r="F1033" s="54" t="n"/>
      <c r="G1033" t="inlineStr">
        <is>
          <t>no aplica (precio mayorista)</t>
        </is>
      </c>
      <c r="J1033" t="inlineStr">
        <is>
          <t>2022-10-24</t>
        </is>
      </c>
      <c r="K1033" t="inlineStr">
        <is>
          <t>marginalpdbc_20221025.1</t>
        </is>
      </c>
      <c r="L1033" t="inlineStr">
        <is>
          <t>24 periodos; mín 78.60, máx 153.32 €/MWh</t>
        </is>
      </c>
    </row>
    <row r="1034">
      <c r="A1034" s="53" t="n">
        <v>44860</v>
      </c>
      <c r="B1034" t="inlineStr">
        <is>
          <t>2022-10-26</t>
        </is>
      </c>
      <c r="C1034" s="45" t="n">
        <v>108.6204</v>
      </c>
      <c r="D1034" t="inlineStr">
        <is>
          <t>€/MWh</t>
        </is>
      </c>
      <c r="E1034" s="54" t="n">
        <v>0.10862</v>
      </c>
      <c r="F1034" s="54" t="n"/>
      <c r="G1034" t="inlineStr">
        <is>
          <t>no aplica (precio mayorista)</t>
        </is>
      </c>
      <c r="J1034" t="inlineStr">
        <is>
          <t>2022-10-25</t>
        </is>
      </c>
      <c r="K1034" t="inlineStr">
        <is>
          <t>marginalpdbc_20221026.1</t>
        </is>
      </c>
      <c r="L1034" t="inlineStr">
        <is>
          <t>24 periodos; mín 85.40, máx 147.00 €/MWh</t>
        </is>
      </c>
    </row>
    <row r="1035">
      <c r="A1035" s="53" t="n">
        <v>44861</v>
      </c>
      <c r="B1035" t="inlineStr">
        <is>
          <t>2022-10-27</t>
        </is>
      </c>
      <c r="C1035" s="45" t="n">
        <v>114.4617</v>
      </c>
      <c r="D1035" t="inlineStr">
        <is>
          <t>€/MWh</t>
        </is>
      </c>
      <c r="E1035" s="54" t="n">
        <v>0.114462</v>
      </c>
      <c r="F1035" s="54" t="n"/>
      <c r="G1035" t="inlineStr">
        <is>
          <t>no aplica (precio mayorista)</t>
        </is>
      </c>
      <c r="J1035" t="inlineStr">
        <is>
          <t>2022-10-26</t>
        </is>
      </c>
      <c r="K1035" t="inlineStr">
        <is>
          <t>marginalpdbc_20221027.1</t>
        </is>
      </c>
      <c r="L1035" t="inlineStr">
        <is>
          <t>24 periodos; mín 90.00, máx 172.32 €/MWh</t>
        </is>
      </c>
    </row>
    <row r="1036">
      <c r="A1036" s="53" t="n">
        <v>44862</v>
      </c>
      <c r="B1036" t="inlineStr">
        <is>
          <t>2022-10-28</t>
        </is>
      </c>
      <c r="C1036" s="45" t="n">
        <v>110.9592</v>
      </c>
      <c r="D1036" t="inlineStr">
        <is>
          <t>€/MWh</t>
        </is>
      </c>
      <c r="E1036" s="54" t="n">
        <v>0.110959</v>
      </c>
      <c r="F1036" s="54" t="n"/>
      <c r="G1036" t="inlineStr">
        <is>
          <t>no aplica (precio mayorista)</t>
        </is>
      </c>
      <c r="J1036" t="inlineStr">
        <is>
          <t>2022-10-27</t>
        </is>
      </c>
      <c r="K1036" t="inlineStr">
        <is>
          <t>marginalpdbc_20221028.1</t>
        </is>
      </c>
      <c r="L1036" t="inlineStr">
        <is>
          <t>24 periodos; mín 88.02, máx 140.00 €/MWh</t>
        </is>
      </c>
    </row>
    <row r="1037">
      <c r="A1037" s="53" t="n">
        <v>44863</v>
      </c>
      <c r="B1037" t="inlineStr">
        <is>
          <t>2022-10-29</t>
        </is>
      </c>
      <c r="C1037" s="45" t="n">
        <v>101.3925</v>
      </c>
      <c r="D1037" t="inlineStr">
        <is>
          <t>€/MWh</t>
        </is>
      </c>
      <c r="E1037" s="54" t="n">
        <v>0.101392</v>
      </c>
      <c r="F1037" s="54" t="n"/>
      <c r="G1037" t="inlineStr">
        <is>
          <t>no aplica (precio mayorista)</t>
        </is>
      </c>
      <c r="J1037" t="inlineStr">
        <is>
          <t>2022-10-28</t>
        </is>
      </c>
      <c r="K1037" t="inlineStr">
        <is>
          <t>marginalpdbc_20221029.1</t>
        </is>
      </c>
      <c r="L1037" t="inlineStr">
        <is>
          <t>24 periodos; mín 80.90, máx 133.41 €/MWh</t>
        </is>
      </c>
    </row>
    <row r="1038">
      <c r="A1038" s="53" t="n">
        <v>44864</v>
      </c>
      <c r="B1038" t="inlineStr">
        <is>
          <t>2022-10-30</t>
        </is>
      </c>
      <c r="C1038" s="45" t="n">
        <v>135.6244</v>
      </c>
      <c r="D1038" t="inlineStr">
        <is>
          <t>€/MWh</t>
        </is>
      </c>
      <c r="E1038" s="54" t="n">
        <v>0.135624</v>
      </c>
      <c r="F1038" s="54" t="n"/>
      <c r="G1038" t="inlineStr">
        <is>
          <t>no aplica (precio mayorista)</t>
        </is>
      </c>
      <c r="J1038" t="inlineStr">
        <is>
          <t>2022-10-29</t>
        </is>
      </c>
      <c r="K1038" t="inlineStr">
        <is>
          <t>marginalpdbc_20221030.1</t>
        </is>
      </c>
      <c r="L1038" t="inlineStr">
        <is>
          <t>25 periodos; mín 98.50, máx 225.35 €/MWh</t>
        </is>
      </c>
    </row>
    <row r="1039">
      <c r="A1039" s="53" t="n">
        <v>44865</v>
      </c>
      <c r="B1039" t="inlineStr">
        <is>
          <t>2022-10-31</t>
        </is>
      </c>
      <c r="C1039" s="45" t="n">
        <v>164.0729</v>
      </c>
      <c r="D1039" t="inlineStr">
        <is>
          <t>€/MWh</t>
        </is>
      </c>
      <c r="E1039" s="54" t="n">
        <v>0.164073</v>
      </c>
      <c r="F1039" s="54" t="n"/>
      <c r="G1039" t="inlineStr">
        <is>
          <t>no aplica (precio mayorista)</t>
        </is>
      </c>
      <c r="J1039" t="inlineStr">
        <is>
          <t>2022-10-30</t>
        </is>
      </c>
      <c r="K1039" t="inlineStr">
        <is>
          <t>marginalpdbc_20221031.1</t>
        </is>
      </c>
      <c r="L1039" t="inlineStr">
        <is>
          <t>24 periodos; mín 114.60, máx 250.00 €/MWh</t>
        </is>
      </c>
    </row>
    <row r="1040">
      <c r="A1040" s="53" t="n">
        <v>44866</v>
      </c>
      <c r="B1040" t="inlineStr">
        <is>
          <t>2022-11-01</t>
        </is>
      </c>
      <c r="C1040" s="45" t="n">
        <v>110.3204</v>
      </c>
      <c r="D1040" t="inlineStr">
        <is>
          <t>€/MWh</t>
        </is>
      </c>
      <c r="E1040" s="54" t="n">
        <v>0.11032</v>
      </c>
      <c r="F1040" s="54" t="n"/>
      <c r="G1040" t="inlineStr">
        <is>
          <t>no aplica (precio mayorista)</t>
        </is>
      </c>
      <c r="J1040" t="inlineStr">
        <is>
          <t>2022-10-31</t>
        </is>
      </c>
      <c r="K1040" t="inlineStr">
        <is>
          <t>marginalpdbc_20221101.1</t>
        </is>
      </c>
      <c r="L1040" t="inlineStr">
        <is>
          <t>24 periodos; mín 80.88, máx 180.00 €/MWh</t>
        </is>
      </c>
    </row>
    <row r="1041">
      <c r="A1041" s="53" t="n">
        <v>44867</v>
      </c>
      <c r="B1041" t="inlineStr">
        <is>
          <t>2022-11-02</t>
        </is>
      </c>
      <c r="C1041" s="45" t="n">
        <v>125.9833</v>
      </c>
      <c r="D1041" t="inlineStr">
        <is>
          <t>€/MWh</t>
        </is>
      </c>
      <c r="E1041" s="54" t="n">
        <v>0.125983</v>
      </c>
      <c r="F1041" s="54" t="n"/>
      <c r="G1041" t="inlineStr">
        <is>
          <t>no aplica (precio mayorista)</t>
        </is>
      </c>
      <c r="J1041" t="inlineStr">
        <is>
          <t>2022-11-01</t>
        </is>
      </c>
      <c r="K1041" t="inlineStr">
        <is>
          <t>marginalpdbc_20221102.1</t>
        </is>
      </c>
      <c r="L1041" t="inlineStr">
        <is>
          <t>24 periodos; mín 101.01, máx 189.00 €/MWh</t>
        </is>
      </c>
    </row>
    <row r="1042">
      <c r="A1042" s="53" t="n">
        <v>44868</v>
      </c>
      <c r="B1042" t="inlineStr">
        <is>
          <t>2022-11-03</t>
        </is>
      </c>
      <c r="C1042" s="45" t="n">
        <v>121.8937</v>
      </c>
      <c r="D1042" t="inlineStr">
        <is>
          <t>€/MWh</t>
        </is>
      </c>
      <c r="E1042" s="54" t="n">
        <v>0.121894</v>
      </c>
      <c r="F1042" s="54" t="n"/>
      <c r="G1042" t="inlineStr">
        <is>
          <t>no aplica (precio mayorista)</t>
        </is>
      </c>
      <c r="J1042" t="inlineStr">
        <is>
          <t>2022-11-02</t>
        </is>
      </c>
      <c r="K1042" t="inlineStr">
        <is>
          <t>marginalpdbc_20221103.1</t>
        </is>
      </c>
      <c r="L1042" t="inlineStr">
        <is>
          <t>24 periodos; mín 90.91, máx 173.52 €/MWh</t>
        </is>
      </c>
    </row>
    <row r="1043">
      <c r="A1043" s="53" t="n">
        <v>44869</v>
      </c>
      <c r="B1043" t="inlineStr">
        <is>
          <t>2022-11-04</t>
        </is>
      </c>
      <c r="C1043" s="45" t="n">
        <v>150.4421</v>
      </c>
      <c r="D1043" t="inlineStr">
        <is>
          <t>€/MWh</t>
        </is>
      </c>
      <c r="E1043" s="54" t="n">
        <v>0.150442</v>
      </c>
      <c r="F1043" s="54" t="n"/>
      <c r="G1043" t="inlineStr">
        <is>
          <t>no aplica (precio mayorista)</t>
        </is>
      </c>
      <c r="J1043" t="inlineStr">
        <is>
          <t>2022-11-03</t>
        </is>
      </c>
      <c r="K1043" t="inlineStr">
        <is>
          <t>marginalpdbc_20221104.1</t>
        </is>
      </c>
      <c r="L1043" t="inlineStr">
        <is>
          <t>24 periodos; mín 112.44, máx 217.74 €/MWh</t>
        </is>
      </c>
    </row>
    <row r="1044">
      <c r="A1044" s="53" t="n">
        <v>44870</v>
      </c>
      <c r="B1044" t="inlineStr">
        <is>
          <t>2022-11-05</t>
        </is>
      </c>
      <c r="C1044" s="45" t="n">
        <v>124.7921</v>
      </c>
      <c r="D1044" t="inlineStr">
        <is>
          <t>€/MWh</t>
        </is>
      </c>
      <c r="E1044" s="54" t="n">
        <v>0.124792</v>
      </c>
      <c r="F1044" s="54" t="n"/>
      <c r="G1044" t="inlineStr">
        <is>
          <t>no aplica (precio mayorista)</t>
        </is>
      </c>
      <c r="J1044" t="inlineStr">
        <is>
          <t>2022-11-04</t>
        </is>
      </c>
      <c r="K1044" t="inlineStr">
        <is>
          <t>marginalpdbc_20221105.1</t>
        </is>
      </c>
      <c r="L1044" t="inlineStr">
        <is>
          <t>24 periodos; mín 102.58, máx 170.00 €/MWh</t>
        </is>
      </c>
    </row>
    <row r="1045">
      <c r="A1045" s="53" t="n">
        <v>44871</v>
      </c>
      <c r="B1045" t="inlineStr">
        <is>
          <t>2022-11-06</t>
        </is>
      </c>
      <c r="C1045" s="45" t="n">
        <v>113.4813</v>
      </c>
      <c r="D1045" t="inlineStr">
        <is>
          <t>€/MWh</t>
        </is>
      </c>
      <c r="E1045" s="54" t="n">
        <v>0.113481</v>
      </c>
      <c r="F1045" s="54" t="n"/>
      <c r="G1045" t="inlineStr">
        <is>
          <t>no aplica (precio mayorista)</t>
        </is>
      </c>
      <c r="J1045" t="inlineStr">
        <is>
          <t>2022-11-05</t>
        </is>
      </c>
      <c r="K1045" t="inlineStr">
        <is>
          <t>marginalpdbc_20221106.1</t>
        </is>
      </c>
      <c r="L1045" t="inlineStr">
        <is>
          <t>24 periodos; mín 90.93, máx 155.61 €/MWh</t>
        </is>
      </c>
    </row>
    <row r="1046">
      <c r="A1046" s="53" t="n">
        <v>44872</v>
      </c>
      <c r="B1046" t="inlineStr">
        <is>
          <t>2022-11-07</t>
        </is>
      </c>
      <c r="C1046" s="45" t="n">
        <v>120.91</v>
      </c>
      <c r="D1046" t="inlineStr">
        <is>
          <t>€/MWh</t>
        </is>
      </c>
      <c r="E1046" s="54" t="n">
        <v>0.12091</v>
      </c>
      <c r="F1046" s="54" t="n"/>
      <c r="G1046" t="inlineStr">
        <is>
          <t>no aplica (precio mayorista)</t>
        </is>
      </c>
      <c r="J1046" t="inlineStr">
        <is>
          <t>2022-11-06</t>
        </is>
      </c>
      <c r="K1046" t="inlineStr">
        <is>
          <t>marginalpdbc_20221107.1</t>
        </is>
      </c>
      <c r="L1046" t="inlineStr">
        <is>
          <t>24 periodos; mín 97.68, máx 159.93 €/MWh</t>
        </is>
      </c>
    </row>
    <row r="1047">
      <c r="A1047" s="53" t="n">
        <v>44873</v>
      </c>
      <c r="B1047" t="inlineStr">
        <is>
          <t>2022-11-08</t>
        </is>
      </c>
      <c r="C1047" s="45" t="n">
        <v>113.395</v>
      </c>
      <c r="D1047" t="inlineStr">
        <is>
          <t>€/MWh</t>
        </is>
      </c>
      <c r="E1047" s="54" t="n">
        <v>0.113395</v>
      </c>
      <c r="F1047" s="54" t="n"/>
      <c r="G1047" t="inlineStr">
        <is>
          <t>no aplica (precio mayorista)</t>
        </is>
      </c>
      <c r="J1047" t="inlineStr">
        <is>
          <t>2022-11-07</t>
        </is>
      </c>
      <c r="K1047" t="inlineStr">
        <is>
          <t>marginalpdbc_20221108.1</t>
        </is>
      </c>
      <c r="L1047" t="inlineStr">
        <is>
          <t>24 periodos; mín 72.25, máx 158.90 €/MWh</t>
        </is>
      </c>
    </row>
    <row r="1048">
      <c r="A1048" s="53" t="n">
        <v>44874</v>
      </c>
      <c r="B1048" t="inlineStr">
        <is>
          <t>2022-11-09</t>
        </is>
      </c>
      <c r="C1048" s="45" t="n">
        <v>132.5154</v>
      </c>
      <c r="D1048" t="inlineStr">
        <is>
          <t>€/MWh</t>
        </is>
      </c>
      <c r="E1048" s="54" t="n">
        <v>0.132515</v>
      </c>
      <c r="F1048" s="54" t="n"/>
      <c r="G1048" t="inlineStr">
        <is>
          <t>no aplica (precio mayorista)</t>
        </is>
      </c>
      <c r="J1048" t="inlineStr">
        <is>
          <t>2022-11-08</t>
        </is>
      </c>
      <c r="K1048" t="inlineStr">
        <is>
          <t>marginalpdbc_20221109.1</t>
        </is>
      </c>
      <c r="L1048" t="inlineStr">
        <is>
          <t>24 periodos; mín 97.27, máx 190.00 €/MWh</t>
        </is>
      </c>
    </row>
    <row r="1049">
      <c r="A1049" s="53" t="n">
        <v>44875</v>
      </c>
      <c r="B1049" t="inlineStr">
        <is>
          <t>2022-11-10</t>
        </is>
      </c>
      <c r="C1049" s="45" t="n">
        <v>134.7833</v>
      </c>
      <c r="D1049" t="inlineStr">
        <is>
          <t>€/MWh</t>
        </is>
      </c>
      <c r="E1049" s="54" t="n">
        <v>0.134783</v>
      </c>
      <c r="F1049" s="54" t="n"/>
      <c r="G1049" t="inlineStr">
        <is>
          <t>no aplica (precio mayorista)</t>
        </is>
      </c>
      <c r="J1049" t="inlineStr">
        <is>
          <t>2022-11-09</t>
        </is>
      </c>
      <c r="K1049" t="inlineStr">
        <is>
          <t>marginalpdbc_20221110.1</t>
        </is>
      </c>
      <c r="L1049" t="inlineStr">
        <is>
          <t>24 periodos; mín 105.63, máx 199.39 €/MWh</t>
        </is>
      </c>
    </row>
    <row r="1050">
      <c r="A1050" s="53" t="n">
        <v>44876</v>
      </c>
      <c r="B1050" t="inlineStr">
        <is>
          <t>2022-11-11</t>
        </is>
      </c>
      <c r="C1050" s="45" t="n">
        <v>121.1842</v>
      </c>
      <c r="D1050" t="inlineStr">
        <is>
          <t>€/MWh</t>
        </is>
      </c>
      <c r="E1050" s="54" t="n">
        <v>0.121184</v>
      </c>
      <c r="F1050" s="54" t="n"/>
      <c r="G1050" t="inlineStr">
        <is>
          <t>no aplica (precio mayorista)</t>
        </is>
      </c>
      <c r="J1050" t="inlineStr">
        <is>
          <t>2022-11-10</t>
        </is>
      </c>
      <c r="K1050" t="inlineStr">
        <is>
          <t>marginalpdbc_20221111.1</t>
        </is>
      </c>
      <c r="L1050" t="inlineStr">
        <is>
          <t>24 periodos; mín 99.33, máx 145.90 €/MWh</t>
        </is>
      </c>
    </row>
    <row r="1051">
      <c r="A1051" s="53" t="n">
        <v>44877</v>
      </c>
      <c r="B1051" t="inlineStr">
        <is>
          <t>2022-11-12</t>
        </is>
      </c>
      <c r="C1051" s="45" t="n">
        <v>106.2217</v>
      </c>
      <c r="D1051" t="inlineStr">
        <is>
          <t>€/MWh</t>
        </is>
      </c>
      <c r="E1051" s="54" t="n">
        <v>0.106222</v>
      </c>
      <c r="F1051" s="54" t="n"/>
      <c r="G1051" t="inlineStr">
        <is>
          <t>no aplica (precio mayorista)</t>
        </is>
      </c>
      <c r="J1051" t="inlineStr">
        <is>
          <t>2022-11-11</t>
        </is>
      </c>
      <c r="K1051" t="inlineStr">
        <is>
          <t>marginalpdbc_20221112.1</t>
        </is>
      </c>
      <c r="L1051" t="inlineStr">
        <is>
          <t>24 periodos; mín 78.16, máx 177.44 €/MWh</t>
        </is>
      </c>
    </row>
    <row r="1052">
      <c r="A1052" s="53" t="n">
        <v>44878</v>
      </c>
      <c r="B1052" t="inlineStr">
        <is>
          <t>2022-11-13</t>
        </is>
      </c>
      <c r="C1052" s="45" t="n">
        <v>131.6883</v>
      </c>
      <c r="D1052" t="inlineStr">
        <is>
          <t>€/MWh</t>
        </is>
      </c>
      <c r="E1052" s="54" t="n">
        <v>0.131688</v>
      </c>
      <c r="F1052" s="54" t="n"/>
      <c r="G1052" t="inlineStr">
        <is>
          <t>no aplica (precio mayorista)</t>
        </is>
      </c>
      <c r="J1052" t="inlineStr">
        <is>
          <t>2022-11-12</t>
        </is>
      </c>
      <c r="K1052" t="inlineStr">
        <is>
          <t>marginalpdbc_20221113.1</t>
        </is>
      </c>
      <c r="L1052" t="inlineStr">
        <is>
          <t>24 periodos; mín 101.56, máx 170.23 €/MWh</t>
        </is>
      </c>
    </row>
    <row r="1053">
      <c r="A1053" s="53" t="n">
        <v>44879</v>
      </c>
      <c r="B1053" t="inlineStr">
        <is>
          <t>2022-11-14</t>
        </is>
      </c>
      <c r="C1053" s="45" t="n">
        <v>139.8029</v>
      </c>
      <c r="D1053" t="inlineStr">
        <is>
          <t>€/MWh</t>
        </is>
      </c>
      <c r="E1053" s="54" t="n">
        <v>0.139803</v>
      </c>
      <c r="F1053" s="54" t="n"/>
      <c r="G1053" t="inlineStr">
        <is>
          <t>no aplica (precio mayorista)</t>
        </is>
      </c>
      <c r="J1053" t="inlineStr">
        <is>
          <t>2022-11-13</t>
        </is>
      </c>
      <c r="K1053" t="inlineStr">
        <is>
          <t>marginalpdbc_20221114.1</t>
        </is>
      </c>
      <c r="L1053" t="inlineStr">
        <is>
          <t>24 periodos; mín 107.57, máx 172.77 €/MWh</t>
        </is>
      </c>
    </row>
    <row r="1054">
      <c r="A1054" s="53" t="n">
        <v>44880</v>
      </c>
      <c r="B1054" t="inlineStr">
        <is>
          <t>2022-11-15</t>
        </is>
      </c>
      <c r="C1054" s="45" t="n">
        <v>109.6567</v>
      </c>
      <c r="D1054" t="inlineStr">
        <is>
          <t>€/MWh</t>
        </is>
      </c>
      <c r="E1054" s="54" t="n">
        <v>0.109657</v>
      </c>
      <c r="F1054" s="54" t="n"/>
      <c r="G1054" t="inlineStr">
        <is>
          <t>no aplica (precio mayorista)</t>
        </is>
      </c>
      <c r="J1054" t="inlineStr">
        <is>
          <t>2022-11-14</t>
        </is>
      </c>
      <c r="K1054" t="inlineStr">
        <is>
          <t>marginalpdbc_20221115.1</t>
        </is>
      </c>
      <c r="L1054" t="inlineStr">
        <is>
          <t>24 periodos; mín 87.00, máx 154.80 €/MWh</t>
        </is>
      </c>
    </row>
    <row r="1055">
      <c r="A1055" s="53" t="n">
        <v>44881</v>
      </c>
      <c r="B1055" t="inlineStr">
        <is>
          <t>2022-11-16</t>
        </is>
      </c>
      <c r="C1055" s="45" t="n">
        <v>103.9771</v>
      </c>
      <c r="D1055" t="inlineStr">
        <is>
          <t>€/MWh</t>
        </is>
      </c>
      <c r="E1055" s="54" t="n">
        <v>0.103977</v>
      </c>
      <c r="F1055" s="54" t="n"/>
      <c r="G1055" t="inlineStr">
        <is>
          <t>no aplica (precio mayorista)</t>
        </is>
      </c>
      <c r="J1055" t="inlineStr">
        <is>
          <t>2022-11-15</t>
        </is>
      </c>
      <c r="K1055" t="inlineStr">
        <is>
          <t>marginalpdbc_20221116.1</t>
        </is>
      </c>
      <c r="L1055" t="inlineStr">
        <is>
          <t>24 periodos; mín 84.40, máx 126.53 €/MWh</t>
        </is>
      </c>
    </row>
    <row r="1056">
      <c r="A1056" s="53" t="n">
        <v>44882</v>
      </c>
      <c r="B1056" t="inlineStr">
        <is>
          <t>2022-11-17</t>
        </is>
      </c>
      <c r="C1056" s="45" t="n">
        <v>78.9333</v>
      </c>
      <c r="D1056" t="inlineStr">
        <is>
          <t>€/MWh</t>
        </is>
      </c>
      <c r="E1056" s="54" t="n">
        <v>0.078933</v>
      </c>
      <c r="F1056" s="54" t="n"/>
      <c r="G1056" t="inlineStr">
        <is>
          <t>no aplica (precio mayorista)</t>
        </is>
      </c>
      <c r="J1056" t="inlineStr">
        <is>
          <t>2022-11-16</t>
        </is>
      </c>
      <c r="K1056" t="inlineStr">
        <is>
          <t>marginalpdbc_20221117.1</t>
        </is>
      </c>
      <c r="L1056" t="inlineStr">
        <is>
          <t>24 periodos; mín 10.00, máx 138.00 €/MWh</t>
        </is>
      </c>
    </row>
    <row r="1057">
      <c r="A1057" s="53" t="n">
        <v>44883</v>
      </c>
      <c r="B1057" t="inlineStr">
        <is>
          <t>2022-11-18</t>
        </is>
      </c>
      <c r="C1057" s="45" t="n">
        <v>115.6737</v>
      </c>
      <c r="D1057" t="inlineStr">
        <is>
          <t>€/MWh</t>
        </is>
      </c>
      <c r="E1057" s="54" t="n">
        <v>0.115674</v>
      </c>
      <c r="F1057" s="54" t="n"/>
      <c r="G1057" t="inlineStr">
        <is>
          <t>no aplica (precio mayorista)</t>
        </is>
      </c>
      <c r="J1057" t="inlineStr">
        <is>
          <t>2022-11-17</t>
        </is>
      </c>
      <c r="K1057" t="inlineStr">
        <is>
          <t>marginalpdbc_20221118.1</t>
        </is>
      </c>
      <c r="L1057" t="inlineStr">
        <is>
          <t>24 periodos; mín 85.00, máx 237.00 €/MWh</t>
        </is>
      </c>
    </row>
    <row r="1058">
      <c r="A1058" s="53" t="n">
        <v>44884</v>
      </c>
      <c r="B1058" t="inlineStr">
        <is>
          <t>2022-11-19</t>
        </is>
      </c>
      <c r="C1058" s="45" t="n">
        <v>67.3817</v>
      </c>
      <c r="D1058" t="inlineStr">
        <is>
          <t>€/MWh</t>
        </is>
      </c>
      <c r="E1058" s="54" t="n">
        <v>0.067382</v>
      </c>
      <c r="F1058" s="54" t="n"/>
      <c r="G1058" t="inlineStr">
        <is>
          <t>no aplica (precio mayorista)</t>
        </is>
      </c>
      <c r="J1058" t="inlineStr">
        <is>
          <t>2022-11-18</t>
        </is>
      </c>
      <c r="K1058" t="inlineStr">
        <is>
          <t>marginalpdbc_20221119.1</t>
        </is>
      </c>
      <c r="L1058" t="inlineStr">
        <is>
          <t>24 periodos; mín 22.00, máx 123.00 €/MWh</t>
        </is>
      </c>
    </row>
    <row r="1059">
      <c r="A1059" s="53" t="n">
        <v>44885</v>
      </c>
      <c r="B1059" t="inlineStr">
        <is>
          <t>2022-11-20</t>
        </is>
      </c>
      <c r="C1059" s="45" t="n">
        <v>96.5783</v>
      </c>
      <c r="D1059" t="inlineStr">
        <is>
          <t>€/MWh</t>
        </is>
      </c>
      <c r="E1059" s="54" t="n">
        <v>0.096578</v>
      </c>
      <c r="F1059" s="54" t="n"/>
      <c r="G1059" t="inlineStr">
        <is>
          <t>no aplica (precio mayorista)</t>
        </is>
      </c>
      <c r="J1059" t="inlineStr">
        <is>
          <t>2022-11-19</t>
        </is>
      </c>
      <c r="K1059" t="inlineStr">
        <is>
          <t>marginalpdbc_20221120.1</t>
        </is>
      </c>
      <c r="L1059" t="inlineStr">
        <is>
          <t>24 periodos; mín 63.40, máx 157.96 €/MWh</t>
        </is>
      </c>
    </row>
    <row r="1060">
      <c r="A1060" s="53" t="n">
        <v>44886</v>
      </c>
      <c r="B1060" t="inlineStr">
        <is>
          <t>2022-11-21</t>
        </is>
      </c>
      <c r="C1060" s="45" t="n">
        <v>80.6437</v>
      </c>
      <c r="D1060" t="inlineStr">
        <is>
          <t>€/MWh</t>
        </is>
      </c>
      <c r="E1060" s="54" t="n">
        <v>0.08064399999999999</v>
      </c>
      <c r="F1060" s="54" t="n"/>
      <c r="G1060" t="inlineStr">
        <is>
          <t>no aplica (precio mayorista)</t>
        </is>
      </c>
      <c r="J1060" t="inlineStr">
        <is>
          <t>2022-11-20</t>
        </is>
      </c>
      <c r="K1060" t="inlineStr">
        <is>
          <t>marginalpdbc_20221121.1</t>
        </is>
      </c>
      <c r="L1060" t="inlineStr">
        <is>
          <t>24 periodos; mín 50.70, máx 101.84 €/MWh</t>
        </is>
      </c>
    </row>
    <row r="1061">
      <c r="A1061" s="53" t="n">
        <v>44887</v>
      </c>
      <c r="B1061" t="inlineStr">
        <is>
          <t>2022-11-22</t>
        </is>
      </c>
      <c r="C1061" s="45" t="n">
        <v>73.3567</v>
      </c>
      <c r="D1061" t="inlineStr">
        <is>
          <t>€/MWh</t>
        </is>
      </c>
      <c r="E1061" s="54" t="n">
        <v>0.07335700000000001</v>
      </c>
      <c r="F1061" s="54" t="n"/>
      <c r="G1061" t="inlineStr">
        <is>
          <t>no aplica (precio mayorista)</t>
        </is>
      </c>
      <c r="J1061" t="inlineStr">
        <is>
          <t>2022-11-21</t>
        </is>
      </c>
      <c r="K1061" t="inlineStr">
        <is>
          <t>marginalpdbc_20221122.1</t>
        </is>
      </c>
      <c r="L1061" t="inlineStr">
        <is>
          <t>24 periodos; mín 47.20, máx 108.00 €/MWh</t>
        </is>
      </c>
    </row>
    <row r="1062">
      <c r="A1062" s="53" t="n">
        <v>44888</v>
      </c>
      <c r="B1062" t="inlineStr">
        <is>
          <t>2022-11-23</t>
        </is>
      </c>
      <c r="C1062" s="45" t="n">
        <v>90.5342</v>
      </c>
      <c r="D1062" t="inlineStr">
        <is>
          <t>€/MWh</t>
        </is>
      </c>
      <c r="E1062" s="54" t="n">
        <v>0.090534</v>
      </c>
      <c r="F1062" s="54" t="n"/>
      <c r="G1062" t="inlineStr">
        <is>
          <t>no aplica (precio mayorista)</t>
        </is>
      </c>
      <c r="J1062" t="inlineStr">
        <is>
          <t>2022-11-22</t>
        </is>
      </c>
      <c r="K1062" t="inlineStr">
        <is>
          <t>marginalpdbc_20221123.1</t>
        </is>
      </c>
      <c r="L1062" t="inlineStr">
        <is>
          <t>24 periodos; mín 4.11, máx 160.00 €/MWh</t>
        </is>
      </c>
    </row>
    <row r="1063">
      <c r="A1063" s="53" t="n">
        <v>44889</v>
      </c>
      <c r="B1063" t="inlineStr">
        <is>
          <t>2022-11-24</t>
        </is>
      </c>
      <c r="C1063" s="45" t="n">
        <v>137.735</v>
      </c>
      <c r="D1063" t="inlineStr">
        <is>
          <t>€/MWh</t>
        </is>
      </c>
      <c r="E1063" s="54" t="n">
        <v>0.137735</v>
      </c>
      <c r="F1063" s="54" t="n"/>
      <c r="G1063" t="inlineStr">
        <is>
          <t>no aplica (precio mayorista)</t>
        </is>
      </c>
      <c r="J1063" t="inlineStr">
        <is>
          <t>2022-11-23</t>
        </is>
      </c>
      <c r="K1063" t="inlineStr">
        <is>
          <t>marginalpdbc_20221124.1</t>
        </is>
      </c>
      <c r="L1063" t="inlineStr">
        <is>
          <t>24 periodos; mín 110.97, máx 195.76 €/MWh</t>
        </is>
      </c>
    </row>
    <row r="1064">
      <c r="A1064" s="53" t="n">
        <v>44890</v>
      </c>
      <c r="B1064" t="inlineStr">
        <is>
          <t>2022-11-25</t>
        </is>
      </c>
      <c r="C1064" s="45" t="n">
        <v>141.3929</v>
      </c>
      <c r="D1064" t="inlineStr">
        <is>
          <t>€/MWh</t>
        </is>
      </c>
      <c r="E1064" s="54" t="n">
        <v>0.141393</v>
      </c>
      <c r="F1064" s="54" t="n"/>
      <c r="G1064" t="inlineStr">
        <is>
          <t>no aplica (precio mayorista)</t>
        </is>
      </c>
      <c r="J1064" t="inlineStr">
        <is>
          <t>2022-11-24</t>
        </is>
      </c>
      <c r="K1064" t="inlineStr">
        <is>
          <t>marginalpdbc_20221125.1</t>
        </is>
      </c>
      <c r="L1064" t="inlineStr">
        <is>
          <t>24 periodos; mín 106.23, máx 182.61 €/MWh</t>
        </is>
      </c>
    </row>
    <row r="1065">
      <c r="A1065" s="53" t="n">
        <v>44891</v>
      </c>
      <c r="B1065" t="inlineStr">
        <is>
          <t>2022-11-26</t>
        </is>
      </c>
      <c r="C1065" s="45" t="n">
        <v>130.2113</v>
      </c>
      <c r="D1065" t="inlineStr">
        <is>
          <t>€/MWh</t>
        </is>
      </c>
      <c r="E1065" s="54" t="n">
        <v>0.130211</v>
      </c>
      <c r="F1065" s="54" t="n"/>
      <c r="G1065" t="inlineStr">
        <is>
          <t>no aplica (precio mayorista)</t>
        </is>
      </c>
      <c r="J1065" t="inlineStr">
        <is>
          <t>2022-11-25</t>
        </is>
      </c>
      <c r="K1065" t="inlineStr">
        <is>
          <t>marginalpdbc_20221126.1</t>
        </is>
      </c>
      <c r="L1065" t="inlineStr">
        <is>
          <t>24 periodos; mín 102.65, máx 175.01 €/MWh</t>
        </is>
      </c>
    </row>
    <row r="1066">
      <c r="A1066" s="53" t="n">
        <v>44892</v>
      </c>
      <c r="B1066" t="inlineStr">
        <is>
          <t>2022-11-27</t>
        </is>
      </c>
      <c r="C1066" s="45" t="n">
        <v>117.0429</v>
      </c>
      <c r="D1066" t="inlineStr">
        <is>
          <t>€/MWh</t>
        </is>
      </c>
      <c r="E1066" s="54" t="n">
        <v>0.117043</v>
      </c>
      <c r="F1066" s="54" t="n"/>
      <c r="G1066" t="inlineStr">
        <is>
          <t>no aplica (precio mayorista)</t>
        </is>
      </c>
      <c r="J1066" t="inlineStr">
        <is>
          <t>2022-11-26</t>
        </is>
      </c>
      <c r="K1066" t="inlineStr">
        <is>
          <t>marginalpdbc_20221127.1</t>
        </is>
      </c>
      <c r="L1066" t="inlineStr">
        <is>
          <t>24 periodos; mín 92.00, máx 156.27 €/MWh</t>
        </is>
      </c>
    </row>
    <row r="1067">
      <c r="A1067" s="53" t="n">
        <v>44893</v>
      </c>
      <c r="B1067" t="inlineStr">
        <is>
          <t>2022-11-28</t>
        </is>
      </c>
      <c r="C1067" s="45" t="n">
        <v>103.3642</v>
      </c>
      <c r="D1067" t="inlineStr">
        <is>
          <t>€/MWh</t>
        </is>
      </c>
      <c r="E1067" s="54" t="n">
        <v>0.103364</v>
      </c>
      <c r="F1067" s="54" t="n"/>
      <c r="G1067" t="inlineStr">
        <is>
          <t>no aplica (precio mayorista)</t>
        </is>
      </c>
      <c r="J1067" t="inlineStr">
        <is>
          <t>2022-11-27</t>
        </is>
      </c>
      <c r="K1067" t="inlineStr">
        <is>
          <t>marginalpdbc_20221128.1</t>
        </is>
      </c>
      <c r="L1067" t="inlineStr">
        <is>
          <t>24 periodos; mín 65.88, máx 165.90 €/MWh</t>
        </is>
      </c>
    </row>
    <row r="1068">
      <c r="A1068" s="53" t="n">
        <v>44894</v>
      </c>
      <c r="B1068" t="inlineStr">
        <is>
          <t>2022-11-29</t>
        </is>
      </c>
      <c r="C1068" s="45" t="n">
        <v>121.5412</v>
      </c>
      <c r="D1068" t="inlineStr">
        <is>
          <t>€/MWh</t>
        </is>
      </c>
      <c r="E1068" s="54" t="n">
        <v>0.121541</v>
      </c>
      <c r="F1068" s="54" t="n"/>
      <c r="G1068" t="inlineStr">
        <is>
          <t>no aplica (precio mayorista)</t>
        </is>
      </c>
      <c r="J1068" t="inlineStr">
        <is>
          <t>2022-11-28</t>
        </is>
      </c>
      <c r="K1068" t="inlineStr">
        <is>
          <t>marginalpdbc_20221129.1</t>
        </is>
      </c>
      <c r="L1068" t="inlineStr">
        <is>
          <t>24 periodos; mín 92.00, máx 190.42 €/MWh</t>
        </is>
      </c>
    </row>
    <row r="1069">
      <c r="A1069" s="53" t="n">
        <v>44895</v>
      </c>
      <c r="B1069" t="inlineStr">
        <is>
          <t>2022-11-30</t>
        </is>
      </c>
      <c r="C1069" s="45" t="n">
        <v>151.2458</v>
      </c>
      <c r="D1069" t="inlineStr">
        <is>
          <t>€/MWh</t>
        </is>
      </c>
      <c r="E1069" s="54" t="n">
        <v>0.151246</v>
      </c>
      <c r="F1069" s="54" t="n"/>
      <c r="G1069" t="inlineStr">
        <is>
          <t>no aplica (precio mayorista)</t>
        </is>
      </c>
      <c r="J1069" t="inlineStr">
        <is>
          <t>2022-11-29</t>
        </is>
      </c>
      <c r="K1069" t="inlineStr">
        <is>
          <t>marginalpdbc_20221130.1</t>
        </is>
      </c>
      <c r="L1069" t="inlineStr">
        <is>
          <t>24 periodos; mín 130.00, máx 186.00 €/MWh</t>
        </is>
      </c>
    </row>
    <row r="1070">
      <c r="A1070" s="53" t="n">
        <v>44896</v>
      </c>
      <c r="B1070" t="inlineStr">
        <is>
          <t>2022-12-01</t>
        </is>
      </c>
      <c r="C1070" s="45" t="n">
        <v>150.075</v>
      </c>
      <c r="D1070" t="inlineStr">
        <is>
          <t>€/MWh</t>
        </is>
      </c>
      <c r="E1070" s="54" t="n">
        <v>0.150075</v>
      </c>
      <c r="F1070" s="54" t="n"/>
      <c r="G1070" t="inlineStr">
        <is>
          <t>no aplica (precio mayorista)</t>
        </is>
      </c>
      <c r="J1070" t="inlineStr">
        <is>
          <t>2022-11-30</t>
        </is>
      </c>
      <c r="K1070" t="inlineStr">
        <is>
          <t>marginalpdbc_20221201.1</t>
        </is>
      </c>
      <c r="L1070" t="inlineStr">
        <is>
          <t>24 periodos; mín 123.41, máx 175.80 €/MWh</t>
        </is>
      </c>
    </row>
    <row r="1071">
      <c r="A1071" s="53" t="n">
        <v>44897</v>
      </c>
      <c r="B1071" t="inlineStr">
        <is>
          <t>2022-12-02</t>
        </is>
      </c>
      <c r="C1071" s="45" t="n">
        <v>127.6204</v>
      </c>
      <c r="D1071" t="inlineStr">
        <is>
          <t>€/MWh</t>
        </is>
      </c>
      <c r="E1071" s="54" t="n">
        <v>0.12762</v>
      </c>
      <c r="F1071" s="54" t="n"/>
      <c r="G1071" t="inlineStr">
        <is>
          <t>no aplica (precio mayorista)</t>
        </is>
      </c>
      <c r="J1071" t="inlineStr">
        <is>
          <t>2022-12-01</t>
        </is>
      </c>
      <c r="K1071" t="inlineStr">
        <is>
          <t>marginalpdbc_20221202.1</t>
        </is>
      </c>
      <c r="L1071" t="inlineStr">
        <is>
          <t>24 periodos; mín 91.79, máx 171.95 €/MWh</t>
        </is>
      </c>
    </row>
    <row r="1072">
      <c r="A1072" s="53" t="n">
        <v>44898</v>
      </c>
      <c r="B1072" t="inlineStr">
        <is>
          <t>2022-12-03</t>
        </is>
      </c>
      <c r="C1072" s="45" t="n">
        <v>120.0217</v>
      </c>
      <c r="D1072" t="inlineStr">
        <is>
          <t>€/MWh</t>
        </is>
      </c>
      <c r="E1072" s="54" t="n">
        <v>0.120022</v>
      </c>
      <c r="F1072" s="54" t="n"/>
      <c r="G1072" t="inlineStr">
        <is>
          <t>no aplica (precio mayorista)</t>
        </is>
      </c>
      <c r="J1072" t="inlineStr">
        <is>
          <t>2022-12-02</t>
        </is>
      </c>
      <c r="K1072" t="inlineStr">
        <is>
          <t>marginalpdbc_20221203.1</t>
        </is>
      </c>
      <c r="L1072" t="inlineStr">
        <is>
          <t>24 periodos; mín 103.48, máx 145.90 €/MWh</t>
        </is>
      </c>
    </row>
    <row r="1073">
      <c r="A1073" s="53" t="n">
        <v>44899</v>
      </c>
      <c r="B1073" t="inlineStr">
        <is>
          <t>2022-12-04</t>
        </is>
      </c>
      <c r="C1073" s="45" t="n">
        <v>189.8067</v>
      </c>
      <c r="D1073" t="inlineStr">
        <is>
          <t>€/MWh</t>
        </is>
      </c>
      <c r="E1073" s="54" t="n">
        <v>0.189807</v>
      </c>
      <c r="F1073" s="54" t="n"/>
      <c r="G1073" t="inlineStr">
        <is>
          <t>no aplica (precio mayorista)</t>
        </is>
      </c>
      <c r="J1073" t="inlineStr">
        <is>
          <t>2022-12-03</t>
        </is>
      </c>
      <c r="K1073" t="inlineStr">
        <is>
          <t>marginalpdbc_20221204.1</t>
        </is>
      </c>
      <c r="L1073" t="inlineStr">
        <is>
          <t>24 periodos; mín 168.00, máx 256.68 €/MWh</t>
        </is>
      </c>
    </row>
    <row r="1074">
      <c r="A1074" s="53" t="n">
        <v>44900</v>
      </c>
      <c r="B1074" t="inlineStr">
        <is>
          <t>2022-12-05</t>
        </is>
      </c>
      <c r="C1074" s="45" t="n">
        <v>209.2954</v>
      </c>
      <c r="D1074" t="inlineStr">
        <is>
          <t>€/MWh</t>
        </is>
      </c>
      <c r="E1074" s="54" t="n">
        <v>0.209295</v>
      </c>
      <c r="F1074" s="54" t="n"/>
      <c r="G1074" t="inlineStr">
        <is>
          <t>no aplica (precio mayorista)</t>
        </is>
      </c>
      <c r="J1074" t="inlineStr">
        <is>
          <t>2022-12-04</t>
        </is>
      </c>
      <c r="K1074" t="inlineStr">
        <is>
          <t>marginalpdbc_20221205.1</t>
        </is>
      </c>
      <c r="L1074" t="inlineStr">
        <is>
          <t>24 periodos; mín 157.00, máx 245.58 €/MWh</t>
        </is>
      </c>
    </row>
    <row r="1075">
      <c r="A1075" s="53" t="n">
        <v>44901</v>
      </c>
      <c r="B1075" t="inlineStr">
        <is>
          <t>2022-12-06</t>
        </is>
      </c>
      <c r="C1075" s="45" t="n">
        <v>153.4446</v>
      </c>
      <c r="D1075" t="inlineStr">
        <is>
          <t>€/MWh</t>
        </is>
      </c>
      <c r="E1075" s="54" t="n">
        <v>0.153445</v>
      </c>
      <c r="F1075" s="54" t="n"/>
      <c r="G1075" t="inlineStr">
        <is>
          <t>no aplica (precio mayorista)</t>
        </is>
      </c>
      <c r="J1075" t="inlineStr">
        <is>
          <t>2022-12-05</t>
        </is>
      </c>
      <c r="K1075" t="inlineStr">
        <is>
          <t>marginalpdbc_20221206.1</t>
        </is>
      </c>
      <c r="L1075" t="inlineStr">
        <is>
          <t>24 periodos; mín 131.30, máx 194.83 €/MWh</t>
        </is>
      </c>
    </row>
    <row r="1076">
      <c r="A1076" s="53" t="n">
        <v>44902</v>
      </c>
      <c r="B1076" t="inlineStr">
        <is>
          <t>2022-12-07</t>
        </is>
      </c>
      <c r="C1076" s="45" t="n">
        <v>142.3042</v>
      </c>
      <c r="D1076" t="inlineStr">
        <is>
          <t>€/MWh</t>
        </is>
      </c>
      <c r="E1076" s="54" t="n">
        <v>0.142304</v>
      </c>
      <c r="F1076" s="54" t="n"/>
      <c r="G1076" t="inlineStr">
        <is>
          <t>no aplica (precio mayorista)</t>
        </is>
      </c>
      <c r="J1076" t="inlineStr">
        <is>
          <t>2022-12-06</t>
        </is>
      </c>
      <c r="K1076" t="inlineStr">
        <is>
          <t>marginalpdbc_20221207.1</t>
        </is>
      </c>
      <c r="L1076" t="inlineStr">
        <is>
          <t>24 periodos; mín 134.70, máx 156.85 €/MWh</t>
        </is>
      </c>
    </row>
    <row r="1077">
      <c r="A1077" s="53" t="n">
        <v>44903</v>
      </c>
      <c r="B1077" t="inlineStr">
        <is>
          <t>2022-12-08</t>
        </is>
      </c>
      <c r="C1077" s="45" t="n">
        <v>122.3863</v>
      </c>
      <c r="D1077" t="inlineStr">
        <is>
          <t>€/MWh</t>
        </is>
      </c>
      <c r="E1077" s="54" t="n">
        <v>0.122386</v>
      </c>
      <c r="F1077" s="54" t="n"/>
      <c r="G1077" t="inlineStr">
        <is>
          <t>no aplica (precio mayorista)</t>
        </is>
      </c>
      <c r="J1077" t="inlineStr">
        <is>
          <t>2022-12-07</t>
        </is>
      </c>
      <c r="K1077" t="inlineStr">
        <is>
          <t>marginalpdbc_20221208.1</t>
        </is>
      </c>
      <c r="L1077" t="inlineStr">
        <is>
          <t>24 periodos; mín 102.50, máx 166.44 €/MWh</t>
        </is>
      </c>
    </row>
    <row r="1078">
      <c r="A1078" s="53" t="n">
        <v>44904</v>
      </c>
      <c r="B1078" t="inlineStr">
        <is>
          <t>2022-12-09</t>
        </is>
      </c>
      <c r="C1078" s="45" t="n">
        <v>144.3883</v>
      </c>
      <c r="D1078" t="inlineStr">
        <is>
          <t>€/MWh</t>
        </is>
      </c>
      <c r="E1078" s="54" t="n">
        <v>0.144388</v>
      </c>
      <c r="F1078" s="54" t="n"/>
      <c r="G1078" t="inlineStr">
        <is>
          <t>no aplica (precio mayorista)</t>
        </is>
      </c>
      <c r="J1078" t="inlineStr">
        <is>
          <t>2022-12-08</t>
        </is>
      </c>
      <c r="K1078" t="inlineStr">
        <is>
          <t>marginalpdbc_20221209.1</t>
        </is>
      </c>
      <c r="L1078" t="inlineStr">
        <is>
          <t>24 periodos; mín 110.00, máx 170.42 €/MWh</t>
        </is>
      </c>
    </row>
    <row r="1079">
      <c r="A1079" s="53" t="n">
        <v>44905</v>
      </c>
      <c r="B1079" t="inlineStr">
        <is>
          <t>2022-12-10</t>
        </is>
      </c>
      <c r="C1079" s="45" t="n">
        <v>125.0187</v>
      </c>
      <c r="D1079" t="inlineStr">
        <is>
          <t>€/MWh</t>
        </is>
      </c>
      <c r="E1079" s="54" t="n">
        <v>0.125019</v>
      </c>
      <c r="F1079" s="54" t="n"/>
      <c r="G1079" t="inlineStr">
        <is>
          <t>no aplica (precio mayorista)</t>
        </is>
      </c>
      <c r="J1079" t="inlineStr">
        <is>
          <t>2022-12-09</t>
        </is>
      </c>
      <c r="K1079" t="inlineStr">
        <is>
          <t>marginalpdbc_20221210.1</t>
        </is>
      </c>
      <c r="L1079" t="inlineStr">
        <is>
          <t>24 periodos; mín 82.00, máx 187.00 €/MWh</t>
        </is>
      </c>
    </row>
    <row r="1080">
      <c r="A1080" s="53" t="n">
        <v>44906</v>
      </c>
      <c r="B1080" t="inlineStr">
        <is>
          <t>2022-12-11</t>
        </is>
      </c>
      <c r="C1080" s="45" t="n">
        <v>146.4496</v>
      </c>
      <c r="D1080" t="inlineStr">
        <is>
          <t>€/MWh</t>
        </is>
      </c>
      <c r="E1080" s="54" t="n">
        <v>0.14645</v>
      </c>
      <c r="F1080" s="54" t="n"/>
      <c r="G1080" t="inlineStr">
        <is>
          <t>no aplica (precio mayorista)</t>
        </is>
      </c>
      <c r="J1080" t="inlineStr">
        <is>
          <t>2022-12-10</t>
        </is>
      </c>
      <c r="K1080" t="inlineStr">
        <is>
          <t>marginalpdbc_20221211.1</t>
        </is>
      </c>
      <c r="L1080" t="inlineStr">
        <is>
          <t>24 periodos; mín 114.60, máx 181.07 €/MWh</t>
        </is>
      </c>
    </row>
    <row r="1081">
      <c r="A1081" s="53" t="n">
        <v>44907</v>
      </c>
      <c r="B1081" t="inlineStr">
        <is>
          <t>2022-12-12</t>
        </is>
      </c>
      <c r="C1081" s="45" t="n">
        <v>114.5088</v>
      </c>
      <c r="D1081" t="inlineStr">
        <is>
          <t>€/MWh</t>
        </is>
      </c>
      <c r="E1081" s="54" t="n">
        <v>0.114509</v>
      </c>
      <c r="F1081" s="54" t="n"/>
      <c r="G1081" t="inlineStr">
        <is>
          <t>no aplica (precio mayorista)</t>
        </is>
      </c>
      <c r="J1081" t="inlineStr">
        <is>
          <t>2022-12-11</t>
        </is>
      </c>
      <c r="K1081" t="inlineStr">
        <is>
          <t>marginalpdbc_20221212.1</t>
        </is>
      </c>
      <c r="L1081" t="inlineStr">
        <is>
          <t>24 periodos; mín 89.60, máx 148.92 €/MWh</t>
        </is>
      </c>
    </row>
    <row r="1082">
      <c r="A1082" s="53" t="n">
        <v>44908</v>
      </c>
      <c r="B1082" t="inlineStr">
        <is>
          <t>2022-12-13</t>
        </is>
      </c>
      <c r="C1082" s="45" t="n">
        <v>97.6858</v>
      </c>
      <c r="D1082" t="inlineStr">
        <is>
          <t>€/MWh</t>
        </is>
      </c>
      <c r="E1082" s="54" t="n">
        <v>0.097686</v>
      </c>
      <c r="F1082" s="54" t="n"/>
      <c r="G1082" t="inlineStr">
        <is>
          <t>no aplica (precio mayorista)</t>
        </is>
      </c>
      <c r="J1082" t="inlineStr">
        <is>
          <t>2022-12-12</t>
        </is>
      </c>
      <c r="K1082" t="inlineStr">
        <is>
          <t>marginalpdbc_20221213.1</t>
        </is>
      </c>
      <c r="L1082" t="inlineStr">
        <is>
          <t>24 periodos; mín 4.11, máx 147.00 €/MWh</t>
        </is>
      </c>
    </row>
    <row r="1083">
      <c r="A1083" s="53" t="n">
        <v>44909</v>
      </c>
      <c r="B1083" t="inlineStr">
        <is>
          <t>2022-12-14</t>
        </is>
      </c>
      <c r="C1083" s="45" t="n">
        <v>81.38330000000001</v>
      </c>
      <c r="D1083" t="inlineStr">
        <is>
          <t>€/MWh</t>
        </is>
      </c>
      <c r="E1083" s="54" t="n">
        <v>0.081383</v>
      </c>
      <c r="F1083" s="54" t="n"/>
      <c r="G1083" t="inlineStr">
        <is>
          <t>no aplica (precio mayorista)</t>
        </is>
      </c>
      <c r="J1083" t="inlineStr">
        <is>
          <t>2022-12-13</t>
        </is>
      </c>
      <c r="K1083" t="inlineStr">
        <is>
          <t>marginalpdbc_20221214.1</t>
        </is>
      </c>
      <c r="L1083" t="inlineStr">
        <is>
          <t>24 periodos; mín 1.80, máx 192.69 €/MWh</t>
        </is>
      </c>
    </row>
    <row r="1084">
      <c r="A1084" s="53" t="n">
        <v>44910</v>
      </c>
      <c r="B1084" t="inlineStr">
        <is>
          <t>2022-12-15</t>
        </is>
      </c>
      <c r="C1084" s="45" t="n">
        <v>131.3129</v>
      </c>
      <c r="D1084" t="inlineStr">
        <is>
          <t>€/MWh</t>
        </is>
      </c>
      <c r="E1084" s="54" t="n">
        <v>0.131313</v>
      </c>
      <c r="F1084" s="54" t="n"/>
      <c r="G1084" t="inlineStr">
        <is>
          <t>no aplica (precio mayorista)</t>
        </is>
      </c>
      <c r="J1084" t="inlineStr">
        <is>
          <t>2022-12-14</t>
        </is>
      </c>
      <c r="K1084" t="inlineStr">
        <is>
          <t>marginalpdbc_20221215.1</t>
        </is>
      </c>
      <c r="L1084" t="inlineStr">
        <is>
          <t>24 periodos; mín 81.80, máx 190.72 €/MWh</t>
        </is>
      </c>
    </row>
    <row r="1085">
      <c r="A1085" s="53" t="n">
        <v>44911</v>
      </c>
      <c r="B1085" t="inlineStr">
        <is>
          <t>2022-12-16</t>
        </is>
      </c>
      <c r="C1085" s="45" t="n">
        <v>128.6158</v>
      </c>
      <c r="D1085" t="inlineStr">
        <is>
          <t>€/MWh</t>
        </is>
      </c>
      <c r="E1085" s="54" t="n">
        <v>0.128616</v>
      </c>
      <c r="F1085" s="54" t="n"/>
      <c r="G1085" t="inlineStr">
        <is>
          <t>no aplica (precio mayorista)</t>
        </is>
      </c>
      <c r="J1085" t="inlineStr">
        <is>
          <t>2022-12-15</t>
        </is>
      </c>
      <c r="K1085" t="inlineStr">
        <is>
          <t>marginalpdbc_20221216.1</t>
        </is>
      </c>
      <c r="L1085" t="inlineStr">
        <is>
          <t>24 periodos; mín 101.00, máx 155.01 €/MWh</t>
        </is>
      </c>
    </row>
    <row r="1086">
      <c r="A1086" s="53" t="n">
        <v>44912</v>
      </c>
      <c r="B1086" t="inlineStr">
        <is>
          <t>2022-12-17</t>
        </is>
      </c>
      <c r="C1086" s="45" t="n">
        <v>133.8225</v>
      </c>
      <c r="D1086" t="inlineStr">
        <is>
          <t>€/MWh</t>
        </is>
      </c>
      <c r="E1086" s="54" t="n">
        <v>0.133823</v>
      </c>
      <c r="F1086" s="54" t="n"/>
      <c r="G1086" t="inlineStr">
        <is>
          <t>no aplica (precio mayorista)</t>
        </is>
      </c>
      <c r="J1086" t="inlineStr">
        <is>
          <t>2022-12-16</t>
        </is>
      </c>
      <c r="K1086" t="inlineStr">
        <is>
          <t>marginalpdbc_20221217.1</t>
        </is>
      </c>
      <c r="L1086" t="inlineStr">
        <is>
          <t>24 periodos; mín 109.99, máx 153.05 €/MWh</t>
        </is>
      </c>
    </row>
    <row r="1087">
      <c r="A1087" s="53" t="n">
        <v>44913</v>
      </c>
      <c r="B1087" t="inlineStr">
        <is>
          <t>2022-12-18</t>
        </is>
      </c>
      <c r="C1087" s="45" t="n">
        <v>97.7342</v>
      </c>
      <c r="D1087" t="inlineStr">
        <is>
          <t>€/MWh</t>
        </is>
      </c>
      <c r="E1087" s="54" t="n">
        <v>0.097734</v>
      </c>
      <c r="F1087" s="54" t="n"/>
      <c r="G1087" t="inlineStr">
        <is>
          <t>no aplica (precio mayorista)</t>
        </is>
      </c>
      <c r="J1087" t="inlineStr">
        <is>
          <t>2022-12-17</t>
        </is>
      </c>
      <c r="K1087" t="inlineStr">
        <is>
          <t>marginalpdbc_20221218.1</t>
        </is>
      </c>
      <c r="L1087" t="inlineStr">
        <is>
          <t>24 periodos; mín 81.40, máx 140.00 €/MWh</t>
        </is>
      </c>
    </row>
    <row r="1088">
      <c r="A1088" s="53" t="n">
        <v>44914</v>
      </c>
      <c r="B1088" t="inlineStr">
        <is>
          <t>2022-12-19</t>
        </is>
      </c>
      <c r="C1088" s="45" t="n">
        <v>81.06829999999999</v>
      </c>
      <c r="D1088" t="inlineStr">
        <is>
          <t>€/MWh</t>
        </is>
      </c>
      <c r="E1088" s="54" t="n">
        <v>0.081068</v>
      </c>
      <c r="F1088" s="54" t="n"/>
      <c r="G1088" t="inlineStr">
        <is>
          <t>no aplica (precio mayorista)</t>
        </is>
      </c>
      <c r="J1088" t="inlineStr">
        <is>
          <t>2022-12-18</t>
        </is>
      </c>
      <c r="K1088" t="inlineStr">
        <is>
          <t>marginalpdbc_20221219.1</t>
        </is>
      </c>
      <c r="L1088" t="inlineStr">
        <is>
          <t>24 periodos; mín 41.00, máx 130.00 €/MWh</t>
        </is>
      </c>
    </row>
    <row r="1089">
      <c r="A1089" s="53" t="n">
        <v>44915</v>
      </c>
      <c r="B1089" t="inlineStr">
        <is>
          <t>2022-12-20</t>
        </is>
      </c>
      <c r="C1089" s="45" t="n">
        <v>65.4067</v>
      </c>
      <c r="D1089" t="inlineStr">
        <is>
          <t>€/MWh</t>
        </is>
      </c>
      <c r="E1089" s="54" t="n">
        <v>0.06540700000000001</v>
      </c>
      <c r="F1089" s="54" t="n"/>
      <c r="G1089" t="inlineStr">
        <is>
          <t>no aplica (precio mayorista)</t>
        </is>
      </c>
      <c r="J1089" t="inlineStr">
        <is>
          <t>2022-12-19</t>
        </is>
      </c>
      <c r="K1089" t="inlineStr">
        <is>
          <t>marginalpdbc_20221220.1</t>
        </is>
      </c>
      <c r="L1089" t="inlineStr">
        <is>
          <t>24 periodos; mín 4.11, máx 107.00 €/MWh</t>
        </is>
      </c>
    </row>
    <row r="1090">
      <c r="A1090" s="53" t="n">
        <v>44916</v>
      </c>
      <c r="B1090" t="inlineStr">
        <is>
          <t>2022-12-21</t>
        </is>
      </c>
      <c r="C1090" s="45" t="n">
        <v>64.0883</v>
      </c>
      <c r="D1090" t="inlineStr">
        <is>
          <t>€/MWh</t>
        </is>
      </c>
      <c r="E1090" s="54" t="n">
        <v>0.06408800000000001</v>
      </c>
      <c r="F1090" s="54" t="n"/>
      <c r="G1090" t="inlineStr">
        <is>
          <t>no aplica (precio mayorista)</t>
        </is>
      </c>
      <c r="J1090" t="inlineStr">
        <is>
          <t>2022-12-20</t>
        </is>
      </c>
      <c r="K1090" t="inlineStr">
        <is>
          <t>marginalpdbc_20221221.1</t>
        </is>
      </c>
      <c r="L1090" t="inlineStr">
        <is>
          <t>24 periodos; mín 36.68, máx 95.76 €/MWh</t>
        </is>
      </c>
    </row>
    <row r="1091">
      <c r="A1091" s="53" t="n">
        <v>44917</v>
      </c>
      <c r="B1091" t="inlineStr">
        <is>
          <t>2022-12-22</t>
        </is>
      </c>
      <c r="C1091" s="45" t="n">
        <v>52.0304</v>
      </c>
      <c r="D1091" t="inlineStr">
        <is>
          <t>€/MWh</t>
        </is>
      </c>
      <c r="E1091" s="54" t="n">
        <v>0.05203</v>
      </c>
      <c r="F1091" s="54" t="n"/>
      <c r="G1091" t="inlineStr">
        <is>
          <t>no aplica (precio mayorista)</t>
        </is>
      </c>
      <c r="J1091" t="inlineStr">
        <is>
          <t>2022-12-21</t>
        </is>
      </c>
      <c r="K1091" t="inlineStr">
        <is>
          <t>marginalpdbc_20221222.1</t>
        </is>
      </c>
      <c r="L1091" t="inlineStr">
        <is>
          <t>24 periodos; mín 30.00, máx 75.74 €/MWh</t>
        </is>
      </c>
    </row>
    <row r="1092">
      <c r="A1092" s="53" t="n">
        <v>44918</v>
      </c>
      <c r="B1092" t="inlineStr">
        <is>
          <t>2022-12-23</t>
        </is>
      </c>
      <c r="C1092" s="45" t="n">
        <v>22.3408</v>
      </c>
      <c r="D1092" t="inlineStr">
        <is>
          <t>€/MWh</t>
        </is>
      </c>
      <c r="E1092" s="54" t="n">
        <v>0.022341</v>
      </c>
      <c r="F1092" s="54" t="n"/>
      <c r="G1092" t="inlineStr">
        <is>
          <t>no aplica (precio mayorista)</t>
        </is>
      </c>
      <c r="J1092" t="inlineStr">
        <is>
          <t>2022-12-22</t>
        </is>
      </c>
      <c r="K1092" t="inlineStr">
        <is>
          <t>marginalpdbc_20221223.1</t>
        </is>
      </c>
      <c r="L1092" t="inlineStr">
        <is>
          <t>24 periodos; mín 4.12, máx 67.90 €/MWh</t>
        </is>
      </c>
    </row>
    <row r="1093">
      <c r="A1093" s="53" t="n">
        <v>44919</v>
      </c>
      <c r="B1093" t="inlineStr">
        <is>
          <t>2022-12-24</t>
        </is>
      </c>
      <c r="C1093" s="45" t="n">
        <v>36.4062</v>
      </c>
      <c r="D1093" t="inlineStr">
        <is>
          <t>€/MWh</t>
        </is>
      </c>
      <c r="E1093" s="54" t="n">
        <v>0.036406</v>
      </c>
      <c r="F1093" s="54" t="n"/>
      <c r="G1093" t="inlineStr">
        <is>
          <t>no aplica (precio mayorista)</t>
        </is>
      </c>
      <c r="J1093" t="inlineStr">
        <is>
          <t>2022-12-23</t>
        </is>
      </c>
      <c r="K1093" t="inlineStr">
        <is>
          <t>marginalpdbc_20221224.1</t>
        </is>
      </c>
      <c r="L1093" t="inlineStr">
        <is>
          <t>24 periodos; mín 20.10, máx 106.48 €/MWh</t>
        </is>
      </c>
    </row>
    <row r="1094">
      <c r="A1094" s="53" t="n">
        <v>44920</v>
      </c>
      <c r="B1094" t="inlineStr">
        <is>
          <t>2022-12-25</t>
        </is>
      </c>
      <c r="C1094" s="45" t="n">
        <v>15.2429</v>
      </c>
      <c r="D1094" t="inlineStr">
        <is>
          <t>€/MWh</t>
        </is>
      </c>
      <c r="E1094" s="54" t="n">
        <v>0.015243</v>
      </c>
      <c r="F1094" s="54" t="n"/>
      <c r="G1094" t="inlineStr">
        <is>
          <t>no aplica (precio mayorista)</t>
        </is>
      </c>
      <c r="J1094" t="inlineStr">
        <is>
          <t>2022-12-24</t>
        </is>
      </c>
      <c r="K1094" t="inlineStr">
        <is>
          <t>marginalpdbc_20221225.1</t>
        </is>
      </c>
      <c r="L1094" t="inlineStr">
        <is>
          <t>24 periodos; mín 1.45, máx 50.26 €/MWh</t>
        </is>
      </c>
    </row>
    <row r="1095">
      <c r="A1095" s="53" t="n">
        <v>44921</v>
      </c>
      <c r="B1095" t="inlineStr">
        <is>
          <t>2022-12-26</t>
        </is>
      </c>
      <c r="C1095" s="45" t="n">
        <v>77.3233</v>
      </c>
      <c r="D1095" t="inlineStr">
        <is>
          <t>€/MWh</t>
        </is>
      </c>
      <c r="E1095" s="54" t="n">
        <v>0.077323</v>
      </c>
      <c r="F1095" s="54" t="n"/>
      <c r="G1095" t="inlineStr">
        <is>
          <t>no aplica (precio mayorista)</t>
        </is>
      </c>
      <c r="J1095" t="inlineStr">
        <is>
          <t>2022-12-25</t>
        </is>
      </c>
      <c r="K1095" t="inlineStr">
        <is>
          <t>marginalpdbc_20221226.1</t>
        </is>
      </c>
      <c r="L1095" t="inlineStr">
        <is>
          <t>24 periodos; mín 24.10, máx 189.26 €/MWh</t>
        </is>
      </c>
    </row>
    <row r="1096">
      <c r="A1096" s="53" t="n">
        <v>44922</v>
      </c>
      <c r="B1096" t="inlineStr">
        <is>
          <t>2022-12-27</t>
        </is>
      </c>
      <c r="C1096" s="45" t="n">
        <v>109.4925</v>
      </c>
      <c r="D1096" t="inlineStr">
        <is>
          <t>€/MWh</t>
        </is>
      </c>
      <c r="E1096" s="54" t="n">
        <v>0.109493</v>
      </c>
      <c r="F1096" s="54" t="n"/>
      <c r="G1096" t="inlineStr">
        <is>
          <t>no aplica (precio mayorista)</t>
        </is>
      </c>
      <c r="J1096" t="inlineStr">
        <is>
          <t>2022-12-26</t>
        </is>
      </c>
      <c r="K1096" t="inlineStr">
        <is>
          <t>marginalpdbc_20221227.1</t>
        </is>
      </c>
      <c r="L1096" t="inlineStr">
        <is>
          <t>24 periodos; mín 62.09, máx 164.69 €/MWh</t>
        </is>
      </c>
    </row>
    <row r="1097">
      <c r="A1097" s="53" t="n">
        <v>44923</v>
      </c>
      <c r="B1097" t="inlineStr">
        <is>
          <t>2022-12-28</t>
        </is>
      </c>
      <c r="C1097" s="45" t="n">
        <v>41.4108</v>
      </c>
      <c r="D1097" t="inlineStr">
        <is>
          <t>€/MWh</t>
        </is>
      </c>
      <c r="E1097" s="54" t="n">
        <v>0.041411</v>
      </c>
      <c r="F1097" s="54" t="n"/>
      <c r="G1097" t="inlineStr">
        <is>
          <t>no aplica (precio mayorista)</t>
        </is>
      </c>
      <c r="J1097" t="inlineStr">
        <is>
          <t>2022-12-27</t>
        </is>
      </c>
      <c r="K1097" t="inlineStr">
        <is>
          <t>marginalpdbc_20221228.1</t>
        </is>
      </c>
      <c r="L1097" t="inlineStr">
        <is>
          <t>24 periodos; mín 14.15, máx 79.74 €/MWh</t>
        </is>
      </c>
    </row>
    <row r="1098">
      <c r="A1098" s="53" t="n">
        <v>44924</v>
      </c>
      <c r="B1098" t="inlineStr">
        <is>
          <t>2022-12-29</t>
        </is>
      </c>
      <c r="C1098" s="45" t="n">
        <v>16.1875</v>
      </c>
      <c r="D1098" t="inlineStr">
        <is>
          <t>€/MWh</t>
        </is>
      </c>
      <c r="E1098" s="54" t="n">
        <v>0.016188</v>
      </c>
      <c r="F1098" s="54" t="n"/>
      <c r="G1098" t="inlineStr">
        <is>
          <t>no aplica (precio mayorista)</t>
        </is>
      </c>
      <c r="J1098" t="inlineStr">
        <is>
          <t>2022-12-28</t>
        </is>
      </c>
      <c r="K1098" t="inlineStr">
        <is>
          <t>marginalpdbc_20221229.1</t>
        </is>
      </c>
      <c r="L1098" t="inlineStr">
        <is>
          <t>24 periodos; mín 0.03, máx 32.50 €/MWh</t>
        </is>
      </c>
    </row>
    <row r="1099">
      <c r="A1099" s="53" t="n">
        <v>44925</v>
      </c>
      <c r="B1099" t="inlineStr">
        <is>
          <t>2022-12-30</t>
        </is>
      </c>
      <c r="C1099" s="45" t="n">
        <v>6.0225</v>
      </c>
      <c r="D1099" t="inlineStr">
        <is>
          <t>€/MWh</t>
        </is>
      </c>
      <c r="E1099" s="54" t="n">
        <v>0.006023</v>
      </c>
      <c r="F1099" s="54" t="n"/>
      <c r="G1099" t="inlineStr">
        <is>
          <t>no aplica (precio mayorista)</t>
        </is>
      </c>
      <c r="J1099" t="inlineStr">
        <is>
          <t>2022-12-29</t>
        </is>
      </c>
      <c r="K1099" t="inlineStr">
        <is>
          <t>marginalpdbc_20221230.1</t>
        </is>
      </c>
      <c r="L1099" t="inlineStr">
        <is>
          <t>24 periodos; mín 0.57, máx 21.78 €/MWh</t>
        </is>
      </c>
    </row>
    <row r="1100">
      <c r="A1100" s="53" t="n">
        <v>44926</v>
      </c>
      <c r="B1100" t="inlineStr">
        <is>
          <t>2022-12-31</t>
        </is>
      </c>
      <c r="C1100" s="45" t="n">
        <v>2.6538</v>
      </c>
      <c r="D1100" t="inlineStr">
        <is>
          <t>€/MWh</t>
        </is>
      </c>
      <c r="E1100" s="54" t="n">
        <v>0.002654</v>
      </c>
      <c r="F1100" s="54" t="n"/>
      <c r="G1100" t="inlineStr">
        <is>
          <t>no aplica (precio mayorista)</t>
        </is>
      </c>
      <c r="J1100" t="inlineStr">
        <is>
          <t>2022-12-30</t>
        </is>
      </c>
      <c r="K1100" t="inlineStr">
        <is>
          <t>marginalpdbc_20221231.1</t>
        </is>
      </c>
      <c r="L1100" t="inlineStr">
        <is>
          <t>24 periodos; mín 0.00, máx 20.00 €/MWh</t>
        </is>
      </c>
    </row>
    <row r="1101">
      <c r="A1101" s="53" t="n">
        <v>44927</v>
      </c>
      <c r="B1101" t="inlineStr">
        <is>
          <t>2023-01-01</t>
        </is>
      </c>
      <c r="C1101" s="45" t="n">
        <v>6.6971</v>
      </c>
      <c r="D1101" t="inlineStr">
        <is>
          <t>€/MWh</t>
        </is>
      </c>
      <c r="E1101" s="54" t="n">
        <v>0.006697</v>
      </c>
      <c r="F1101" s="54" t="n"/>
      <c r="G1101" t="inlineStr">
        <is>
          <t>no aplica (precio mayorista)</t>
        </is>
      </c>
      <c r="J1101" t="inlineStr">
        <is>
          <t>2022-12-31</t>
        </is>
      </c>
      <c r="K1101" t="inlineStr">
        <is>
          <t>marginalpdbc_20230101.1</t>
        </is>
      </c>
      <c r="L1101" t="inlineStr">
        <is>
          <t>24 periodos; mín 0.00, máx 40.07 €/MWh</t>
        </is>
      </c>
    </row>
    <row r="1102">
      <c r="A1102" s="53" t="n">
        <v>44928</v>
      </c>
      <c r="B1102" t="inlineStr">
        <is>
          <t>2023-01-02</t>
        </is>
      </c>
      <c r="C1102" s="45" t="n">
        <v>112.55</v>
      </c>
      <c r="D1102" t="inlineStr">
        <is>
          <t>€/MWh</t>
        </is>
      </c>
      <c r="E1102" s="54" t="n">
        <v>0.11255</v>
      </c>
      <c r="F1102" s="54" t="n"/>
      <c r="G1102" t="inlineStr">
        <is>
          <t>no aplica (precio mayorista)</t>
        </is>
      </c>
      <c r="J1102" t="inlineStr">
        <is>
          <t>2023-01-01</t>
        </is>
      </c>
      <c r="K1102" t="inlineStr">
        <is>
          <t>marginalpdbc_20230102.1</t>
        </is>
      </c>
      <c r="L1102" t="inlineStr">
        <is>
          <t>24 periodos; mín 42.00, máx 174.74 €/MWh</t>
        </is>
      </c>
    </row>
    <row r="1103">
      <c r="A1103" s="53" t="n">
        <v>44929</v>
      </c>
      <c r="B1103" t="inlineStr">
        <is>
          <t>2023-01-03</t>
        </is>
      </c>
      <c r="C1103" s="45" t="n">
        <v>138.7867</v>
      </c>
      <c r="D1103" t="inlineStr">
        <is>
          <t>€/MWh</t>
        </is>
      </c>
      <c r="E1103" s="54" t="n">
        <v>0.138787</v>
      </c>
      <c r="F1103" s="54" t="n"/>
      <c r="G1103" t="inlineStr">
        <is>
          <t>no aplica (precio mayorista)</t>
        </is>
      </c>
      <c r="J1103" t="inlineStr">
        <is>
          <t>2023-01-02</t>
        </is>
      </c>
      <c r="K1103" t="inlineStr">
        <is>
          <t>marginalpdbc_20230103.1</t>
        </is>
      </c>
      <c r="L1103" t="inlineStr">
        <is>
          <t>24 periodos; mín 113.63, máx 171.18 €/MWh</t>
        </is>
      </c>
    </row>
    <row r="1104">
      <c r="A1104" s="53" t="n">
        <v>44930</v>
      </c>
      <c r="B1104" t="inlineStr">
        <is>
          <t>2023-01-04</t>
        </is>
      </c>
      <c r="C1104" s="45" t="n">
        <v>115.2571</v>
      </c>
      <c r="D1104" t="inlineStr">
        <is>
          <t>€/MWh</t>
        </is>
      </c>
      <c r="E1104" s="54" t="n">
        <v>0.115257</v>
      </c>
      <c r="F1104" s="54" t="n"/>
      <c r="G1104" t="inlineStr">
        <is>
          <t>no aplica (precio mayorista)</t>
        </is>
      </c>
      <c r="J1104" t="inlineStr">
        <is>
          <t>2023-01-03</t>
        </is>
      </c>
      <c r="K1104" t="inlineStr">
        <is>
          <t>marginalpdbc_20230104.1</t>
        </is>
      </c>
      <c r="L1104" t="inlineStr">
        <is>
          <t>24 periodos; mín 80.23, máx 167.29 €/MWh</t>
        </is>
      </c>
    </row>
    <row r="1105">
      <c r="A1105" s="53" t="n">
        <v>44931</v>
      </c>
      <c r="B1105" t="inlineStr">
        <is>
          <t>2023-01-05</t>
        </is>
      </c>
      <c r="C1105" s="45" t="n">
        <v>109.185</v>
      </c>
      <c r="D1105" t="inlineStr">
        <is>
          <t>€/MWh</t>
        </is>
      </c>
      <c r="E1105" s="54" t="n">
        <v>0.109185</v>
      </c>
      <c r="F1105" s="54" t="n"/>
      <c r="G1105" t="inlineStr">
        <is>
          <t>no aplica (precio mayorista)</t>
        </is>
      </c>
      <c r="J1105" t="inlineStr">
        <is>
          <t>2023-01-04</t>
        </is>
      </c>
      <c r="K1105" t="inlineStr">
        <is>
          <t>marginalpdbc_20230105.1</t>
        </is>
      </c>
      <c r="L1105" t="inlineStr">
        <is>
          <t>24 periodos; mín 61.97, máx 177.98 €/MWh</t>
        </is>
      </c>
    </row>
    <row r="1106">
      <c r="A1106" s="53" t="n">
        <v>44932</v>
      </c>
      <c r="B1106" t="inlineStr">
        <is>
          <t>2023-01-06</t>
        </is>
      </c>
      <c r="C1106" s="45" t="n">
        <v>104.14</v>
      </c>
      <c r="D1106" t="inlineStr">
        <is>
          <t>€/MWh</t>
        </is>
      </c>
      <c r="E1106" s="54" t="n">
        <v>0.10414</v>
      </c>
      <c r="F1106" s="54" t="n"/>
      <c r="G1106" t="inlineStr">
        <is>
          <t>no aplica (precio mayorista)</t>
        </is>
      </c>
      <c r="J1106" t="inlineStr">
        <is>
          <t>2023-01-05</t>
        </is>
      </c>
      <c r="K1106" t="inlineStr">
        <is>
          <t>marginalpdbc_20230106.1</t>
        </is>
      </c>
      <c r="L1106" t="inlineStr">
        <is>
          <t>24 periodos; mín 70.00, máx 137.73 €/MWh</t>
        </is>
      </c>
    </row>
    <row r="1107">
      <c r="A1107" s="53" t="n">
        <v>44933</v>
      </c>
      <c r="B1107" t="inlineStr">
        <is>
          <t>2023-01-07</t>
        </is>
      </c>
      <c r="C1107" s="45" t="n">
        <v>23.7738</v>
      </c>
      <c r="D1107" t="inlineStr">
        <is>
          <t>€/MWh</t>
        </is>
      </c>
      <c r="E1107" s="54" t="n">
        <v>0.023774</v>
      </c>
      <c r="F1107" s="54" t="n"/>
      <c r="G1107" t="inlineStr">
        <is>
          <t>no aplica (precio mayorista)</t>
        </is>
      </c>
      <c r="J1107" t="inlineStr">
        <is>
          <t>2023-01-06</t>
        </is>
      </c>
      <c r="K1107" t="inlineStr">
        <is>
          <t>marginalpdbc_20230107.1</t>
        </is>
      </c>
      <c r="L1107" t="inlineStr">
        <is>
          <t>24 periodos; mín 4.16, máx 53.42 €/MWh</t>
        </is>
      </c>
    </row>
    <row r="1108">
      <c r="A1108" s="53" t="n">
        <v>44934</v>
      </c>
      <c r="B1108" t="inlineStr">
        <is>
          <t>2023-01-08</t>
        </is>
      </c>
      <c r="C1108" s="45" t="n">
        <v>10.2817</v>
      </c>
      <c r="D1108" t="inlineStr">
        <is>
          <t>€/MWh</t>
        </is>
      </c>
      <c r="E1108" s="54" t="n">
        <v>0.010282</v>
      </c>
      <c r="F1108" s="54" t="n"/>
      <c r="G1108" t="inlineStr">
        <is>
          <t>no aplica (precio mayorista)</t>
        </is>
      </c>
      <c r="J1108" t="inlineStr">
        <is>
          <t>2023-01-07</t>
        </is>
      </c>
      <c r="K1108" t="inlineStr">
        <is>
          <t>marginalpdbc_20230108.1</t>
        </is>
      </c>
      <c r="L1108" t="inlineStr">
        <is>
          <t>24 periodos; mín 4.16, máx 40.00 €/MWh</t>
        </is>
      </c>
    </row>
    <row r="1109">
      <c r="A1109" s="53" t="n">
        <v>44935</v>
      </c>
      <c r="B1109" t="inlineStr">
        <is>
          <t>2023-01-09</t>
        </is>
      </c>
      <c r="C1109" s="45" t="n">
        <v>85.7825</v>
      </c>
      <c r="D1109" t="inlineStr">
        <is>
          <t>€/MWh</t>
        </is>
      </c>
      <c r="E1109" s="54" t="n">
        <v>0.085783</v>
      </c>
      <c r="F1109" s="54" t="n"/>
      <c r="G1109" t="inlineStr">
        <is>
          <t>no aplica (precio mayorista)</t>
        </is>
      </c>
      <c r="J1109" t="inlineStr">
        <is>
          <t>2023-01-08</t>
        </is>
      </c>
      <c r="K1109" t="inlineStr">
        <is>
          <t>marginalpdbc_20230109.1</t>
        </is>
      </c>
      <c r="L1109" t="inlineStr">
        <is>
          <t>24 periodos; mín 4.20, máx 171.62 €/MWh</t>
        </is>
      </c>
    </row>
    <row r="1110">
      <c r="A1110" s="53" t="n">
        <v>44936</v>
      </c>
      <c r="B1110" t="inlineStr">
        <is>
          <t>2023-01-10</t>
        </is>
      </c>
      <c r="C1110" s="45" t="n">
        <v>109.3988</v>
      </c>
      <c r="D1110" t="inlineStr">
        <is>
          <t>€/MWh</t>
        </is>
      </c>
      <c r="E1110" s="54" t="n">
        <v>0.109399</v>
      </c>
      <c r="F1110" s="54" t="n"/>
      <c r="G1110" t="inlineStr">
        <is>
          <t>no aplica (precio mayorista)</t>
        </is>
      </c>
      <c r="J1110" t="inlineStr">
        <is>
          <t>2023-01-09</t>
        </is>
      </c>
      <c r="K1110" t="inlineStr">
        <is>
          <t>marginalpdbc_20230110.1</t>
        </is>
      </c>
      <c r="L1110" t="inlineStr">
        <is>
          <t>24 periodos; mín 64.30, máx 144.74 €/MWh</t>
        </is>
      </c>
    </row>
    <row r="1111">
      <c r="A1111" s="53" t="n">
        <v>44937</v>
      </c>
      <c r="B1111" t="inlineStr">
        <is>
          <t>2023-01-11</t>
        </is>
      </c>
      <c r="C1111" s="45" t="n">
        <v>83.83540000000001</v>
      </c>
      <c r="D1111" t="inlineStr">
        <is>
          <t>€/MWh</t>
        </is>
      </c>
      <c r="E1111" s="54" t="n">
        <v>0.08383500000000001</v>
      </c>
      <c r="F1111" s="54" t="n"/>
      <c r="G1111" t="inlineStr">
        <is>
          <t>no aplica (precio mayorista)</t>
        </is>
      </c>
      <c r="J1111" t="inlineStr">
        <is>
          <t>2023-01-10</t>
        </is>
      </c>
      <c r="K1111" t="inlineStr">
        <is>
          <t>marginalpdbc_20230111.1</t>
        </is>
      </c>
      <c r="L1111" t="inlineStr">
        <is>
          <t>24 periodos; mín 4.16, máx 139.02 €/MWh</t>
        </is>
      </c>
    </row>
    <row r="1112">
      <c r="A1112" s="53" t="n">
        <v>44938</v>
      </c>
      <c r="B1112" t="inlineStr">
        <is>
          <t>2023-01-12</t>
        </is>
      </c>
      <c r="C1112" s="45" t="n">
        <v>92.6888</v>
      </c>
      <c r="D1112" t="inlineStr">
        <is>
          <t>€/MWh</t>
        </is>
      </c>
      <c r="E1112" s="54" t="n">
        <v>0.09268899999999999</v>
      </c>
      <c r="F1112" s="54" t="n"/>
      <c r="G1112" t="inlineStr">
        <is>
          <t>no aplica (precio mayorista)</t>
        </is>
      </c>
      <c r="J1112" t="inlineStr">
        <is>
          <t>2023-01-11</t>
        </is>
      </c>
      <c r="K1112" t="inlineStr">
        <is>
          <t>marginalpdbc_20230112.1</t>
        </is>
      </c>
      <c r="L1112" t="inlineStr">
        <is>
          <t>24 periodos; mín 55.70, máx 142.22 €/MWh</t>
        </is>
      </c>
    </row>
    <row r="1113">
      <c r="A1113" s="53" t="n">
        <v>44939</v>
      </c>
      <c r="B1113" t="inlineStr">
        <is>
          <t>2023-01-13</t>
        </is>
      </c>
      <c r="C1113" s="45" t="n">
        <v>88.4829</v>
      </c>
      <c r="D1113" t="inlineStr">
        <is>
          <t>€/MWh</t>
        </is>
      </c>
      <c r="E1113" s="54" t="n">
        <v>0.08848300000000001</v>
      </c>
      <c r="F1113" s="54" t="n"/>
      <c r="G1113" t="inlineStr">
        <is>
          <t>no aplica (precio mayorista)</t>
        </is>
      </c>
      <c r="J1113" t="inlineStr">
        <is>
          <t>2023-01-12</t>
        </is>
      </c>
      <c r="K1113" t="inlineStr">
        <is>
          <t>marginalpdbc_20230113.1</t>
        </is>
      </c>
      <c r="L1113" t="inlineStr">
        <is>
          <t>24 periodos; mín 38.70, máx 154.70 €/MWh</t>
        </is>
      </c>
    </row>
    <row r="1114">
      <c r="A1114" s="53" t="n">
        <v>44940</v>
      </c>
      <c r="B1114" t="inlineStr">
        <is>
          <t>2023-01-14</t>
        </is>
      </c>
      <c r="C1114" s="45" t="n">
        <v>52.9975</v>
      </c>
      <c r="D1114" t="inlineStr">
        <is>
          <t>€/MWh</t>
        </is>
      </c>
      <c r="E1114" s="54" t="n">
        <v>0.052998</v>
      </c>
      <c r="F1114" s="54" t="n"/>
      <c r="G1114" t="inlineStr">
        <is>
          <t>no aplica (precio mayorista)</t>
        </is>
      </c>
      <c r="J1114" t="inlineStr">
        <is>
          <t>2023-01-13</t>
        </is>
      </c>
      <c r="K1114" t="inlineStr">
        <is>
          <t>marginalpdbc_20230114.1</t>
        </is>
      </c>
      <c r="L1114" t="inlineStr">
        <is>
          <t>24 periodos; mín 35.00, máx 80.00 €/MWh</t>
        </is>
      </c>
    </row>
    <row r="1115">
      <c r="A1115" s="53" t="n">
        <v>44941</v>
      </c>
      <c r="B1115" t="inlineStr">
        <is>
          <t>2023-01-15</t>
        </is>
      </c>
      <c r="C1115" s="45" t="n">
        <v>22.0525</v>
      </c>
      <c r="D1115" t="inlineStr">
        <is>
          <t>€/MWh</t>
        </is>
      </c>
      <c r="E1115" s="54" t="n">
        <v>0.022052</v>
      </c>
      <c r="F1115" s="54" t="n"/>
      <c r="G1115" t="inlineStr">
        <is>
          <t>no aplica (precio mayorista)</t>
        </is>
      </c>
      <c r="J1115" t="inlineStr">
        <is>
          <t>2023-01-14</t>
        </is>
      </c>
      <c r="K1115" t="inlineStr">
        <is>
          <t>marginalpdbc_20230115.1</t>
        </is>
      </c>
      <c r="L1115" t="inlineStr">
        <is>
          <t>24 periodos; mín 3.10, máx 50.56 €/MWh</t>
        </is>
      </c>
    </row>
    <row r="1116">
      <c r="A1116" s="53" t="n">
        <v>44942</v>
      </c>
      <c r="B1116" t="inlineStr">
        <is>
          <t>2023-01-16</t>
        </is>
      </c>
      <c r="C1116" s="45" t="n">
        <v>13.2217</v>
      </c>
      <c r="D1116" t="inlineStr">
        <is>
          <t>€/MWh</t>
        </is>
      </c>
      <c r="E1116" s="54" t="n">
        <v>0.013222</v>
      </c>
      <c r="F1116" s="54" t="n"/>
      <c r="G1116" t="inlineStr">
        <is>
          <t>no aplica (precio mayorista)</t>
        </is>
      </c>
      <c r="J1116" t="inlineStr">
        <is>
          <t>2023-01-15</t>
        </is>
      </c>
      <c r="K1116" t="inlineStr">
        <is>
          <t>marginalpdbc_20230116.1</t>
        </is>
      </c>
      <c r="L1116" t="inlineStr">
        <is>
          <t>24 periodos; mín 3.00, máx 34.20 €/MWh</t>
        </is>
      </c>
    </row>
    <row r="1117">
      <c r="A1117" s="53" t="n">
        <v>44943</v>
      </c>
      <c r="B1117" t="inlineStr">
        <is>
          <t>2023-01-17</t>
        </is>
      </c>
      <c r="C1117" s="45" t="n">
        <v>5.0963</v>
      </c>
      <c r="D1117" t="inlineStr">
        <is>
          <t>€/MWh</t>
        </is>
      </c>
      <c r="E1117" s="54" t="n">
        <v>0.005096</v>
      </c>
      <c r="F1117" s="54" t="n"/>
      <c r="G1117" t="inlineStr">
        <is>
          <t>no aplica (precio mayorista)</t>
        </is>
      </c>
      <c r="J1117" t="inlineStr">
        <is>
          <t>2023-01-16</t>
        </is>
      </c>
      <c r="K1117" t="inlineStr">
        <is>
          <t>marginalpdbc_20230117.1</t>
        </is>
      </c>
      <c r="L1117" t="inlineStr">
        <is>
          <t>24 periodos; mín 0.65, máx 17.50 €/MWh</t>
        </is>
      </c>
    </row>
    <row r="1118">
      <c r="A1118" s="53" t="n">
        <v>44944</v>
      </c>
      <c r="B1118" t="inlineStr">
        <is>
          <t>2023-01-18</t>
        </is>
      </c>
      <c r="C1118" s="45" t="n">
        <v>21.6096</v>
      </c>
      <c r="D1118" t="inlineStr">
        <is>
          <t>€/MWh</t>
        </is>
      </c>
      <c r="E1118" s="54" t="n">
        <v>0.02161</v>
      </c>
      <c r="F1118" s="54" t="n"/>
      <c r="G1118" t="inlineStr">
        <is>
          <t>no aplica (precio mayorista)</t>
        </is>
      </c>
      <c r="J1118" t="inlineStr">
        <is>
          <t>2023-01-17</t>
        </is>
      </c>
      <c r="K1118" t="inlineStr">
        <is>
          <t>marginalpdbc_20230118.1</t>
        </is>
      </c>
      <c r="L1118" t="inlineStr">
        <is>
          <t>24 periodos; mín 0.10, máx 122.70 €/MWh</t>
        </is>
      </c>
    </row>
    <row r="1119">
      <c r="A1119" s="53" t="n">
        <v>44945</v>
      </c>
      <c r="B1119" t="inlineStr">
        <is>
          <t>2023-01-19</t>
        </is>
      </c>
      <c r="C1119" s="45" t="n">
        <v>34.5133</v>
      </c>
      <c r="D1119" t="inlineStr">
        <is>
          <t>€/MWh</t>
        </is>
      </c>
      <c r="E1119" s="54" t="n">
        <v>0.034513</v>
      </c>
      <c r="F1119" s="54" t="n"/>
      <c r="G1119" t="inlineStr">
        <is>
          <t>no aplica (precio mayorista)</t>
        </is>
      </c>
      <c r="J1119" t="inlineStr">
        <is>
          <t>2023-01-18</t>
        </is>
      </c>
      <c r="K1119" t="inlineStr">
        <is>
          <t>marginalpdbc_20230119.1</t>
        </is>
      </c>
      <c r="L1119" t="inlineStr">
        <is>
          <t>24 periodos; mín 18.35, máx 94.80 €/MWh</t>
        </is>
      </c>
    </row>
    <row r="1120">
      <c r="A1120" s="53" t="n">
        <v>44946</v>
      </c>
      <c r="B1120" t="inlineStr">
        <is>
          <t>2023-01-20</t>
        </is>
      </c>
      <c r="C1120" s="45" t="n">
        <v>91.2025</v>
      </c>
      <c r="D1120" t="inlineStr">
        <is>
          <t>€/MWh</t>
        </is>
      </c>
      <c r="E1120" s="54" t="n">
        <v>0.09120300000000001</v>
      </c>
      <c r="F1120" s="54" t="n"/>
      <c r="G1120" t="inlineStr">
        <is>
          <t>no aplica (precio mayorista)</t>
        </is>
      </c>
      <c r="J1120" t="inlineStr">
        <is>
          <t>2023-01-19</t>
        </is>
      </c>
      <c r="K1120" t="inlineStr">
        <is>
          <t>marginalpdbc_20230120.1</t>
        </is>
      </c>
      <c r="L1120" t="inlineStr">
        <is>
          <t>24 periodos; mín 29.99, máx 207.80 €/MWh</t>
        </is>
      </c>
    </row>
    <row r="1121">
      <c r="A1121" s="53" t="n">
        <v>44947</v>
      </c>
      <c r="B1121" t="inlineStr">
        <is>
          <t>2023-01-21</t>
        </is>
      </c>
      <c r="C1121" s="45" t="n">
        <v>58.8908</v>
      </c>
      <c r="D1121" t="inlineStr">
        <is>
          <t>€/MWh</t>
        </is>
      </c>
      <c r="E1121" s="54" t="n">
        <v>0.058891</v>
      </c>
      <c r="F1121" s="54" t="n"/>
      <c r="G1121" t="inlineStr">
        <is>
          <t>no aplica (precio mayorista)</t>
        </is>
      </c>
      <c r="J1121" t="inlineStr">
        <is>
          <t>2023-01-20</t>
        </is>
      </c>
      <c r="K1121" t="inlineStr">
        <is>
          <t>marginalpdbc_20230121.1</t>
        </is>
      </c>
      <c r="L1121" t="inlineStr">
        <is>
          <t>24 periodos; mín 37.76, máx 111.56 €/MWh</t>
        </is>
      </c>
    </row>
    <row r="1122">
      <c r="A1122" s="53" t="n">
        <v>44948</v>
      </c>
      <c r="B1122" t="inlineStr">
        <is>
          <t>2023-01-22</t>
        </is>
      </c>
      <c r="C1122" s="45" t="n">
        <v>37.6992</v>
      </c>
      <c r="D1122" t="inlineStr">
        <is>
          <t>€/MWh</t>
        </is>
      </c>
      <c r="E1122" s="54" t="n">
        <v>0.037699</v>
      </c>
      <c r="F1122" s="54" t="n"/>
      <c r="G1122" t="inlineStr">
        <is>
          <t>no aplica (precio mayorista)</t>
        </is>
      </c>
      <c r="J1122" t="inlineStr">
        <is>
          <t>2023-01-21</t>
        </is>
      </c>
      <c r="K1122" t="inlineStr">
        <is>
          <t>marginalpdbc_20230122.1</t>
        </is>
      </c>
      <c r="L1122" t="inlineStr">
        <is>
          <t>24 periodos; mín 11.00, máx 128.97 €/MWh</t>
        </is>
      </c>
    </row>
    <row r="1123">
      <c r="A1123" s="53" t="n">
        <v>44949</v>
      </c>
      <c r="B1123" t="inlineStr">
        <is>
          <t>2023-01-23</t>
        </is>
      </c>
      <c r="C1123" s="45" t="n">
        <v>71.92</v>
      </c>
      <c r="D1123" t="inlineStr">
        <is>
          <t>€/MWh</t>
        </is>
      </c>
      <c r="E1123" s="54" t="n">
        <v>0.07192</v>
      </c>
      <c r="F1123" s="54" t="n"/>
      <c r="G1123" t="inlineStr">
        <is>
          <t>no aplica (precio mayorista)</t>
        </is>
      </c>
      <c r="J1123" t="inlineStr">
        <is>
          <t>2023-01-22</t>
        </is>
      </c>
      <c r="K1123" t="inlineStr">
        <is>
          <t>marginalpdbc_20230123.1</t>
        </is>
      </c>
      <c r="L1123" t="inlineStr">
        <is>
          <t>24 periodos; mín 34.44, máx 157.22 €/MWh</t>
        </is>
      </c>
    </row>
    <row r="1124">
      <c r="A1124" s="53" t="n">
        <v>44950</v>
      </c>
      <c r="B1124" t="inlineStr">
        <is>
          <t>2023-01-24</t>
        </is>
      </c>
      <c r="C1124" s="45" t="n">
        <v>87.4479</v>
      </c>
      <c r="D1124" t="inlineStr">
        <is>
          <t>€/MWh</t>
        </is>
      </c>
      <c r="E1124" s="54" t="n">
        <v>0.087448</v>
      </c>
      <c r="F1124" s="54" t="n"/>
      <c r="G1124" t="inlineStr">
        <is>
          <t>no aplica (precio mayorista)</t>
        </is>
      </c>
      <c r="J1124" t="inlineStr">
        <is>
          <t>2023-01-23</t>
        </is>
      </c>
      <c r="K1124" t="inlineStr">
        <is>
          <t>marginalpdbc_20230124.1</t>
        </is>
      </c>
      <c r="L1124" t="inlineStr">
        <is>
          <t>24 periodos; mín 47.85, máx 220.00 €/MWh</t>
        </is>
      </c>
    </row>
    <row r="1125">
      <c r="A1125" s="53" t="n">
        <v>44951</v>
      </c>
      <c r="B1125" t="inlineStr">
        <is>
          <t>2023-01-25</t>
        </is>
      </c>
      <c r="C1125" s="45" t="n">
        <v>93.2525</v>
      </c>
      <c r="D1125" t="inlineStr">
        <is>
          <t>€/MWh</t>
        </is>
      </c>
      <c r="E1125" s="54" t="n">
        <v>0.093253</v>
      </c>
      <c r="F1125" s="54" t="n"/>
      <c r="G1125" t="inlineStr">
        <is>
          <t>no aplica (precio mayorista)</t>
        </is>
      </c>
      <c r="J1125" t="inlineStr">
        <is>
          <t>2023-01-24</t>
        </is>
      </c>
      <c r="K1125" t="inlineStr">
        <is>
          <t>marginalpdbc_20230125.1</t>
        </is>
      </c>
      <c r="L1125" t="inlineStr">
        <is>
          <t>24 periodos; mín 64.80, máx 210.34 €/MWh</t>
        </is>
      </c>
    </row>
    <row r="1126">
      <c r="A1126" s="53" t="n">
        <v>44952</v>
      </c>
      <c r="B1126" t="inlineStr">
        <is>
          <t>2023-01-26</t>
        </is>
      </c>
      <c r="C1126" s="45" t="n">
        <v>67.39790000000001</v>
      </c>
      <c r="D1126" t="inlineStr">
        <is>
          <t>€/MWh</t>
        </is>
      </c>
      <c r="E1126" s="54" t="n">
        <v>0.067398</v>
      </c>
      <c r="F1126" s="54" t="n"/>
      <c r="G1126" t="inlineStr">
        <is>
          <t>no aplica (precio mayorista)</t>
        </is>
      </c>
      <c r="J1126" t="inlineStr">
        <is>
          <t>2023-01-25</t>
        </is>
      </c>
      <c r="K1126" t="inlineStr">
        <is>
          <t>marginalpdbc_20230126.1</t>
        </is>
      </c>
      <c r="L1126" t="inlineStr">
        <is>
          <t>24 periodos; mín 50.27, máx 99.76 €/MWh</t>
        </is>
      </c>
    </row>
    <row r="1127">
      <c r="A1127" s="53" t="n">
        <v>44953</v>
      </c>
      <c r="B1127" t="inlineStr">
        <is>
          <t>2023-01-27</t>
        </is>
      </c>
      <c r="C1127" s="45" t="n">
        <v>45.6721</v>
      </c>
      <c r="D1127" t="inlineStr">
        <is>
          <t>€/MWh</t>
        </is>
      </c>
      <c r="E1127" s="54" t="n">
        <v>0.045672</v>
      </c>
      <c r="F1127" s="54" t="n"/>
      <c r="G1127" t="inlineStr">
        <is>
          <t>no aplica (precio mayorista)</t>
        </is>
      </c>
      <c r="J1127" t="inlineStr">
        <is>
          <t>2023-01-26</t>
        </is>
      </c>
      <c r="K1127" t="inlineStr">
        <is>
          <t>marginalpdbc_20230127.1</t>
        </is>
      </c>
      <c r="L1127" t="inlineStr">
        <is>
          <t>24 periodos; mín 15.00, máx 82.01 €/MWh</t>
        </is>
      </c>
    </row>
    <row r="1128">
      <c r="A1128" s="53" t="n">
        <v>44954</v>
      </c>
      <c r="B1128" t="inlineStr">
        <is>
          <t>2023-01-28</t>
        </is>
      </c>
      <c r="C1128" s="45" t="n">
        <v>41.4183</v>
      </c>
      <c r="D1128" t="inlineStr">
        <is>
          <t>€/MWh</t>
        </is>
      </c>
      <c r="E1128" s="54" t="n">
        <v>0.041418</v>
      </c>
      <c r="F1128" s="54" t="n"/>
      <c r="G1128" t="inlineStr">
        <is>
          <t>no aplica (precio mayorista)</t>
        </is>
      </c>
      <c r="J1128" t="inlineStr">
        <is>
          <t>2023-01-27</t>
        </is>
      </c>
      <c r="K1128" t="inlineStr">
        <is>
          <t>marginalpdbc_20230128.1</t>
        </is>
      </c>
      <c r="L1128" t="inlineStr">
        <is>
          <t>24 periodos; mín 15.00, máx 74.89 €/MWh</t>
        </is>
      </c>
    </row>
    <row r="1129">
      <c r="A1129" s="53" t="n">
        <v>44955</v>
      </c>
      <c r="B1129" t="inlineStr">
        <is>
          <t>2023-01-29</t>
        </is>
      </c>
      <c r="C1129" s="45" t="n">
        <v>68.4079</v>
      </c>
      <c r="D1129" t="inlineStr">
        <is>
          <t>€/MWh</t>
        </is>
      </c>
      <c r="E1129" s="54" t="n">
        <v>0.068408</v>
      </c>
      <c r="F1129" s="54" t="n"/>
      <c r="G1129" t="inlineStr">
        <is>
          <t>no aplica (precio mayorista)</t>
        </is>
      </c>
      <c r="J1129" t="inlineStr">
        <is>
          <t>2023-01-28</t>
        </is>
      </c>
      <c r="K1129" t="inlineStr">
        <is>
          <t>marginalpdbc_20230129.1</t>
        </is>
      </c>
      <c r="L1129" t="inlineStr">
        <is>
          <t>24 periodos; mín 36.45, máx 178.58 €/MWh</t>
        </is>
      </c>
    </row>
    <row r="1130">
      <c r="A1130" s="53" t="n">
        <v>44956</v>
      </c>
      <c r="B1130" t="inlineStr">
        <is>
          <t>2023-01-30</t>
        </is>
      </c>
      <c r="C1130" s="45" t="n">
        <v>135.3708</v>
      </c>
      <c r="D1130" t="inlineStr">
        <is>
          <t>€/MWh</t>
        </is>
      </c>
      <c r="E1130" s="54" t="n">
        <v>0.135371</v>
      </c>
      <c r="F1130" s="54" t="n"/>
      <c r="G1130" t="inlineStr">
        <is>
          <t>no aplica (precio mayorista)</t>
        </is>
      </c>
      <c r="J1130" t="inlineStr">
        <is>
          <t>2023-01-29</t>
        </is>
      </c>
      <c r="K1130" t="inlineStr">
        <is>
          <t>marginalpdbc_20230130.1</t>
        </is>
      </c>
      <c r="L1130" t="inlineStr">
        <is>
          <t>24 periodos; mín 90.00, máx 220.00 €/MWh</t>
        </is>
      </c>
    </row>
    <row r="1131">
      <c r="A1131" s="53" t="n">
        <v>44957</v>
      </c>
      <c r="B1131" t="inlineStr">
        <is>
          <t>2023-01-31</t>
        </is>
      </c>
      <c r="C1131" s="45" t="n">
        <v>127.0733</v>
      </c>
      <c r="D1131" t="inlineStr">
        <is>
          <t>€/MWh</t>
        </is>
      </c>
      <c r="E1131" s="54" t="n">
        <v>0.127073</v>
      </c>
      <c r="F1131" s="54" t="n"/>
      <c r="G1131" t="inlineStr">
        <is>
          <t>no aplica (precio mayorista)</t>
        </is>
      </c>
      <c r="J1131" t="inlineStr">
        <is>
          <t>2023-01-30</t>
        </is>
      </c>
      <c r="K1131" t="inlineStr">
        <is>
          <t>marginalpdbc_20230131.1</t>
        </is>
      </c>
      <c r="L1131" t="inlineStr">
        <is>
          <t>24 periodos; mín 99.00, máx 187.36 €/MWh</t>
        </is>
      </c>
    </row>
    <row r="1132">
      <c r="A1132" s="53" t="n">
        <v>44958</v>
      </c>
      <c r="B1132" t="inlineStr">
        <is>
          <t>2023-02-01</t>
        </is>
      </c>
      <c r="C1132" s="45" t="n">
        <v>128.5525</v>
      </c>
      <c r="D1132" t="inlineStr">
        <is>
          <t>€/MWh</t>
        </is>
      </c>
      <c r="E1132" s="54" t="n">
        <v>0.128553</v>
      </c>
      <c r="F1132" s="54" t="n"/>
      <c r="G1132" t="inlineStr">
        <is>
          <t>no aplica (precio mayorista)</t>
        </is>
      </c>
      <c r="J1132" t="inlineStr">
        <is>
          <t>2023-01-31</t>
        </is>
      </c>
      <c r="K1132" t="inlineStr">
        <is>
          <t>marginalpdbc_20230201.1</t>
        </is>
      </c>
      <c r="L1132" t="inlineStr">
        <is>
          <t>24 periodos; mín 98.15, máx 189.74 €/MWh</t>
        </is>
      </c>
    </row>
    <row r="1133">
      <c r="A1133" s="53" t="n">
        <v>44959</v>
      </c>
      <c r="B1133" t="inlineStr">
        <is>
          <t>2023-02-02</t>
        </is>
      </c>
      <c r="C1133" s="45" t="n">
        <v>138.4608</v>
      </c>
      <c r="D1133" t="inlineStr">
        <is>
          <t>€/MWh</t>
        </is>
      </c>
      <c r="E1133" s="54" t="n">
        <v>0.138461</v>
      </c>
      <c r="F1133" s="54" t="n"/>
      <c r="G1133" t="inlineStr">
        <is>
          <t>no aplica (precio mayorista)</t>
        </is>
      </c>
      <c r="J1133" t="inlineStr">
        <is>
          <t>2023-02-01</t>
        </is>
      </c>
      <c r="K1133" t="inlineStr">
        <is>
          <t>marginalpdbc_20230202.1</t>
        </is>
      </c>
      <c r="L1133" t="inlineStr">
        <is>
          <t>24 periodos; mín 113.74, máx 181.93 €/MWh</t>
        </is>
      </c>
    </row>
    <row r="1134">
      <c r="A1134" s="53" t="n">
        <v>44960</v>
      </c>
      <c r="B1134" t="inlineStr">
        <is>
          <t>2023-02-03</t>
        </is>
      </c>
      <c r="C1134" s="45" t="n">
        <v>138.5846</v>
      </c>
      <c r="D1134" t="inlineStr">
        <is>
          <t>€/MWh</t>
        </is>
      </c>
      <c r="E1134" s="54" t="n">
        <v>0.138585</v>
      </c>
      <c r="F1134" s="54" t="n"/>
      <c r="G1134" t="inlineStr">
        <is>
          <t>no aplica (precio mayorista)</t>
        </is>
      </c>
      <c r="J1134" t="inlineStr">
        <is>
          <t>2023-02-02</t>
        </is>
      </c>
      <c r="K1134" t="inlineStr">
        <is>
          <t>marginalpdbc_20230203.1</t>
        </is>
      </c>
      <c r="L1134" t="inlineStr">
        <is>
          <t>24 periodos; mín 106.63, máx 185.13 €/MWh</t>
        </is>
      </c>
    </row>
    <row r="1135">
      <c r="A1135" s="53" t="n">
        <v>44961</v>
      </c>
      <c r="B1135" t="inlineStr">
        <is>
          <t>2023-02-04</t>
        </is>
      </c>
      <c r="C1135" s="45" t="n">
        <v>125.5992</v>
      </c>
      <c r="D1135" t="inlineStr">
        <is>
          <t>€/MWh</t>
        </is>
      </c>
      <c r="E1135" s="54" t="n">
        <v>0.125599</v>
      </c>
      <c r="F1135" s="54" t="n"/>
      <c r="G1135" t="inlineStr">
        <is>
          <t>no aplica (precio mayorista)</t>
        </is>
      </c>
      <c r="J1135" t="inlineStr">
        <is>
          <t>2023-02-03</t>
        </is>
      </c>
      <c r="K1135" t="inlineStr">
        <is>
          <t>marginalpdbc_20230204.1</t>
        </is>
      </c>
      <c r="L1135" t="inlineStr">
        <is>
          <t>24 periodos; mín 87.60, máx 158.09 €/MWh</t>
        </is>
      </c>
    </row>
    <row r="1136">
      <c r="A1136" s="53" t="n">
        <v>44962</v>
      </c>
      <c r="B1136" t="inlineStr">
        <is>
          <t>2023-02-05</t>
        </is>
      </c>
      <c r="C1136" s="45" t="n">
        <v>79.3813</v>
      </c>
      <c r="D1136" t="inlineStr">
        <is>
          <t>€/MWh</t>
        </is>
      </c>
      <c r="E1136" s="54" t="n">
        <v>0.07938099999999999</v>
      </c>
      <c r="F1136" s="54" t="n"/>
      <c r="G1136" t="inlineStr">
        <is>
          <t>no aplica (precio mayorista)</t>
        </is>
      </c>
      <c r="J1136" t="inlineStr">
        <is>
          <t>2023-02-04</t>
        </is>
      </c>
      <c r="K1136" t="inlineStr">
        <is>
          <t>marginalpdbc_20230205.1</t>
        </is>
      </c>
      <c r="L1136" t="inlineStr">
        <is>
          <t>24 periodos; mín 17.69, máx 144.59 €/MWh</t>
        </is>
      </c>
    </row>
    <row r="1137">
      <c r="A1137" s="53" t="n">
        <v>44963</v>
      </c>
      <c r="B1137" t="inlineStr">
        <is>
          <t>2023-02-06</t>
        </is>
      </c>
      <c r="C1137" s="45" t="n">
        <v>134.9829</v>
      </c>
      <c r="D1137" t="inlineStr">
        <is>
          <t>€/MWh</t>
        </is>
      </c>
      <c r="E1137" s="54" t="n">
        <v>0.134983</v>
      </c>
      <c r="F1137" s="54" t="n"/>
      <c r="G1137" t="inlineStr">
        <is>
          <t>no aplica (precio mayorista)</t>
        </is>
      </c>
      <c r="J1137" t="inlineStr">
        <is>
          <t>2023-02-05</t>
        </is>
      </c>
      <c r="K1137" t="inlineStr">
        <is>
          <t>marginalpdbc_20230206.1</t>
        </is>
      </c>
      <c r="L1137" t="inlineStr">
        <is>
          <t>24 periodos; mín 87.90, máx 186.21 €/MWh</t>
        </is>
      </c>
    </row>
    <row r="1138">
      <c r="A1138" s="53" t="n">
        <v>44964</v>
      </c>
      <c r="B1138" t="inlineStr">
        <is>
          <t>2023-02-07</t>
        </is>
      </c>
      <c r="C1138" s="45" t="n">
        <v>137.36</v>
      </c>
      <c r="D1138" t="inlineStr">
        <is>
          <t>€/MWh</t>
        </is>
      </c>
      <c r="E1138" s="54" t="n">
        <v>0.13736</v>
      </c>
      <c r="F1138" s="54" t="n"/>
      <c r="G1138" t="inlineStr">
        <is>
          <t>no aplica (precio mayorista)</t>
        </is>
      </c>
      <c r="J1138" t="inlineStr">
        <is>
          <t>2023-02-06</t>
        </is>
      </c>
      <c r="K1138" t="inlineStr">
        <is>
          <t>marginalpdbc_20230207.1</t>
        </is>
      </c>
      <c r="L1138" t="inlineStr">
        <is>
          <t>24 periodos; mín 111.97, máx 165.74 €/MWh</t>
        </is>
      </c>
    </row>
    <row r="1139">
      <c r="A1139" s="53" t="n">
        <v>44965</v>
      </c>
      <c r="B1139" t="inlineStr">
        <is>
          <t>2023-02-08</t>
        </is>
      </c>
      <c r="C1139" s="45" t="n">
        <v>138.0025</v>
      </c>
      <c r="D1139" t="inlineStr">
        <is>
          <t>€/MWh</t>
        </is>
      </c>
      <c r="E1139" s="54" t="n">
        <v>0.138003</v>
      </c>
      <c r="F1139" s="54" t="n"/>
      <c r="G1139" t="inlineStr">
        <is>
          <t>no aplica (precio mayorista)</t>
        </is>
      </c>
      <c r="J1139" t="inlineStr">
        <is>
          <t>2023-02-07</t>
        </is>
      </c>
      <c r="K1139" t="inlineStr">
        <is>
          <t>marginalpdbc_20230208.1</t>
        </is>
      </c>
      <c r="L1139" t="inlineStr">
        <is>
          <t>24 periodos; mín 108.00, máx 166.45 €/MWh</t>
        </is>
      </c>
    </row>
    <row r="1140">
      <c r="A1140" s="53" t="n">
        <v>44966</v>
      </c>
      <c r="B1140" t="inlineStr">
        <is>
          <t>2023-02-09</t>
        </is>
      </c>
      <c r="C1140" s="45" t="n">
        <v>144.9963</v>
      </c>
      <c r="D1140" t="inlineStr">
        <is>
          <t>€/MWh</t>
        </is>
      </c>
      <c r="E1140" s="54" t="n">
        <v>0.144996</v>
      </c>
      <c r="F1140" s="54" t="n"/>
      <c r="G1140" t="inlineStr">
        <is>
          <t>no aplica (precio mayorista)</t>
        </is>
      </c>
      <c r="J1140" t="inlineStr">
        <is>
          <t>2023-02-08</t>
        </is>
      </c>
      <c r="K1140" t="inlineStr">
        <is>
          <t>marginalpdbc_20230209.1</t>
        </is>
      </c>
      <c r="L1140" t="inlineStr">
        <is>
          <t>24 periodos; mín 136.85, máx 165.00 €/MWh</t>
        </is>
      </c>
    </row>
    <row r="1141">
      <c r="A1141" s="53" t="n">
        <v>44967</v>
      </c>
      <c r="B1141" t="inlineStr">
        <is>
          <t>2023-02-10</t>
        </is>
      </c>
      <c r="C1141" s="45" t="n">
        <v>142.0517</v>
      </c>
      <c r="D1141" t="inlineStr">
        <is>
          <t>€/MWh</t>
        </is>
      </c>
      <c r="E1141" s="54" t="n">
        <v>0.142052</v>
      </c>
      <c r="F1141" s="54" t="n"/>
      <c r="G1141" t="inlineStr">
        <is>
          <t>no aplica (precio mayorista)</t>
        </is>
      </c>
      <c r="J1141" t="inlineStr">
        <is>
          <t>2023-02-09</t>
        </is>
      </c>
      <c r="K1141" t="inlineStr">
        <is>
          <t>marginalpdbc_20230210.1</t>
        </is>
      </c>
      <c r="L1141" t="inlineStr">
        <is>
          <t>24 periodos; mín 123.63, máx 163.44 €/MWh</t>
        </is>
      </c>
    </row>
    <row r="1142">
      <c r="A1142" s="53" t="n">
        <v>44968</v>
      </c>
      <c r="B1142" t="inlineStr">
        <is>
          <t>2023-02-11</t>
        </is>
      </c>
      <c r="C1142" s="45" t="n">
        <v>131.76</v>
      </c>
      <c r="D1142" t="inlineStr">
        <is>
          <t>€/MWh</t>
        </is>
      </c>
      <c r="E1142" s="54" t="n">
        <v>0.13176</v>
      </c>
      <c r="F1142" s="54" t="n"/>
      <c r="G1142" t="inlineStr">
        <is>
          <t>no aplica (precio mayorista)</t>
        </is>
      </c>
      <c r="J1142" t="inlineStr">
        <is>
          <t>2023-02-10</t>
        </is>
      </c>
      <c r="K1142" t="inlineStr">
        <is>
          <t>marginalpdbc_20230211.1</t>
        </is>
      </c>
      <c r="L1142" t="inlineStr">
        <is>
          <t>24 periodos; mín 103.36, máx 161.01 €/MWh</t>
        </is>
      </c>
    </row>
    <row r="1143">
      <c r="A1143" s="53" t="n">
        <v>44969</v>
      </c>
      <c r="B1143" t="inlineStr">
        <is>
          <t>2023-02-12</t>
        </is>
      </c>
      <c r="C1143" s="45" t="n">
        <v>137.7687</v>
      </c>
      <c r="D1143" t="inlineStr">
        <is>
          <t>€/MWh</t>
        </is>
      </c>
      <c r="E1143" s="54" t="n">
        <v>0.137769</v>
      </c>
      <c r="F1143" s="54" t="n"/>
      <c r="G1143" t="inlineStr">
        <is>
          <t>no aplica (precio mayorista)</t>
        </is>
      </c>
      <c r="J1143" t="inlineStr">
        <is>
          <t>2023-02-11</t>
        </is>
      </c>
      <c r="K1143" t="inlineStr">
        <is>
          <t>marginalpdbc_20230212.1</t>
        </is>
      </c>
      <c r="L1143" t="inlineStr">
        <is>
          <t>24 periodos; mín 120.00, máx 173.46 €/MWh</t>
        </is>
      </c>
    </row>
    <row r="1144">
      <c r="A1144" s="53" t="n">
        <v>44970</v>
      </c>
      <c r="B1144" t="inlineStr">
        <is>
          <t>2023-02-13</t>
        </is>
      </c>
      <c r="C1144" s="45" t="n">
        <v>146.7671</v>
      </c>
      <c r="D1144" t="inlineStr">
        <is>
          <t>€/MWh</t>
        </is>
      </c>
      <c r="E1144" s="54" t="n">
        <v>0.146767</v>
      </c>
      <c r="F1144" s="54" t="n"/>
      <c r="G1144" t="inlineStr">
        <is>
          <t>no aplica (precio mayorista)</t>
        </is>
      </c>
      <c r="J1144" t="inlineStr">
        <is>
          <t>2023-02-12</t>
        </is>
      </c>
      <c r="K1144" t="inlineStr">
        <is>
          <t>marginalpdbc_20230213.1</t>
        </is>
      </c>
      <c r="L1144" t="inlineStr">
        <is>
          <t>24 periodos; mín 129.04, máx 186.59 €/MWh</t>
        </is>
      </c>
    </row>
    <row r="1145">
      <c r="A1145" s="53" t="n">
        <v>44971</v>
      </c>
      <c r="B1145" t="inlineStr">
        <is>
          <t>2023-02-14</t>
        </is>
      </c>
      <c r="C1145" s="45" t="n">
        <v>142.9029</v>
      </c>
      <c r="D1145" t="inlineStr">
        <is>
          <t>€/MWh</t>
        </is>
      </c>
      <c r="E1145" s="54" t="n">
        <v>0.142903</v>
      </c>
      <c r="F1145" s="54" t="n"/>
      <c r="G1145" t="inlineStr">
        <is>
          <t>no aplica (precio mayorista)</t>
        </is>
      </c>
      <c r="J1145" t="inlineStr">
        <is>
          <t>2023-02-13</t>
        </is>
      </c>
      <c r="K1145" t="inlineStr">
        <is>
          <t>marginalpdbc_20230214.1</t>
        </is>
      </c>
      <c r="L1145" t="inlineStr">
        <is>
          <t>24 periodos; mín 127.90, máx 171.37 €/MWh</t>
        </is>
      </c>
    </row>
    <row r="1146">
      <c r="A1146" s="53" t="n">
        <v>44972</v>
      </c>
      <c r="B1146" t="inlineStr">
        <is>
          <t>2023-02-15</t>
        </is>
      </c>
      <c r="C1146" s="45" t="n">
        <v>145.0708</v>
      </c>
      <c r="D1146" t="inlineStr">
        <is>
          <t>€/MWh</t>
        </is>
      </c>
      <c r="E1146" s="54" t="n">
        <v>0.145071</v>
      </c>
      <c r="F1146" s="54" t="n"/>
      <c r="G1146" t="inlineStr">
        <is>
          <t>no aplica (precio mayorista)</t>
        </is>
      </c>
      <c r="J1146" t="inlineStr">
        <is>
          <t>2023-02-14</t>
        </is>
      </c>
      <c r="K1146" t="inlineStr">
        <is>
          <t>marginalpdbc_20230215.1</t>
        </is>
      </c>
      <c r="L1146" t="inlineStr">
        <is>
          <t>24 periodos; mín 121.75, máx 175.00 €/MWh</t>
        </is>
      </c>
    </row>
    <row r="1147">
      <c r="A1147" s="53" t="n">
        <v>44973</v>
      </c>
      <c r="B1147" t="inlineStr">
        <is>
          <t>2023-02-16</t>
        </is>
      </c>
      <c r="C1147" s="45" t="n">
        <v>145.805</v>
      </c>
      <c r="D1147" t="inlineStr">
        <is>
          <t>€/MWh</t>
        </is>
      </c>
      <c r="E1147" s="54" t="n">
        <v>0.145805</v>
      </c>
      <c r="F1147" s="54" t="n"/>
      <c r="G1147" t="inlineStr">
        <is>
          <t>no aplica (precio mayorista)</t>
        </is>
      </c>
      <c r="J1147" t="inlineStr">
        <is>
          <t>2023-02-15</t>
        </is>
      </c>
      <c r="K1147" t="inlineStr">
        <is>
          <t>marginalpdbc_20230216.1</t>
        </is>
      </c>
      <c r="L1147" t="inlineStr">
        <is>
          <t>24 periodos; mín 123.90, máx 175.00 €/MWh</t>
        </is>
      </c>
    </row>
    <row r="1148">
      <c r="A1148" s="53" t="n">
        <v>44974</v>
      </c>
      <c r="B1148" t="inlineStr">
        <is>
          <t>2023-02-17</t>
        </is>
      </c>
      <c r="C1148" s="45" t="n">
        <v>133.5592</v>
      </c>
      <c r="D1148" t="inlineStr">
        <is>
          <t>€/MWh</t>
        </is>
      </c>
      <c r="E1148" s="54" t="n">
        <v>0.133559</v>
      </c>
      <c r="F1148" s="54" t="n"/>
      <c r="G1148" t="inlineStr">
        <is>
          <t>no aplica (precio mayorista)</t>
        </is>
      </c>
      <c r="J1148" t="inlineStr">
        <is>
          <t>2023-02-16</t>
        </is>
      </c>
      <c r="K1148" t="inlineStr">
        <is>
          <t>marginalpdbc_20230217.1</t>
        </is>
      </c>
      <c r="L1148" t="inlineStr">
        <is>
          <t>24 periodos; mín 110.00, máx 162.09 €/MWh</t>
        </is>
      </c>
    </row>
    <row r="1149">
      <c r="A1149" s="53" t="n">
        <v>44975</v>
      </c>
      <c r="B1149" t="inlineStr">
        <is>
          <t>2023-02-18</t>
        </is>
      </c>
      <c r="C1149" s="45" t="n">
        <v>128.5625</v>
      </c>
      <c r="D1149" t="inlineStr">
        <is>
          <t>€/MWh</t>
        </is>
      </c>
      <c r="E1149" s="54" t="n">
        <v>0.128562</v>
      </c>
      <c r="F1149" s="54" t="n"/>
      <c r="G1149" t="inlineStr">
        <is>
          <t>no aplica (precio mayorista)</t>
        </is>
      </c>
      <c r="J1149" t="inlineStr">
        <is>
          <t>2023-02-17</t>
        </is>
      </c>
      <c r="K1149" t="inlineStr">
        <is>
          <t>marginalpdbc_20230218.1</t>
        </is>
      </c>
      <c r="L1149" t="inlineStr">
        <is>
          <t>24 periodos; mín 110.92, máx 156.02 €/MWh</t>
        </is>
      </c>
    </row>
    <row r="1150">
      <c r="A1150" s="53" t="n">
        <v>44976</v>
      </c>
      <c r="B1150" t="inlineStr">
        <is>
          <t>2023-02-19</t>
        </is>
      </c>
      <c r="C1150" s="45" t="n">
        <v>124.0867</v>
      </c>
      <c r="D1150" t="inlineStr">
        <is>
          <t>€/MWh</t>
        </is>
      </c>
      <c r="E1150" s="54" t="n">
        <v>0.124087</v>
      </c>
      <c r="F1150" s="54" t="n"/>
      <c r="G1150" t="inlineStr">
        <is>
          <t>no aplica (precio mayorista)</t>
        </is>
      </c>
      <c r="J1150" t="inlineStr">
        <is>
          <t>2023-02-18</t>
        </is>
      </c>
      <c r="K1150" t="inlineStr">
        <is>
          <t>marginalpdbc_20230219.1</t>
        </is>
      </c>
      <c r="L1150" t="inlineStr">
        <is>
          <t>24 periodos; mín 104.41, máx 159.20 €/MWh</t>
        </is>
      </c>
    </row>
    <row r="1151">
      <c r="A1151" s="53" t="n">
        <v>44977</v>
      </c>
      <c r="B1151" t="inlineStr">
        <is>
          <t>2023-02-20</t>
        </is>
      </c>
      <c r="C1151" s="45" t="n">
        <v>134.1329</v>
      </c>
      <c r="D1151" t="inlineStr">
        <is>
          <t>€/MWh</t>
        </is>
      </c>
      <c r="E1151" s="54" t="n">
        <v>0.134133</v>
      </c>
      <c r="F1151" s="54" t="n"/>
      <c r="G1151" t="inlineStr">
        <is>
          <t>no aplica (precio mayorista)</t>
        </is>
      </c>
      <c r="J1151" t="inlineStr">
        <is>
          <t>2023-02-19</t>
        </is>
      </c>
      <c r="K1151" t="inlineStr">
        <is>
          <t>marginalpdbc_20230220.1</t>
        </is>
      </c>
      <c r="L1151" t="inlineStr">
        <is>
          <t>24 periodos; mín 108.58, máx 168.72 €/MWh</t>
        </is>
      </c>
    </row>
    <row r="1152">
      <c r="A1152" s="53" t="n">
        <v>44978</v>
      </c>
      <c r="B1152" t="inlineStr">
        <is>
          <t>2023-02-21</t>
        </is>
      </c>
      <c r="C1152" s="45" t="n">
        <v>151.4271</v>
      </c>
      <c r="D1152" t="inlineStr">
        <is>
          <t>€/MWh</t>
        </is>
      </c>
      <c r="E1152" s="54" t="n">
        <v>0.151427</v>
      </c>
      <c r="F1152" s="54" t="n"/>
      <c r="G1152" t="inlineStr">
        <is>
          <t>no aplica (precio mayorista)</t>
        </is>
      </c>
      <c r="J1152" t="inlineStr">
        <is>
          <t>2023-02-20</t>
        </is>
      </c>
      <c r="K1152" t="inlineStr">
        <is>
          <t>marginalpdbc_20230221.1</t>
        </is>
      </c>
      <c r="L1152" t="inlineStr">
        <is>
          <t>24 periodos; mín 130.56, máx 175.61 €/MWh</t>
        </is>
      </c>
    </row>
    <row r="1153">
      <c r="A1153" s="53" t="n">
        <v>44979</v>
      </c>
      <c r="B1153" t="inlineStr">
        <is>
          <t>2023-02-22</t>
        </is>
      </c>
      <c r="C1153" s="45" t="n">
        <v>144.4496</v>
      </c>
      <c r="D1153" t="inlineStr">
        <is>
          <t>€/MWh</t>
        </is>
      </c>
      <c r="E1153" s="54" t="n">
        <v>0.14445</v>
      </c>
      <c r="F1153" s="54" t="n"/>
      <c r="G1153" t="inlineStr">
        <is>
          <t>no aplica (precio mayorista)</t>
        </is>
      </c>
      <c r="J1153" t="inlineStr">
        <is>
          <t>2023-02-21</t>
        </is>
      </c>
      <c r="K1153" t="inlineStr">
        <is>
          <t>marginalpdbc_20230222.1</t>
        </is>
      </c>
      <c r="L1153" t="inlineStr">
        <is>
          <t>24 periodos; mín 123.00, máx 164.50 €/MWh</t>
        </is>
      </c>
    </row>
    <row r="1154">
      <c r="A1154" s="53" t="n">
        <v>44980</v>
      </c>
      <c r="B1154" t="inlineStr">
        <is>
          <t>2023-02-23</t>
        </is>
      </c>
      <c r="C1154" s="45" t="n">
        <v>140.5683</v>
      </c>
      <c r="D1154" t="inlineStr">
        <is>
          <t>€/MWh</t>
        </is>
      </c>
      <c r="E1154" s="54" t="n">
        <v>0.140568</v>
      </c>
      <c r="F1154" s="54" t="n"/>
      <c r="G1154" t="inlineStr">
        <is>
          <t>no aplica (precio mayorista)</t>
        </is>
      </c>
      <c r="J1154" t="inlineStr">
        <is>
          <t>2023-02-22</t>
        </is>
      </c>
      <c r="K1154" t="inlineStr">
        <is>
          <t>marginalpdbc_20230223.1</t>
        </is>
      </c>
      <c r="L1154" t="inlineStr">
        <is>
          <t>24 periodos; mín 115.27, máx 164.46 €/MWh</t>
        </is>
      </c>
    </row>
    <row r="1155">
      <c r="A1155" s="53" t="n">
        <v>44981</v>
      </c>
      <c r="B1155" t="inlineStr">
        <is>
          <t>2023-02-24</t>
        </is>
      </c>
      <c r="C1155" s="45" t="n">
        <v>148.0787</v>
      </c>
      <c r="D1155" t="inlineStr">
        <is>
          <t>€/MWh</t>
        </is>
      </c>
      <c r="E1155" s="54" t="n">
        <v>0.148079</v>
      </c>
      <c r="F1155" s="54" t="n"/>
      <c r="G1155" t="inlineStr">
        <is>
          <t>no aplica (precio mayorista)</t>
        </is>
      </c>
      <c r="J1155" t="inlineStr">
        <is>
          <t>2023-02-23</t>
        </is>
      </c>
      <c r="K1155" t="inlineStr">
        <is>
          <t>marginalpdbc_20230224.1</t>
        </is>
      </c>
      <c r="L1155" t="inlineStr">
        <is>
          <t>24 periodos; mín 120.21, máx 174.18 €/MWh</t>
        </is>
      </c>
    </row>
    <row r="1156">
      <c r="A1156" s="53" t="n">
        <v>44982</v>
      </c>
      <c r="B1156" t="inlineStr">
        <is>
          <t>2023-02-25</t>
        </is>
      </c>
      <c r="C1156" s="45" t="n">
        <v>143.0975</v>
      </c>
      <c r="D1156" t="inlineStr">
        <is>
          <t>€/MWh</t>
        </is>
      </c>
      <c r="E1156" s="54" t="n">
        <v>0.143097</v>
      </c>
      <c r="F1156" s="54" t="n"/>
      <c r="G1156" t="inlineStr">
        <is>
          <t>no aplica (precio mayorista)</t>
        </is>
      </c>
      <c r="J1156" t="inlineStr">
        <is>
          <t>2023-02-24</t>
        </is>
      </c>
      <c r="K1156" t="inlineStr">
        <is>
          <t>marginalpdbc_20230225.1</t>
        </is>
      </c>
      <c r="L1156" t="inlineStr">
        <is>
          <t>24 periodos; mín 117.93, máx 163.34 €/MWh</t>
        </is>
      </c>
    </row>
    <row r="1157">
      <c r="A1157" s="53" t="n">
        <v>44983</v>
      </c>
      <c r="B1157" t="inlineStr">
        <is>
          <t>2023-02-26</t>
        </is>
      </c>
      <c r="C1157" s="45" t="n">
        <v>81.0463</v>
      </c>
      <c r="D1157" t="inlineStr">
        <is>
          <t>€/MWh</t>
        </is>
      </c>
      <c r="E1157" s="54" t="n">
        <v>0.08104600000000001</v>
      </c>
      <c r="F1157" s="54" t="n"/>
      <c r="G1157" t="inlineStr">
        <is>
          <t>no aplica (precio mayorista)</t>
        </is>
      </c>
      <c r="J1157" t="inlineStr">
        <is>
          <t>2023-02-25</t>
        </is>
      </c>
      <c r="K1157" t="inlineStr">
        <is>
          <t>marginalpdbc_20230226.1</t>
        </is>
      </c>
      <c r="L1157" t="inlineStr">
        <is>
          <t>24 periodos; mín 4.16, máx 137.00 €/MWh</t>
        </is>
      </c>
    </row>
    <row r="1158">
      <c r="A1158" s="53" t="n">
        <v>44984</v>
      </c>
      <c r="B1158" t="inlineStr">
        <is>
          <t>2023-02-27</t>
        </is>
      </c>
      <c r="C1158" s="45" t="n">
        <v>117.5079</v>
      </c>
      <c r="D1158" t="inlineStr">
        <is>
          <t>€/MWh</t>
        </is>
      </c>
      <c r="E1158" s="54" t="n">
        <v>0.117508</v>
      </c>
      <c r="F1158" s="54" t="n"/>
      <c r="G1158" t="inlineStr">
        <is>
          <t>no aplica (precio mayorista)</t>
        </is>
      </c>
      <c r="J1158" t="inlineStr">
        <is>
          <t>2023-02-26</t>
        </is>
      </c>
      <c r="K1158" t="inlineStr">
        <is>
          <t>marginalpdbc_20230227.1</t>
        </is>
      </c>
      <c r="L1158" t="inlineStr">
        <is>
          <t>24 periodos; mín 89.98, máx 174.49 €/MWh</t>
        </is>
      </c>
    </row>
    <row r="1159">
      <c r="A1159" s="53" t="n">
        <v>44985</v>
      </c>
      <c r="B1159" t="inlineStr">
        <is>
          <t>2023-02-28</t>
        </is>
      </c>
      <c r="C1159" s="45" t="n">
        <v>132.6813</v>
      </c>
      <c r="D1159" t="inlineStr">
        <is>
          <t>€/MWh</t>
        </is>
      </c>
      <c r="E1159" s="54" t="n">
        <v>0.132681</v>
      </c>
      <c r="F1159" s="54" t="n"/>
      <c r="G1159" t="inlineStr">
        <is>
          <t>no aplica (precio mayorista)</t>
        </is>
      </c>
      <c r="J1159" t="inlineStr">
        <is>
          <t>2023-02-27</t>
        </is>
      </c>
      <c r="K1159" t="inlineStr">
        <is>
          <t>marginalpdbc_20230228.1</t>
        </is>
      </c>
      <c r="L1159" t="inlineStr">
        <is>
          <t>24 periodos; mín 104.80, máx 176.17 €/MWh</t>
        </is>
      </c>
    </row>
    <row r="1160">
      <c r="A1160" s="53" t="n">
        <v>44986</v>
      </c>
      <c r="B1160" t="inlineStr">
        <is>
          <t>2023-03-01</t>
        </is>
      </c>
      <c r="C1160" s="45" t="n">
        <v>145.9112</v>
      </c>
      <c r="D1160" t="inlineStr">
        <is>
          <t>€/MWh</t>
        </is>
      </c>
      <c r="E1160" s="54" t="n">
        <v>0.145911</v>
      </c>
      <c r="F1160" s="54" t="n"/>
      <c r="G1160" t="inlineStr">
        <is>
          <t>no aplica (precio mayorista)</t>
        </is>
      </c>
      <c r="J1160" t="inlineStr">
        <is>
          <t>2023-02-28</t>
        </is>
      </c>
      <c r="K1160" t="inlineStr">
        <is>
          <t>marginalpdbc_20230301.1</t>
        </is>
      </c>
      <c r="L1160" t="inlineStr">
        <is>
          <t>24 periodos; mín 121.13, máx 170.41 €/MWh</t>
        </is>
      </c>
    </row>
    <row r="1161">
      <c r="A1161" s="53" t="n">
        <v>44987</v>
      </c>
      <c r="B1161" t="inlineStr">
        <is>
          <t>2023-03-02</t>
        </is>
      </c>
      <c r="C1161" s="45" t="n">
        <v>142.0913</v>
      </c>
      <c r="D1161" t="inlineStr">
        <is>
          <t>€/MWh</t>
        </is>
      </c>
      <c r="E1161" s="54" t="n">
        <v>0.142091</v>
      </c>
      <c r="F1161" s="54" t="n"/>
      <c r="G1161" t="inlineStr">
        <is>
          <t>no aplica (precio mayorista)</t>
        </is>
      </c>
      <c r="J1161" t="inlineStr">
        <is>
          <t>2023-03-01</t>
        </is>
      </c>
      <c r="K1161" t="inlineStr">
        <is>
          <t>marginalpdbc_20230302.1</t>
        </is>
      </c>
      <c r="L1161" t="inlineStr">
        <is>
          <t>24 periodos; mín 117.00, máx 184.00 €/MWh</t>
        </is>
      </c>
    </row>
    <row r="1162">
      <c r="A1162" s="53" t="n">
        <v>44988</v>
      </c>
      <c r="B1162" t="inlineStr">
        <is>
          <t>2023-03-03</t>
        </is>
      </c>
      <c r="C1162" s="45" t="n">
        <v>142.5554</v>
      </c>
      <c r="D1162" t="inlineStr">
        <is>
          <t>€/MWh</t>
        </is>
      </c>
      <c r="E1162" s="54" t="n">
        <v>0.142555</v>
      </c>
      <c r="F1162" s="54" t="n"/>
      <c r="G1162" t="inlineStr">
        <is>
          <t>no aplica (precio mayorista)</t>
        </is>
      </c>
      <c r="J1162" t="inlineStr">
        <is>
          <t>2023-03-02</t>
        </is>
      </c>
      <c r="K1162" t="inlineStr">
        <is>
          <t>marginalpdbc_20230303.1</t>
        </is>
      </c>
      <c r="L1162" t="inlineStr">
        <is>
          <t>24 periodos; mín 115.50, máx 169.00 €/MWh</t>
        </is>
      </c>
    </row>
    <row r="1163">
      <c r="A1163" s="53" t="n">
        <v>44989</v>
      </c>
      <c r="B1163" t="inlineStr">
        <is>
          <t>2023-03-04</t>
        </is>
      </c>
      <c r="C1163" s="45" t="n">
        <v>138.5692</v>
      </c>
      <c r="D1163" t="inlineStr">
        <is>
          <t>€/MWh</t>
        </is>
      </c>
      <c r="E1163" s="54" t="n">
        <v>0.138569</v>
      </c>
      <c r="F1163" s="54" t="n"/>
      <c r="G1163" t="inlineStr">
        <is>
          <t>no aplica (precio mayorista)</t>
        </is>
      </c>
      <c r="J1163" t="inlineStr">
        <is>
          <t>2023-03-03</t>
        </is>
      </c>
      <c r="K1163" t="inlineStr">
        <is>
          <t>marginalpdbc_20230304.1</t>
        </is>
      </c>
      <c r="L1163" t="inlineStr">
        <is>
          <t>24 periodos; mín 111.90, máx 173.20 €/MWh</t>
        </is>
      </c>
    </row>
    <row r="1164">
      <c r="A1164" s="53" t="n">
        <v>44990</v>
      </c>
      <c r="B1164" t="inlineStr">
        <is>
          <t>2023-03-05</t>
        </is>
      </c>
      <c r="C1164" s="45" t="n">
        <v>143.9242</v>
      </c>
      <c r="D1164" t="inlineStr">
        <is>
          <t>€/MWh</t>
        </is>
      </c>
      <c r="E1164" s="54" t="n">
        <v>0.143924</v>
      </c>
      <c r="F1164" s="54" t="n"/>
      <c r="G1164" t="inlineStr">
        <is>
          <t>no aplica (precio mayorista)</t>
        </is>
      </c>
      <c r="J1164" t="inlineStr">
        <is>
          <t>2023-03-04</t>
        </is>
      </c>
      <c r="K1164" t="inlineStr">
        <is>
          <t>marginalpdbc_20230305.1</t>
        </is>
      </c>
      <c r="L1164" t="inlineStr">
        <is>
          <t>24 periodos; mín 123.26, máx 184.02 €/MWh</t>
        </is>
      </c>
    </row>
    <row r="1165">
      <c r="A1165" s="53" t="n">
        <v>44991</v>
      </c>
      <c r="B1165" t="inlineStr">
        <is>
          <t>2023-03-06</t>
        </is>
      </c>
      <c r="C1165" s="45" t="n">
        <v>147.7708</v>
      </c>
      <c r="D1165" t="inlineStr">
        <is>
          <t>€/MWh</t>
        </is>
      </c>
      <c r="E1165" s="54" t="n">
        <v>0.147771</v>
      </c>
      <c r="F1165" s="54" t="n"/>
      <c r="G1165" t="inlineStr">
        <is>
          <t>no aplica (precio mayorista)</t>
        </is>
      </c>
      <c r="J1165" t="inlineStr">
        <is>
          <t>2023-03-05</t>
        </is>
      </c>
      <c r="K1165" t="inlineStr">
        <is>
          <t>marginalpdbc_20230306.1</t>
        </is>
      </c>
      <c r="L1165" t="inlineStr">
        <is>
          <t>24 periodos; mín 134.00, máx 172.60 €/MWh</t>
        </is>
      </c>
    </row>
    <row r="1166">
      <c r="A1166" s="53" t="n">
        <v>44992</v>
      </c>
      <c r="B1166" t="inlineStr">
        <is>
          <t>2023-03-07</t>
        </is>
      </c>
      <c r="C1166" s="45" t="n">
        <v>120.9867</v>
      </c>
      <c r="D1166" t="inlineStr">
        <is>
          <t>€/MWh</t>
        </is>
      </c>
      <c r="E1166" s="54" t="n">
        <v>0.120987</v>
      </c>
      <c r="F1166" s="54" t="n"/>
      <c r="G1166" t="inlineStr">
        <is>
          <t>no aplica (precio mayorista)</t>
        </is>
      </c>
      <c r="J1166" t="inlineStr">
        <is>
          <t>2023-03-06</t>
        </is>
      </c>
      <c r="K1166" t="inlineStr">
        <is>
          <t>marginalpdbc_20230307.1</t>
        </is>
      </c>
      <c r="L1166" t="inlineStr">
        <is>
          <t>24 periodos; mín 93.60, máx 152.10 €/MWh</t>
        </is>
      </c>
    </row>
    <row r="1167">
      <c r="A1167" s="53" t="n">
        <v>44993</v>
      </c>
      <c r="B1167" t="inlineStr">
        <is>
          <t>2023-03-08</t>
        </is>
      </c>
      <c r="C1167" s="45" t="n">
        <v>98.92959999999999</v>
      </c>
      <c r="D1167" t="inlineStr">
        <is>
          <t>€/MWh</t>
        </is>
      </c>
      <c r="E1167" s="54" t="n">
        <v>0.09893</v>
      </c>
      <c r="F1167" s="54" t="n"/>
      <c r="G1167" t="inlineStr">
        <is>
          <t>no aplica (precio mayorista)</t>
        </is>
      </c>
      <c r="J1167" t="inlineStr">
        <is>
          <t>2023-03-07</t>
        </is>
      </c>
      <c r="K1167" t="inlineStr">
        <is>
          <t>marginalpdbc_20230308.1</t>
        </is>
      </c>
      <c r="L1167" t="inlineStr">
        <is>
          <t>24 periodos; mín 60.20, máx 140.00 €/MWh</t>
        </is>
      </c>
    </row>
    <row r="1168">
      <c r="A1168" s="53" t="n">
        <v>44994</v>
      </c>
      <c r="B1168" t="inlineStr">
        <is>
          <t>2023-03-09</t>
        </is>
      </c>
      <c r="C1168" s="45" t="n">
        <v>73.5929</v>
      </c>
      <c r="D1168" t="inlineStr">
        <is>
          <t>€/MWh</t>
        </is>
      </c>
      <c r="E1168" s="54" t="n">
        <v>0.07359300000000001</v>
      </c>
      <c r="F1168" s="54" t="n"/>
      <c r="G1168" t="inlineStr">
        <is>
          <t>no aplica (precio mayorista)</t>
        </is>
      </c>
      <c r="J1168" t="inlineStr">
        <is>
          <t>2023-03-08</t>
        </is>
      </c>
      <c r="K1168" t="inlineStr">
        <is>
          <t>marginalpdbc_20230309.1</t>
        </is>
      </c>
      <c r="L1168" t="inlineStr">
        <is>
          <t>24 periodos; mín 14.00, máx 121.36 €/MWh</t>
        </is>
      </c>
    </row>
    <row r="1169">
      <c r="A1169" s="53" t="n">
        <v>44995</v>
      </c>
      <c r="B1169" t="inlineStr">
        <is>
          <t>2023-03-10</t>
        </is>
      </c>
      <c r="C1169" s="45" t="n">
        <v>42.7104</v>
      </c>
      <c r="D1169" t="inlineStr">
        <is>
          <t>€/MWh</t>
        </is>
      </c>
      <c r="E1169" s="54" t="n">
        <v>0.04271</v>
      </c>
      <c r="F1169" s="54" t="n"/>
      <c r="G1169" t="inlineStr">
        <is>
          <t>no aplica (precio mayorista)</t>
        </is>
      </c>
      <c r="J1169" t="inlineStr">
        <is>
          <t>2023-03-09</t>
        </is>
      </c>
      <c r="K1169" t="inlineStr">
        <is>
          <t>marginalpdbc_20230310.1</t>
        </is>
      </c>
      <c r="L1169" t="inlineStr">
        <is>
          <t>24 periodos; mín 4.16, máx 124.22 €/MWh</t>
        </is>
      </c>
    </row>
    <row r="1170">
      <c r="A1170" s="53" t="n">
        <v>44996</v>
      </c>
      <c r="B1170" t="inlineStr">
        <is>
          <t>2023-03-11</t>
        </is>
      </c>
      <c r="C1170" s="45" t="n">
        <v>30.0321</v>
      </c>
      <c r="D1170" t="inlineStr">
        <is>
          <t>€/MWh</t>
        </is>
      </c>
      <c r="E1170" s="54" t="n">
        <v>0.030032</v>
      </c>
      <c r="F1170" s="54" t="n"/>
      <c r="G1170" t="inlineStr">
        <is>
          <t>no aplica (precio mayorista)</t>
        </is>
      </c>
      <c r="J1170" t="inlineStr">
        <is>
          <t>2023-03-10</t>
        </is>
      </c>
      <c r="K1170" t="inlineStr">
        <is>
          <t>marginalpdbc_20230311.1</t>
        </is>
      </c>
      <c r="L1170" t="inlineStr">
        <is>
          <t>24 periodos; mín 1.49, máx 100.00 €/MWh</t>
        </is>
      </c>
    </row>
    <row r="1171">
      <c r="A1171" s="53" t="n">
        <v>44997</v>
      </c>
      <c r="B1171" t="inlineStr">
        <is>
          <t>2023-03-12</t>
        </is>
      </c>
      <c r="C1171" s="45" t="n">
        <v>80.6183</v>
      </c>
      <c r="D1171" t="inlineStr">
        <is>
          <t>€/MWh</t>
        </is>
      </c>
      <c r="E1171" s="54" t="n">
        <v>0.080618</v>
      </c>
      <c r="F1171" s="54" t="n"/>
      <c r="G1171" t="inlineStr">
        <is>
          <t>no aplica (precio mayorista)</t>
        </is>
      </c>
      <c r="J1171" t="inlineStr">
        <is>
          <t>2023-03-11</t>
        </is>
      </c>
      <c r="K1171" t="inlineStr">
        <is>
          <t>marginalpdbc_20230312.1</t>
        </is>
      </c>
      <c r="L1171" t="inlineStr">
        <is>
          <t>24 periodos; mín 48.67, máx 141.04 €/MWh</t>
        </is>
      </c>
    </row>
    <row r="1172">
      <c r="A1172" s="53" t="n">
        <v>44998</v>
      </c>
      <c r="B1172" t="inlineStr">
        <is>
          <t>2023-03-13</t>
        </is>
      </c>
      <c r="C1172" s="45" t="n">
        <v>36.8413</v>
      </c>
      <c r="D1172" t="inlineStr">
        <is>
          <t>€/MWh</t>
        </is>
      </c>
      <c r="E1172" s="54" t="n">
        <v>0.036841</v>
      </c>
      <c r="F1172" s="54" t="n"/>
      <c r="G1172" t="inlineStr">
        <is>
          <t>no aplica (precio mayorista)</t>
        </is>
      </c>
      <c r="J1172" t="inlineStr">
        <is>
          <t>2023-03-12</t>
        </is>
      </c>
      <c r="K1172" t="inlineStr">
        <is>
          <t>marginalpdbc_20230313.1</t>
        </is>
      </c>
      <c r="L1172" t="inlineStr">
        <is>
          <t>24 periodos; mín 4.16, máx 95.11 €/MWh</t>
        </is>
      </c>
    </row>
    <row r="1173">
      <c r="A1173" s="53" t="n">
        <v>44999</v>
      </c>
      <c r="B1173" t="inlineStr">
        <is>
          <t>2023-03-14</t>
        </is>
      </c>
      <c r="C1173" s="45" t="n">
        <v>61.5092</v>
      </c>
      <c r="D1173" t="inlineStr">
        <is>
          <t>€/MWh</t>
        </is>
      </c>
      <c r="E1173" s="54" t="n">
        <v>0.061509</v>
      </c>
      <c r="F1173" s="54" t="n"/>
      <c r="G1173" t="inlineStr">
        <is>
          <t>no aplica (precio mayorista)</t>
        </is>
      </c>
      <c r="J1173" t="inlineStr">
        <is>
          <t>2023-03-13</t>
        </is>
      </c>
      <c r="K1173" t="inlineStr">
        <is>
          <t>marginalpdbc_20230314.1</t>
        </is>
      </c>
      <c r="L1173" t="inlineStr">
        <is>
          <t>24 periodos; mín 2.36, máx 179.84 €/MWh</t>
        </is>
      </c>
    </row>
    <row r="1174">
      <c r="A1174" s="53" t="n">
        <v>45000</v>
      </c>
      <c r="B1174" t="inlineStr">
        <is>
          <t>2023-03-15</t>
        </is>
      </c>
      <c r="C1174" s="45" t="n">
        <v>132.675</v>
      </c>
      <c r="D1174" t="inlineStr">
        <is>
          <t>€/MWh</t>
        </is>
      </c>
      <c r="E1174" s="54" t="n">
        <v>0.132675</v>
      </c>
      <c r="F1174" s="54" t="n"/>
      <c r="G1174" t="inlineStr">
        <is>
          <t>no aplica (precio mayorista)</t>
        </is>
      </c>
      <c r="J1174" t="inlineStr">
        <is>
          <t>2023-03-14</t>
        </is>
      </c>
      <c r="K1174" t="inlineStr">
        <is>
          <t>marginalpdbc_20230315.1</t>
        </is>
      </c>
      <c r="L1174" t="inlineStr">
        <is>
          <t>24 periodos; mín 107.00, máx 190.00 €/MWh</t>
        </is>
      </c>
    </row>
    <row r="1175">
      <c r="A1175" s="53" t="n">
        <v>45001</v>
      </c>
      <c r="B1175" t="inlineStr">
        <is>
          <t>2023-03-16</t>
        </is>
      </c>
      <c r="C1175" s="45" t="n">
        <v>87.8308</v>
      </c>
      <c r="D1175" t="inlineStr">
        <is>
          <t>€/MWh</t>
        </is>
      </c>
      <c r="E1175" s="54" t="n">
        <v>0.08783100000000001</v>
      </c>
      <c r="F1175" s="54" t="n"/>
      <c r="G1175" t="inlineStr">
        <is>
          <t>no aplica (precio mayorista)</t>
        </is>
      </c>
      <c r="J1175" t="inlineStr">
        <is>
          <t>2023-03-15</t>
        </is>
      </c>
      <c r="K1175" t="inlineStr">
        <is>
          <t>marginalpdbc_20230316.1</t>
        </is>
      </c>
      <c r="L1175" t="inlineStr">
        <is>
          <t>24 periodos; mín 29.59, máx 132.42 €/MWh</t>
        </is>
      </c>
    </row>
    <row r="1176">
      <c r="A1176" s="53" t="n">
        <v>45002</v>
      </c>
      <c r="B1176" t="inlineStr">
        <is>
          <t>2023-03-17</t>
        </is>
      </c>
      <c r="C1176" s="45" t="n">
        <v>70.2675</v>
      </c>
      <c r="D1176" t="inlineStr">
        <is>
          <t>€/MWh</t>
        </is>
      </c>
      <c r="E1176" s="54" t="n">
        <v>0.070267</v>
      </c>
      <c r="F1176" s="54" t="n"/>
      <c r="G1176" t="inlineStr">
        <is>
          <t>no aplica (precio mayorista)</t>
        </is>
      </c>
      <c r="J1176" t="inlineStr">
        <is>
          <t>2023-03-16</t>
        </is>
      </c>
      <c r="K1176" t="inlineStr">
        <is>
          <t>marginalpdbc_20230317.1</t>
        </is>
      </c>
      <c r="L1176" t="inlineStr">
        <is>
          <t>24 periodos; mín 27.83, máx 127.69 €/MWh</t>
        </is>
      </c>
    </row>
    <row r="1177">
      <c r="A1177" s="53" t="n">
        <v>45003</v>
      </c>
      <c r="B1177" t="inlineStr">
        <is>
          <t>2023-03-18</t>
        </is>
      </c>
      <c r="C1177" s="45" t="n">
        <v>101.6137</v>
      </c>
      <c r="D1177" t="inlineStr">
        <is>
          <t>€/MWh</t>
        </is>
      </c>
      <c r="E1177" s="54" t="n">
        <v>0.101614</v>
      </c>
      <c r="F1177" s="54" t="n"/>
      <c r="G1177" t="inlineStr">
        <is>
          <t>no aplica (precio mayorista)</t>
        </is>
      </c>
      <c r="J1177" t="inlineStr">
        <is>
          <t>2023-03-17</t>
        </is>
      </c>
      <c r="K1177" t="inlineStr">
        <is>
          <t>marginalpdbc_20230318.1</t>
        </is>
      </c>
      <c r="L1177" t="inlineStr">
        <is>
          <t>24 periodos; mín 70.00, máx 144.15 €/MWh</t>
        </is>
      </c>
    </row>
    <row r="1178">
      <c r="A1178" s="53" t="n">
        <v>45004</v>
      </c>
      <c r="B1178" t="inlineStr">
        <is>
          <t>2023-03-19</t>
        </is>
      </c>
      <c r="C1178" s="45" t="n">
        <v>95.8742</v>
      </c>
      <c r="D1178" t="inlineStr">
        <is>
          <t>€/MWh</t>
        </is>
      </c>
      <c r="E1178" s="54" t="n">
        <v>0.095874</v>
      </c>
      <c r="F1178" s="54" t="n"/>
      <c r="G1178" t="inlineStr">
        <is>
          <t>no aplica (precio mayorista)</t>
        </is>
      </c>
      <c r="J1178" t="inlineStr">
        <is>
          <t>2023-03-18</t>
        </is>
      </c>
      <c r="K1178" t="inlineStr">
        <is>
          <t>marginalpdbc_20230319.1</t>
        </is>
      </c>
      <c r="L1178" t="inlineStr">
        <is>
          <t>24 periodos; mín 50.00, máx 152.91 €/MWh</t>
        </is>
      </c>
    </row>
    <row r="1179">
      <c r="A1179" s="53" t="n">
        <v>45005</v>
      </c>
      <c r="B1179" t="inlineStr">
        <is>
          <t>2023-03-20</t>
        </is>
      </c>
      <c r="C1179" s="45" t="n">
        <v>121.5642</v>
      </c>
      <c r="D1179" t="inlineStr">
        <is>
          <t>€/MWh</t>
        </is>
      </c>
      <c r="E1179" s="54" t="n">
        <v>0.121564</v>
      </c>
      <c r="F1179" s="54" t="n"/>
      <c r="G1179" t="inlineStr">
        <is>
          <t>no aplica (precio mayorista)</t>
        </is>
      </c>
      <c r="J1179" t="inlineStr">
        <is>
          <t>2023-03-19</t>
        </is>
      </c>
      <c r="K1179" t="inlineStr">
        <is>
          <t>marginalpdbc_20230320.1</t>
        </is>
      </c>
      <c r="L1179" t="inlineStr">
        <is>
          <t>24 periodos; mín 97.25, máx 165.47 €/MWh</t>
        </is>
      </c>
    </row>
    <row r="1180">
      <c r="A1180" s="53" t="n">
        <v>45006</v>
      </c>
      <c r="B1180" t="inlineStr">
        <is>
          <t>2023-03-21</t>
        </is>
      </c>
      <c r="C1180" s="45" t="n">
        <v>119.3388</v>
      </c>
      <c r="D1180" t="inlineStr">
        <is>
          <t>€/MWh</t>
        </is>
      </c>
      <c r="E1180" s="54" t="n">
        <v>0.119339</v>
      </c>
      <c r="F1180" s="54" t="n"/>
      <c r="G1180" t="inlineStr">
        <is>
          <t>no aplica (precio mayorista)</t>
        </is>
      </c>
      <c r="J1180" t="inlineStr">
        <is>
          <t>2023-03-20</t>
        </is>
      </c>
      <c r="K1180" t="inlineStr">
        <is>
          <t>marginalpdbc_20230321.1</t>
        </is>
      </c>
      <c r="L1180" t="inlineStr">
        <is>
          <t>24 periodos; mín 99.00, máx 145.66 €/MWh</t>
        </is>
      </c>
    </row>
    <row r="1181">
      <c r="A1181" s="53" t="n">
        <v>45007</v>
      </c>
      <c r="B1181" t="inlineStr">
        <is>
          <t>2023-03-22</t>
        </is>
      </c>
      <c r="C1181" s="45" t="n">
        <v>101.2175</v>
      </c>
      <c r="D1181" t="inlineStr">
        <is>
          <t>€/MWh</t>
        </is>
      </c>
      <c r="E1181" s="54" t="n">
        <v>0.101217</v>
      </c>
      <c r="F1181" s="54" t="n"/>
      <c r="G1181" t="inlineStr">
        <is>
          <t>no aplica (precio mayorista)</t>
        </is>
      </c>
      <c r="J1181" t="inlineStr">
        <is>
          <t>2023-03-21</t>
        </is>
      </c>
      <c r="K1181" t="inlineStr">
        <is>
          <t>marginalpdbc_20230322.1</t>
        </is>
      </c>
      <c r="L1181" t="inlineStr">
        <is>
          <t>24 periodos; mín 59.10, máx 140.00 €/MWh</t>
        </is>
      </c>
    </row>
    <row r="1182">
      <c r="A1182" s="53" t="n">
        <v>45008</v>
      </c>
      <c r="B1182" t="inlineStr">
        <is>
          <t>2023-03-23</t>
        </is>
      </c>
      <c r="C1182" s="45" t="n">
        <v>83.8383</v>
      </c>
      <c r="D1182" t="inlineStr">
        <is>
          <t>€/MWh</t>
        </is>
      </c>
      <c r="E1182" s="54" t="n">
        <v>0.083838</v>
      </c>
      <c r="F1182" s="54" t="n"/>
      <c r="G1182" t="inlineStr">
        <is>
          <t>no aplica (precio mayorista)</t>
        </is>
      </c>
      <c r="J1182" t="inlineStr">
        <is>
          <t>2023-03-22</t>
        </is>
      </c>
      <c r="K1182" t="inlineStr">
        <is>
          <t>marginalpdbc_20230323.1</t>
        </is>
      </c>
      <c r="L1182" t="inlineStr">
        <is>
          <t>24 periodos; mín 42.06, máx 122.61 €/MWh</t>
        </is>
      </c>
    </row>
    <row r="1183">
      <c r="A1183" s="53" t="n">
        <v>45009</v>
      </c>
      <c r="B1183" t="inlineStr">
        <is>
          <t>2023-03-24</t>
        </is>
      </c>
      <c r="C1183" s="45" t="n">
        <v>59.1546</v>
      </c>
      <c r="D1183" t="inlineStr">
        <is>
          <t>€/MWh</t>
        </is>
      </c>
      <c r="E1183" s="54" t="n">
        <v>0.059155</v>
      </c>
      <c r="F1183" s="54" t="n"/>
      <c r="G1183" t="inlineStr">
        <is>
          <t>no aplica (precio mayorista)</t>
        </is>
      </c>
      <c r="J1183" t="inlineStr">
        <is>
          <t>2023-03-23</t>
        </is>
      </c>
      <c r="K1183" t="inlineStr">
        <is>
          <t>marginalpdbc_20230324.1</t>
        </is>
      </c>
      <c r="L1183" t="inlineStr">
        <is>
          <t>24 periodos; mín 11.22, máx 116.23 €/MWh</t>
        </is>
      </c>
    </row>
    <row r="1184">
      <c r="A1184" s="53" t="n">
        <v>45010</v>
      </c>
      <c r="B1184" t="inlineStr">
        <is>
          <t>2023-03-25</t>
        </is>
      </c>
      <c r="C1184" s="45" t="n">
        <v>39.0383</v>
      </c>
      <c r="D1184" t="inlineStr">
        <is>
          <t>€/MWh</t>
        </is>
      </c>
      <c r="E1184" s="54" t="n">
        <v>0.039038</v>
      </c>
      <c r="F1184" s="54" t="n"/>
      <c r="G1184" t="inlineStr">
        <is>
          <t>no aplica (precio mayorista)</t>
        </is>
      </c>
      <c r="J1184" t="inlineStr">
        <is>
          <t>2023-03-24</t>
        </is>
      </c>
      <c r="K1184" t="inlineStr">
        <is>
          <t>marginalpdbc_20230325.1</t>
        </is>
      </c>
      <c r="L1184" t="inlineStr">
        <is>
          <t>24 periodos; mín 0.00, máx 77.00 €/MWh</t>
        </is>
      </c>
    </row>
    <row r="1185">
      <c r="A1185" s="53" t="n">
        <v>45011</v>
      </c>
      <c r="B1185" t="inlineStr">
        <is>
          <t>2023-03-26</t>
        </is>
      </c>
      <c r="C1185" s="45" t="n">
        <v>28.4774</v>
      </c>
      <c r="D1185" t="inlineStr">
        <is>
          <t>€/MWh</t>
        </is>
      </c>
      <c r="E1185" s="54" t="n">
        <v>0.028477</v>
      </c>
      <c r="F1185" s="54" t="n"/>
      <c r="G1185" t="inlineStr">
        <is>
          <t>no aplica (precio mayorista)</t>
        </is>
      </c>
      <c r="J1185" t="inlineStr">
        <is>
          <t>2023-03-25</t>
        </is>
      </c>
      <c r="K1185" t="inlineStr">
        <is>
          <t>marginalpdbc_20230326.1</t>
        </is>
      </c>
      <c r="L1185" t="inlineStr">
        <is>
          <t>23 periodos; mín 0.00, máx 104.63 €/MWh</t>
        </is>
      </c>
    </row>
    <row r="1186">
      <c r="A1186" s="53" t="n">
        <v>45012</v>
      </c>
      <c r="B1186" t="inlineStr">
        <is>
          <t>2023-03-27</t>
        </is>
      </c>
      <c r="C1186" s="45" t="n">
        <v>102.6288</v>
      </c>
      <c r="D1186" t="inlineStr">
        <is>
          <t>€/MWh</t>
        </is>
      </c>
      <c r="E1186" s="54" t="n">
        <v>0.102629</v>
      </c>
      <c r="F1186" s="54" t="n"/>
      <c r="G1186" t="inlineStr">
        <is>
          <t>no aplica (precio mayorista)</t>
        </is>
      </c>
      <c r="J1186" t="inlineStr">
        <is>
          <t>2023-03-26</t>
        </is>
      </c>
      <c r="K1186" t="inlineStr">
        <is>
          <t>marginalpdbc_20230327.1</t>
        </is>
      </c>
      <c r="L1186" t="inlineStr">
        <is>
          <t>24 periodos; mín 49.25, máx 187.60 €/MWh</t>
        </is>
      </c>
    </row>
    <row r="1187">
      <c r="A1187" s="53" t="n">
        <v>45013</v>
      </c>
      <c r="B1187" t="inlineStr">
        <is>
          <t>2023-03-28</t>
        </is>
      </c>
      <c r="C1187" s="45" t="n">
        <v>111.9108</v>
      </c>
      <c r="D1187" t="inlineStr">
        <is>
          <t>€/MWh</t>
        </is>
      </c>
      <c r="E1187" s="54" t="n">
        <v>0.111911</v>
      </c>
      <c r="F1187" s="54" t="n"/>
      <c r="G1187" t="inlineStr">
        <is>
          <t>no aplica (precio mayorista)</t>
        </is>
      </c>
      <c r="J1187" t="inlineStr">
        <is>
          <t>2023-03-27</t>
        </is>
      </c>
      <c r="K1187" t="inlineStr">
        <is>
          <t>marginalpdbc_20230328.1</t>
        </is>
      </c>
      <c r="L1187" t="inlineStr">
        <is>
          <t>24 periodos; mín 70.43, máx 160.00 €/MWh</t>
        </is>
      </c>
    </row>
    <row r="1188">
      <c r="A1188" s="53" t="n">
        <v>45014</v>
      </c>
      <c r="B1188" t="inlineStr">
        <is>
          <t>2023-03-29</t>
        </is>
      </c>
      <c r="C1188" s="45" t="n">
        <v>68.9054</v>
      </c>
      <c r="D1188" t="inlineStr">
        <is>
          <t>€/MWh</t>
        </is>
      </c>
      <c r="E1188" s="54" t="n">
        <v>0.06890499999999999</v>
      </c>
      <c r="F1188" s="54" t="n"/>
      <c r="G1188" t="inlineStr">
        <is>
          <t>no aplica (precio mayorista)</t>
        </is>
      </c>
      <c r="J1188" t="inlineStr">
        <is>
          <t>2023-03-28</t>
        </is>
      </c>
      <c r="K1188" t="inlineStr">
        <is>
          <t>marginalpdbc_20230329.1</t>
        </is>
      </c>
      <c r="L1188" t="inlineStr">
        <is>
          <t>24 periodos; mín 4.16, máx 121.87 €/MWh</t>
        </is>
      </c>
    </row>
    <row r="1189">
      <c r="A1189" s="53" t="n">
        <v>45015</v>
      </c>
      <c r="B1189" t="inlineStr">
        <is>
          <t>2023-03-30</t>
        </is>
      </c>
      <c r="C1189" s="45" t="n">
        <v>31.1096</v>
      </c>
      <c r="D1189" t="inlineStr">
        <is>
          <t>€/MWh</t>
        </is>
      </c>
      <c r="E1189" s="54" t="n">
        <v>0.03111</v>
      </c>
      <c r="F1189" s="54" t="n"/>
      <c r="G1189" t="inlineStr">
        <is>
          <t>no aplica (precio mayorista)</t>
        </is>
      </c>
      <c r="J1189" t="inlineStr">
        <is>
          <t>2023-03-29</t>
        </is>
      </c>
      <c r="K1189" t="inlineStr">
        <is>
          <t>marginalpdbc_20230330.1</t>
        </is>
      </c>
      <c r="L1189" t="inlineStr">
        <is>
          <t>24 periodos; mín 0.10, máx 91.00 €/MWh</t>
        </is>
      </c>
    </row>
    <row r="1190">
      <c r="A1190" s="53" t="n">
        <v>45016</v>
      </c>
      <c r="B1190" t="inlineStr">
        <is>
          <t>2023-03-31</t>
        </is>
      </c>
      <c r="C1190" s="45" t="n">
        <v>16.5263</v>
      </c>
      <c r="D1190" t="inlineStr">
        <is>
          <t>€/MWh</t>
        </is>
      </c>
      <c r="E1190" s="54" t="n">
        <v>0.016526</v>
      </c>
      <c r="F1190" s="54" t="n"/>
      <c r="G1190" t="inlineStr">
        <is>
          <t>no aplica (precio mayorista)</t>
        </is>
      </c>
      <c r="J1190" t="inlineStr">
        <is>
          <t>2023-03-30</t>
        </is>
      </c>
      <c r="K1190" t="inlineStr">
        <is>
          <t>marginalpdbc_20230331.1</t>
        </is>
      </c>
      <c r="L1190" t="inlineStr">
        <is>
          <t>24 periodos; mín 0.19, máx 35.61 €/MWh</t>
        </is>
      </c>
    </row>
    <row r="1191">
      <c r="A1191" s="53" t="n">
        <v>45017</v>
      </c>
      <c r="B1191" t="inlineStr">
        <is>
          <t>2023-04-01</t>
        </is>
      </c>
      <c r="C1191" s="45" t="n">
        <v>33.9942</v>
      </c>
      <c r="D1191" t="inlineStr">
        <is>
          <t>€/MWh</t>
        </is>
      </c>
      <c r="E1191" s="54" t="n">
        <v>0.033994</v>
      </c>
      <c r="F1191" s="54" t="n"/>
      <c r="G1191" t="inlineStr">
        <is>
          <t>no aplica (precio mayorista)</t>
        </is>
      </c>
      <c r="J1191" t="inlineStr">
        <is>
          <t>2023-03-31</t>
        </is>
      </c>
      <c r="K1191" t="inlineStr">
        <is>
          <t>marginalpdbc_20230401.1</t>
        </is>
      </c>
      <c r="L1191" t="inlineStr">
        <is>
          <t>24 periodos; mín 4.16, máx 82.19 €/MWh</t>
        </is>
      </c>
    </row>
    <row r="1192">
      <c r="A1192" s="53" t="n">
        <v>45018</v>
      </c>
      <c r="B1192" t="inlineStr">
        <is>
          <t>2023-04-02</t>
        </is>
      </c>
      <c r="C1192" s="45" t="n">
        <v>15.7438</v>
      </c>
      <c r="D1192" t="inlineStr">
        <is>
          <t>€/MWh</t>
        </is>
      </c>
      <c r="E1192" s="54" t="n">
        <v>0.015744</v>
      </c>
      <c r="F1192" s="54" t="n"/>
      <c r="G1192" t="inlineStr">
        <is>
          <t>no aplica (precio mayorista)</t>
        </is>
      </c>
      <c r="J1192" t="inlineStr">
        <is>
          <t>2023-04-01</t>
        </is>
      </c>
      <c r="K1192" t="inlineStr">
        <is>
          <t>marginalpdbc_20230402.1</t>
        </is>
      </c>
      <c r="L1192" t="inlineStr">
        <is>
          <t>24 periodos; mín 0.00, máx 50.00 €/MWh</t>
        </is>
      </c>
    </row>
    <row r="1193">
      <c r="A1193" s="53" t="n">
        <v>45019</v>
      </c>
      <c r="B1193" t="inlineStr">
        <is>
          <t>2023-04-03</t>
        </is>
      </c>
      <c r="C1193" s="45" t="n">
        <v>61.7917</v>
      </c>
      <c r="D1193" t="inlineStr">
        <is>
          <t>€/MWh</t>
        </is>
      </c>
      <c r="E1193" s="54" t="n">
        <v>0.061792</v>
      </c>
      <c r="F1193" s="54" t="n"/>
      <c r="G1193" t="inlineStr">
        <is>
          <t>no aplica (precio mayorista)</t>
        </is>
      </c>
      <c r="J1193" t="inlineStr">
        <is>
          <t>2023-04-02</t>
        </is>
      </c>
      <c r="K1193" t="inlineStr">
        <is>
          <t>marginalpdbc_20230403.1</t>
        </is>
      </c>
      <c r="L1193" t="inlineStr">
        <is>
          <t>24 periodos; mín 19.20, máx 165.33 €/MWh</t>
        </is>
      </c>
    </row>
    <row r="1194">
      <c r="A1194" s="53" t="n">
        <v>45020</v>
      </c>
      <c r="B1194" t="inlineStr">
        <is>
          <t>2023-04-04</t>
        </is>
      </c>
      <c r="C1194" s="45" t="n">
        <v>56.2054</v>
      </c>
      <c r="D1194" t="inlineStr">
        <is>
          <t>€/MWh</t>
        </is>
      </c>
      <c r="E1194" s="54" t="n">
        <v>0.056205</v>
      </c>
      <c r="F1194" s="54" t="n"/>
      <c r="G1194" t="inlineStr">
        <is>
          <t>no aplica (precio mayorista)</t>
        </is>
      </c>
      <c r="J1194" t="inlineStr">
        <is>
          <t>2023-04-03</t>
        </is>
      </c>
      <c r="K1194" t="inlineStr">
        <is>
          <t>marginalpdbc_20230404.1</t>
        </is>
      </c>
      <c r="L1194" t="inlineStr">
        <is>
          <t>24 periodos; mín 8.00, máx 106.14 €/MWh</t>
        </is>
      </c>
    </row>
    <row r="1195">
      <c r="A1195" s="53" t="n">
        <v>45021</v>
      </c>
      <c r="B1195" t="inlineStr">
        <is>
          <t>2023-04-05</t>
        </is>
      </c>
      <c r="C1195" s="45" t="n">
        <v>104.085</v>
      </c>
      <c r="D1195" t="inlineStr">
        <is>
          <t>€/MWh</t>
        </is>
      </c>
      <c r="E1195" s="54" t="n">
        <v>0.104085</v>
      </c>
      <c r="F1195" s="54" t="n"/>
      <c r="G1195" t="inlineStr">
        <is>
          <t>no aplica (precio mayorista)</t>
        </is>
      </c>
      <c r="J1195" t="inlineStr">
        <is>
          <t>2023-04-04</t>
        </is>
      </c>
      <c r="K1195" t="inlineStr">
        <is>
          <t>marginalpdbc_20230405.1</t>
        </is>
      </c>
      <c r="L1195" t="inlineStr">
        <is>
          <t>24 periodos; mín 42.02, máx 166.06 €/MWh</t>
        </is>
      </c>
    </row>
    <row r="1196">
      <c r="A1196" s="53" t="n">
        <v>45022</v>
      </c>
      <c r="B1196" t="inlineStr">
        <is>
          <t>2023-04-06</t>
        </is>
      </c>
      <c r="C1196" s="45" t="n">
        <v>89.6533</v>
      </c>
      <c r="D1196" t="inlineStr">
        <is>
          <t>€/MWh</t>
        </is>
      </c>
      <c r="E1196" s="54" t="n">
        <v>0.089653</v>
      </c>
      <c r="F1196" s="54" t="n"/>
      <c r="G1196" t="inlineStr">
        <is>
          <t>no aplica (precio mayorista)</t>
        </is>
      </c>
      <c r="J1196" t="inlineStr">
        <is>
          <t>2023-04-05</t>
        </is>
      </c>
      <c r="K1196" t="inlineStr">
        <is>
          <t>marginalpdbc_20230406.1</t>
        </is>
      </c>
      <c r="L1196" t="inlineStr">
        <is>
          <t>24 periodos; mín 25.00, máx 135.54 €/MWh</t>
        </is>
      </c>
    </row>
    <row r="1197">
      <c r="A1197" s="53" t="n">
        <v>45023</v>
      </c>
      <c r="B1197" t="inlineStr">
        <is>
          <t>2023-04-07</t>
        </is>
      </c>
      <c r="C1197" s="45" t="n">
        <v>83.2067</v>
      </c>
      <c r="D1197" t="inlineStr">
        <is>
          <t>€/MWh</t>
        </is>
      </c>
      <c r="E1197" s="54" t="n">
        <v>0.083207</v>
      </c>
      <c r="F1197" s="54" t="n"/>
      <c r="G1197" t="inlineStr">
        <is>
          <t>no aplica (precio mayorista)</t>
        </is>
      </c>
      <c r="J1197" t="inlineStr">
        <is>
          <t>2023-04-06</t>
        </is>
      </c>
      <c r="K1197" t="inlineStr">
        <is>
          <t>marginalpdbc_20230407.1</t>
        </is>
      </c>
      <c r="L1197" t="inlineStr">
        <is>
          <t>24 periodos; mín 1.50, máx 143.35 €/MWh</t>
        </is>
      </c>
    </row>
    <row r="1198">
      <c r="A1198" s="53" t="n">
        <v>45024</v>
      </c>
      <c r="B1198" t="inlineStr">
        <is>
          <t>2023-04-08</t>
        </is>
      </c>
      <c r="C1198" s="45" t="n">
        <v>86.61750000000001</v>
      </c>
      <c r="D1198" t="inlineStr">
        <is>
          <t>€/MWh</t>
        </is>
      </c>
      <c r="E1198" s="54" t="n">
        <v>0.086618</v>
      </c>
      <c r="F1198" s="54" t="n"/>
      <c r="G1198" t="inlineStr">
        <is>
          <t>no aplica (precio mayorista)</t>
        </is>
      </c>
      <c r="J1198" t="inlineStr">
        <is>
          <t>2023-04-07</t>
        </is>
      </c>
      <c r="K1198" t="inlineStr">
        <is>
          <t>marginalpdbc_20230408.1</t>
        </is>
      </c>
      <c r="L1198" t="inlineStr">
        <is>
          <t>24 periodos; mín 10.00, máx 140.21 €/MWh</t>
        </is>
      </c>
    </row>
    <row r="1199">
      <c r="A1199" s="53" t="n">
        <v>45025</v>
      </c>
      <c r="B1199" t="inlineStr">
        <is>
          <t>2023-04-09</t>
        </is>
      </c>
      <c r="C1199" s="45" t="n">
        <v>75.56959999999999</v>
      </c>
      <c r="D1199" t="inlineStr">
        <is>
          <t>€/MWh</t>
        </is>
      </c>
      <c r="E1199" s="54" t="n">
        <v>0.07557</v>
      </c>
      <c r="F1199" s="54" t="n"/>
      <c r="G1199" t="inlineStr">
        <is>
          <t>no aplica (precio mayorista)</t>
        </is>
      </c>
      <c r="J1199" t="inlineStr">
        <is>
          <t>2023-04-08</t>
        </is>
      </c>
      <c r="K1199" t="inlineStr">
        <is>
          <t>marginalpdbc_20230409.1</t>
        </is>
      </c>
      <c r="L1199" t="inlineStr">
        <is>
          <t>24 periodos; mín 0.10, máx 127.99 €/MWh</t>
        </is>
      </c>
    </row>
    <row r="1200">
      <c r="A1200" s="53" t="n">
        <v>45026</v>
      </c>
      <c r="B1200" t="inlineStr">
        <is>
          <t>2023-04-10</t>
        </is>
      </c>
      <c r="C1200" s="45" t="n">
        <v>52.5362</v>
      </c>
      <c r="D1200" t="inlineStr">
        <is>
          <t>€/MWh</t>
        </is>
      </c>
      <c r="E1200" s="54" t="n">
        <v>0.052536</v>
      </c>
      <c r="F1200" s="54" t="n"/>
      <c r="G1200" t="inlineStr">
        <is>
          <t>no aplica (precio mayorista)</t>
        </is>
      </c>
      <c r="J1200" t="inlineStr">
        <is>
          <t>2023-04-09</t>
        </is>
      </c>
      <c r="K1200" t="inlineStr">
        <is>
          <t>marginalpdbc_20230410.1</t>
        </is>
      </c>
      <c r="L1200" t="inlineStr">
        <is>
          <t>24 periodos; mín 0.10, máx 98.21 €/MWh</t>
        </is>
      </c>
    </row>
    <row r="1201">
      <c r="A1201" s="53" t="n">
        <v>45027</v>
      </c>
      <c r="B1201" t="inlineStr">
        <is>
          <t>2023-04-11</t>
        </is>
      </c>
      <c r="C1201" s="45" t="n">
        <v>91.4038</v>
      </c>
      <c r="D1201" t="inlineStr">
        <is>
          <t>€/MWh</t>
        </is>
      </c>
      <c r="E1201" s="54" t="n">
        <v>0.091404</v>
      </c>
      <c r="F1201" s="54" t="n"/>
      <c r="G1201" t="inlineStr">
        <is>
          <t>no aplica (precio mayorista)</t>
        </is>
      </c>
      <c r="J1201" t="inlineStr">
        <is>
          <t>2023-04-10</t>
        </is>
      </c>
      <c r="K1201" t="inlineStr">
        <is>
          <t>marginalpdbc_20230411.1</t>
        </is>
      </c>
      <c r="L1201" t="inlineStr">
        <is>
          <t>24 periodos; mín 35.00, máx 142.13 €/MWh</t>
        </is>
      </c>
    </row>
    <row r="1202">
      <c r="A1202" s="53" t="n">
        <v>45028</v>
      </c>
      <c r="B1202" t="inlineStr">
        <is>
          <t>2023-04-12</t>
        </is>
      </c>
      <c r="C1202" s="45" t="n">
        <v>38.8971</v>
      </c>
      <c r="D1202" t="inlineStr">
        <is>
          <t>€/MWh</t>
        </is>
      </c>
      <c r="E1202" s="54" t="n">
        <v>0.038897</v>
      </c>
      <c r="F1202" s="54" t="n"/>
      <c r="G1202" t="inlineStr">
        <is>
          <t>no aplica (precio mayorista)</t>
        </is>
      </c>
      <c r="J1202" t="inlineStr">
        <is>
          <t>2023-04-11</t>
        </is>
      </c>
      <c r="K1202" t="inlineStr">
        <is>
          <t>marginalpdbc_20230412.1</t>
        </is>
      </c>
      <c r="L1202" t="inlineStr">
        <is>
          <t>24 periodos; mín 1.60, máx 98.62 €/MWh</t>
        </is>
      </c>
    </row>
    <row r="1203">
      <c r="A1203" s="53" t="n">
        <v>45029</v>
      </c>
      <c r="B1203" t="inlineStr">
        <is>
          <t>2023-04-13</t>
        </is>
      </c>
      <c r="C1203" s="45" t="n">
        <v>56.9954</v>
      </c>
      <c r="D1203" t="inlineStr">
        <is>
          <t>€/MWh</t>
        </is>
      </c>
      <c r="E1203" s="54" t="n">
        <v>0.056995</v>
      </c>
      <c r="F1203" s="54" t="n"/>
      <c r="G1203" t="inlineStr">
        <is>
          <t>no aplica (precio mayorista)</t>
        </is>
      </c>
      <c r="J1203" t="inlineStr">
        <is>
          <t>2023-04-12</t>
        </is>
      </c>
      <c r="K1203" t="inlineStr">
        <is>
          <t>marginalpdbc_20230413.1</t>
        </is>
      </c>
      <c r="L1203" t="inlineStr">
        <is>
          <t>24 periodos; mín 0.10, máx 123.54 €/MWh</t>
        </is>
      </c>
    </row>
    <row r="1204">
      <c r="A1204" s="53" t="n">
        <v>45030</v>
      </c>
      <c r="B1204" t="inlineStr">
        <is>
          <t>2023-04-14</t>
        </is>
      </c>
      <c r="C1204" s="45" t="n">
        <v>46.725</v>
      </c>
      <c r="D1204" t="inlineStr">
        <is>
          <t>€/MWh</t>
        </is>
      </c>
      <c r="E1204" s="54" t="n">
        <v>0.046725</v>
      </c>
      <c r="F1204" s="54" t="n"/>
      <c r="G1204" t="inlineStr">
        <is>
          <t>no aplica (precio mayorista)</t>
        </is>
      </c>
      <c r="J1204" t="inlineStr">
        <is>
          <t>2023-04-13</t>
        </is>
      </c>
      <c r="K1204" t="inlineStr">
        <is>
          <t>marginalpdbc_20230414.1</t>
        </is>
      </c>
      <c r="L1204" t="inlineStr">
        <is>
          <t>24 periodos; mín 1.50, máx 90.76 €/MWh</t>
        </is>
      </c>
    </row>
    <row r="1205">
      <c r="A1205" s="53" t="n">
        <v>45031</v>
      </c>
      <c r="B1205" t="inlineStr">
        <is>
          <t>2023-04-15</t>
        </is>
      </c>
      <c r="C1205" s="45" t="n">
        <v>21.7688</v>
      </c>
      <c r="D1205" t="inlineStr">
        <is>
          <t>€/MWh</t>
        </is>
      </c>
      <c r="E1205" s="54" t="n">
        <v>0.021769</v>
      </c>
      <c r="F1205" s="54" t="n"/>
      <c r="G1205" t="inlineStr">
        <is>
          <t>no aplica (precio mayorista)</t>
        </is>
      </c>
      <c r="J1205" t="inlineStr">
        <is>
          <t>2023-04-14</t>
        </is>
      </c>
      <c r="K1205" t="inlineStr">
        <is>
          <t>marginalpdbc_20230415.1</t>
        </is>
      </c>
      <c r="L1205" t="inlineStr">
        <is>
          <t>24 periodos; mín 0.00, máx 44.28 €/MWh</t>
        </is>
      </c>
    </row>
    <row r="1206">
      <c r="A1206" s="53" t="n">
        <v>45032</v>
      </c>
      <c r="B1206" t="inlineStr">
        <is>
          <t>2023-04-16</t>
        </is>
      </c>
      <c r="C1206" s="45" t="n">
        <v>25.4108</v>
      </c>
      <c r="D1206" t="inlineStr">
        <is>
          <t>€/MWh</t>
        </is>
      </c>
      <c r="E1206" s="54" t="n">
        <v>0.025411</v>
      </c>
      <c r="F1206" s="54" t="n"/>
      <c r="G1206" t="inlineStr">
        <is>
          <t>no aplica (precio mayorista)</t>
        </is>
      </c>
      <c r="J1206" t="inlineStr">
        <is>
          <t>2023-04-15</t>
        </is>
      </c>
      <c r="K1206" t="inlineStr">
        <is>
          <t>marginalpdbc_20230416.1</t>
        </is>
      </c>
      <c r="L1206" t="inlineStr">
        <is>
          <t>24 periodos; mín 0.00, máx 127.85 €/MWh</t>
        </is>
      </c>
    </row>
    <row r="1207">
      <c r="A1207" s="53" t="n">
        <v>45033</v>
      </c>
      <c r="B1207" t="inlineStr">
        <is>
          <t>2023-04-17</t>
        </is>
      </c>
      <c r="C1207" s="45" t="n">
        <v>66.66419999999999</v>
      </c>
      <c r="D1207" t="inlineStr">
        <is>
          <t>€/MWh</t>
        </is>
      </c>
      <c r="E1207" s="54" t="n">
        <v>0.066664</v>
      </c>
      <c r="F1207" s="54" t="n"/>
      <c r="G1207" t="inlineStr">
        <is>
          <t>no aplica (precio mayorista)</t>
        </is>
      </c>
      <c r="J1207" t="inlineStr">
        <is>
          <t>2023-04-16</t>
        </is>
      </c>
      <c r="K1207" t="inlineStr">
        <is>
          <t>marginalpdbc_20230417.1</t>
        </is>
      </c>
      <c r="L1207" t="inlineStr">
        <is>
          <t>24 periodos; mín 25.00, máx 134.25 €/MWh</t>
        </is>
      </c>
    </row>
    <row r="1208">
      <c r="A1208" s="53" t="n">
        <v>45034</v>
      </c>
      <c r="B1208" t="inlineStr">
        <is>
          <t>2023-04-18</t>
        </is>
      </c>
      <c r="C1208" s="45" t="n">
        <v>96.1904</v>
      </c>
      <c r="D1208" t="inlineStr">
        <is>
          <t>€/MWh</t>
        </is>
      </c>
      <c r="E1208" s="54" t="n">
        <v>0.09619</v>
      </c>
      <c r="F1208" s="54" t="n"/>
      <c r="G1208" t="inlineStr">
        <is>
          <t>no aplica (precio mayorista)</t>
        </is>
      </c>
      <c r="J1208" t="inlineStr">
        <is>
          <t>2023-04-17</t>
        </is>
      </c>
      <c r="K1208" t="inlineStr">
        <is>
          <t>marginalpdbc_20230418.1</t>
        </is>
      </c>
      <c r="L1208" t="inlineStr">
        <is>
          <t>24 periodos; mín 74.74, máx 141.40 €/MWh</t>
        </is>
      </c>
    </row>
    <row r="1209">
      <c r="A1209" s="53" t="n">
        <v>45035</v>
      </c>
      <c r="B1209" t="inlineStr">
        <is>
          <t>2023-04-19</t>
        </is>
      </c>
      <c r="C1209" s="45" t="n">
        <v>113.4771</v>
      </c>
      <c r="D1209" t="inlineStr">
        <is>
          <t>€/MWh</t>
        </is>
      </c>
      <c r="E1209" s="54" t="n">
        <v>0.113477</v>
      </c>
      <c r="F1209" s="54" t="n"/>
      <c r="G1209" t="inlineStr">
        <is>
          <t>no aplica (precio mayorista)</t>
        </is>
      </c>
      <c r="J1209" t="inlineStr">
        <is>
          <t>2023-04-18</t>
        </is>
      </c>
      <c r="K1209" t="inlineStr">
        <is>
          <t>marginalpdbc_20230419.1</t>
        </is>
      </c>
      <c r="L1209" t="inlineStr">
        <is>
          <t>24 periodos; mín 88.58, máx 145.00 €/MWh</t>
        </is>
      </c>
    </row>
    <row r="1210">
      <c r="A1210" s="53" t="n">
        <v>45036</v>
      </c>
      <c r="B1210" t="inlineStr">
        <is>
          <t>2023-04-20</t>
        </is>
      </c>
      <c r="C1210" s="45" t="n">
        <v>108.2837</v>
      </c>
      <c r="D1210" t="inlineStr">
        <is>
          <t>€/MWh</t>
        </is>
      </c>
      <c r="E1210" s="54" t="n">
        <v>0.108284</v>
      </c>
      <c r="F1210" s="54" t="n"/>
      <c r="G1210" t="inlineStr">
        <is>
          <t>no aplica (precio mayorista)</t>
        </is>
      </c>
      <c r="J1210" t="inlineStr">
        <is>
          <t>2023-04-19</t>
        </is>
      </c>
      <c r="K1210" t="inlineStr">
        <is>
          <t>marginalpdbc_20230420.1</t>
        </is>
      </c>
      <c r="L1210" t="inlineStr">
        <is>
          <t>24 periodos; mín 49.87, máx 147.42 €/MWh</t>
        </is>
      </c>
    </row>
    <row r="1211">
      <c r="A1211" s="53" t="n">
        <v>45037</v>
      </c>
      <c r="B1211" t="inlineStr">
        <is>
          <t>2023-04-21</t>
        </is>
      </c>
      <c r="C1211" s="45" t="n">
        <v>100.8979</v>
      </c>
      <c r="D1211" t="inlineStr">
        <is>
          <t>€/MWh</t>
        </is>
      </c>
      <c r="E1211" s="54" t="n">
        <v>0.100898</v>
      </c>
      <c r="F1211" s="54" t="n"/>
      <c r="G1211" t="inlineStr">
        <is>
          <t>no aplica (precio mayorista)</t>
        </is>
      </c>
      <c r="J1211" t="inlineStr">
        <is>
          <t>2023-04-20</t>
        </is>
      </c>
      <c r="K1211" t="inlineStr">
        <is>
          <t>marginalpdbc_20230421.1</t>
        </is>
      </c>
      <c r="L1211" t="inlineStr">
        <is>
          <t>24 periodos; mín 25.00, máx 145.99 €/MWh</t>
        </is>
      </c>
    </row>
    <row r="1212">
      <c r="A1212" s="53" t="n">
        <v>45038</v>
      </c>
      <c r="B1212" t="inlineStr">
        <is>
          <t>2023-04-22</t>
        </is>
      </c>
      <c r="C1212" s="45" t="n">
        <v>78.7771</v>
      </c>
      <c r="D1212" t="inlineStr">
        <is>
          <t>€/MWh</t>
        </is>
      </c>
      <c r="E1212" s="54" t="n">
        <v>0.078777</v>
      </c>
      <c r="F1212" s="54" t="n"/>
      <c r="G1212" t="inlineStr">
        <is>
          <t>no aplica (precio mayorista)</t>
        </is>
      </c>
      <c r="J1212" t="inlineStr">
        <is>
          <t>2023-04-21</t>
        </is>
      </c>
      <c r="K1212" t="inlineStr">
        <is>
          <t>marginalpdbc_20230422.1</t>
        </is>
      </c>
      <c r="L1212" t="inlineStr">
        <is>
          <t>24 periodos; mín 4.16, máx 129.27 €/MWh</t>
        </is>
      </c>
    </row>
    <row r="1213">
      <c r="A1213" s="53" t="n">
        <v>45039</v>
      </c>
      <c r="B1213" t="inlineStr">
        <is>
          <t>2023-04-23</t>
        </is>
      </c>
      <c r="C1213" s="45" t="n">
        <v>49.9396</v>
      </c>
      <c r="D1213" t="inlineStr">
        <is>
          <t>€/MWh</t>
        </is>
      </c>
      <c r="E1213" s="54" t="n">
        <v>0.04994</v>
      </c>
      <c r="F1213" s="54" t="n"/>
      <c r="G1213" t="inlineStr">
        <is>
          <t>no aplica (precio mayorista)</t>
        </is>
      </c>
      <c r="J1213" t="inlineStr">
        <is>
          <t>2023-04-22</t>
        </is>
      </c>
      <c r="K1213" t="inlineStr">
        <is>
          <t>marginalpdbc_20230423.1</t>
        </is>
      </c>
      <c r="L1213" t="inlineStr">
        <is>
          <t>24 periodos; mín 0.00, máx 125.02 €/MWh</t>
        </is>
      </c>
    </row>
    <row r="1214">
      <c r="A1214" s="53" t="n">
        <v>45040</v>
      </c>
      <c r="B1214" t="inlineStr">
        <is>
          <t>2023-04-24</t>
        </is>
      </c>
      <c r="C1214" s="45" t="n">
        <v>92.0758</v>
      </c>
      <c r="D1214" t="inlineStr">
        <is>
          <t>€/MWh</t>
        </is>
      </c>
      <c r="E1214" s="54" t="n">
        <v>0.09207600000000001</v>
      </c>
      <c r="F1214" s="54" t="n"/>
      <c r="G1214" t="inlineStr">
        <is>
          <t>no aplica (precio mayorista)</t>
        </is>
      </c>
      <c r="J1214" t="inlineStr">
        <is>
          <t>2023-04-23</t>
        </is>
      </c>
      <c r="K1214" t="inlineStr">
        <is>
          <t>marginalpdbc_20230424.1</t>
        </is>
      </c>
      <c r="L1214" t="inlineStr">
        <is>
          <t>24 periodos; mín 25.00, máx 136.55 €/MWh</t>
        </is>
      </c>
    </row>
    <row r="1215">
      <c r="A1215" s="53" t="n">
        <v>45041</v>
      </c>
      <c r="B1215" t="inlineStr">
        <is>
          <t>2023-04-25</t>
        </is>
      </c>
      <c r="C1215" s="45" t="n">
        <v>90.9492</v>
      </c>
      <c r="D1215" t="inlineStr">
        <is>
          <t>€/MWh</t>
        </is>
      </c>
      <c r="E1215" s="54" t="n">
        <v>0.090949</v>
      </c>
      <c r="F1215" s="54" t="n"/>
      <c r="G1215" t="inlineStr">
        <is>
          <t>no aplica (precio mayorista)</t>
        </is>
      </c>
      <c r="J1215" t="inlineStr">
        <is>
          <t>2023-04-24</t>
        </is>
      </c>
      <c r="K1215" t="inlineStr">
        <is>
          <t>marginalpdbc_20230425.1</t>
        </is>
      </c>
      <c r="L1215" t="inlineStr">
        <is>
          <t>24 periodos; mín 20.00, máx 141.54 €/MWh</t>
        </is>
      </c>
    </row>
    <row r="1216">
      <c r="A1216" s="53" t="n">
        <v>45042</v>
      </c>
      <c r="B1216" t="inlineStr">
        <is>
          <t>2023-04-26</t>
        </is>
      </c>
      <c r="C1216" s="45" t="n">
        <v>108.7342</v>
      </c>
      <c r="D1216" t="inlineStr">
        <is>
          <t>€/MWh</t>
        </is>
      </c>
      <c r="E1216" s="54" t="n">
        <v>0.108734</v>
      </c>
      <c r="F1216" s="54" t="n"/>
      <c r="G1216" t="inlineStr">
        <is>
          <t>no aplica (precio mayorista)</t>
        </is>
      </c>
      <c r="J1216" t="inlineStr">
        <is>
          <t>2023-04-25</t>
        </is>
      </c>
      <c r="K1216" t="inlineStr">
        <is>
          <t>marginalpdbc_20230426.1</t>
        </is>
      </c>
      <c r="L1216" t="inlineStr">
        <is>
          <t>24 periodos; mín 79.47, máx 146.12 €/MWh</t>
        </is>
      </c>
    </row>
    <row r="1217">
      <c r="A1217" s="53" t="n">
        <v>45043</v>
      </c>
      <c r="B1217" t="inlineStr">
        <is>
          <t>2023-04-27</t>
        </is>
      </c>
      <c r="C1217" s="45" t="n">
        <v>109.05</v>
      </c>
      <c r="D1217" t="inlineStr">
        <is>
          <t>€/MWh</t>
        </is>
      </c>
      <c r="E1217" s="54" t="n">
        <v>0.10905</v>
      </c>
      <c r="F1217" s="54" t="n"/>
      <c r="G1217" t="inlineStr">
        <is>
          <t>no aplica (precio mayorista)</t>
        </is>
      </c>
      <c r="J1217" t="inlineStr">
        <is>
          <t>2023-04-26</t>
        </is>
      </c>
      <c r="K1217" t="inlineStr">
        <is>
          <t>marginalpdbc_20230427.1</t>
        </is>
      </c>
      <c r="L1217" t="inlineStr">
        <is>
          <t>24 periodos; mín 86.48, máx 142.58 €/MWh</t>
        </is>
      </c>
    </row>
    <row r="1218">
      <c r="A1218" s="53" t="n">
        <v>45044</v>
      </c>
      <c r="B1218" t="inlineStr">
        <is>
          <t>2023-04-28</t>
        </is>
      </c>
      <c r="C1218" s="45" t="n">
        <v>107.8933</v>
      </c>
      <c r="D1218" t="inlineStr">
        <is>
          <t>€/MWh</t>
        </is>
      </c>
      <c r="E1218" s="54" t="n">
        <v>0.107893</v>
      </c>
      <c r="F1218" s="54" t="n"/>
      <c r="G1218" t="inlineStr">
        <is>
          <t>no aplica (precio mayorista)</t>
        </is>
      </c>
      <c r="J1218" t="inlineStr">
        <is>
          <t>2023-04-27</t>
        </is>
      </c>
      <c r="K1218" t="inlineStr">
        <is>
          <t>marginalpdbc_20230428.1</t>
        </is>
      </c>
      <c r="L1218" t="inlineStr">
        <is>
          <t>24 periodos; mín 80.00, máx 126.93 €/MWh</t>
        </is>
      </c>
    </row>
    <row r="1219">
      <c r="A1219" s="53" t="n">
        <v>45045</v>
      </c>
      <c r="B1219" t="inlineStr">
        <is>
          <t>2023-04-29</t>
        </is>
      </c>
      <c r="C1219" s="45" t="n">
        <v>83.4258</v>
      </c>
      <c r="D1219" t="inlineStr">
        <is>
          <t>€/MWh</t>
        </is>
      </c>
      <c r="E1219" s="54" t="n">
        <v>0.083426</v>
      </c>
      <c r="F1219" s="54" t="n"/>
      <c r="G1219" t="inlineStr">
        <is>
          <t>no aplica (precio mayorista)</t>
        </is>
      </c>
      <c r="J1219" t="inlineStr">
        <is>
          <t>2023-04-28</t>
        </is>
      </c>
      <c r="K1219" t="inlineStr">
        <is>
          <t>marginalpdbc_20230429.1</t>
        </is>
      </c>
      <c r="L1219" t="inlineStr">
        <is>
          <t>24 periodos; mín 4.16, máx 120.00 €/MWh</t>
        </is>
      </c>
    </row>
    <row r="1220">
      <c r="A1220" s="53" t="n">
        <v>45046</v>
      </c>
      <c r="B1220" t="inlineStr">
        <is>
          <t>2023-04-30</t>
        </is>
      </c>
      <c r="C1220" s="45" t="n">
        <v>65.03879999999999</v>
      </c>
      <c r="D1220" t="inlineStr">
        <is>
          <t>€/MWh</t>
        </is>
      </c>
      <c r="E1220" s="54" t="n">
        <v>0.065039</v>
      </c>
      <c r="F1220" s="54" t="n"/>
      <c r="G1220" t="inlineStr">
        <is>
          <t>no aplica (precio mayorista)</t>
        </is>
      </c>
      <c r="J1220" t="inlineStr">
        <is>
          <t>2023-04-29</t>
        </is>
      </c>
      <c r="K1220" t="inlineStr">
        <is>
          <t>marginalpdbc_20230430.1</t>
        </is>
      </c>
      <c r="L1220" t="inlineStr">
        <is>
          <t>24 periodos; mín 1.50, máx 122.20 €/MWh</t>
        </is>
      </c>
    </row>
    <row r="1221">
      <c r="A1221" s="53" t="n">
        <v>45047</v>
      </c>
      <c r="B1221" t="inlineStr">
        <is>
          <t>2023-05-01</t>
        </is>
      </c>
      <c r="C1221" s="45" t="n">
        <v>61.3467</v>
      </c>
      <c r="D1221" t="inlineStr">
        <is>
          <t>€/MWh</t>
        </is>
      </c>
      <c r="E1221" s="54" t="n">
        <v>0.061347</v>
      </c>
      <c r="F1221" s="54" t="n"/>
      <c r="G1221" t="inlineStr">
        <is>
          <t>no aplica (precio mayorista)</t>
        </is>
      </c>
      <c r="J1221" t="inlineStr">
        <is>
          <t>2023-04-30</t>
        </is>
      </c>
      <c r="K1221" t="inlineStr">
        <is>
          <t>marginalpdbc_20230501.1</t>
        </is>
      </c>
      <c r="L1221" t="inlineStr">
        <is>
          <t>24 periodos; mín 0.00, máx 122.57 €/MWh</t>
        </is>
      </c>
    </row>
    <row r="1222">
      <c r="A1222" s="53" t="n">
        <v>45048</v>
      </c>
      <c r="B1222" t="inlineStr">
        <is>
          <t>2023-05-02</t>
        </is>
      </c>
      <c r="C1222" s="45" t="n">
        <v>108.3967</v>
      </c>
      <c r="D1222" t="inlineStr">
        <is>
          <t>€/MWh</t>
        </is>
      </c>
      <c r="E1222" s="54" t="n">
        <v>0.108397</v>
      </c>
      <c r="F1222" s="54" t="n"/>
      <c r="G1222" t="inlineStr">
        <is>
          <t>no aplica (precio mayorista)</t>
        </is>
      </c>
      <c r="J1222" t="inlineStr">
        <is>
          <t>2023-05-01</t>
        </is>
      </c>
      <c r="K1222" t="inlineStr">
        <is>
          <t>marginalpdbc_20230502.1</t>
        </is>
      </c>
      <c r="L1222" t="inlineStr">
        <is>
          <t>24 periodos; mín 81.97, máx 148.16 €/MWh</t>
        </is>
      </c>
    </row>
    <row r="1223">
      <c r="A1223" s="53" t="n">
        <v>45049</v>
      </c>
      <c r="B1223" t="inlineStr">
        <is>
          <t>2023-05-03</t>
        </is>
      </c>
      <c r="C1223" s="45" t="n">
        <v>84.30249999999999</v>
      </c>
      <c r="D1223" t="inlineStr">
        <is>
          <t>€/MWh</t>
        </is>
      </c>
      <c r="E1223" s="54" t="n">
        <v>0.084302</v>
      </c>
      <c r="F1223" s="54" t="n"/>
      <c r="G1223" t="inlineStr">
        <is>
          <t>no aplica (precio mayorista)</t>
        </is>
      </c>
      <c r="J1223" t="inlineStr">
        <is>
          <t>2023-05-02</t>
        </is>
      </c>
      <c r="K1223" t="inlineStr">
        <is>
          <t>marginalpdbc_20230503.1</t>
        </is>
      </c>
      <c r="L1223" t="inlineStr">
        <is>
          <t>24 periodos; mín 25.00, máx 122.99 €/MWh</t>
        </is>
      </c>
    </row>
    <row r="1224">
      <c r="A1224" s="53" t="n">
        <v>45050</v>
      </c>
      <c r="B1224" t="inlineStr">
        <is>
          <t>2023-05-04</t>
        </is>
      </c>
      <c r="C1224" s="45" t="n">
        <v>90.39919999999999</v>
      </c>
      <c r="D1224" t="inlineStr">
        <is>
          <t>€/MWh</t>
        </is>
      </c>
      <c r="E1224" s="54" t="n">
        <v>0.09039899999999999</v>
      </c>
      <c r="F1224" s="54" t="n"/>
      <c r="G1224" t="inlineStr">
        <is>
          <t>no aplica (precio mayorista)</t>
        </is>
      </c>
      <c r="J1224" t="inlineStr">
        <is>
          <t>2023-05-03</t>
        </is>
      </c>
      <c r="K1224" t="inlineStr">
        <is>
          <t>marginalpdbc_20230504.1</t>
        </is>
      </c>
      <c r="L1224" t="inlineStr">
        <is>
          <t>24 periodos; mín 59.79, máx 128.58 €/MWh</t>
        </is>
      </c>
    </row>
    <row r="1225">
      <c r="A1225" s="53" t="n">
        <v>45051</v>
      </c>
      <c r="B1225" t="inlineStr">
        <is>
          <t>2023-05-05</t>
        </is>
      </c>
      <c r="C1225" s="45" t="n">
        <v>100.8233</v>
      </c>
      <c r="D1225" t="inlineStr">
        <is>
          <t>€/MWh</t>
        </is>
      </c>
      <c r="E1225" s="54" t="n">
        <v>0.100823</v>
      </c>
      <c r="F1225" s="54" t="n"/>
      <c r="G1225" t="inlineStr">
        <is>
          <t>no aplica (precio mayorista)</t>
        </is>
      </c>
      <c r="J1225" t="inlineStr">
        <is>
          <t>2023-05-04</t>
        </is>
      </c>
      <c r="K1225" t="inlineStr">
        <is>
          <t>marginalpdbc_20230505.1</t>
        </is>
      </c>
      <c r="L1225" t="inlineStr">
        <is>
          <t>24 periodos; mín 75.43, máx 130.00 €/MWh</t>
        </is>
      </c>
    </row>
    <row r="1226">
      <c r="A1226" s="53" t="n">
        <v>45052</v>
      </c>
      <c r="B1226" t="inlineStr">
        <is>
          <t>2023-05-06</t>
        </is>
      </c>
      <c r="C1226" s="45" t="n">
        <v>91.42619999999999</v>
      </c>
      <c r="D1226" t="inlineStr">
        <is>
          <t>€/MWh</t>
        </is>
      </c>
      <c r="E1226" s="54" t="n">
        <v>0.09142599999999999</v>
      </c>
      <c r="F1226" s="54" t="n"/>
      <c r="G1226" t="inlineStr">
        <is>
          <t>no aplica (precio mayorista)</t>
        </is>
      </c>
      <c r="J1226" t="inlineStr">
        <is>
          <t>2023-05-05</t>
        </is>
      </c>
      <c r="K1226" t="inlineStr">
        <is>
          <t>marginalpdbc_20230506.1</t>
        </is>
      </c>
      <c r="L1226" t="inlineStr">
        <is>
          <t>24 periodos; mín 50.00, máx 118.77 €/MWh</t>
        </is>
      </c>
    </row>
    <row r="1227">
      <c r="A1227" s="53" t="n">
        <v>45053</v>
      </c>
      <c r="B1227" t="inlineStr">
        <is>
          <t>2023-05-07</t>
        </is>
      </c>
      <c r="C1227" s="45" t="n">
        <v>63.5392</v>
      </c>
      <c r="D1227" t="inlineStr">
        <is>
          <t>€/MWh</t>
        </is>
      </c>
      <c r="E1227" s="54" t="n">
        <v>0.063539</v>
      </c>
      <c r="F1227" s="54" t="n"/>
      <c r="G1227" t="inlineStr">
        <is>
          <t>no aplica (precio mayorista)</t>
        </is>
      </c>
      <c r="J1227" t="inlineStr">
        <is>
          <t>2023-05-06</t>
        </is>
      </c>
      <c r="K1227" t="inlineStr">
        <is>
          <t>marginalpdbc_20230507.1</t>
        </is>
      </c>
      <c r="L1227" t="inlineStr">
        <is>
          <t>24 periodos; mín 4.17, máx 115.50 €/MWh</t>
        </is>
      </c>
    </row>
    <row r="1228">
      <c r="A1228" s="53" t="n">
        <v>45054</v>
      </c>
      <c r="B1228" t="inlineStr">
        <is>
          <t>2023-05-08</t>
        </is>
      </c>
      <c r="C1228" s="45" t="n">
        <v>97.5133</v>
      </c>
      <c r="D1228" t="inlineStr">
        <is>
          <t>€/MWh</t>
        </is>
      </c>
      <c r="E1228" s="54" t="n">
        <v>0.097513</v>
      </c>
      <c r="F1228" s="54" t="n"/>
      <c r="G1228" t="inlineStr">
        <is>
          <t>no aplica (precio mayorista)</t>
        </is>
      </c>
      <c r="J1228" t="inlineStr">
        <is>
          <t>2023-05-07</t>
        </is>
      </c>
      <c r="K1228" t="inlineStr">
        <is>
          <t>marginalpdbc_20230508.1</t>
        </is>
      </c>
      <c r="L1228" t="inlineStr">
        <is>
          <t>24 periodos; mín 77.99, máx 126.14 €/MWh</t>
        </is>
      </c>
    </row>
    <row r="1229">
      <c r="A1229" s="53" t="n">
        <v>45055</v>
      </c>
      <c r="B1229" t="inlineStr">
        <is>
          <t>2023-05-09</t>
        </is>
      </c>
      <c r="C1229" s="45" t="n">
        <v>89.4829</v>
      </c>
      <c r="D1229" t="inlineStr">
        <is>
          <t>€/MWh</t>
        </is>
      </c>
      <c r="E1229" s="54" t="n">
        <v>0.08948299999999999</v>
      </c>
      <c r="F1229" s="54" t="n"/>
      <c r="G1229" t="inlineStr">
        <is>
          <t>no aplica (precio mayorista)</t>
        </is>
      </c>
      <c r="J1229" t="inlineStr">
        <is>
          <t>2023-05-08</t>
        </is>
      </c>
      <c r="K1229" t="inlineStr">
        <is>
          <t>marginalpdbc_20230509.1</t>
        </is>
      </c>
      <c r="L1229" t="inlineStr">
        <is>
          <t>24 periodos; mín 35.00, máx 121.00 €/MWh</t>
        </is>
      </c>
    </row>
    <row r="1230">
      <c r="A1230" s="53" t="n">
        <v>45056</v>
      </c>
      <c r="B1230" t="inlineStr">
        <is>
          <t>2023-05-10</t>
        </is>
      </c>
      <c r="C1230" s="45" t="n">
        <v>82.7683</v>
      </c>
      <c r="D1230" t="inlineStr">
        <is>
          <t>€/MWh</t>
        </is>
      </c>
      <c r="E1230" s="54" t="n">
        <v>0.08276799999999999</v>
      </c>
      <c r="F1230" s="54" t="n"/>
      <c r="G1230" t="inlineStr">
        <is>
          <t>no aplica (precio mayorista)</t>
        </is>
      </c>
      <c r="J1230" t="inlineStr">
        <is>
          <t>2023-05-09</t>
        </is>
      </c>
      <c r="K1230" t="inlineStr">
        <is>
          <t>marginalpdbc_20230510.1</t>
        </is>
      </c>
      <c r="L1230" t="inlineStr">
        <is>
          <t>24 periodos; mín 45.10, máx 129.00 €/MWh</t>
        </is>
      </c>
    </row>
    <row r="1231">
      <c r="A1231" s="53" t="n">
        <v>45057</v>
      </c>
      <c r="B1231" t="inlineStr">
        <is>
          <t>2023-05-11</t>
        </is>
      </c>
      <c r="C1231" s="45" t="n">
        <v>81.7313</v>
      </c>
      <c r="D1231" t="inlineStr">
        <is>
          <t>€/MWh</t>
        </is>
      </c>
      <c r="E1231" s="54" t="n">
        <v>0.081731</v>
      </c>
      <c r="F1231" s="54" t="n"/>
      <c r="G1231" t="inlineStr">
        <is>
          <t>no aplica (precio mayorista)</t>
        </is>
      </c>
      <c r="J1231" t="inlineStr">
        <is>
          <t>2023-05-10</t>
        </is>
      </c>
      <c r="K1231" t="inlineStr">
        <is>
          <t>marginalpdbc_20230511.1</t>
        </is>
      </c>
      <c r="L1231" t="inlineStr">
        <is>
          <t>24 periodos; mín 45.21, máx 113.95 €/MWh</t>
        </is>
      </c>
    </row>
    <row r="1232">
      <c r="A1232" s="53" t="n">
        <v>45058</v>
      </c>
      <c r="B1232" t="inlineStr">
        <is>
          <t>2023-05-12</t>
        </is>
      </c>
      <c r="C1232" s="45" t="n">
        <v>74.1371</v>
      </c>
      <c r="D1232" t="inlineStr">
        <is>
          <t>€/MWh</t>
        </is>
      </c>
      <c r="E1232" s="54" t="n">
        <v>0.07413699999999999</v>
      </c>
      <c r="F1232" s="54" t="n"/>
      <c r="G1232" t="inlineStr">
        <is>
          <t>no aplica (precio mayorista)</t>
        </is>
      </c>
      <c r="J1232" t="inlineStr">
        <is>
          <t>2023-05-11</t>
        </is>
      </c>
      <c r="K1232" t="inlineStr">
        <is>
          <t>marginalpdbc_20230512.1</t>
        </is>
      </c>
      <c r="L1232" t="inlineStr">
        <is>
          <t>24 periodos; mín 7.62, máx 115.47 €/MWh</t>
        </is>
      </c>
    </row>
    <row r="1233">
      <c r="A1233" s="53" t="n">
        <v>45059</v>
      </c>
      <c r="B1233" t="inlineStr">
        <is>
          <t>2023-05-13</t>
        </is>
      </c>
      <c r="C1233" s="45" t="n">
        <v>51.1233</v>
      </c>
      <c r="D1233" t="inlineStr">
        <is>
          <t>€/MWh</t>
        </is>
      </c>
      <c r="E1233" s="54" t="n">
        <v>0.051123</v>
      </c>
      <c r="F1233" s="54" t="n"/>
      <c r="G1233" t="inlineStr">
        <is>
          <t>no aplica (precio mayorista)</t>
        </is>
      </c>
      <c r="J1233" t="inlineStr">
        <is>
          <t>2023-05-12</t>
        </is>
      </c>
      <c r="K1233" t="inlineStr">
        <is>
          <t>marginalpdbc_20230513.1</t>
        </is>
      </c>
      <c r="L1233" t="inlineStr">
        <is>
          <t>24 periodos; mín 2.91, máx 101.11 €/MWh</t>
        </is>
      </c>
    </row>
    <row r="1234">
      <c r="A1234" s="53" t="n">
        <v>45060</v>
      </c>
      <c r="B1234" t="inlineStr">
        <is>
          <t>2023-05-14</t>
        </is>
      </c>
      <c r="C1234" s="45" t="n">
        <v>39.575</v>
      </c>
      <c r="D1234" t="inlineStr">
        <is>
          <t>€/MWh</t>
        </is>
      </c>
      <c r="E1234" s="54" t="n">
        <v>0.039575</v>
      </c>
      <c r="F1234" s="54" t="n"/>
      <c r="G1234" t="inlineStr">
        <is>
          <t>no aplica (precio mayorista)</t>
        </is>
      </c>
      <c r="J1234" t="inlineStr">
        <is>
          <t>2023-05-13</t>
        </is>
      </c>
      <c r="K1234" t="inlineStr">
        <is>
          <t>marginalpdbc_20230514.1</t>
        </is>
      </c>
      <c r="L1234" t="inlineStr">
        <is>
          <t>24 periodos; mín 0.00, máx 98.96 €/MWh</t>
        </is>
      </c>
    </row>
    <row r="1235">
      <c r="A1235" s="53" t="n">
        <v>45061</v>
      </c>
      <c r="B1235" t="inlineStr">
        <is>
          <t>2023-05-15</t>
        </is>
      </c>
      <c r="C1235" s="45" t="n">
        <v>55.6029</v>
      </c>
      <c r="D1235" t="inlineStr">
        <is>
          <t>€/MWh</t>
        </is>
      </c>
      <c r="E1235" s="54" t="n">
        <v>0.055603</v>
      </c>
      <c r="F1235" s="54" t="n"/>
      <c r="G1235" t="inlineStr">
        <is>
          <t>no aplica (precio mayorista)</t>
        </is>
      </c>
      <c r="J1235" t="inlineStr">
        <is>
          <t>2023-05-14</t>
        </is>
      </c>
      <c r="K1235" t="inlineStr">
        <is>
          <t>marginalpdbc_20230515.1</t>
        </is>
      </c>
      <c r="L1235" t="inlineStr">
        <is>
          <t>24 periodos; mín 4.16, máx 103.50 €/MWh</t>
        </is>
      </c>
    </row>
    <row r="1236">
      <c r="A1236" s="53" t="n">
        <v>45062</v>
      </c>
      <c r="B1236" t="inlineStr">
        <is>
          <t>2023-05-16</t>
        </is>
      </c>
      <c r="C1236" s="45" t="n">
        <v>42.4771</v>
      </c>
      <c r="D1236" t="inlineStr">
        <is>
          <t>€/MWh</t>
        </is>
      </c>
      <c r="E1236" s="54" t="n">
        <v>0.042477</v>
      </c>
      <c r="F1236" s="54" t="n"/>
      <c r="G1236" t="inlineStr">
        <is>
          <t>no aplica (precio mayorista)</t>
        </is>
      </c>
      <c r="J1236" t="inlineStr">
        <is>
          <t>2023-05-15</t>
        </is>
      </c>
      <c r="K1236" t="inlineStr">
        <is>
          <t>marginalpdbc_20230516.1</t>
        </is>
      </c>
      <c r="L1236" t="inlineStr">
        <is>
          <t>24 periodos; mín 4.17, máx 99.25 €/MWh</t>
        </is>
      </c>
    </row>
    <row r="1237">
      <c r="A1237" s="53" t="n">
        <v>45063</v>
      </c>
      <c r="B1237" t="inlineStr">
        <is>
          <t>2023-05-17</t>
        </is>
      </c>
      <c r="C1237" s="45" t="n">
        <v>49.5792</v>
      </c>
      <c r="D1237" t="inlineStr">
        <is>
          <t>€/MWh</t>
        </is>
      </c>
      <c r="E1237" s="54" t="n">
        <v>0.049579</v>
      </c>
      <c r="F1237" s="54" t="n"/>
      <c r="G1237" t="inlineStr">
        <is>
          <t>no aplica (precio mayorista)</t>
        </is>
      </c>
      <c r="J1237" t="inlineStr">
        <is>
          <t>2023-05-16</t>
        </is>
      </c>
      <c r="K1237" t="inlineStr">
        <is>
          <t>marginalpdbc_20230517.1</t>
        </is>
      </c>
      <c r="L1237" t="inlineStr">
        <is>
          <t>24 periodos; mín 18.16, máx 99.25 €/MWh</t>
        </is>
      </c>
    </row>
    <row r="1238">
      <c r="A1238" s="53" t="n">
        <v>45064</v>
      </c>
      <c r="B1238" t="inlineStr">
        <is>
          <t>2023-05-18</t>
        </is>
      </c>
      <c r="C1238" s="45" t="n">
        <v>51.7583</v>
      </c>
      <c r="D1238" t="inlineStr">
        <is>
          <t>€/MWh</t>
        </is>
      </c>
      <c r="E1238" s="54" t="n">
        <v>0.051758</v>
      </c>
      <c r="F1238" s="54" t="n"/>
      <c r="G1238" t="inlineStr">
        <is>
          <t>no aplica (precio mayorista)</t>
        </is>
      </c>
      <c r="J1238" t="inlineStr">
        <is>
          <t>2023-05-17</t>
        </is>
      </c>
      <c r="K1238" t="inlineStr">
        <is>
          <t>marginalpdbc_20230518.1</t>
        </is>
      </c>
      <c r="L1238" t="inlineStr">
        <is>
          <t>24 periodos; mín 15.00, máx 94.94 €/MWh</t>
        </is>
      </c>
    </row>
    <row r="1239">
      <c r="A1239" s="53" t="n">
        <v>45065</v>
      </c>
      <c r="B1239" t="inlineStr">
        <is>
          <t>2023-05-19</t>
        </is>
      </c>
      <c r="C1239" s="45" t="n">
        <v>60.2725</v>
      </c>
      <c r="D1239" t="inlineStr">
        <is>
          <t>€/MWh</t>
        </is>
      </c>
      <c r="E1239" s="54" t="n">
        <v>0.060272</v>
      </c>
      <c r="F1239" s="54" t="n"/>
      <c r="G1239" t="inlineStr">
        <is>
          <t>no aplica (precio mayorista)</t>
        </is>
      </c>
      <c r="J1239" t="inlineStr">
        <is>
          <t>2023-05-18</t>
        </is>
      </c>
      <c r="K1239" t="inlineStr">
        <is>
          <t>marginalpdbc_20230519.1</t>
        </is>
      </c>
      <c r="L1239" t="inlineStr">
        <is>
          <t>24 periodos; mín 30.87, máx 95.17 €/MWh</t>
        </is>
      </c>
    </row>
    <row r="1240">
      <c r="A1240" s="53" t="n">
        <v>45066</v>
      </c>
      <c r="B1240" t="inlineStr">
        <is>
          <t>2023-05-20</t>
        </is>
      </c>
      <c r="C1240" s="45" t="n">
        <v>45.2696</v>
      </c>
      <c r="D1240" t="inlineStr">
        <is>
          <t>€/MWh</t>
        </is>
      </c>
      <c r="E1240" s="54" t="n">
        <v>0.04527</v>
      </c>
      <c r="F1240" s="54" t="n"/>
      <c r="G1240" t="inlineStr">
        <is>
          <t>no aplica (precio mayorista)</t>
        </is>
      </c>
      <c r="J1240" t="inlineStr">
        <is>
          <t>2023-05-19</t>
        </is>
      </c>
      <c r="K1240" t="inlineStr">
        <is>
          <t>marginalpdbc_20230520.1</t>
        </is>
      </c>
      <c r="L1240" t="inlineStr">
        <is>
          <t>24 periodos; mín 4.16, máx 81.06 €/MWh</t>
        </is>
      </c>
    </row>
    <row r="1241">
      <c r="A1241" s="53" t="n">
        <v>45067</v>
      </c>
      <c r="B1241" t="inlineStr">
        <is>
          <t>2023-05-21</t>
        </is>
      </c>
      <c r="C1241" s="45" t="n">
        <v>31.515</v>
      </c>
      <c r="D1241" t="inlineStr">
        <is>
          <t>€/MWh</t>
        </is>
      </c>
      <c r="E1241" s="54" t="n">
        <v>0.031515</v>
      </c>
      <c r="F1241" s="54" t="n"/>
      <c r="G1241" t="inlineStr">
        <is>
          <t>no aplica (precio mayorista)</t>
        </is>
      </c>
      <c r="J1241" t="inlineStr">
        <is>
          <t>2023-05-20</t>
        </is>
      </c>
      <c r="K1241" t="inlineStr">
        <is>
          <t>marginalpdbc_20230521.1</t>
        </is>
      </c>
      <c r="L1241" t="inlineStr">
        <is>
          <t>24 periodos; mín 0.00, máx 91.00 €/MWh</t>
        </is>
      </c>
    </row>
    <row r="1242">
      <c r="A1242" s="53" t="n">
        <v>45068</v>
      </c>
      <c r="B1242" t="inlineStr">
        <is>
          <t>2023-05-22</t>
        </is>
      </c>
      <c r="C1242" s="45" t="n">
        <v>88.8454</v>
      </c>
      <c r="D1242" t="inlineStr">
        <is>
          <t>€/MWh</t>
        </is>
      </c>
      <c r="E1242" s="54" t="n">
        <v>0.08884499999999999</v>
      </c>
      <c r="F1242" s="54" t="n"/>
      <c r="G1242" t="inlineStr">
        <is>
          <t>no aplica (precio mayorista)</t>
        </is>
      </c>
      <c r="J1242" t="inlineStr">
        <is>
          <t>2023-05-21</t>
        </is>
      </c>
      <c r="K1242" t="inlineStr">
        <is>
          <t>marginalpdbc_20230522.1</t>
        </is>
      </c>
      <c r="L1242" t="inlineStr">
        <is>
          <t>24 periodos; mín 73.64, máx 113.42 €/MWh</t>
        </is>
      </c>
    </row>
    <row r="1243">
      <c r="A1243" s="53" t="n">
        <v>45069</v>
      </c>
      <c r="B1243" t="inlineStr">
        <is>
          <t>2023-05-23</t>
        </is>
      </c>
      <c r="C1243" s="45" t="n">
        <v>83.77670000000001</v>
      </c>
      <c r="D1243" t="inlineStr">
        <is>
          <t>€/MWh</t>
        </is>
      </c>
      <c r="E1243" s="54" t="n">
        <v>0.083777</v>
      </c>
      <c r="F1243" s="54" t="n"/>
      <c r="G1243" t="inlineStr">
        <is>
          <t>no aplica (precio mayorista)</t>
        </is>
      </c>
      <c r="J1243" t="inlineStr">
        <is>
          <t>2023-05-22</t>
        </is>
      </c>
      <c r="K1243" t="inlineStr">
        <is>
          <t>marginalpdbc_20230523.1</t>
        </is>
      </c>
      <c r="L1243" t="inlineStr">
        <is>
          <t>24 periodos; mín 60.00, máx 105.00 €/MWh</t>
        </is>
      </c>
    </row>
    <row r="1244">
      <c r="A1244" s="53" t="n">
        <v>45070</v>
      </c>
      <c r="B1244" t="inlineStr">
        <is>
          <t>2023-05-24</t>
        </is>
      </c>
      <c r="C1244" s="45" t="n">
        <v>85.22669999999999</v>
      </c>
      <c r="D1244" t="inlineStr">
        <is>
          <t>€/MWh</t>
        </is>
      </c>
      <c r="E1244" s="54" t="n">
        <v>0.085227</v>
      </c>
      <c r="F1244" s="54" t="n"/>
      <c r="G1244" t="inlineStr">
        <is>
          <t>no aplica (precio mayorista)</t>
        </is>
      </c>
      <c r="J1244" t="inlineStr">
        <is>
          <t>2023-05-23</t>
        </is>
      </c>
      <c r="K1244" t="inlineStr">
        <is>
          <t>marginalpdbc_20230524.1</t>
        </is>
      </c>
      <c r="L1244" t="inlineStr">
        <is>
          <t>24 periodos; mín 71.75, máx 104.96 €/MWh</t>
        </is>
      </c>
    </row>
    <row r="1245">
      <c r="A1245" s="53" t="n">
        <v>45071</v>
      </c>
      <c r="B1245" t="inlineStr">
        <is>
          <t>2023-05-25</t>
        </is>
      </c>
      <c r="C1245" s="45" t="n">
        <v>75.88379999999999</v>
      </c>
      <c r="D1245" t="inlineStr">
        <is>
          <t>€/MWh</t>
        </is>
      </c>
      <c r="E1245" s="54" t="n">
        <v>0.07588399999999999</v>
      </c>
      <c r="F1245" s="54" t="n"/>
      <c r="G1245" t="inlineStr">
        <is>
          <t>no aplica (precio mayorista)</t>
        </is>
      </c>
      <c r="J1245" t="inlineStr">
        <is>
          <t>2023-05-24</t>
        </is>
      </c>
      <c r="K1245" t="inlineStr">
        <is>
          <t>marginalpdbc_20230525.1</t>
        </is>
      </c>
      <c r="L1245" t="inlineStr">
        <is>
          <t>24 periodos; mín 34.99, máx 106.29 €/MWh</t>
        </is>
      </c>
    </row>
    <row r="1246">
      <c r="A1246" s="53" t="n">
        <v>45072</v>
      </c>
      <c r="B1246" t="inlineStr">
        <is>
          <t>2023-05-26</t>
        </is>
      </c>
      <c r="C1246" s="45" t="n">
        <v>65.5458</v>
      </c>
      <c r="D1246" t="inlineStr">
        <is>
          <t>€/MWh</t>
        </is>
      </c>
      <c r="E1246" s="54" t="n">
        <v>0.06554599999999999</v>
      </c>
      <c r="F1246" s="54" t="n"/>
      <c r="G1246" t="inlineStr">
        <is>
          <t>no aplica (precio mayorista)</t>
        </is>
      </c>
      <c r="J1246" t="inlineStr">
        <is>
          <t>2023-05-25</t>
        </is>
      </c>
      <c r="K1246" t="inlineStr">
        <is>
          <t>marginalpdbc_20230526.1</t>
        </is>
      </c>
      <c r="L1246" t="inlineStr">
        <is>
          <t>24 periodos; mín 4.17, máx 120.00 €/MWh</t>
        </is>
      </c>
    </row>
    <row r="1247">
      <c r="A1247" s="53" t="n">
        <v>45073</v>
      </c>
      <c r="B1247" t="inlineStr">
        <is>
          <t>2023-05-27</t>
        </is>
      </c>
      <c r="C1247" s="45" t="n">
        <v>86.4158</v>
      </c>
      <c r="D1247" t="inlineStr">
        <is>
          <t>€/MWh</t>
        </is>
      </c>
      <c r="E1247" s="54" t="n">
        <v>0.08641600000000001</v>
      </c>
      <c r="F1247" s="54" t="n"/>
      <c r="G1247" t="inlineStr">
        <is>
          <t>no aplica (precio mayorista)</t>
        </is>
      </c>
      <c r="J1247" t="inlineStr">
        <is>
          <t>2023-05-26</t>
        </is>
      </c>
      <c r="K1247" t="inlineStr">
        <is>
          <t>marginalpdbc_20230527.1</t>
        </is>
      </c>
      <c r="L1247" t="inlineStr">
        <is>
          <t>24 periodos; mín 57.85, máx 110.00 €/MWh</t>
        </is>
      </c>
    </row>
    <row r="1248">
      <c r="A1248" s="53" t="n">
        <v>45075</v>
      </c>
      <c r="B1248" t="inlineStr">
        <is>
          <t>2023-05-29</t>
        </is>
      </c>
      <c r="C1248" s="45" t="n">
        <v>95.8021</v>
      </c>
      <c r="D1248" t="inlineStr">
        <is>
          <t>€/MWh</t>
        </is>
      </c>
      <c r="E1248" s="54" t="n">
        <v>0.095802</v>
      </c>
      <c r="F1248" s="54" t="n"/>
      <c r="G1248" t="inlineStr">
        <is>
          <t>no aplica (precio mayorista)</t>
        </is>
      </c>
      <c r="J1248" t="inlineStr">
        <is>
          <t>2023-05-28</t>
        </is>
      </c>
      <c r="K1248" t="inlineStr">
        <is>
          <t>marginalpdbc_20230529.1</t>
        </is>
      </c>
      <c r="L1248" t="inlineStr">
        <is>
          <t>24 periodos; mín 80.00, máx 131.86 €/MWh</t>
        </is>
      </c>
    </row>
    <row r="1249">
      <c r="A1249" s="53" t="n">
        <v>45076</v>
      </c>
      <c r="B1249" t="inlineStr">
        <is>
          <t>2023-05-30</t>
        </is>
      </c>
      <c r="C1249" s="45" t="n">
        <v>92.5317</v>
      </c>
      <c r="D1249" t="inlineStr">
        <is>
          <t>€/MWh</t>
        </is>
      </c>
      <c r="E1249" s="54" t="n">
        <v>0.092532</v>
      </c>
      <c r="F1249" s="54" t="n"/>
      <c r="G1249" t="inlineStr">
        <is>
          <t>no aplica (precio mayorista)</t>
        </is>
      </c>
      <c r="J1249" t="inlineStr">
        <is>
          <t>2023-05-29</t>
        </is>
      </c>
      <c r="K1249" t="inlineStr">
        <is>
          <t>marginalpdbc_20230530.1</t>
        </is>
      </c>
      <c r="L1249" t="inlineStr">
        <is>
          <t>24 periodos; mín 75.00, máx 124.03 €/MWh</t>
        </is>
      </c>
    </row>
    <row r="1250">
      <c r="A1250" s="53" t="n">
        <v>45077</v>
      </c>
      <c r="B1250" t="inlineStr">
        <is>
          <t>2023-05-31</t>
        </is>
      </c>
      <c r="C1250" s="45" t="n">
        <v>88.44710000000001</v>
      </c>
      <c r="D1250" t="inlineStr">
        <is>
          <t>€/MWh</t>
        </is>
      </c>
      <c r="E1250" s="54" t="n">
        <v>0.088447</v>
      </c>
      <c r="F1250" s="54" t="n"/>
      <c r="G1250" t="inlineStr">
        <is>
          <t>no aplica (precio mayorista)</t>
        </is>
      </c>
      <c r="J1250" t="inlineStr">
        <is>
          <t>2023-05-30</t>
        </is>
      </c>
      <c r="K1250" t="inlineStr">
        <is>
          <t>marginalpdbc_20230531.1</t>
        </is>
      </c>
      <c r="L1250" t="inlineStr">
        <is>
          <t>24 periodos; mín 65.70, máx 119.06 €/MWh</t>
        </is>
      </c>
    </row>
    <row r="1251">
      <c r="A1251" s="53" t="n">
        <v>45078</v>
      </c>
      <c r="B1251" t="inlineStr">
        <is>
          <t>2023-06-01</t>
        </is>
      </c>
      <c r="C1251" s="45" t="n">
        <v>85.3712</v>
      </c>
      <c r="D1251" t="inlineStr">
        <is>
          <t>€/MWh</t>
        </is>
      </c>
      <c r="E1251" s="54" t="n">
        <v>0.085371</v>
      </c>
      <c r="F1251" s="54" t="n"/>
      <c r="G1251" t="inlineStr">
        <is>
          <t>no aplica (precio mayorista)</t>
        </is>
      </c>
      <c r="J1251" t="inlineStr">
        <is>
          <t>2023-05-31</t>
        </is>
      </c>
      <c r="K1251" t="inlineStr">
        <is>
          <t>marginalpdbc_20230601.1</t>
        </is>
      </c>
      <c r="L1251" t="inlineStr">
        <is>
          <t>24 periodos; mín 68.18, máx 103.79 €/MWh</t>
        </is>
      </c>
    </row>
    <row r="1252">
      <c r="A1252" s="53" t="n">
        <v>45079</v>
      </c>
      <c r="B1252" t="inlineStr">
        <is>
          <t>2023-06-02</t>
        </is>
      </c>
      <c r="C1252" s="45" t="n">
        <v>86.7354</v>
      </c>
      <c r="D1252" t="inlineStr">
        <is>
          <t>€/MWh</t>
        </is>
      </c>
      <c r="E1252" s="54" t="n">
        <v>0.08673500000000001</v>
      </c>
      <c r="F1252" s="54" t="n"/>
      <c r="G1252" t="inlineStr">
        <is>
          <t>no aplica (precio mayorista)</t>
        </is>
      </c>
      <c r="J1252" t="inlineStr">
        <is>
          <t>2023-06-01</t>
        </is>
      </c>
      <c r="K1252" t="inlineStr">
        <is>
          <t>marginalpdbc_20230602.1</t>
        </is>
      </c>
      <c r="L1252" t="inlineStr">
        <is>
          <t>24 periodos; mín 74.26, máx 103.53 €/MWh</t>
        </is>
      </c>
    </row>
    <row r="1253">
      <c r="A1253" s="53" t="n">
        <v>45080</v>
      </c>
      <c r="B1253" t="inlineStr">
        <is>
          <t>2023-06-03</t>
        </is>
      </c>
      <c r="C1253" s="45" t="n">
        <v>79.3633</v>
      </c>
      <c r="D1253" t="inlineStr">
        <is>
          <t>€/MWh</t>
        </is>
      </c>
      <c r="E1253" s="54" t="n">
        <v>0.079363</v>
      </c>
      <c r="F1253" s="54" t="n"/>
      <c r="G1253" t="inlineStr">
        <is>
          <t>no aplica (precio mayorista)</t>
        </is>
      </c>
      <c r="J1253" t="inlineStr">
        <is>
          <t>2023-06-02</t>
        </is>
      </c>
      <c r="K1253" t="inlineStr">
        <is>
          <t>marginalpdbc_20230603.1</t>
        </is>
      </c>
      <c r="L1253" t="inlineStr">
        <is>
          <t>24 periodos; mín 56.00, máx 103.34 €/MWh</t>
        </is>
      </c>
    </row>
    <row r="1254">
      <c r="A1254" s="53" t="n">
        <v>45081</v>
      </c>
      <c r="B1254" t="inlineStr">
        <is>
          <t>2023-06-04</t>
        </is>
      </c>
      <c r="C1254" s="45" t="n">
        <v>67.2329</v>
      </c>
      <c r="D1254" t="inlineStr">
        <is>
          <t>€/MWh</t>
        </is>
      </c>
      <c r="E1254" s="54" t="n">
        <v>0.067233</v>
      </c>
      <c r="F1254" s="54" t="n"/>
      <c r="G1254" t="inlineStr">
        <is>
          <t>no aplica (precio mayorista)</t>
        </is>
      </c>
      <c r="J1254" t="inlineStr">
        <is>
          <t>2023-06-03</t>
        </is>
      </c>
      <c r="K1254" t="inlineStr">
        <is>
          <t>marginalpdbc_20230604.1</t>
        </is>
      </c>
      <c r="L1254" t="inlineStr">
        <is>
          <t>24 periodos; mín 25.00, máx 103.64 €/MWh</t>
        </is>
      </c>
    </row>
    <row r="1255">
      <c r="A1255" s="53" t="n">
        <v>45082</v>
      </c>
      <c r="B1255" t="inlineStr">
        <is>
          <t>2023-06-05</t>
        </is>
      </c>
      <c r="C1255" s="45" t="n">
        <v>86.6542</v>
      </c>
      <c r="D1255" t="inlineStr">
        <is>
          <t>€/MWh</t>
        </is>
      </c>
      <c r="E1255" s="54" t="n">
        <v>0.08665399999999999</v>
      </c>
      <c r="F1255" s="54" t="n"/>
      <c r="G1255" t="inlineStr">
        <is>
          <t>no aplica (precio mayorista)</t>
        </is>
      </c>
      <c r="J1255" t="inlineStr">
        <is>
          <t>2023-06-04</t>
        </is>
      </c>
      <c r="K1255" t="inlineStr">
        <is>
          <t>marginalpdbc_20230605.1</t>
        </is>
      </c>
      <c r="L1255" t="inlineStr">
        <is>
          <t>24 periodos; mín 66.54, máx 103.67 €/MWh</t>
        </is>
      </c>
    </row>
    <row r="1256">
      <c r="A1256" s="53" t="n">
        <v>45083</v>
      </c>
      <c r="B1256" t="inlineStr">
        <is>
          <t>2023-06-06</t>
        </is>
      </c>
      <c r="C1256" s="45" t="n">
        <v>87.2621</v>
      </c>
      <c r="D1256" t="inlineStr">
        <is>
          <t>€/MWh</t>
        </is>
      </c>
      <c r="E1256" s="54" t="n">
        <v>0.08726200000000001</v>
      </c>
      <c r="F1256" s="54" t="n"/>
      <c r="G1256" t="inlineStr">
        <is>
          <t>no aplica (precio mayorista)</t>
        </is>
      </c>
      <c r="J1256" t="inlineStr">
        <is>
          <t>2023-06-05</t>
        </is>
      </c>
      <c r="K1256" t="inlineStr">
        <is>
          <t>marginalpdbc_20230606.1</t>
        </is>
      </c>
      <c r="L1256" t="inlineStr">
        <is>
          <t>24 periodos; mín 68.50, máx 102.70 €/MWh</t>
        </is>
      </c>
    </row>
    <row r="1257">
      <c r="A1257" s="53" t="n">
        <v>45084</v>
      </c>
      <c r="B1257" t="inlineStr">
        <is>
          <t>2023-06-07</t>
        </is>
      </c>
      <c r="C1257" s="45" t="n">
        <v>87.16</v>
      </c>
      <c r="D1257" t="inlineStr">
        <is>
          <t>€/MWh</t>
        </is>
      </c>
      <c r="E1257" s="54" t="n">
        <v>0.08716</v>
      </c>
      <c r="F1257" s="54" t="n"/>
      <c r="G1257" t="inlineStr">
        <is>
          <t>no aplica (precio mayorista)</t>
        </is>
      </c>
      <c r="J1257" t="inlineStr">
        <is>
          <t>2023-06-06</t>
        </is>
      </c>
      <c r="K1257" t="inlineStr">
        <is>
          <t>marginalpdbc_20230607.1</t>
        </is>
      </c>
      <c r="L1257" t="inlineStr">
        <is>
          <t>24 periodos; mín 65.70, máx 107.36 €/MWh</t>
        </is>
      </c>
    </row>
    <row r="1258">
      <c r="A1258" s="53" t="n">
        <v>45085</v>
      </c>
      <c r="B1258" t="inlineStr">
        <is>
          <t>2023-06-08</t>
        </is>
      </c>
      <c r="C1258" s="45" t="n">
        <v>81.1258</v>
      </c>
      <c r="D1258" t="inlineStr">
        <is>
          <t>€/MWh</t>
        </is>
      </c>
      <c r="E1258" s="54" t="n">
        <v>0.081126</v>
      </c>
      <c r="F1258" s="54" t="n"/>
      <c r="G1258" t="inlineStr">
        <is>
          <t>no aplica (precio mayorista)</t>
        </is>
      </c>
      <c r="J1258" t="inlineStr">
        <is>
          <t>2023-06-07</t>
        </is>
      </c>
      <c r="K1258" t="inlineStr">
        <is>
          <t>marginalpdbc_20230608.1</t>
        </is>
      </c>
      <c r="L1258" t="inlineStr">
        <is>
          <t>24 periodos; mín 64.06, máx 100.55 €/MWh</t>
        </is>
      </c>
    </row>
    <row r="1259">
      <c r="A1259" s="53" t="n">
        <v>45086</v>
      </c>
      <c r="B1259" t="inlineStr">
        <is>
          <t>2023-06-09</t>
        </is>
      </c>
      <c r="C1259" s="45" t="n">
        <v>81.66670000000001</v>
      </c>
      <c r="D1259" t="inlineStr">
        <is>
          <t>€/MWh</t>
        </is>
      </c>
      <c r="E1259" s="54" t="n">
        <v>0.081667</v>
      </c>
      <c r="F1259" s="54" t="n"/>
      <c r="G1259" t="inlineStr">
        <is>
          <t>no aplica (precio mayorista)</t>
        </is>
      </c>
      <c r="J1259" t="inlineStr">
        <is>
          <t>2023-06-08</t>
        </is>
      </c>
      <c r="K1259" t="inlineStr">
        <is>
          <t>marginalpdbc_20230609.1</t>
        </is>
      </c>
      <c r="L1259" t="inlineStr">
        <is>
          <t>24 periodos; mín 59.75, máx 104.43 €/MWh</t>
        </is>
      </c>
    </row>
    <row r="1260">
      <c r="A1260" s="53" t="n">
        <v>45087</v>
      </c>
      <c r="B1260" t="inlineStr">
        <is>
          <t>2023-06-10</t>
        </is>
      </c>
      <c r="C1260" s="45" t="n">
        <v>80.8767</v>
      </c>
      <c r="D1260" t="inlineStr">
        <is>
          <t>€/MWh</t>
        </is>
      </c>
      <c r="E1260" s="54" t="n">
        <v>0.080877</v>
      </c>
      <c r="F1260" s="54" t="n"/>
      <c r="G1260" t="inlineStr">
        <is>
          <t>no aplica (precio mayorista)</t>
        </is>
      </c>
      <c r="J1260" t="inlineStr">
        <is>
          <t>2023-06-09</t>
        </is>
      </c>
      <c r="K1260" t="inlineStr">
        <is>
          <t>marginalpdbc_20230610.1</t>
        </is>
      </c>
      <c r="L1260" t="inlineStr">
        <is>
          <t>24 periodos; mín 48.61, máx 111.81 €/MWh</t>
        </is>
      </c>
    </row>
    <row r="1261">
      <c r="A1261" s="53" t="n">
        <v>45088</v>
      </c>
      <c r="B1261" t="inlineStr">
        <is>
          <t>2023-06-11</t>
        </is>
      </c>
      <c r="C1261" s="45" t="n">
        <v>67.1996</v>
      </c>
      <c r="D1261" t="inlineStr">
        <is>
          <t>€/MWh</t>
        </is>
      </c>
      <c r="E1261" s="54" t="n">
        <v>0.0672</v>
      </c>
      <c r="F1261" s="54" t="n"/>
      <c r="G1261" t="inlineStr">
        <is>
          <t>no aplica (precio mayorista)</t>
        </is>
      </c>
      <c r="J1261" t="inlineStr">
        <is>
          <t>2023-06-10</t>
        </is>
      </c>
      <c r="K1261" t="inlineStr">
        <is>
          <t>marginalpdbc_20230611.1</t>
        </is>
      </c>
      <c r="L1261" t="inlineStr">
        <is>
          <t>24 periodos; mín 10.00, máx 111.99 €/MWh</t>
        </is>
      </c>
    </row>
    <row r="1262">
      <c r="A1262" s="53" t="n">
        <v>45089</v>
      </c>
      <c r="B1262" t="inlineStr">
        <is>
          <t>2023-06-12</t>
        </is>
      </c>
      <c r="C1262" s="45" t="n">
        <v>93.5787</v>
      </c>
      <c r="D1262" t="inlineStr">
        <is>
          <t>€/MWh</t>
        </is>
      </c>
      <c r="E1262" s="54" t="n">
        <v>0.093579</v>
      </c>
      <c r="F1262" s="54" t="n"/>
      <c r="G1262" t="inlineStr">
        <is>
          <t>no aplica (precio mayorista)</t>
        </is>
      </c>
      <c r="J1262" t="inlineStr">
        <is>
          <t>2023-06-11</t>
        </is>
      </c>
      <c r="K1262" t="inlineStr">
        <is>
          <t>marginalpdbc_20230612.1</t>
        </is>
      </c>
      <c r="L1262" t="inlineStr">
        <is>
          <t>24 periodos; mín 78.70, máx 116.93 €/MWh</t>
        </is>
      </c>
    </row>
    <row r="1263">
      <c r="A1263" s="53" t="n">
        <v>45090</v>
      </c>
      <c r="B1263" t="inlineStr">
        <is>
          <t>2023-06-13</t>
        </is>
      </c>
      <c r="C1263" s="45" t="n">
        <v>89.7208</v>
      </c>
      <c r="D1263" t="inlineStr">
        <is>
          <t>€/MWh</t>
        </is>
      </c>
      <c r="E1263" s="54" t="n">
        <v>0.089721</v>
      </c>
      <c r="F1263" s="54" t="n"/>
      <c r="G1263" t="inlineStr">
        <is>
          <t>no aplica (precio mayorista)</t>
        </is>
      </c>
      <c r="J1263" t="inlineStr">
        <is>
          <t>2023-06-12</t>
        </is>
      </c>
      <c r="K1263" t="inlineStr">
        <is>
          <t>marginalpdbc_20230613.1</t>
        </is>
      </c>
      <c r="L1263" t="inlineStr">
        <is>
          <t>24 periodos; mín 68.15, máx 106.16 €/MWh</t>
        </is>
      </c>
    </row>
    <row r="1264">
      <c r="A1264" s="53" t="n">
        <v>45091</v>
      </c>
      <c r="B1264" t="inlineStr">
        <is>
          <t>2023-06-14</t>
        </is>
      </c>
      <c r="C1264" s="45" t="n">
        <v>84.5317</v>
      </c>
      <c r="D1264" t="inlineStr">
        <is>
          <t>€/MWh</t>
        </is>
      </c>
      <c r="E1264" s="54" t="n">
        <v>0.084532</v>
      </c>
      <c r="F1264" s="54" t="n"/>
      <c r="G1264" t="inlineStr">
        <is>
          <t>no aplica (precio mayorista)</t>
        </is>
      </c>
      <c r="J1264" t="inlineStr">
        <is>
          <t>2023-06-13</t>
        </is>
      </c>
      <c r="K1264" t="inlineStr">
        <is>
          <t>marginalpdbc_20230614.1</t>
        </is>
      </c>
      <c r="L1264" t="inlineStr">
        <is>
          <t>24 periodos; mín 55.07, máx 114.69 €/MWh</t>
        </is>
      </c>
    </row>
    <row r="1265">
      <c r="A1265" s="53" t="n">
        <v>45092</v>
      </c>
      <c r="B1265" t="inlineStr">
        <is>
          <t>2023-06-15</t>
        </is>
      </c>
      <c r="C1265" s="45" t="n">
        <v>104.8763</v>
      </c>
      <c r="D1265" t="inlineStr">
        <is>
          <t>€/MWh</t>
        </is>
      </c>
      <c r="E1265" s="54" t="n">
        <v>0.104876</v>
      </c>
      <c r="F1265" s="54" t="n"/>
      <c r="G1265" t="inlineStr">
        <is>
          <t>no aplica (precio mayorista)</t>
        </is>
      </c>
      <c r="J1265" t="inlineStr">
        <is>
          <t>2023-06-14</t>
        </is>
      </c>
      <c r="K1265" t="inlineStr">
        <is>
          <t>marginalpdbc_20230615.1</t>
        </is>
      </c>
      <c r="L1265" t="inlineStr">
        <is>
          <t>24 periodos; mín 90.00, máx 146.80 €/MWh</t>
        </is>
      </c>
    </row>
    <row r="1266">
      <c r="A1266" s="53" t="n">
        <v>45093</v>
      </c>
      <c r="B1266" t="inlineStr">
        <is>
          <t>2023-06-16</t>
        </is>
      </c>
      <c r="C1266" s="45" t="n">
        <v>122.4242</v>
      </c>
      <c r="D1266" t="inlineStr">
        <is>
          <t>€/MWh</t>
        </is>
      </c>
      <c r="E1266" s="54" t="n">
        <v>0.122424</v>
      </c>
      <c r="F1266" s="54" t="n"/>
      <c r="G1266" t="inlineStr">
        <is>
          <t>no aplica (precio mayorista)</t>
        </is>
      </c>
      <c r="J1266" t="inlineStr">
        <is>
          <t>2023-06-15</t>
        </is>
      </c>
      <c r="K1266" t="inlineStr">
        <is>
          <t>marginalpdbc_20230616.1</t>
        </is>
      </c>
      <c r="L1266" t="inlineStr">
        <is>
          <t>24 periodos; mín 97.01, máx 156.13 €/MWh</t>
        </is>
      </c>
    </row>
    <row r="1267">
      <c r="A1267" s="53" t="n">
        <v>45094</v>
      </c>
      <c r="B1267" t="inlineStr">
        <is>
          <t>2023-06-17</t>
        </is>
      </c>
      <c r="C1267" s="45" t="n">
        <v>97.4875</v>
      </c>
      <c r="D1267" t="inlineStr">
        <is>
          <t>€/MWh</t>
        </is>
      </c>
      <c r="E1267" s="54" t="n">
        <v>0.097487</v>
      </c>
      <c r="F1267" s="54" t="n"/>
      <c r="G1267" t="inlineStr">
        <is>
          <t>no aplica (precio mayorista)</t>
        </is>
      </c>
      <c r="J1267" t="inlineStr">
        <is>
          <t>2023-06-16</t>
        </is>
      </c>
      <c r="K1267" t="inlineStr">
        <is>
          <t>marginalpdbc_20230617.1</t>
        </is>
      </c>
      <c r="L1267" t="inlineStr">
        <is>
          <t>24 periodos; mín 39.38, máx 142.00 €/MWh</t>
        </is>
      </c>
    </row>
    <row r="1268">
      <c r="A1268" s="53" t="n">
        <v>45095</v>
      </c>
      <c r="B1268" t="inlineStr">
        <is>
          <t>2023-06-18</t>
        </is>
      </c>
      <c r="C1268" s="45" t="n">
        <v>86.3904</v>
      </c>
      <c r="D1268" t="inlineStr">
        <is>
          <t>€/MWh</t>
        </is>
      </c>
      <c r="E1268" s="54" t="n">
        <v>0.08638999999999999</v>
      </c>
      <c r="F1268" s="54" t="n"/>
      <c r="G1268" t="inlineStr">
        <is>
          <t>no aplica (precio mayorista)</t>
        </is>
      </c>
      <c r="J1268" t="inlineStr">
        <is>
          <t>2023-06-17</t>
        </is>
      </c>
      <c r="K1268" t="inlineStr">
        <is>
          <t>marginalpdbc_20230618.1</t>
        </is>
      </c>
      <c r="L1268" t="inlineStr">
        <is>
          <t>24 periodos; mín 25.10, máx 137.06 €/MWh</t>
        </is>
      </c>
    </row>
    <row r="1269">
      <c r="A1269" s="53" t="n">
        <v>45096</v>
      </c>
      <c r="B1269" t="inlineStr">
        <is>
          <t>2023-06-19</t>
        </is>
      </c>
      <c r="C1269" s="45" t="n">
        <v>106.7192</v>
      </c>
      <c r="D1269" t="inlineStr">
        <is>
          <t>€/MWh</t>
        </is>
      </c>
      <c r="E1269" s="54" t="n">
        <v>0.106719</v>
      </c>
      <c r="F1269" s="54" t="n"/>
      <c r="G1269" t="inlineStr">
        <is>
          <t>no aplica (precio mayorista)</t>
        </is>
      </c>
      <c r="J1269" t="inlineStr">
        <is>
          <t>2023-06-18</t>
        </is>
      </c>
      <c r="K1269" t="inlineStr">
        <is>
          <t>marginalpdbc_20230619.1</t>
        </is>
      </c>
      <c r="L1269" t="inlineStr">
        <is>
          <t>24 periodos; mín 85.90, máx 144.68 €/MWh</t>
        </is>
      </c>
    </row>
    <row r="1270">
      <c r="A1270" s="53" t="n">
        <v>45097</v>
      </c>
      <c r="B1270" t="inlineStr">
        <is>
          <t>2023-06-20</t>
        </is>
      </c>
      <c r="C1270" s="45" t="n">
        <v>111.7392</v>
      </c>
      <c r="D1270" t="inlineStr">
        <is>
          <t>€/MWh</t>
        </is>
      </c>
      <c r="E1270" s="54" t="n">
        <v>0.111739</v>
      </c>
      <c r="F1270" s="54" t="n"/>
      <c r="G1270" t="inlineStr">
        <is>
          <t>no aplica (precio mayorista)</t>
        </is>
      </c>
      <c r="J1270" t="inlineStr">
        <is>
          <t>2023-06-19</t>
        </is>
      </c>
      <c r="K1270" t="inlineStr">
        <is>
          <t>marginalpdbc_20230620.1</t>
        </is>
      </c>
      <c r="L1270" t="inlineStr">
        <is>
          <t>24 periodos; mín 88.78, máx 142.25 €/MWh</t>
        </is>
      </c>
    </row>
    <row r="1271">
      <c r="A1271" s="53" t="n">
        <v>45098</v>
      </c>
      <c r="B1271" t="inlineStr">
        <is>
          <t>2023-06-21</t>
        </is>
      </c>
      <c r="C1271" s="45" t="n">
        <v>117.0562</v>
      </c>
      <c r="D1271" t="inlineStr">
        <is>
          <t>€/MWh</t>
        </is>
      </c>
      <c r="E1271" s="54" t="n">
        <v>0.117056</v>
      </c>
      <c r="F1271" s="54" t="n"/>
      <c r="G1271" t="inlineStr">
        <is>
          <t>no aplica (precio mayorista)</t>
        </is>
      </c>
      <c r="J1271" t="inlineStr">
        <is>
          <t>2023-06-20</t>
        </is>
      </c>
      <c r="K1271" t="inlineStr">
        <is>
          <t>marginalpdbc_20230621.1</t>
        </is>
      </c>
      <c r="L1271" t="inlineStr">
        <is>
          <t>24 periodos; mín 95.78, máx 151.15 €/MWh</t>
        </is>
      </c>
    </row>
    <row r="1272">
      <c r="A1272" s="53" t="n">
        <v>45099</v>
      </c>
      <c r="B1272" t="inlineStr">
        <is>
          <t>2023-06-22</t>
        </is>
      </c>
      <c r="C1272" s="45" t="n">
        <v>122.4454</v>
      </c>
      <c r="D1272" t="inlineStr">
        <is>
          <t>€/MWh</t>
        </is>
      </c>
      <c r="E1272" s="54" t="n">
        <v>0.122445</v>
      </c>
      <c r="F1272" s="54" t="n"/>
      <c r="G1272" t="inlineStr">
        <is>
          <t>no aplica (precio mayorista)</t>
        </is>
      </c>
      <c r="J1272" t="inlineStr">
        <is>
          <t>2023-06-21</t>
        </is>
      </c>
      <c r="K1272" t="inlineStr">
        <is>
          <t>marginalpdbc_20230622.1</t>
        </is>
      </c>
      <c r="L1272" t="inlineStr">
        <is>
          <t>24 periodos; mín 93.60, máx 147.18 €/MWh</t>
        </is>
      </c>
    </row>
    <row r="1273">
      <c r="A1273" s="53" t="n">
        <v>45100</v>
      </c>
      <c r="B1273" t="inlineStr">
        <is>
          <t>2023-06-23</t>
        </is>
      </c>
      <c r="C1273" s="45" t="n">
        <v>110.3567</v>
      </c>
      <c r="D1273" t="inlineStr">
        <is>
          <t>€/MWh</t>
        </is>
      </c>
      <c r="E1273" s="54" t="n">
        <v>0.110357</v>
      </c>
      <c r="F1273" s="54" t="n"/>
      <c r="G1273" t="inlineStr">
        <is>
          <t>no aplica (precio mayorista)</t>
        </is>
      </c>
      <c r="J1273" t="inlineStr">
        <is>
          <t>2023-06-22</t>
        </is>
      </c>
      <c r="K1273" t="inlineStr">
        <is>
          <t>marginalpdbc_20230623.1</t>
        </is>
      </c>
      <c r="L1273" t="inlineStr">
        <is>
          <t>24 periodos; mín 82.17, máx 136.90 €/MWh</t>
        </is>
      </c>
    </row>
    <row r="1274">
      <c r="A1274" s="53" t="n">
        <v>45101</v>
      </c>
      <c r="B1274" t="inlineStr">
        <is>
          <t>2023-06-24</t>
        </is>
      </c>
      <c r="C1274" s="45" t="n">
        <v>82.33620000000001</v>
      </c>
      <c r="D1274" t="inlineStr">
        <is>
          <t>€/MWh</t>
        </is>
      </c>
      <c r="E1274" s="54" t="n">
        <v>0.08233600000000001</v>
      </c>
      <c r="F1274" s="54" t="n"/>
      <c r="G1274" t="inlineStr">
        <is>
          <t>no aplica (precio mayorista)</t>
        </is>
      </c>
      <c r="J1274" t="inlineStr">
        <is>
          <t>2023-06-23</t>
        </is>
      </c>
      <c r="K1274" t="inlineStr">
        <is>
          <t>marginalpdbc_20230624.1</t>
        </is>
      </c>
      <c r="L1274" t="inlineStr">
        <is>
          <t>24 periodos; mín 10.00, máx 132.82 €/MWh</t>
        </is>
      </c>
    </row>
    <row r="1275">
      <c r="A1275" s="53" t="n">
        <v>45102</v>
      </c>
      <c r="B1275" t="inlineStr">
        <is>
          <t>2023-06-25</t>
        </is>
      </c>
      <c r="C1275" s="45" t="n">
        <v>72.27460000000001</v>
      </c>
      <c r="D1275" t="inlineStr">
        <is>
          <t>€/MWh</t>
        </is>
      </c>
      <c r="E1275" s="54" t="n">
        <v>0.07227500000000001</v>
      </c>
      <c r="F1275" s="54" t="n"/>
      <c r="G1275" t="inlineStr">
        <is>
          <t>no aplica (precio mayorista)</t>
        </is>
      </c>
      <c r="J1275" t="inlineStr">
        <is>
          <t>2023-06-24</t>
        </is>
      </c>
      <c r="K1275" t="inlineStr">
        <is>
          <t>marginalpdbc_20230625.1</t>
        </is>
      </c>
      <c r="L1275" t="inlineStr">
        <is>
          <t>24 periodos; mín 0.00, máx 127.59 €/MWh</t>
        </is>
      </c>
    </row>
    <row r="1276">
      <c r="A1276" s="53" t="n">
        <v>45103</v>
      </c>
      <c r="B1276" t="inlineStr">
        <is>
          <t>2023-06-26</t>
        </is>
      </c>
      <c r="C1276" s="45" t="n">
        <v>93.345</v>
      </c>
      <c r="D1276" t="inlineStr">
        <is>
          <t>€/MWh</t>
        </is>
      </c>
      <c r="E1276" s="54" t="n">
        <v>0.093345</v>
      </c>
      <c r="F1276" s="54" t="n"/>
      <c r="G1276" t="inlineStr">
        <is>
          <t>no aplica (precio mayorista)</t>
        </is>
      </c>
      <c r="J1276" t="inlineStr">
        <is>
          <t>2023-06-25</t>
        </is>
      </c>
      <c r="K1276" t="inlineStr">
        <is>
          <t>marginalpdbc_20230626.1</t>
        </is>
      </c>
      <c r="L1276" t="inlineStr">
        <is>
          <t>24 periodos; mín 71.61, máx 129.16 €/MWh</t>
        </is>
      </c>
    </row>
    <row r="1277">
      <c r="A1277" s="53" t="n">
        <v>45104</v>
      </c>
      <c r="B1277" t="inlineStr">
        <is>
          <t>2023-06-27</t>
        </is>
      </c>
      <c r="C1277" s="45" t="n">
        <v>100.52</v>
      </c>
      <c r="D1277" t="inlineStr">
        <is>
          <t>€/MWh</t>
        </is>
      </c>
      <c r="E1277" s="54" t="n">
        <v>0.10052</v>
      </c>
      <c r="F1277" s="54" t="n"/>
      <c r="G1277" t="inlineStr">
        <is>
          <t>no aplica (precio mayorista)</t>
        </is>
      </c>
      <c r="J1277" t="inlineStr">
        <is>
          <t>2023-06-26</t>
        </is>
      </c>
      <c r="K1277" t="inlineStr">
        <is>
          <t>marginalpdbc_20230627.1</t>
        </is>
      </c>
      <c r="L1277" t="inlineStr">
        <is>
          <t>24 periodos; mín 83.20, máx 127.60 €/MWh</t>
        </is>
      </c>
    </row>
    <row r="1278">
      <c r="A1278" s="53" t="n">
        <v>45105</v>
      </c>
      <c r="B1278" t="inlineStr">
        <is>
          <t>2023-06-28</t>
        </is>
      </c>
      <c r="C1278" s="45" t="n">
        <v>103.7979</v>
      </c>
      <c r="D1278" t="inlineStr">
        <is>
          <t>€/MWh</t>
        </is>
      </c>
      <c r="E1278" s="54" t="n">
        <v>0.103798</v>
      </c>
      <c r="F1278" s="54" t="n"/>
      <c r="G1278" t="inlineStr">
        <is>
          <t>no aplica (precio mayorista)</t>
        </is>
      </c>
      <c r="J1278" t="inlineStr">
        <is>
          <t>2023-06-27</t>
        </is>
      </c>
      <c r="K1278" t="inlineStr">
        <is>
          <t>marginalpdbc_20230628.1</t>
        </is>
      </c>
      <c r="L1278" t="inlineStr">
        <is>
          <t>24 periodos; mín 86.16, máx 130.90 €/MWh</t>
        </is>
      </c>
    </row>
    <row r="1279">
      <c r="A1279" s="53" t="n">
        <v>45106</v>
      </c>
      <c r="B1279" t="inlineStr">
        <is>
          <t>2023-06-29</t>
        </is>
      </c>
      <c r="C1279" s="45" t="n">
        <v>103.8325</v>
      </c>
      <c r="D1279" t="inlineStr">
        <is>
          <t>€/MWh</t>
        </is>
      </c>
      <c r="E1279" s="54" t="n">
        <v>0.103832</v>
      </c>
      <c r="F1279" s="54" t="n"/>
      <c r="G1279" t="inlineStr">
        <is>
          <t>no aplica (precio mayorista)</t>
        </is>
      </c>
      <c r="J1279" t="inlineStr">
        <is>
          <t>2023-06-28</t>
        </is>
      </c>
      <c r="K1279" t="inlineStr">
        <is>
          <t>marginalpdbc_20230629.1</t>
        </is>
      </c>
      <c r="L1279" t="inlineStr">
        <is>
          <t>24 periodos; mín 82.51, máx 129.29 €/MWh</t>
        </is>
      </c>
    </row>
    <row r="1280">
      <c r="A1280" s="53" t="n">
        <v>45107</v>
      </c>
      <c r="B1280" t="inlineStr">
        <is>
          <t>2023-06-30</t>
        </is>
      </c>
      <c r="C1280" s="45" t="n">
        <v>96.57040000000001</v>
      </c>
      <c r="D1280" t="inlineStr">
        <is>
          <t>€/MWh</t>
        </is>
      </c>
      <c r="E1280" s="54" t="n">
        <v>0.09657</v>
      </c>
      <c r="F1280" s="54" t="n"/>
      <c r="G1280" t="inlineStr">
        <is>
          <t>no aplica (precio mayorista)</t>
        </is>
      </c>
      <c r="J1280" t="inlineStr">
        <is>
          <t>2023-06-29</t>
        </is>
      </c>
      <c r="K1280" t="inlineStr">
        <is>
          <t>marginalpdbc_20230630.1</t>
        </is>
      </c>
      <c r="L1280" t="inlineStr">
        <is>
          <t>24 periodos; mín 78.60, máx 123.20 €/MWh</t>
        </is>
      </c>
    </row>
    <row r="1281">
      <c r="A1281" s="53" t="n">
        <v>45108</v>
      </c>
      <c r="B1281" t="inlineStr">
        <is>
          <t>2023-07-01</t>
        </is>
      </c>
      <c r="C1281" s="45" t="n">
        <v>60.3438</v>
      </c>
      <c r="D1281" t="inlineStr">
        <is>
          <t>€/MWh</t>
        </is>
      </c>
      <c r="E1281" s="54" t="n">
        <v>0.060344</v>
      </c>
      <c r="F1281" s="54" t="n"/>
      <c r="G1281" t="inlineStr">
        <is>
          <t>no aplica (precio mayorista)</t>
        </is>
      </c>
      <c r="J1281" t="inlineStr">
        <is>
          <t>2023-06-30</t>
        </is>
      </c>
      <c r="K1281" t="inlineStr">
        <is>
          <t>marginalpdbc_20230701.1</t>
        </is>
      </c>
      <c r="L1281" t="inlineStr">
        <is>
          <t>24 periodos; mín 0.00, máx 120.20 €/MWh</t>
        </is>
      </c>
    </row>
    <row r="1282">
      <c r="A1282" s="53" t="n">
        <v>45109</v>
      </c>
      <c r="B1282" t="inlineStr">
        <is>
          <t>2023-07-02</t>
        </is>
      </c>
      <c r="C1282" s="45" t="n">
        <v>48.2783</v>
      </c>
      <c r="D1282" t="inlineStr">
        <is>
          <t>€/MWh</t>
        </is>
      </c>
      <c r="E1282" s="54" t="n">
        <v>0.048278</v>
      </c>
      <c r="F1282" s="54" t="n"/>
      <c r="G1282" t="inlineStr">
        <is>
          <t>no aplica (precio mayorista)</t>
        </is>
      </c>
      <c r="J1282" t="inlineStr">
        <is>
          <t>2023-07-01</t>
        </is>
      </c>
      <c r="K1282" t="inlineStr">
        <is>
          <t>marginalpdbc_20230702.1</t>
        </is>
      </c>
      <c r="L1282" t="inlineStr">
        <is>
          <t>24 periodos; mín 0.00, máx 130.00 €/MWh</t>
        </is>
      </c>
    </row>
    <row r="1283">
      <c r="A1283" s="53" t="n">
        <v>45110</v>
      </c>
      <c r="B1283" t="inlineStr">
        <is>
          <t>2023-07-03</t>
        </is>
      </c>
      <c r="C1283" s="45" t="n">
        <v>117.0238</v>
      </c>
      <c r="D1283" t="inlineStr">
        <is>
          <t>€/MWh</t>
        </is>
      </c>
      <c r="E1283" s="54" t="n">
        <v>0.117024</v>
      </c>
      <c r="F1283" s="54" t="n"/>
      <c r="G1283" t="inlineStr">
        <is>
          <t>no aplica (precio mayorista)</t>
        </is>
      </c>
      <c r="J1283" t="inlineStr">
        <is>
          <t>2023-07-02</t>
        </is>
      </c>
      <c r="K1283" t="inlineStr">
        <is>
          <t>marginalpdbc_20230703.1</t>
        </is>
      </c>
      <c r="L1283" t="inlineStr">
        <is>
          <t>24 periodos; mín 88.08, máx 139.49 €/MWh</t>
        </is>
      </c>
    </row>
    <row r="1284">
      <c r="A1284" s="53" t="n">
        <v>45111</v>
      </c>
      <c r="B1284" t="inlineStr">
        <is>
          <t>2023-07-04</t>
        </is>
      </c>
      <c r="C1284" s="45" t="n">
        <v>113.0288</v>
      </c>
      <c r="D1284" t="inlineStr">
        <is>
          <t>€/MWh</t>
        </is>
      </c>
      <c r="E1284" s="54" t="n">
        <v>0.113029</v>
      </c>
      <c r="F1284" s="54" t="n"/>
      <c r="G1284" t="inlineStr">
        <is>
          <t>no aplica (precio mayorista)</t>
        </is>
      </c>
      <c r="J1284" t="inlineStr">
        <is>
          <t>2023-07-03</t>
        </is>
      </c>
      <c r="K1284" t="inlineStr">
        <is>
          <t>marginalpdbc_20230704.1</t>
        </is>
      </c>
      <c r="L1284" t="inlineStr">
        <is>
          <t>24 periodos; mín 84.74, máx 140.70 €/MWh</t>
        </is>
      </c>
    </row>
    <row r="1285">
      <c r="A1285" s="53" t="n">
        <v>45112</v>
      </c>
      <c r="B1285" t="inlineStr">
        <is>
          <t>2023-07-05</t>
        </is>
      </c>
      <c r="C1285" s="45" t="n">
        <v>106.5408</v>
      </c>
      <c r="D1285" t="inlineStr">
        <is>
          <t>€/MWh</t>
        </is>
      </c>
      <c r="E1285" s="54" t="n">
        <v>0.106541</v>
      </c>
      <c r="F1285" s="54" t="n"/>
      <c r="G1285" t="inlineStr">
        <is>
          <t>no aplica (precio mayorista)</t>
        </is>
      </c>
      <c r="J1285" t="inlineStr">
        <is>
          <t>2023-07-04</t>
        </is>
      </c>
      <c r="K1285" t="inlineStr">
        <is>
          <t>marginalpdbc_20230705.1</t>
        </is>
      </c>
      <c r="L1285" t="inlineStr">
        <is>
          <t>24 periodos; mín 90.10, máx 135.14 €/MWh</t>
        </is>
      </c>
    </row>
    <row r="1286">
      <c r="A1286" s="53" t="n">
        <v>45113</v>
      </c>
      <c r="B1286" t="inlineStr">
        <is>
          <t>2023-07-06</t>
        </is>
      </c>
      <c r="C1286" s="45" t="n">
        <v>111.9379</v>
      </c>
      <c r="D1286" t="inlineStr">
        <is>
          <t>€/MWh</t>
        </is>
      </c>
      <c r="E1286" s="54" t="n">
        <v>0.111938</v>
      </c>
      <c r="F1286" s="54" t="n"/>
      <c r="G1286" t="inlineStr">
        <is>
          <t>no aplica (precio mayorista)</t>
        </is>
      </c>
      <c r="J1286" t="inlineStr">
        <is>
          <t>2023-07-05</t>
        </is>
      </c>
      <c r="K1286" t="inlineStr">
        <is>
          <t>marginalpdbc_20230706.1</t>
        </is>
      </c>
      <c r="L1286" t="inlineStr">
        <is>
          <t>24 periodos; mín 85.02, máx 131.83 €/MWh</t>
        </is>
      </c>
    </row>
    <row r="1287">
      <c r="A1287" s="53" t="n">
        <v>45114</v>
      </c>
      <c r="B1287" t="inlineStr">
        <is>
          <t>2023-07-07</t>
        </is>
      </c>
      <c r="C1287" s="45" t="n">
        <v>102.7358</v>
      </c>
      <c r="D1287" t="inlineStr">
        <is>
          <t>€/MWh</t>
        </is>
      </c>
      <c r="E1287" s="54" t="n">
        <v>0.102736</v>
      </c>
      <c r="F1287" s="54" t="n"/>
      <c r="G1287" t="inlineStr">
        <is>
          <t>no aplica (precio mayorista)</t>
        </is>
      </c>
      <c r="J1287" t="inlineStr">
        <is>
          <t>2023-07-06</t>
        </is>
      </c>
      <c r="K1287" t="inlineStr">
        <is>
          <t>marginalpdbc_20230707.1</t>
        </is>
      </c>
      <c r="L1287" t="inlineStr">
        <is>
          <t>24 periodos; mín 64.98, máx 126.87 €/MWh</t>
        </is>
      </c>
    </row>
    <row r="1288">
      <c r="A1288" s="53" t="n">
        <v>45115</v>
      </c>
      <c r="B1288" t="inlineStr">
        <is>
          <t>2023-07-08</t>
        </is>
      </c>
      <c r="C1288" s="45" t="n">
        <v>87.9254</v>
      </c>
      <c r="D1288" t="inlineStr">
        <is>
          <t>€/MWh</t>
        </is>
      </c>
      <c r="E1288" s="54" t="n">
        <v>0.087925</v>
      </c>
      <c r="F1288" s="54" t="n"/>
      <c r="G1288" t="inlineStr">
        <is>
          <t>no aplica (precio mayorista)</t>
        </is>
      </c>
      <c r="J1288" t="inlineStr">
        <is>
          <t>2023-07-07</t>
        </is>
      </c>
      <c r="K1288" t="inlineStr">
        <is>
          <t>marginalpdbc_20230708.1</t>
        </is>
      </c>
      <c r="L1288" t="inlineStr">
        <is>
          <t>24 periodos; mín 35.00, máx 132.86 €/MWh</t>
        </is>
      </c>
    </row>
    <row r="1289">
      <c r="A1289" s="53" t="n">
        <v>45116</v>
      </c>
      <c r="B1289" t="inlineStr">
        <is>
          <t>2023-07-09</t>
        </is>
      </c>
      <c r="C1289" s="45" t="n">
        <v>91.1992</v>
      </c>
      <c r="D1289" t="inlineStr">
        <is>
          <t>€/MWh</t>
        </is>
      </c>
      <c r="E1289" s="54" t="n">
        <v>0.091199</v>
      </c>
      <c r="F1289" s="54" t="n"/>
      <c r="G1289" t="inlineStr">
        <is>
          <t>no aplica (precio mayorista)</t>
        </is>
      </c>
      <c r="J1289" t="inlineStr">
        <is>
          <t>2023-07-08</t>
        </is>
      </c>
      <c r="K1289" t="inlineStr">
        <is>
          <t>marginalpdbc_20230709.1</t>
        </is>
      </c>
      <c r="L1289" t="inlineStr">
        <is>
          <t>24 periodos; mín 40.98, máx 134.10 €/MWh</t>
        </is>
      </c>
    </row>
    <row r="1290">
      <c r="A1290" s="53" t="n">
        <v>45117</v>
      </c>
      <c r="B1290" t="inlineStr">
        <is>
          <t>2023-07-10</t>
        </is>
      </c>
      <c r="C1290" s="45" t="n">
        <v>109.9233</v>
      </c>
      <c r="D1290" t="inlineStr">
        <is>
          <t>€/MWh</t>
        </is>
      </c>
      <c r="E1290" s="54" t="n">
        <v>0.109923</v>
      </c>
      <c r="F1290" s="54" t="n"/>
      <c r="G1290" t="inlineStr">
        <is>
          <t>no aplica (precio mayorista)</t>
        </is>
      </c>
      <c r="J1290" t="inlineStr">
        <is>
          <t>2023-07-09</t>
        </is>
      </c>
      <c r="K1290" t="inlineStr">
        <is>
          <t>marginalpdbc_20230710.1</t>
        </is>
      </c>
      <c r="L1290" t="inlineStr">
        <is>
          <t>24 periodos; mín 88.32, máx 151.65 €/MWh</t>
        </is>
      </c>
    </row>
    <row r="1291">
      <c r="A1291" s="53" t="n">
        <v>45118</v>
      </c>
      <c r="B1291" t="inlineStr">
        <is>
          <t>2023-07-11</t>
        </is>
      </c>
      <c r="C1291" s="45" t="n">
        <v>106.3696</v>
      </c>
      <c r="D1291" t="inlineStr">
        <is>
          <t>€/MWh</t>
        </is>
      </c>
      <c r="E1291" s="54" t="n">
        <v>0.10637</v>
      </c>
      <c r="F1291" s="54" t="n"/>
      <c r="G1291" t="inlineStr">
        <is>
          <t>no aplica (precio mayorista)</t>
        </is>
      </c>
      <c r="J1291" t="inlineStr">
        <is>
          <t>2023-07-10</t>
        </is>
      </c>
      <c r="K1291" t="inlineStr">
        <is>
          <t>marginalpdbc_20230711.1</t>
        </is>
      </c>
      <c r="L1291" t="inlineStr">
        <is>
          <t>24 periodos; mín 87.12, máx 128.21 €/MWh</t>
        </is>
      </c>
    </row>
    <row r="1292">
      <c r="A1292" s="53" t="n">
        <v>45119</v>
      </c>
      <c r="B1292" t="inlineStr">
        <is>
          <t>2023-07-12</t>
        </is>
      </c>
      <c r="C1292" s="45" t="n">
        <v>100.3542</v>
      </c>
      <c r="D1292" t="inlineStr">
        <is>
          <t>€/MWh</t>
        </is>
      </c>
      <c r="E1292" s="54" t="n">
        <v>0.100354</v>
      </c>
      <c r="F1292" s="54" t="n"/>
      <c r="G1292" t="inlineStr">
        <is>
          <t>no aplica (precio mayorista)</t>
        </is>
      </c>
      <c r="J1292" t="inlineStr">
        <is>
          <t>2023-07-11</t>
        </is>
      </c>
      <c r="K1292" t="inlineStr">
        <is>
          <t>marginalpdbc_20230712.1</t>
        </is>
      </c>
      <c r="L1292" t="inlineStr">
        <is>
          <t>24 periodos; mín 86.75, máx 123.79 €/MWh</t>
        </is>
      </c>
    </row>
    <row r="1293">
      <c r="A1293" s="53" t="n">
        <v>45120</v>
      </c>
      <c r="B1293" t="inlineStr">
        <is>
          <t>2023-07-13</t>
        </is>
      </c>
      <c r="C1293" s="45" t="n">
        <v>102.4517</v>
      </c>
      <c r="D1293" t="inlineStr">
        <is>
          <t>€/MWh</t>
        </is>
      </c>
      <c r="E1293" s="54" t="n">
        <v>0.102452</v>
      </c>
      <c r="F1293" s="54" t="n"/>
      <c r="G1293" t="inlineStr">
        <is>
          <t>no aplica (precio mayorista)</t>
        </is>
      </c>
      <c r="J1293" t="inlineStr">
        <is>
          <t>2023-07-12</t>
        </is>
      </c>
      <c r="K1293" t="inlineStr">
        <is>
          <t>marginalpdbc_20230713.1</t>
        </is>
      </c>
      <c r="L1293" t="inlineStr">
        <is>
          <t>24 periodos; mín 88.72, máx 137.31 €/MWh</t>
        </is>
      </c>
    </row>
    <row r="1294">
      <c r="A1294" s="53" t="n">
        <v>45121</v>
      </c>
      <c r="B1294" t="inlineStr">
        <is>
          <t>2023-07-14</t>
        </is>
      </c>
      <c r="C1294" s="45" t="n">
        <v>87.4521</v>
      </c>
      <c r="D1294" t="inlineStr">
        <is>
          <t>€/MWh</t>
        </is>
      </c>
      <c r="E1294" s="54" t="n">
        <v>0.087452</v>
      </c>
      <c r="F1294" s="54" t="n"/>
      <c r="G1294" t="inlineStr">
        <is>
          <t>no aplica (precio mayorista)</t>
        </is>
      </c>
      <c r="J1294" t="inlineStr">
        <is>
          <t>2023-07-13</t>
        </is>
      </c>
      <c r="K1294" t="inlineStr">
        <is>
          <t>marginalpdbc_20230714.1</t>
        </is>
      </c>
      <c r="L1294" t="inlineStr">
        <is>
          <t>24 periodos; mín 45.68, máx 118.00 €/MWh</t>
        </is>
      </c>
    </row>
    <row r="1295">
      <c r="A1295" s="53" t="n">
        <v>45122</v>
      </c>
      <c r="B1295" t="inlineStr">
        <is>
          <t>2023-07-15</t>
        </is>
      </c>
      <c r="C1295" s="45" t="n">
        <v>63.0017</v>
      </c>
      <c r="D1295" t="inlineStr">
        <is>
          <t>€/MWh</t>
        </is>
      </c>
      <c r="E1295" s="54" t="n">
        <v>0.063002</v>
      </c>
      <c r="F1295" s="54" t="n"/>
      <c r="G1295" t="inlineStr">
        <is>
          <t>no aplica (precio mayorista)</t>
        </is>
      </c>
      <c r="J1295" t="inlineStr">
        <is>
          <t>2023-07-14</t>
        </is>
      </c>
      <c r="K1295" t="inlineStr">
        <is>
          <t>marginalpdbc_20230715.1</t>
        </is>
      </c>
      <c r="L1295" t="inlineStr">
        <is>
          <t>24 periodos; mín 1.64, máx 108.75 €/MWh</t>
        </is>
      </c>
    </row>
    <row r="1296">
      <c r="A1296" s="53" t="n">
        <v>45123</v>
      </c>
      <c r="B1296" t="inlineStr">
        <is>
          <t>2023-07-16</t>
        </is>
      </c>
      <c r="C1296" s="45" t="n">
        <v>59.6738</v>
      </c>
      <c r="D1296" t="inlineStr">
        <is>
          <t>€/MWh</t>
        </is>
      </c>
      <c r="E1296" s="54" t="n">
        <v>0.059674</v>
      </c>
      <c r="F1296" s="54" t="n"/>
      <c r="G1296" t="inlineStr">
        <is>
          <t>no aplica (precio mayorista)</t>
        </is>
      </c>
      <c r="J1296" t="inlineStr">
        <is>
          <t>2023-07-15</t>
        </is>
      </c>
      <c r="K1296" t="inlineStr">
        <is>
          <t>marginalpdbc_20230716.1</t>
        </is>
      </c>
      <c r="L1296" t="inlineStr">
        <is>
          <t>24 periodos; mín 15.69, máx 114.95 €/MWh</t>
        </is>
      </c>
    </row>
    <row r="1297">
      <c r="A1297" s="53" t="n">
        <v>45124</v>
      </c>
      <c r="B1297" t="inlineStr">
        <is>
          <t>2023-07-17</t>
        </is>
      </c>
      <c r="C1297" s="45" t="n">
        <v>87.47499999999999</v>
      </c>
      <c r="D1297" t="inlineStr">
        <is>
          <t>€/MWh</t>
        </is>
      </c>
      <c r="E1297" s="54" t="n">
        <v>0.087475</v>
      </c>
      <c r="F1297" s="54" t="n"/>
      <c r="G1297" t="inlineStr">
        <is>
          <t>no aplica (precio mayorista)</t>
        </is>
      </c>
      <c r="J1297" t="inlineStr">
        <is>
          <t>2023-07-16</t>
        </is>
      </c>
      <c r="K1297" t="inlineStr">
        <is>
          <t>marginalpdbc_20230717.1</t>
        </is>
      </c>
      <c r="L1297" t="inlineStr">
        <is>
          <t>24 periodos; mín 70.00, máx 126.44 €/MWh</t>
        </is>
      </c>
    </row>
    <row r="1298">
      <c r="A1298" s="53" t="n">
        <v>45125</v>
      </c>
      <c r="B1298" t="inlineStr">
        <is>
          <t>2023-07-18</t>
        </is>
      </c>
      <c r="C1298" s="45" t="n">
        <v>96.62</v>
      </c>
      <c r="D1298" t="inlineStr">
        <is>
          <t>€/MWh</t>
        </is>
      </c>
      <c r="E1298" s="54" t="n">
        <v>0.09662</v>
      </c>
      <c r="F1298" s="54" t="n"/>
      <c r="G1298" t="inlineStr">
        <is>
          <t>no aplica (precio mayorista)</t>
        </is>
      </c>
      <c r="J1298" t="inlineStr">
        <is>
          <t>2023-07-17</t>
        </is>
      </c>
      <c r="K1298" t="inlineStr">
        <is>
          <t>marginalpdbc_20230718.1</t>
        </is>
      </c>
      <c r="L1298" t="inlineStr">
        <is>
          <t>24 periodos; mín 81.66, máx 120.01 €/MWh</t>
        </is>
      </c>
    </row>
    <row r="1299">
      <c r="A1299" s="53" t="n">
        <v>45126</v>
      </c>
      <c r="B1299" t="inlineStr">
        <is>
          <t>2023-07-19</t>
        </is>
      </c>
      <c r="C1299" s="45" t="n">
        <v>95.105</v>
      </c>
      <c r="D1299" t="inlineStr">
        <is>
          <t>€/MWh</t>
        </is>
      </c>
      <c r="E1299" s="54" t="n">
        <v>0.095105</v>
      </c>
      <c r="F1299" s="54" t="n"/>
      <c r="G1299" t="inlineStr">
        <is>
          <t>no aplica (precio mayorista)</t>
        </is>
      </c>
      <c r="J1299" t="inlineStr">
        <is>
          <t>2023-07-18</t>
        </is>
      </c>
      <c r="K1299" t="inlineStr">
        <is>
          <t>marginalpdbc_20230719.1</t>
        </is>
      </c>
      <c r="L1299" t="inlineStr">
        <is>
          <t>24 periodos; mín 77.09, máx 116.03 €/MWh</t>
        </is>
      </c>
    </row>
    <row r="1300">
      <c r="A1300" s="53" t="n">
        <v>45127</v>
      </c>
      <c r="B1300" t="inlineStr">
        <is>
          <t>2023-07-20</t>
        </is>
      </c>
      <c r="C1300" s="45" t="n">
        <v>93.81</v>
      </c>
      <c r="D1300" t="inlineStr">
        <is>
          <t>€/MWh</t>
        </is>
      </c>
      <c r="E1300" s="54" t="n">
        <v>0.09381</v>
      </c>
      <c r="F1300" s="54" t="n"/>
      <c r="G1300" t="inlineStr">
        <is>
          <t>no aplica (precio mayorista)</t>
        </is>
      </c>
      <c r="J1300" t="inlineStr">
        <is>
          <t>2023-07-19</t>
        </is>
      </c>
      <c r="K1300" t="inlineStr">
        <is>
          <t>marginalpdbc_20230720.1</t>
        </is>
      </c>
      <c r="L1300" t="inlineStr">
        <is>
          <t>24 periodos; mín 75.03, máx 112.47 €/MWh</t>
        </is>
      </c>
    </row>
    <row r="1301">
      <c r="A1301" s="53" t="n">
        <v>45128</v>
      </c>
      <c r="B1301" t="inlineStr">
        <is>
          <t>2023-07-21</t>
        </is>
      </c>
      <c r="C1301" s="45" t="n">
        <v>92.8104</v>
      </c>
      <c r="D1301" t="inlineStr">
        <is>
          <t>€/MWh</t>
        </is>
      </c>
      <c r="E1301" s="54" t="n">
        <v>0.09281</v>
      </c>
      <c r="F1301" s="54" t="n"/>
      <c r="G1301" t="inlineStr">
        <is>
          <t>no aplica (precio mayorista)</t>
        </is>
      </c>
      <c r="J1301" t="inlineStr">
        <is>
          <t>2023-07-20</t>
        </is>
      </c>
      <c r="K1301" t="inlineStr">
        <is>
          <t>marginalpdbc_20230721.1</t>
        </is>
      </c>
      <c r="L1301" t="inlineStr">
        <is>
          <t>24 periodos; mín 74.00, máx 111.51 €/MWh</t>
        </is>
      </c>
    </row>
    <row r="1302">
      <c r="A1302" s="53" t="n">
        <v>45129</v>
      </c>
      <c r="B1302" t="inlineStr">
        <is>
          <t>2023-07-22</t>
        </is>
      </c>
      <c r="C1302" s="45" t="n">
        <v>91.5167</v>
      </c>
      <c r="D1302" t="inlineStr">
        <is>
          <t>€/MWh</t>
        </is>
      </c>
      <c r="E1302" s="54" t="n">
        <v>0.091517</v>
      </c>
      <c r="F1302" s="54" t="n"/>
      <c r="G1302" t="inlineStr">
        <is>
          <t>no aplica (precio mayorista)</t>
        </is>
      </c>
      <c r="J1302" t="inlineStr">
        <is>
          <t>2023-07-21</t>
        </is>
      </c>
      <c r="K1302" t="inlineStr">
        <is>
          <t>marginalpdbc_20230722.1</t>
        </is>
      </c>
      <c r="L1302" t="inlineStr">
        <is>
          <t>24 periodos; mín 69.60, máx 115.67 €/MWh</t>
        </is>
      </c>
    </row>
    <row r="1303">
      <c r="A1303" s="53" t="n">
        <v>45130</v>
      </c>
      <c r="B1303" t="inlineStr">
        <is>
          <t>2023-07-23</t>
        </is>
      </c>
      <c r="C1303" s="45" t="n">
        <v>61.9263</v>
      </c>
      <c r="D1303" t="inlineStr">
        <is>
          <t>€/MWh</t>
        </is>
      </c>
      <c r="E1303" s="54" t="n">
        <v>0.061926</v>
      </c>
      <c r="F1303" s="54" t="n"/>
      <c r="G1303" t="inlineStr">
        <is>
          <t>no aplica (precio mayorista)</t>
        </is>
      </c>
      <c r="J1303" t="inlineStr">
        <is>
          <t>2023-07-22</t>
        </is>
      </c>
      <c r="K1303" t="inlineStr">
        <is>
          <t>marginalpdbc_20230723.1</t>
        </is>
      </c>
      <c r="L1303" t="inlineStr">
        <is>
          <t>24 periodos; mín 0.00, máx 114.95 €/MWh</t>
        </is>
      </c>
    </row>
    <row r="1304">
      <c r="A1304" s="53" t="n">
        <v>45131</v>
      </c>
      <c r="B1304" t="inlineStr">
        <is>
          <t>2023-07-24</t>
        </is>
      </c>
      <c r="C1304" s="45" t="n">
        <v>90.27419999999999</v>
      </c>
      <c r="D1304" t="inlineStr">
        <is>
          <t>€/MWh</t>
        </is>
      </c>
      <c r="E1304" s="54" t="n">
        <v>0.09027399999999999</v>
      </c>
      <c r="F1304" s="54" t="n"/>
      <c r="G1304" t="inlineStr">
        <is>
          <t>no aplica (precio mayorista)</t>
        </is>
      </c>
      <c r="J1304" t="inlineStr">
        <is>
          <t>2023-07-23</t>
        </is>
      </c>
      <c r="K1304" t="inlineStr">
        <is>
          <t>marginalpdbc_20230724.1</t>
        </is>
      </c>
      <c r="L1304" t="inlineStr">
        <is>
          <t>24 periodos; mín 66.20, máx 105.84 €/MWh</t>
        </is>
      </c>
    </row>
    <row r="1305">
      <c r="A1305" s="53" t="n">
        <v>45132</v>
      </c>
      <c r="B1305" t="inlineStr">
        <is>
          <t>2023-07-25</t>
        </is>
      </c>
      <c r="C1305" s="45" t="n">
        <v>90.63420000000001</v>
      </c>
      <c r="D1305" t="inlineStr">
        <is>
          <t>€/MWh</t>
        </is>
      </c>
      <c r="E1305" s="54" t="n">
        <v>0.09063400000000001</v>
      </c>
      <c r="F1305" s="54" t="n"/>
      <c r="G1305" t="inlineStr">
        <is>
          <t>no aplica (precio mayorista)</t>
        </is>
      </c>
      <c r="J1305" t="inlineStr">
        <is>
          <t>2023-07-24</t>
        </is>
      </c>
      <c r="K1305" t="inlineStr">
        <is>
          <t>marginalpdbc_20230725.1</t>
        </is>
      </c>
      <c r="L1305" t="inlineStr">
        <is>
          <t>24 periodos; mín 71.50, máx 120.01 €/MWh</t>
        </is>
      </c>
    </row>
    <row r="1306">
      <c r="A1306" s="53" t="n">
        <v>45133</v>
      </c>
      <c r="B1306" t="inlineStr">
        <is>
          <t>2023-07-26</t>
        </is>
      </c>
      <c r="C1306" s="45" t="n">
        <v>101.3675</v>
      </c>
      <c r="D1306" t="inlineStr">
        <is>
          <t>€/MWh</t>
        </is>
      </c>
      <c r="E1306" s="54" t="n">
        <v>0.101368</v>
      </c>
      <c r="F1306" s="54" t="n"/>
      <c r="G1306" t="inlineStr">
        <is>
          <t>no aplica (precio mayorista)</t>
        </is>
      </c>
      <c r="J1306" t="inlineStr">
        <is>
          <t>2023-07-25</t>
        </is>
      </c>
      <c r="K1306" t="inlineStr">
        <is>
          <t>marginalpdbc_20230726.1</t>
        </is>
      </c>
      <c r="L1306" t="inlineStr">
        <is>
          <t>24 periodos; mín 84.82, máx 127.00 €/MWh</t>
        </is>
      </c>
    </row>
    <row r="1307">
      <c r="A1307" s="53" t="n">
        <v>45134</v>
      </c>
      <c r="B1307" t="inlineStr">
        <is>
          <t>2023-07-27</t>
        </is>
      </c>
      <c r="C1307" s="45" t="n">
        <v>99.2308</v>
      </c>
      <c r="D1307" t="inlineStr">
        <is>
          <t>€/MWh</t>
        </is>
      </c>
      <c r="E1307" s="54" t="n">
        <v>0.099231</v>
      </c>
      <c r="F1307" s="54" t="n"/>
      <c r="G1307" t="inlineStr">
        <is>
          <t>no aplica (precio mayorista)</t>
        </is>
      </c>
      <c r="J1307" t="inlineStr">
        <is>
          <t>2023-07-26</t>
        </is>
      </c>
      <c r="K1307" t="inlineStr">
        <is>
          <t>marginalpdbc_20230727.1</t>
        </is>
      </c>
      <c r="L1307" t="inlineStr">
        <is>
          <t>24 periodos; mín 73.60, máx 121.00 €/MWh</t>
        </is>
      </c>
    </row>
    <row r="1308">
      <c r="A1308" s="53" t="n">
        <v>45135</v>
      </c>
      <c r="B1308" t="inlineStr">
        <is>
          <t>2023-07-28</t>
        </is>
      </c>
      <c r="C1308" s="45" t="n">
        <v>98.2508</v>
      </c>
      <c r="D1308" t="inlineStr">
        <is>
          <t>€/MWh</t>
        </is>
      </c>
      <c r="E1308" s="54" t="n">
        <v>0.098251</v>
      </c>
      <c r="F1308" s="54" t="n"/>
      <c r="G1308" t="inlineStr">
        <is>
          <t>no aplica (precio mayorista)</t>
        </is>
      </c>
      <c r="J1308" t="inlineStr">
        <is>
          <t>2023-07-27</t>
        </is>
      </c>
      <c r="K1308" t="inlineStr">
        <is>
          <t>marginalpdbc_20230728.1</t>
        </is>
      </c>
      <c r="L1308" t="inlineStr">
        <is>
          <t>24 periodos; mín 75.65, máx 113.82 €/MWh</t>
        </is>
      </c>
    </row>
    <row r="1309">
      <c r="A1309" s="53" t="n">
        <v>45136</v>
      </c>
      <c r="B1309" t="inlineStr">
        <is>
          <t>2023-07-29</t>
        </is>
      </c>
      <c r="C1309" s="45" t="n">
        <v>80.5608</v>
      </c>
      <c r="D1309" t="inlineStr">
        <is>
          <t>€/MWh</t>
        </is>
      </c>
      <c r="E1309" s="54" t="n">
        <v>0.08056099999999999</v>
      </c>
      <c r="F1309" s="54" t="n"/>
      <c r="G1309" t="inlineStr">
        <is>
          <t>no aplica (precio mayorista)</t>
        </is>
      </c>
      <c r="J1309" t="inlineStr">
        <is>
          <t>2023-07-28</t>
        </is>
      </c>
      <c r="K1309" t="inlineStr">
        <is>
          <t>marginalpdbc_20230729.1</t>
        </is>
      </c>
      <c r="L1309" t="inlineStr">
        <is>
          <t>24 periodos; mín 25.00, máx 110.86 €/MWh</t>
        </is>
      </c>
    </row>
    <row r="1310">
      <c r="A1310" s="53" t="n">
        <v>45137</v>
      </c>
      <c r="B1310" t="inlineStr">
        <is>
          <t>2023-07-30</t>
        </is>
      </c>
      <c r="C1310" s="45" t="n">
        <v>67.7867</v>
      </c>
      <c r="D1310" t="inlineStr">
        <is>
          <t>€/MWh</t>
        </is>
      </c>
      <c r="E1310" s="54" t="n">
        <v>0.067787</v>
      </c>
      <c r="F1310" s="54" t="n"/>
      <c r="G1310" t="inlineStr">
        <is>
          <t>no aplica (precio mayorista)</t>
        </is>
      </c>
      <c r="J1310" t="inlineStr">
        <is>
          <t>2023-07-29</t>
        </is>
      </c>
      <c r="K1310" t="inlineStr">
        <is>
          <t>marginalpdbc_20230730.1</t>
        </is>
      </c>
      <c r="L1310" t="inlineStr">
        <is>
          <t>24 periodos; mín 11.20, máx 113.93 €/MWh</t>
        </is>
      </c>
    </row>
    <row r="1311">
      <c r="A1311" s="53" t="n">
        <v>45138</v>
      </c>
      <c r="B1311" t="inlineStr">
        <is>
          <t>2023-07-31</t>
        </is>
      </c>
      <c r="C1311" s="45" t="n">
        <v>88.9233</v>
      </c>
      <c r="D1311" t="inlineStr">
        <is>
          <t>€/MWh</t>
        </is>
      </c>
      <c r="E1311" s="54" t="n">
        <v>0.088923</v>
      </c>
      <c r="F1311" s="54" t="n"/>
      <c r="G1311" t="inlineStr">
        <is>
          <t>no aplica (precio mayorista)</t>
        </is>
      </c>
      <c r="J1311" t="inlineStr">
        <is>
          <t>2023-07-30</t>
        </is>
      </c>
      <c r="K1311" t="inlineStr">
        <is>
          <t>marginalpdbc_20230731.1</t>
        </is>
      </c>
      <c r="L1311" t="inlineStr">
        <is>
          <t>24 periodos; mín 70.50, máx 106.96 €/MWh</t>
        </is>
      </c>
    </row>
    <row r="1312">
      <c r="A1312" s="53" t="n">
        <v>45139</v>
      </c>
      <c r="B1312" t="inlineStr">
        <is>
          <t>2023-08-01</t>
        </is>
      </c>
      <c r="C1312" s="45" t="n">
        <v>86.6533</v>
      </c>
      <c r="D1312" t="inlineStr">
        <is>
          <t>€/MWh</t>
        </is>
      </c>
      <c r="E1312" s="54" t="n">
        <v>0.08665299999999999</v>
      </c>
      <c r="F1312" s="54" t="n"/>
      <c r="G1312" t="inlineStr">
        <is>
          <t>no aplica (precio mayorista)</t>
        </is>
      </c>
      <c r="J1312" t="inlineStr">
        <is>
          <t>2023-07-31</t>
        </is>
      </c>
      <c r="K1312" t="inlineStr">
        <is>
          <t>marginalpdbc_20230801.1</t>
        </is>
      </c>
      <c r="L1312" t="inlineStr">
        <is>
          <t>24 periodos; mín 64.60, máx 115.00 €/MWh</t>
        </is>
      </c>
    </row>
    <row r="1313">
      <c r="A1313" s="53" t="n">
        <v>45140</v>
      </c>
      <c r="B1313" t="inlineStr">
        <is>
          <t>2023-08-02</t>
        </is>
      </c>
      <c r="C1313" s="45" t="n">
        <v>76.0904</v>
      </c>
      <c r="D1313" t="inlineStr">
        <is>
          <t>€/MWh</t>
        </is>
      </c>
      <c r="E1313" s="54" t="n">
        <v>0.07609</v>
      </c>
      <c r="F1313" s="54" t="n"/>
      <c r="G1313" t="inlineStr">
        <is>
          <t>no aplica (precio mayorista)</t>
        </is>
      </c>
      <c r="J1313" t="inlineStr">
        <is>
          <t>2023-08-01</t>
        </is>
      </c>
      <c r="K1313" t="inlineStr">
        <is>
          <t>marginalpdbc_20230802.1</t>
        </is>
      </c>
      <c r="L1313" t="inlineStr">
        <is>
          <t>24 periodos; mín 25.00, máx 96.09 €/MWh</t>
        </is>
      </c>
    </row>
    <row r="1314">
      <c r="A1314" s="53" t="n">
        <v>45141</v>
      </c>
      <c r="B1314" t="inlineStr">
        <is>
          <t>2023-08-03</t>
        </is>
      </c>
      <c r="C1314" s="45" t="n">
        <v>64.75879999999999</v>
      </c>
      <c r="D1314" t="inlineStr">
        <is>
          <t>€/MWh</t>
        </is>
      </c>
      <c r="E1314" s="54" t="n">
        <v>0.064759</v>
      </c>
      <c r="F1314" s="54" t="n"/>
      <c r="G1314" t="inlineStr">
        <is>
          <t>no aplica (precio mayorista)</t>
        </is>
      </c>
      <c r="J1314" t="inlineStr">
        <is>
          <t>2023-08-02</t>
        </is>
      </c>
      <c r="K1314" t="inlineStr">
        <is>
          <t>marginalpdbc_20230803.1</t>
        </is>
      </c>
      <c r="L1314" t="inlineStr">
        <is>
          <t>24 periodos; mín 23.51, máx 95.00 €/MWh</t>
        </is>
      </c>
    </row>
    <row r="1315">
      <c r="A1315" s="53" t="n">
        <v>45142</v>
      </c>
      <c r="B1315" t="inlineStr">
        <is>
          <t>2023-08-04</t>
        </is>
      </c>
      <c r="C1315" s="45" t="n">
        <v>66.8433</v>
      </c>
      <c r="D1315" t="inlineStr">
        <is>
          <t>€/MWh</t>
        </is>
      </c>
      <c r="E1315" s="54" t="n">
        <v>0.066843</v>
      </c>
      <c r="F1315" s="54" t="n"/>
      <c r="G1315" t="inlineStr">
        <is>
          <t>no aplica (precio mayorista)</t>
        </is>
      </c>
      <c r="J1315" t="inlineStr">
        <is>
          <t>2023-08-03</t>
        </is>
      </c>
      <c r="K1315" t="inlineStr">
        <is>
          <t>marginalpdbc_20230804.1</t>
        </is>
      </c>
      <c r="L1315" t="inlineStr">
        <is>
          <t>24 periodos; mín 27.63, máx 94.00 €/MWh</t>
        </is>
      </c>
    </row>
    <row r="1316">
      <c r="A1316" s="53" t="n">
        <v>45143</v>
      </c>
      <c r="B1316" t="inlineStr">
        <is>
          <t>2023-08-05</t>
        </is>
      </c>
      <c r="C1316" s="45" t="n">
        <v>68.9525</v>
      </c>
      <c r="D1316" t="inlineStr">
        <is>
          <t>€/MWh</t>
        </is>
      </c>
      <c r="E1316" s="54" t="n">
        <v>0.068952</v>
      </c>
      <c r="F1316" s="54" t="n"/>
      <c r="G1316" t="inlineStr">
        <is>
          <t>no aplica (precio mayorista)</t>
        </is>
      </c>
      <c r="J1316" t="inlineStr">
        <is>
          <t>2023-08-04</t>
        </is>
      </c>
      <c r="K1316" t="inlineStr">
        <is>
          <t>marginalpdbc_20230805.1</t>
        </is>
      </c>
      <c r="L1316" t="inlineStr">
        <is>
          <t>24 periodos; mín 25.00, máx 101.55 €/MWh</t>
        </is>
      </c>
    </row>
    <row r="1317">
      <c r="A1317" s="53" t="n">
        <v>45144</v>
      </c>
      <c r="B1317" t="inlineStr">
        <is>
          <t>2023-08-06</t>
        </is>
      </c>
      <c r="C1317" s="45" t="n">
        <v>28.1492</v>
      </c>
      <c r="D1317" t="inlineStr">
        <is>
          <t>€/MWh</t>
        </is>
      </c>
      <c r="E1317" s="54" t="n">
        <v>0.028149</v>
      </c>
      <c r="F1317" s="54" t="n"/>
      <c r="G1317" t="inlineStr">
        <is>
          <t>no aplica (precio mayorista)</t>
        </is>
      </c>
      <c r="J1317" t="inlineStr">
        <is>
          <t>2023-08-05</t>
        </is>
      </c>
      <c r="K1317" t="inlineStr">
        <is>
          <t>marginalpdbc_20230806.1</t>
        </is>
      </c>
      <c r="L1317" t="inlineStr">
        <is>
          <t>24 periodos; mín 0.00, máx 81.25 €/MWh</t>
        </is>
      </c>
    </row>
    <row r="1318">
      <c r="A1318" s="53" t="n">
        <v>45145</v>
      </c>
      <c r="B1318" t="inlineStr">
        <is>
          <t>2023-08-07</t>
        </is>
      </c>
      <c r="C1318" s="45" t="n">
        <v>74.44629999999999</v>
      </c>
      <c r="D1318" t="inlineStr">
        <is>
          <t>€/MWh</t>
        </is>
      </c>
      <c r="E1318" s="54" t="n">
        <v>0.074446</v>
      </c>
      <c r="F1318" s="54" t="n"/>
      <c r="G1318" t="inlineStr">
        <is>
          <t>no aplica (precio mayorista)</t>
        </is>
      </c>
      <c r="J1318" t="inlineStr">
        <is>
          <t>2023-08-06</t>
        </is>
      </c>
      <c r="K1318" t="inlineStr">
        <is>
          <t>marginalpdbc_20230807.1</t>
        </is>
      </c>
      <c r="L1318" t="inlineStr">
        <is>
          <t>24 periodos; mín 47.80, máx 124.95 €/MWh</t>
        </is>
      </c>
    </row>
    <row r="1319">
      <c r="A1319" s="53" t="n">
        <v>45146</v>
      </c>
      <c r="B1319" t="inlineStr">
        <is>
          <t>2023-08-08</t>
        </is>
      </c>
      <c r="C1319" s="45" t="n">
        <v>96.4362</v>
      </c>
      <c r="D1319" t="inlineStr">
        <is>
          <t>€/MWh</t>
        </is>
      </c>
      <c r="E1319" s="54" t="n">
        <v>0.09643599999999999</v>
      </c>
      <c r="F1319" s="54" t="n"/>
      <c r="G1319" t="inlineStr">
        <is>
          <t>no aplica (precio mayorista)</t>
        </is>
      </c>
      <c r="J1319" t="inlineStr">
        <is>
          <t>2023-08-07</t>
        </is>
      </c>
      <c r="K1319" t="inlineStr">
        <is>
          <t>marginalpdbc_20230808.1</t>
        </is>
      </c>
      <c r="L1319" t="inlineStr">
        <is>
          <t>24 periodos; mín 78.50, máx 127.66 €/MWh</t>
        </is>
      </c>
    </row>
    <row r="1320">
      <c r="A1320" s="53" t="n">
        <v>45147</v>
      </c>
      <c r="B1320" t="inlineStr">
        <is>
          <t>2023-08-09</t>
        </is>
      </c>
      <c r="C1320" s="45" t="n">
        <v>99.7667</v>
      </c>
      <c r="D1320" t="inlineStr">
        <is>
          <t>€/MWh</t>
        </is>
      </c>
      <c r="E1320" s="54" t="n">
        <v>0.09976699999999999</v>
      </c>
      <c r="F1320" s="54" t="n"/>
      <c r="G1320" t="inlineStr">
        <is>
          <t>no aplica (precio mayorista)</t>
        </is>
      </c>
      <c r="J1320" t="inlineStr">
        <is>
          <t>2023-08-08</t>
        </is>
      </c>
      <c r="K1320" t="inlineStr">
        <is>
          <t>marginalpdbc_20230809.1</t>
        </is>
      </c>
      <c r="L1320" t="inlineStr">
        <is>
          <t>24 periodos; mín 79.51, máx 130.81 €/MWh</t>
        </is>
      </c>
    </row>
    <row r="1321">
      <c r="A1321" s="53" t="n">
        <v>45148</v>
      </c>
      <c r="B1321" t="inlineStr">
        <is>
          <t>2023-08-10</t>
        </is>
      </c>
      <c r="C1321" s="45" t="n">
        <v>104.7454</v>
      </c>
      <c r="D1321" t="inlineStr">
        <is>
          <t>€/MWh</t>
        </is>
      </c>
      <c r="E1321" s="54" t="n">
        <v>0.104745</v>
      </c>
      <c r="F1321" s="54" t="n"/>
      <c r="G1321" t="inlineStr">
        <is>
          <t>no aplica (precio mayorista)</t>
        </is>
      </c>
      <c r="J1321" t="inlineStr">
        <is>
          <t>2023-08-09</t>
        </is>
      </c>
      <c r="K1321" t="inlineStr">
        <is>
          <t>marginalpdbc_20230810.1</t>
        </is>
      </c>
      <c r="L1321" t="inlineStr">
        <is>
          <t>24 periodos; mín 82.21, máx 125.51 €/MWh</t>
        </is>
      </c>
    </row>
    <row r="1322">
      <c r="A1322" s="53" t="n">
        <v>45149</v>
      </c>
      <c r="B1322" t="inlineStr">
        <is>
          <t>2023-08-11</t>
        </is>
      </c>
      <c r="C1322" s="45" t="n">
        <v>113.0925</v>
      </c>
      <c r="D1322" t="inlineStr">
        <is>
          <t>€/MWh</t>
        </is>
      </c>
      <c r="E1322" s="54" t="n">
        <v>0.113092</v>
      </c>
      <c r="F1322" s="54" t="n"/>
      <c r="G1322" t="inlineStr">
        <is>
          <t>no aplica (precio mayorista)</t>
        </is>
      </c>
      <c r="J1322" t="inlineStr">
        <is>
          <t>2023-08-10</t>
        </is>
      </c>
      <c r="K1322" t="inlineStr">
        <is>
          <t>marginalpdbc_20230811.1</t>
        </is>
      </c>
      <c r="L1322" t="inlineStr">
        <is>
          <t>24 periodos; mín 89.00, máx 130.82 €/MWh</t>
        </is>
      </c>
    </row>
    <row r="1323">
      <c r="A1323" s="53" t="n">
        <v>45150</v>
      </c>
      <c r="B1323" t="inlineStr">
        <is>
          <t>2023-08-12</t>
        </is>
      </c>
      <c r="C1323" s="45" t="n">
        <v>98.19670000000001</v>
      </c>
      <c r="D1323" t="inlineStr">
        <is>
          <t>€/MWh</t>
        </is>
      </c>
      <c r="E1323" s="54" t="n">
        <v>0.09819700000000001</v>
      </c>
      <c r="F1323" s="54" t="n"/>
      <c r="G1323" t="inlineStr">
        <is>
          <t>no aplica (precio mayorista)</t>
        </is>
      </c>
      <c r="J1323" t="inlineStr">
        <is>
          <t>2023-08-11</t>
        </is>
      </c>
      <c r="K1323" t="inlineStr">
        <is>
          <t>marginalpdbc_20230812.1</t>
        </is>
      </c>
      <c r="L1323" t="inlineStr">
        <is>
          <t>24 periodos; mín 70.51, máx 123.55 €/MWh</t>
        </is>
      </c>
    </row>
    <row r="1324">
      <c r="A1324" s="53" t="n">
        <v>45151</v>
      </c>
      <c r="B1324" t="inlineStr">
        <is>
          <t>2023-08-13</t>
        </is>
      </c>
      <c r="C1324" s="45" t="n">
        <v>72.81789999999999</v>
      </c>
      <c r="D1324" t="inlineStr">
        <is>
          <t>€/MWh</t>
        </is>
      </c>
      <c r="E1324" s="54" t="n">
        <v>0.07281799999999999</v>
      </c>
      <c r="F1324" s="54" t="n"/>
      <c r="G1324" t="inlineStr">
        <is>
          <t>no aplica (precio mayorista)</t>
        </is>
      </c>
      <c r="J1324" t="inlineStr">
        <is>
          <t>2023-08-12</t>
        </is>
      </c>
      <c r="K1324" t="inlineStr">
        <is>
          <t>marginalpdbc_20230813.1</t>
        </is>
      </c>
      <c r="L1324" t="inlineStr">
        <is>
          <t>24 periodos; mín 6.76, máx 120.01 €/MWh</t>
        </is>
      </c>
    </row>
    <row r="1325">
      <c r="A1325" s="53" t="n">
        <v>45152</v>
      </c>
      <c r="B1325" t="inlineStr">
        <is>
          <t>2023-08-14</t>
        </is>
      </c>
      <c r="C1325" s="45" t="n">
        <v>97.6075</v>
      </c>
      <c r="D1325" t="inlineStr">
        <is>
          <t>€/MWh</t>
        </is>
      </c>
      <c r="E1325" s="54" t="n">
        <v>0.097607</v>
      </c>
      <c r="F1325" s="54" t="n"/>
      <c r="G1325" t="inlineStr">
        <is>
          <t>no aplica (precio mayorista)</t>
        </is>
      </c>
      <c r="J1325" t="inlineStr">
        <is>
          <t>2023-08-13</t>
        </is>
      </c>
      <c r="K1325" t="inlineStr">
        <is>
          <t>marginalpdbc_20230814.1</t>
        </is>
      </c>
      <c r="L1325" t="inlineStr">
        <is>
          <t>24 periodos; mín 67.13, máx 125.12 €/MWh</t>
        </is>
      </c>
    </row>
    <row r="1326">
      <c r="A1326" s="53" t="n">
        <v>45153</v>
      </c>
      <c r="B1326" t="inlineStr">
        <is>
          <t>2023-08-15</t>
        </is>
      </c>
      <c r="C1326" s="45" t="n">
        <v>95.63420000000001</v>
      </c>
      <c r="D1326" t="inlineStr">
        <is>
          <t>€/MWh</t>
        </is>
      </c>
      <c r="E1326" s="54" t="n">
        <v>0.095634</v>
      </c>
      <c r="F1326" s="54" t="n"/>
      <c r="G1326" t="inlineStr">
        <is>
          <t>no aplica (precio mayorista)</t>
        </is>
      </c>
      <c r="J1326" t="inlineStr">
        <is>
          <t>2023-08-14</t>
        </is>
      </c>
      <c r="K1326" t="inlineStr">
        <is>
          <t>marginalpdbc_20230815.1</t>
        </is>
      </c>
      <c r="L1326" t="inlineStr">
        <is>
          <t>24 periodos; mín 45.85, máx 133.04 €/MWh</t>
        </is>
      </c>
    </row>
    <row r="1327">
      <c r="A1327" s="53" t="n">
        <v>45154</v>
      </c>
      <c r="B1327" t="inlineStr">
        <is>
          <t>2023-08-16</t>
        </is>
      </c>
      <c r="C1327" s="45" t="n">
        <v>105.8417</v>
      </c>
      <c r="D1327" t="inlineStr">
        <is>
          <t>€/MWh</t>
        </is>
      </c>
      <c r="E1327" s="54" t="n">
        <v>0.105842</v>
      </c>
      <c r="F1327" s="54" t="n"/>
      <c r="G1327" t="inlineStr">
        <is>
          <t>no aplica (precio mayorista)</t>
        </is>
      </c>
      <c r="J1327" t="inlineStr">
        <is>
          <t>2023-08-15</t>
        </is>
      </c>
      <c r="K1327" t="inlineStr">
        <is>
          <t>marginalpdbc_20230816.1</t>
        </is>
      </c>
      <c r="L1327" t="inlineStr">
        <is>
          <t>24 periodos; mín 86.00, máx 136.10 €/MWh</t>
        </is>
      </c>
    </row>
    <row r="1328">
      <c r="A1328" s="53" t="n">
        <v>45155</v>
      </c>
      <c r="B1328" t="inlineStr">
        <is>
          <t>2023-08-17</t>
        </is>
      </c>
      <c r="C1328" s="45" t="n">
        <v>113.9567</v>
      </c>
      <c r="D1328" t="inlineStr">
        <is>
          <t>€/MWh</t>
        </is>
      </c>
      <c r="E1328" s="54" t="n">
        <v>0.113957</v>
      </c>
      <c r="F1328" s="54" t="n"/>
      <c r="G1328" t="inlineStr">
        <is>
          <t>no aplica (precio mayorista)</t>
        </is>
      </c>
      <c r="J1328" t="inlineStr">
        <is>
          <t>2023-08-16</t>
        </is>
      </c>
      <c r="K1328" t="inlineStr">
        <is>
          <t>marginalpdbc_20230817.1</t>
        </is>
      </c>
      <c r="L1328" t="inlineStr">
        <is>
          <t>24 periodos; mín 89.98, máx 136.01 €/MWh</t>
        </is>
      </c>
    </row>
    <row r="1329">
      <c r="A1329" s="53" t="n">
        <v>45156</v>
      </c>
      <c r="B1329" t="inlineStr">
        <is>
          <t>2023-08-18</t>
        </is>
      </c>
      <c r="C1329" s="45" t="n">
        <v>107.6375</v>
      </c>
      <c r="D1329" t="inlineStr">
        <is>
          <t>€/MWh</t>
        </is>
      </c>
      <c r="E1329" s="54" t="n">
        <v>0.107637</v>
      </c>
      <c r="F1329" s="54" t="n"/>
      <c r="G1329" t="inlineStr">
        <is>
          <t>no aplica (precio mayorista)</t>
        </is>
      </c>
      <c r="J1329" t="inlineStr">
        <is>
          <t>2023-08-17</t>
        </is>
      </c>
      <c r="K1329" t="inlineStr">
        <is>
          <t>marginalpdbc_20230818.1</t>
        </is>
      </c>
      <c r="L1329" t="inlineStr">
        <is>
          <t>24 periodos; mín 82.85, máx 130.52 €/MWh</t>
        </is>
      </c>
    </row>
    <row r="1330">
      <c r="A1330" s="53" t="n">
        <v>45157</v>
      </c>
      <c r="B1330" t="inlineStr">
        <is>
          <t>2023-08-19</t>
        </is>
      </c>
      <c r="C1330" s="45" t="n">
        <v>109.8492</v>
      </c>
      <c r="D1330" t="inlineStr">
        <is>
          <t>€/MWh</t>
        </is>
      </c>
      <c r="E1330" s="54" t="n">
        <v>0.109849</v>
      </c>
      <c r="F1330" s="54" t="n"/>
      <c r="G1330" t="inlineStr">
        <is>
          <t>no aplica (precio mayorista)</t>
        </is>
      </c>
      <c r="J1330" t="inlineStr">
        <is>
          <t>2023-08-18</t>
        </is>
      </c>
      <c r="K1330" t="inlineStr">
        <is>
          <t>marginalpdbc_20230819.1</t>
        </is>
      </c>
      <c r="L1330" t="inlineStr">
        <is>
          <t>24 periodos; mín 84.76, máx 140.36 €/MWh</t>
        </is>
      </c>
    </row>
    <row r="1331">
      <c r="A1331" s="53" t="n">
        <v>45158</v>
      </c>
      <c r="B1331" t="inlineStr">
        <is>
          <t>2023-08-20</t>
        </is>
      </c>
      <c r="C1331" s="45" t="n">
        <v>113.1692</v>
      </c>
      <c r="D1331" t="inlineStr">
        <is>
          <t>€/MWh</t>
        </is>
      </c>
      <c r="E1331" s="54" t="n">
        <v>0.113169</v>
      </c>
      <c r="F1331" s="54" t="n"/>
      <c r="G1331" t="inlineStr">
        <is>
          <t>no aplica (precio mayorista)</t>
        </is>
      </c>
      <c r="J1331" t="inlineStr">
        <is>
          <t>2023-08-19</t>
        </is>
      </c>
      <c r="K1331" t="inlineStr">
        <is>
          <t>marginalpdbc_20230820.1</t>
        </is>
      </c>
      <c r="L1331" t="inlineStr">
        <is>
          <t>24 periodos; mín 82.50, máx 139.54 €/MWh</t>
        </is>
      </c>
    </row>
    <row r="1332">
      <c r="A1332" s="53" t="n">
        <v>45159</v>
      </c>
      <c r="B1332" t="inlineStr">
        <is>
          <t>2023-08-21</t>
        </is>
      </c>
      <c r="C1332" s="45" t="n">
        <v>117.2458</v>
      </c>
      <c r="D1332" t="inlineStr">
        <is>
          <t>€/MWh</t>
        </is>
      </c>
      <c r="E1332" s="54" t="n">
        <v>0.117246</v>
      </c>
      <c r="F1332" s="54" t="n"/>
      <c r="G1332" t="inlineStr">
        <is>
          <t>no aplica (precio mayorista)</t>
        </is>
      </c>
      <c r="J1332" t="inlineStr">
        <is>
          <t>2023-08-20</t>
        </is>
      </c>
      <c r="K1332" t="inlineStr">
        <is>
          <t>marginalpdbc_20230821.1</t>
        </is>
      </c>
      <c r="L1332" t="inlineStr">
        <is>
          <t>24 periodos; mín 97.09, máx 149.58 €/MWh</t>
        </is>
      </c>
    </row>
    <row r="1333">
      <c r="A1333" s="53" t="n">
        <v>45160</v>
      </c>
      <c r="B1333" t="inlineStr">
        <is>
          <t>2023-08-22</t>
        </is>
      </c>
      <c r="C1333" s="45" t="n">
        <v>120.6725</v>
      </c>
      <c r="D1333" t="inlineStr">
        <is>
          <t>€/MWh</t>
        </is>
      </c>
      <c r="E1333" s="54" t="n">
        <v>0.120673</v>
      </c>
      <c r="F1333" s="54" t="n"/>
      <c r="G1333" t="inlineStr">
        <is>
          <t>no aplica (precio mayorista)</t>
        </is>
      </c>
      <c r="J1333" t="inlineStr">
        <is>
          <t>2023-08-21</t>
        </is>
      </c>
      <c r="K1333" t="inlineStr">
        <is>
          <t>marginalpdbc_20230822.1</t>
        </is>
      </c>
      <c r="L1333" t="inlineStr">
        <is>
          <t>24 periodos; mín 99.51, máx 158.61 €/MWh</t>
        </is>
      </c>
    </row>
    <row r="1334">
      <c r="A1334" s="53" t="n">
        <v>45161</v>
      </c>
      <c r="B1334" t="inlineStr">
        <is>
          <t>2023-08-23</t>
        </is>
      </c>
      <c r="C1334" s="45" t="n">
        <v>134.94</v>
      </c>
      <c r="D1334" t="inlineStr">
        <is>
          <t>€/MWh</t>
        </is>
      </c>
      <c r="E1334" s="54" t="n">
        <v>0.13494</v>
      </c>
      <c r="F1334" s="54" t="n"/>
      <c r="G1334" t="inlineStr">
        <is>
          <t>no aplica (precio mayorista)</t>
        </is>
      </c>
      <c r="J1334" t="inlineStr">
        <is>
          <t>2023-08-22</t>
        </is>
      </c>
      <c r="K1334" t="inlineStr">
        <is>
          <t>marginalpdbc_20230823.1</t>
        </is>
      </c>
      <c r="L1334" t="inlineStr">
        <is>
          <t>24 periodos; mín 111.12, máx 180.34 €/MWh</t>
        </is>
      </c>
    </row>
    <row r="1335">
      <c r="A1335" s="53" t="n">
        <v>45162</v>
      </c>
      <c r="B1335" t="inlineStr">
        <is>
          <t>2023-08-24</t>
        </is>
      </c>
      <c r="C1335" s="45" t="n">
        <v>132.91</v>
      </c>
      <c r="D1335" t="inlineStr">
        <is>
          <t>€/MWh</t>
        </is>
      </c>
      <c r="E1335" s="54" t="n">
        <v>0.13291</v>
      </c>
      <c r="F1335" s="54" t="n"/>
      <c r="G1335" t="inlineStr">
        <is>
          <t>no aplica (precio mayorista)</t>
        </is>
      </c>
      <c r="J1335" t="inlineStr">
        <is>
          <t>2023-08-23</t>
        </is>
      </c>
      <c r="K1335" t="inlineStr">
        <is>
          <t>marginalpdbc_20230824.1</t>
        </is>
      </c>
      <c r="L1335" t="inlineStr">
        <is>
          <t>24 periodos; mín 112.27, máx 171.16 €/MWh</t>
        </is>
      </c>
    </row>
    <row r="1336">
      <c r="A1336" s="53" t="n">
        <v>45163</v>
      </c>
      <c r="B1336" t="inlineStr">
        <is>
          <t>2023-08-25</t>
        </is>
      </c>
      <c r="C1336" s="45" t="n">
        <v>111.6929</v>
      </c>
      <c r="D1336" t="inlineStr">
        <is>
          <t>€/MWh</t>
        </is>
      </c>
      <c r="E1336" s="54" t="n">
        <v>0.111693</v>
      </c>
      <c r="F1336" s="54" t="n"/>
      <c r="G1336" t="inlineStr">
        <is>
          <t>no aplica (precio mayorista)</t>
        </is>
      </c>
      <c r="J1336" t="inlineStr">
        <is>
          <t>2023-08-24</t>
        </is>
      </c>
      <c r="K1336" t="inlineStr">
        <is>
          <t>marginalpdbc_20230825.1</t>
        </is>
      </c>
      <c r="L1336" t="inlineStr">
        <is>
          <t>24 periodos; mín 91.33, máx 140.61 €/MWh</t>
        </is>
      </c>
    </row>
    <row r="1337">
      <c r="A1337" s="53" t="n">
        <v>45164</v>
      </c>
      <c r="B1337" t="inlineStr">
        <is>
          <t>2023-08-26</t>
        </is>
      </c>
      <c r="C1337" s="45" t="n">
        <v>101.8692</v>
      </c>
      <c r="D1337" t="inlineStr">
        <is>
          <t>€/MWh</t>
        </is>
      </c>
      <c r="E1337" s="54" t="n">
        <v>0.101869</v>
      </c>
      <c r="F1337" s="54" t="n"/>
      <c r="G1337" t="inlineStr">
        <is>
          <t>no aplica (precio mayorista)</t>
        </is>
      </c>
      <c r="J1337" t="inlineStr">
        <is>
          <t>2023-08-25</t>
        </is>
      </c>
      <c r="K1337" t="inlineStr">
        <is>
          <t>marginalpdbc_20230826.1</t>
        </is>
      </c>
      <c r="L1337" t="inlineStr">
        <is>
          <t>24 periodos; mín 81.93, máx 128.22 €/MWh</t>
        </is>
      </c>
    </row>
    <row r="1338">
      <c r="A1338" s="53" t="n">
        <v>45165</v>
      </c>
      <c r="B1338" t="inlineStr">
        <is>
          <t>2023-08-27</t>
        </is>
      </c>
      <c r="C1338" s="45" t="n">
        <v>52.3117</v>
      </c>
      <c r="D1338" t="inlineStr">
        <is>
          <t>€/MWh</t>
        </is>
      </c>
      <c r="E1338" s="54" t="n">
        <v>0.052312</v>
      </c>
      <c r="F1338" s="54" t="n"/>
      <c r="G1338" t="inlineStr">
        <is>
          <t>no aplica (precio mayorista)</t>
        </is>
      </c>
      <c r="J1338" t="inlineStr">
        <is>
          <t>2023-08-26</t>
        </is>
      </c>
      <c r="K1338" t="inlineStr">
        <is>
          <t>marginalpdbc_20230827.1</t>
        </is>
      </c>
      <c r="L1338" t="inlineStr">
        <is>
          <t>24 periodos; mín 0.00, máx 127.55 €/MWh</t>
        </is>
      </c>
    </row>
    <row r="1339">
      <c r="A1339" s="53" t="n">
        <v>45166</v>
      </c>
      <c r="B1339" t="inlineStr">
        <is>
          <t>2023-08-28</t>
        </is>
      </c>
      <c r="C1339" s="45" t="n">
        <v>89.66079999999999</v>
      </c>
      <c r="D1339" t="inlineStr">
        <is>
          <t>€/MWh</t>
        </is>
      </c>
      <c r="E1339" s="54" t="n">
        <v>0.089661</v>
      </c>
      <c r="F1339" s="54" t="n"/>
      <c r="G1339" t="inlineStr">
        <is>
          <t>no aplica (precio mayorista)</t>
        </is>
      </c>
      <c r="J1339" t="inlineStr">
        <is>
          <t>2023-08-27</t>
        </is>
      </c>
      <c r="K1339" t="inlineStr">
        <is>
          <t>marginalpdbc_20230828.1</t>
        </is>
      </c>
      <c r="L1339" t="inlineStr">
        <is>
          <t>24 periodos; mín 40.00, máx 138.08 €/MWh</t>
        </is>
      </c>
    </row>
    <row r="1340">
      <c r="A1340" s="53" t="n">
        <v>45167</v>
      </c>
      <c r="B1340" t="inlineStr">
        <is>
          <t>2023-08-29</t>
        </is>
      </c>
      <c r="C1340" s="45" t="n">
        <v>102.5746</v>
      </c>
      <c r="D1340" t="inlineStr">
        <is>
          <t>€/MWh</t>
        </is>
      </c>
      <c r="E1340" s="54" t="n">
        <v>0.102575</v>
      </c>
      <c r="F1340" s="54" t="n"/>
      <c r="G1340" t="inlineStr">
        <is>
          <t>no aplica (precio mayorista)</t>
        </is>
      </c>
      <c r="J1340" t="inlineStr">
        <is>
          <t>2023-08-28</t>
        </is>
      </c>
      <c r="K1340" t="inlineStr">
        <is>
          <t>marginalpdbc_20230829.1</t>
        </is>
      </c>
      <c r="L1340" t="inlineStr">
        <is>
          <t>24 periodos; mín 78.91, máx 139.07 €/MWh</t>
        </is>
      </c>
    </row>
    <row r="1341">
      <c r="A1341" s="53" t="n">
        <v>45168</v>
      </c>
      <c r="B1341" t="inlineStr">
        <is>
          <t>2023-08-30</t>
        </is>
      </c>
      <c r="C1341" s="45" t="n">
        <v>108.3225</v>
      </c>
      <c r="D1341" t="inlineStr">
        <is>
          <t>€/MWh</t>
        </is>
      </c>
      <c r="E1341" s="54" t="n">
        <v>0.108322</v>
      </c>
      <c r="F1341" s="54" t="n"/>
      <c r="G1341" t="inlineStr">
        <is>
          <t>no aplica (precio mayorista)</t>
        </is>
      </c>
      <c r="J1341" t="inlineStr">
        <is>
          <t>2023-08-29</t>
        </is>
      </c>
      <c r="K1341" t="inlineStr">
        <is>
          <t>marginalpdbc_20230830.1</t>
        </is>
      </c>
      <c r="L1341" t="inlineStr">
        <is>
          <t>24 periodos; mín 86.51, máx 138.45 €/MWh</t>
        </is>
      </c>
    </row>
    <row r="1342">
      <c r="A1342" s="53" t="n">
        <v>45169</v>
      </c>
      <c r="B1342" t="inlineStr">
        <is>
          <t>2023-08-31</t>
        </is>
      </c>
      <c r="C1342" s="45" t="n">
        <v>110.5704</v>
      </c>
      <c r="D1342" t="inlineStr">
        <is>
          <t>€/MWh</t>
        </is>
      </c>
      <c r="E1342" s="54" t="n">
        <v>0.11057</v>
      </c>
      <c r="F1342" s="54" t="n"/>
      <c r="G1342" t="inlineStr">
        <is>
          <t>no aplica (precio mayorista)</t>
        </is>
      </c>
      <c r="J1342" t="inlineStr">
        <is>
          <t>2023-08-30</t>
        </is>
      </c>
      <c r="K1342" t="inlineStr">
        <is>
          <t>marginalpdbc_20230831.1</t>
        </is>
      </c>
      <c r="L1342" t="inlineStr">
        <is>
          <t>24 periodos; mín 88.00, máx 136.66 €/MWh</t>
        </is>
      </c>
    </row>
    <row r="1343">
      <c r="A1343" s="53" t="n">
        <v>45170</v>
      </c>
      <c r="B1343" t="inlineStr">
        <is>
          <t>2023-09-01</t>
        </is>
      </c>
      <c r="C1343" s="45" t="n">
        <v>105.7975</v>
      </c>
      <c r="D1343" t="inlineStr">
        <is>
          <t>€/MWh</t>
        </is>
      </c>
      <c r="E1343" s="54" t="n">
        <v>0.105798</v>
      </c>
      <c r="F1343" s="54" t="n"/>
      <c r="G1343" t="inlineStr">
        <is>
          <t>no aplica (precio mayorista)</t>
        </is>
      </c>
      <c r="J1343" t="inlineStr">
        <is>
          <t>2023-08-31</t>
        </is>
      </c>
      <c r="K1343" t="inlineStr">
        <is>
          <t>marginalpdbc_20230901.1</t>
        </is>
      </c>
      <c r="L1343" t="inlineStr">
        <is>
          <t>24 periodos; mín 74.46, máx 127.82 €/MWh</t>
        </is>
      </c>
    </row>
    <row r="1344">
      <c r="A1344" s="53" t="n">
        <v>45171</v>
      </c>
      <c r="B1344" t="inlineStr">
        <is>
          <t>2023-09-02</t>
        </is>
      </c>
      <c r="C1344" s="45" t="n">
        <v>102.3329</v>
      </c>
      <c r="D1344" t="inlineStr">
        <is>
          <t>€/MWh</t>
        </is>
      </c>
      <c r="E1344" s="54" t="n">
        <v>0.102333</v>
      </c>
      <c r="F1344" s="54" t="n"/>
      <c r="G1344" t="inlineStr">
        <is>
          <t>no aplica (precio mayorista)</t>
        </is>
      </c>
      <c r="J1344" t="inlineStr">
        <is>
          <t>2023-09-01</t>
        </is>
      </c>
      <c r="K1344" t="inlineStr">
        <is>
          <t>marginalpdbc_20230902.1</t>
        </is>
      </c>
      <c r="L1344" t="inlineStr">
        <is>
          <t>24 periodos; mín 79.45, máx 131.31 €/MWh</t>
        </is>
      </c>
    </row>
    <row r="1345">
      <c r="A1345" s="53" t="n">
        <v>45172</v>
      </c>
      <c r="B1345" t="inlineStr">
        <is>
          <t>2023-09-03</t>
        </is>
      </c>
      <c r="C1345" s="45" t="n">
        <v>63.3475</v>
      </c>
      <c r="D1345" t="inlineStr">
        <is>
          <t>€/MWh</t>
        </is>
      </c>
      <c r="E1345" s="54" t="n">
        <v>0.063348</v>
      </c>
      <c r="F1345" s="54" t="n"/>
      <c r="G1345" t="inlineStr">
        <is>
          <t>no aplica (precio mayorista)</t>
        </is>
      </c>
      <c r="J1345" t="inlineStr">
        <is>
          <t>2023-09-02</t>
        </is>
      </c>
      <c r="K1345" t="inlineStr">
        <is>
          <t>marginalpdbc_20230903.1</t>
        </is>
      </c>
      <c r="L1345" t="inlineStr">
        <is>
          <t>24 periodos; mín 4.30, máx 110.78 €/MWh</t>
        </is>
      </c>
    </row>
    <row r="1346">
      <c r="A1346" s="53" t="n">
        <v>45173</v>
      </c>
      <c r="B1346" t="inlineStr">
        <is>
          <t>2023-09-04</t>
        </is>
      </c>
      <c r="C1346" s="45" t="n">
        <v>86.8537</v>
      </c>
      <c r="D1346" t="inlineStr">
        <is>
          <t>€/MWh</t>
        </is>
      </c>
      <c r="E1346" s="54" t="n">
        <v>0.086854</v>
      </c>
      <c r="F1346" s="54" t="n"/>
      <c r="G1346" t="inlineStr">
        <is>
          <t>no aplica (precio mayorista)</t>
        </is>
      </c>
      <c r="J1346" t="inlineStr">
        <is>
          <t>2023-09-03</t>
        </is>
      </c>
      <c r="K1346" t="inlineStr">
        <is>
          <t>marginalpdbc_20230904.1</t>
        </is>
      </c>
      <c r="L1346" t="inlineStr">
        <is>
          <t>24 periodos; mín 52.14, máx 138.33 €/MWh</t>
        </is>
      </c>
    </row>
    <row r="1347">
      <c r="A1347" s="53" t="n">
        <v>45174</v>
      </c>
      <c r="B1347" t="inlineStr">
        <is>
          <t>2023-09-05</t>
        </is>
      </c>
      <c r="C1347" s="45" t="n">
        <v>103.7875</v>
      </c>
      <c r="D1347" t="inlineStr">
        <is>
          <t>€/MWh</t>
        </is>
      </c>
      <c r="E1347" s="54" t="n">
        <v>0.103788</v>
      </c>
      <c r="F1347" s="54" t="n"/>
      <c r="G1347" t="inlineStr">
        <is>
          <t>no aplica (precio mayorista)</t>
        </is>
      </c>
      <c r="J1347" t="inlineStr">
        <is>
          <t>2023-09-04</t>
        </is>
      </c>
      <c r="K1347" t="inlineStr">
        <is>
          <t>marginalpdbc_20230905.1</t>
        </is>
      </c>
      <c r="L1347" t="inlineStr">
        <is>
          <t>24 periodos; mín 80.31, máx 149.23 €/MWh</t>
        </is>
      </c>
    </row>
    <row r="1348">
      <c r="A1348" s="53" t="n">
        <v>45175</v>
      </c>
      <c r="B1348" t="inlineStr">
        <is>
          <t>2023-09-06</t>
        </is>
      </c>
      <c r="C1348" s="45" t="n">
        <v>107.0954</v>
      </c>
      <c r="D1348" t="inlineStr">
        <is>
          <t>€/MWh</t>
        </is>
      </c>
      <c r="E1348" s="54" t="n">
        <v>0.107095</v>
      </c>
      <c r="F1348" s="54" t="n"/>
      <c r="G1348" t="inlineStr">
        <is>
          <t>no aplica (precio mayorista)</t>
        </is>
      </c>
      <c r="J1348" t="inlineStr">
        <is>
          <t>2023-09-05</t>
        </is>
      </c>
      <c r="K1348" t="inlineStr">
        <is>
          <t>marginalpdbc_20230906.1</t>
        </is>
      </c>
      <c r="L1348" t="inlineStr">
        <is>
          <t>24 periodos; mín 79.27, máx 152.50 €/MWh</t>
        </is>
      </c>
    </row>
    <row r="1349">
      <c r="A1349" s="53" t="n">
        <v>45176</v>
      </c>
      <c r="B1349" t="inlineStr">
        <is>
          <t>2023-09-07</t>
        </is>
      </c>
      <c r="C1349" s="45" t="n">
        <v>107.0967</v>
      </c>
      <c r="D1349" t="inlineStr">
        <is>
          <t>€/MWh</t>
        </is>
      </c>
      <c r="E1349" s="54" t="n">
        <v>0.107097</v>
      </c>
      <c r="F1349" s="54" t="n"/>
      <c r="G1349" t="inlineStr">
        <is>
          <t>no aplica (precio mayorista)</t>
        </is>
      </c>
      <c r="J1349" t="inlineStr">
        <is>
          <t>2023-09-06</t>
        </is>
      </c>
      <c r="K1349" t="inlineStr">
        <is>
          <t>marginalpdbc_20230907.1</t>
        </is>
      </c>
      <c r="L1349" t="inlineStr">
        <is>
          <t>24 periodos; mín 81.71, máx 146.75 €/MWh</t>
        </is>
      </c>
    </row>
    <row r="1350">
      <c r="A1350" s="53" t="n">
        <v>45177</v>
      </c>
      <c r="B1350" t="inlineStr">
        <is>
          <t>2023-09-08</t>
        </is>
      </c>
      <c r="C1350" s="45" t="n">
        <v>103.8271</v>
      </c>
      <c r="D1350" t="inlineStr">
        <is>
          <t>€/MWh</t>
        </is>
      </c>
      <c r="E1350" s="54" t="n">
        <v>0.103827</v>
      </c>
      <c r="F1350" s="54" t="n"/>
      <c r="G1350" t="inlineStr">
        <is>
          <t>no aplica (precio mayorista)</t>
        </is>
      </c>
      <c r="J1350" t="inlineStr">
        <is>
          <t>2023-09-07</t>
        </is>
      </c>
      <c r="K1350" t="inlineStr">
        <is>
          <t>marginalpdbc_20230908.1</t>
        </is>
      </c>
      <c r="L1350" t="inlineStr">
        <is>
          <t>24 periodos; mín 80.00, máx 149.05 €/MWh</t>
        </is>
      </c>
    </row>
    <row r="1351">
      <c r="A1351" s="53" t="n">
        <v>45178</v>
      </c>
      <c r="B1351" t="inlineStr">
        <is>
          <t>2023-09-09</t>
        </is>
      </c>
      <c r="C1351" s="45" t="n">
        <v>100.7</v>
      </c>
      <c r="D1351" t="inlineStr">
        <is>
          <t>€/MWh</t>
        </is>
      </c>
      <c r="E1351" s="54" t="n">
        <v>0.1007</v>
      </c>
      <c r="F1351" s="54" t="n"/>
      <c r="G1351" t="inlineStr">
        <is>
          <t>no aplica (precio mayorista)</t>
        </is>
      </c>
      <c r="J1351" t="inlineStr">
        <is>
          <t>2023-09-08</t>
        </is>
      </c>
      <c r="K1351" t="inlineStr">
        <is>
          <t>marginalpdbc_20230909.1</t>
        </is>
      </c>
      <c r="L1351" t="inlineStr">
        <is>
          <t>24 periodos; mín 57.89, máx 137.67 €/MWh</t>
        </is>
      </c>
    </row>
    <row r="1352">
      <c r="A1352" s="53" t="n">
        <v>45179</v>
      </c>
      <c r="B1352" t="inlineStr">
        <is>
          <t>2023-09-10</t>
        </is>
      </c>
      <c r="C1352" s="45" t="n">
        <v>102.0704</v>
      </c>
      <c r="D1352" t="inlineStr">
        <is>
          <t>€/MWh</t>
        </is>
      </c>
      <c r="E1352" s="54" t="n">
        <v>0.10207</v>
      </c>
      <c r="F1352" s="54" t="n"/>
      <c r="G1352" t="inlineStr">
        <is>
          <t>no aplica (precio mayorista)</t>
        </is>
      </c>
      <c r="J1352" t="inlineStr">
        <is>
          <t>2023-09-09</t>
        </is>
      </c>
      <c r="K1352" t="inlineStr">
        <is>
          <t>marginalpdbc_20230910.1</t>
        </is>
      </c>
      <c r="L1352" t="inlineStr">
        <is>
          <t>24 periodos; mín 54.00, máx 131.57 €/MWh</t>
        </is>
      </c>
    </row>
    <row r="1353">
      <c r="A1353" s="53" t="n">
        <v>45180</v>
      </c>
      <c r="B1353" t="inlineStr">
        <is>
          <t>2023-09-11</t>
        </is>
      </c>
      <c r="C1353" s="45" t="n">
        <v>116.9375</v>
      </c>
      <c r="D1353" t="inlineStr">
        <is>
          <t>€/MWh</t>
        </is>
      </c>
      <c r="E1353" s="54" t="n">
        <v>0.116937</v>
      </c>
      <c r="F1353" s="54" t="n"/>
      <c r="G1353" t="inlineStr">
        <is>
          <t>no aplica (precio mayorista)</t>
        </is>
      </c>
      <c r="J1353" t="inlineStr">
        <is>
          <t>2023-09-10</t>
        </is>
      </c>
      <c r="K1353" t="inlineStr">
        <is>
          <t>marginalpdbc_20230911.1</t>
        </is>
      </c>
      <c r="L1353" t="inlineStr">
        <is>
          <t>24 periodos; mín 90.00, máx 148.80 €/MWh</t>
        </is>
      </c>
    </row>
    <row r="1354">
      <c r="A1354" s="53" t="n">
        <v>45181</v>
      </c>
      <c r="B1354" t="inlineStr">
        <is>
          <t>2023-09-12</t>
        </is>
      </c>
      <c r="C1354" s="45" t="n">
        <v>116.6562</v>
      </c>
      <c r="D1354" t="inlineStr">
        <is>
          <t>€/MWh</t>
        </is>
      </c>
      <c r="E1354" s="54" t="n">
        <v>0.116656</v>
      </c>
      <c r="F1354" s="54" t="n"/>
      <c r="G1354" t="inlineStr">
        <is>
          <t>no aplica (precio mayorista)</t>
        </is>
      </c>
      <c r="J1354" t="inlineStr">
        <is>
          <t>2023-09-11</t>
        </is>
      </c>
      <c r="K1354" t="inlineStr">
        <is>
          <t>marginalpdbc_20230912.1</t>
        </is>
      </c>
      <c r="L1354" t="inlineStr">
        <is>
          <t>24 periodos; mín 97.20, máx 147.47 €/MWh</t>
        </is>
      </c>
    </row>
    <row r="1355">
      <c r="A1355" s="53" t="n">
        <v>45182</v>
      </c>
      <c r="B1355" t="inlineStr">
        <is>
          <t>2023-09-13</t>
        </is>
      </c>
      <c r="C1355" s="45" t="n">
        <v>108.5708</v>
      </c>
      <c r="D1355" t="inlineStr">
        <is>
          <t>€/MWh</t>
        </is>
      </c>
      <c r="E1355" s="54" t="n">
        <v>0.108571</v>
      </c>
      <c r="F1355" s="54" t="n"/>
      <c r="G1355" t="inlineStr">
        <is>
          <t>no aplica (precio mayorista)</t>
        </is>
      </c>
      <c r="J1355" t="inlineStr">
        <is>
          <t>2023-09-12</t>
        </is>
      </c>
      <c r="K1355" t="inlineStr">
        <is>
          <t>marginalpdbc_20230913.1</t>
        </is>
      </c>
      <c r="L1355" t="inlineStr">
        <is>
          <t>24 periodos; mín 90.55, máx 137.50 €/MWh</t>
        </is>
      </c>
    </row>
    <row r="1356">
      <c r="A1356" s="53" t="n">
        <v>45183</v>
      </c>
      <c r="B1356" t="inlineStr">
        <is>
          <t>2023-09-14</t>
        </is>
      </c>
      <c r="C1356" s="45" t="n">
        <v>106.455</v>
      </c>
      <c r="D1356" t="inlineStr">
        <is>
          <t>€/MWh</t>
        </is>
      </c>
      <c r="E1356" s="54" t="n">
        <v>0.106455</v>
      </c>
      <c r="F1356" s="54" t="n"/>
      <c r="G1356" t="inlineStr">
        <is>
          <t>no aplica (precio mayorista)</t>
        </is>
      </c>
      <c r="J1356" t="inlineStr">
        <is>
          <t>2023-09-13</t>
        </is>
      </c>
      <c r="K1356" t="inlineStr">
        <is>
          <t>marginalpdbc_20230914.1</t>
        </is>
      </c>
      <c r="L1356" t="inlineStr">
        <is>
          <t>24 periodos; mín 88.99, máx 145.91 €/MWh</t>
        </is>
      </c>
    </row>
    <row r="1357">
      <c r="A1357" s="53" t="n">
        <v>45184</v>
      </c>
      <c r="B1357" t="inlineStr">
        <is>
          <t>2023-09-15</t>
        </is>
      </c>
      <c r="C1357" s="45" t="n">
        <v>115.3771</v>
      </c>
      <c r="D1357" t="inlineStr">
        <is>
          <t>€/MWh</t>
        </is>
      </c>
      <c r="E1357" s="54" t="n">
        <v>0.115377</v>
      </c>
      <c r="F1357" s="54" t="n"/>
      <c r="G1357" t="inlineStr">
        <is>
          <t>no aplica (precio mayorista)</t>
        </is>
      </c>
      <c r="J1357" t="inlineStr">
        <is>
          <t>2023-09-14</t>
        </is>
      </c>
      <c r="K1357" t="inlineStr">
        <is>
          <t>marginalpdbc_20230915.1</t>
        </is>
      </c>
      <c r="L1357" t="inlineStr">
        <is>
          <t>24 periodos; mín 94.75, máx 130.50 €/MWh</t>
        </is>
      </c>
    </row>
    <row r="1358">
      <c r="A1358" s="53" t="n">
        <v>45185</v>
      </c>
      <c r="B1358" t="inlineStr">
        <is>
          <t>2023-09-16</t>
        </is>
      </c>
      <c r="C1358" s="45" t="n">
        <v>98.91</v>
      </c>
      <c r="D1358" t="inlineStr">
        <is>
          <t>€/MWh</t>
        </is>
      </c>
      <c r="E1358" s="54" t="n">
        <v>0.09891</v>
      </c>
      <c r="F1358" s="54" t="n"/>
      <c r="G1358" t="inlineStr">
        <is>
          <t>no aplica (precio mayorista)</t>
        </is>
      </c>
      <c r="J1358" t="inlineStr">
        <is>
          <t>2023-09-15</t>
        </is>
      </c>
      <c r="K1358" t="inlineStr">
        <is>
          <t>marginalpdbc_20230916.1</t>
        </is>
      </c>
      <c r="L1358" t="inlineStr">
        <is>
          <t>24 periodos; mín 73.41, máx 122.69 €/MWh</t>
        </is>
      </c>
    </row>
    <row r="1359">
      <c r="A1359" s="53" t="n">
        <v>45186</v>
      </c>
      <c r="B1359" t="inlineStr">
        <is>
          <t>2023-09-17</t>
        </is>
      </c>
      <c r="C1359" s="45" t="n">
        <v>63.7696</v>
      </c>
      <c r="D1359" t="inlineStr">
        <is>
          <t>€/MWh</t>
        </is>
      </c>
      <c r="E1359" s="54" t="n">
        <v>0.06376999999999999</v>
      </c>
      <c r="F1359" s="54" t="n"/>
      <c r="G1359" t="inlineStr">
        <is>
          <t>no aplica (precio mayorista)</t>
        </is>
      </c>
      <c r="J1359" t="inlineStr">
        <is>
          <t>2023-09-16</t>
        </is>
      </c>
      <c r="K1359" t="inlineStr">
        <is>
          <t>marginalpdbc_20230917.1</t>
        </is>
      </c>
      <c r="L1359" t="inlineStr">
        <is>
          <t>24 periodos; mín 4.08, máx 122.69 €/MWh</t>
        </is>
      </c>
    </row>
    <row r="1360">
      <c r="A1360" s="53" t="n">
        <v>45187</v>
      </c>
      <c r="B1360" t="inlineStr">
        <is>
          <t>2023-09-18</t>
        </is>
      </c>
      <c r="C1360" s="45" t="n">
        <v>105.8075</v>
      </c>
      <c r="D1360" t="inlineStr">
        <is>
          <t>€/MWh</t>
        </is>
      </c>
      <c r="E1360" s="54" t="n">
        <v>0.105807</v>
      </c>
      <c r="F1360" s="54" t="n"/>
      <c r="G1360" t="inlineStr">
        <is>
          <t>no aplica (precio mayorista)</t>
        </is>
      </c>
      <c r="J1360" t="inlineStr">
        <is>
          <t>2023-09-17</t>
        </is>
      </c>
      <c r="K1360" t="inlineStr">
        <is>
          <t>marginalpdbc_20230918.1</t>
        </is>
      </c>
      <c r="L1360" t="inlineStr">
        <is>
          <t>24 periodos; mín 80.20, máx 164.12 €/MWh</t>
        </is>
      </c>
    </row>
    <row r="1361">
      <c r="A1361" s="53" t="n">
        <v>45188</v>
      </c>
      <c r="B1361" t="inlineStr">
        <is>
          <t>2023-09-19</t>
        </is>
      </c>
      <c r="C1361" s="45" t="n">
        <v>109.9029</v>
      </c>
      <c r="D1361" t="inlineStr">
        <is>
          <t>€/MWh</t>
        </is>
      </c>
      <c r="E1361" s="54" t="n">
        <v>0.109903</v>
      </c>
      <c r="F1361" s="54" t="n"/>
      <c r="G1361" t="inlineStr">
        <is>
          <t>no aplica (precio mayorista)</t>
        </is>
      </c>
      <c r="J1361" t="inlineStr">
        <is>
          <t>2023-09-18</t>
        </is>
      </c>
      <c r="K1361" t="inlineStr">
        <is>
          <t>marginalpdbc_20230919.1</t>
        </is>
      </c>
      <c r="L1361" t="inlineStr">
        <is>
          <t>24 periodos; mín 85.51, máx 143.00 €/MWh</t>
        </is>
      </c>
    </row>
    <row r="1362">
      <c r="A1362" s="53" t="n">
        <v>45189</v>
      </c>
      <c r="B1362" t="inlineStr">
        <is>
          <t>2023-09-20</t>
        </is>
      </c>
      <c r="C1362" s="45" t="n">
        <v>93.6533</v>
      </c>
      <c r="D1362" t="inlineStr">
        <is>
          <t>€/MWh</t>
        </is>
      </c>
      <c r="E1362" s="54" t="n">
        <v>0.093653</v>
      </c>
      <c r="F1362" s="54" t="n"/>
      <c r="G1362" t="inlineStr">
        <is>
          <t>no aplica (precio mayorista)</t>
        </is>
      </c>
      <c r="J1362" t="inlineStr">
        <is>
          <t>2023-09-19</t>
        </is>
      </c>
      <c r="K1362" t="inlineStr">
        <is>
          <t>marginalpdbc_20230920.1</t>
        </is>
      </c>
      <c r="L1362" t="inlineStr">
        <is>
          <t>24 periodos; mín 35.00, máx 116.61 €/MWh</t>
        </is>
      </c>
    </row>
    <row r="1363">
      <c r="A1363" s="53" t="n">
        <v>45190</v>
      </c>
      <c r="B1363" t="inlineStr">
        <is>
          <t>2023-09-21</t>
        </is>
      </c>
      <c r="C1363" s="45" t="n">
        <v>92.105</v>
      </c>
      <c r="D1363" t="inlineStr">
        <is>
          <t>€/MWh</t>
        </is>
      </c>
      <c r="E1363" s="54" t="n">
        <v>0.09210500000000001</v>
      </c>
      <c r="F1363" s="54" t="n"/>
      <c r="G1363" t="inlineStr">
        <is>
          <t>no aplica (precio mayorista)</t>
        </is>
      </c>
      <c r="J1363" t="inlineStr">
        <is>
          <t>2023-09-20</t>
        </is>
      </c>
      <c r="K1363" t="inlineStr">
        <is>
          <t>marginalpdbc_20230921.1</t>
        </is>
      </c>
      <c r="L1363" t="inlineStr">
        <is>
          <t>24 periodos; mín 70.00, máx 121.38 €/MWh</t>
        </is>
      </c>
    </row>
    <row r="1364">
      <c r="A1364" s="53" t="n">
        <v>45191</v>
      </c>
      <c r="B1364" t="inlineStr">
        <is>
          <t>2023-09-22</t>
        </is>
      </c>
      <c r="C1364" s="45" t="n">
        <v>101.4663</v>
      </c>
      <c r="D1364" t="inlineStr">
        <is>
          <t>€/MWh</t>
        </is>
      </c>
      <c r="E1364" s="54" t="n">
        <v>0.101466</v>
      </c>
      <c r="F1364" s="54" t="n"/>
      <c r="G1364" t="inlineStr">
        <is>
          <t>no aplica (precio mayorista)</t>
        </is>
      </c>
      <c r="J1364" t="inlineStr">
        <is>
          <t>2023-09-21</t>
        </is>
      </c>
      <c r="K1364" t="inlineStr">
        <is>
          <t>marginalpdbc_20230922.1</t>
        </is>
      </c>
      <c r="L1364" t="inlineStr">
        <is>
          <t>24 periodos; mín 70.77, máx 133.59 €/MWh</t>
        </is>
      </c>
    </row>
    <row r="1365">
      <c r="A1365" s="53" t="n">
        <v>45192</v>
      </c>
      <c r="B1365" t="inlineStr">
        <is>
          <t>2023-09-23</t>
        </is>
      </c>
      <c r="C1365" s="45" t="n">
        <v>110.0354</v>
      </c>
      <c r="D1365" t="inlineStr">
        <is>
          <t>€/MWh</t>
        </is>
      </c>
      <c r="E1365" s="54" t="n">
        <v>0.110035</v>
      </c>
      <c r="F1365" s="54" t="n"/>
      <c r="G1365" t="inlineStr">
        <is>
          <t>no aplica (precio mayorista)</t>
        </is>
      </c>
      <c r="J1365" t="inlineStr">
        <is>
          <t>2023-09-22</t>
        </is>
      </c>
      <c r="K1365" t="inlineStr">
        <is>
          <t>marginalpdbc_20230923.1</t>
        </is>
      </c>
      <c r="L1365" t="inlineStr">
        <is>
          <t>24 periodos; mín 60.00, máx 150.82 €/MWh</t>
        </is>
      </c>
    </row>
    <row r="1366">
      <c r="A1366" s="53" t="n">
        <v>45193</v>
      </c>
      <c r="B1366" t="inlineStr">
        <is>
          <t>2023-09-24</t>
        </is>
      </c>
      <c r="C1366" s="45" t="n">
        <v>83.0125</v>
      </c>
      <c r="D1366" t="inlineStr">
        <is>
          <t>€/MWh</t>
        </is>
      </c>
      <c r="E1366" s="54" t="n">
        <v>0.083013</v>
      </c>
      <c r="F1366" s="54" t="n"/>
      <c r="G1366" t="inlineStr">
        <is>
          <t>no aplica (precio mayorista)</t>
        </is>
      </c>
      <c r="J1366" t="inlineStr">
        <is>
          <t>2023-09-23</t>
        </is>
      </c>
      <c r="K1366" t="inlineStr">
        <is>
          <t>marginalpdbc_20230924.1</t>
        </is>
      </c>
      <c r="L1366" t="inlineStr">
        <is>
          <t>24 periodos; mín 0.00, máx 160.51 €/MWh</t>
        </is>
      </c>
    </row>
    <row r="1367">
      <c r="A1367" s="53" t="n">
        <v>45194</v>
      </c>
      <c r="B1367" t="inlineStr">
        <is>
          <t>2023-09-25</t>
        </is>
      </c>
      <c r="C1367" s="45" t="n">
        <v>119.0479</v>
      </c>
      <c r="D1367" t="inlineStr">
        <is>
          <t>€/MWh</t>
        </is>
      </c>
      <c r="E1367" s="54" t="n">
        <v>0.119048</v>
      </c>
      <c r="F1367" s="54" t="n"/>
      <c r="G1367" t="inlineStr">
        <is>
          <t>no aplica (precio mayorista)</t>
        </is>
      </c>
      <c r="J1367" t="inlineStr">
        <is>
          <t>2023-09-24</t>
        </is>
      </c>
      <c r="K1367" t="inlineStr">
        <is>
          <t>marginalpdbc_20230925.1</t>
        </is>
      </c>
      <c r="L1367" t="inlineStr">
        <is>
          <t>24 periodos; mín 85.93, máx 160.00 €/MWh</t>
        </is>
      </c>
    </row>
    <row r="1368">
      <c r="A1368" s="53" t="n">
        <v>45195</v>
      </c>
      <c r="B1368" t="inlineStr">
        <is>
          <t>2023-09-26</t>
        </is>
      </c>
      <c r="C1368" s="45" t="n">
        <v>123.0521</v>
      </c>
      <c r="D1368" t="inlineStr">
        <is>
          <t>€/MWh</t>
        </is>
      </c>
      <c r="E1368" s="54" t="n">
        <v>0.123052</v>
      </c>
      <c r="F1368" s="54" t="n"/>
      <c r="G1368" t="inlineStr">
        <is>
          <t>no aplica (precio mayorista)</t>
        </is>
      </c>
      <c r="J1368" t="inlineStr">
        <is>
          <t>2023-09-25</t>
        </is>
      </c>
      <c r="K1368" t="inlineStr">
        <is>
          <t>marginalpdbc_20230926.1</t>
        </is>
      </c>
      <c r="L1368" t="inlineStr">
        <is>
          <t>24 periodos; mín 98.00, máx 163.77 €/MWh</t>
        </is>
      </c>
    </row>
    <row r="1369">
      <c r="A1369" s="53" t="n">
        <v>45196</v>
      </c>
      <c r="B1369" t="inlineStr">
        <is>
          <t>2023-09-27</t>
        </is>
      </c>
      <c r="C1369" s="45" t="n">
        <v>114.8346</v>
      </c>
      <c r="D1369" t="inlineStr">
        <is>
          <t>€/MWh</t>
        </is>
      </c>
      <c r="E1369" s="54" t="n">
        <v>0.114835</v>
      </c>
      <c r="F1369" s="54" t="n"/>
      <c r="G1369" t="inlineStr">
        <is>
          <t>no aplica (precio mayorista)</t>
        </is>
      </c>
      <c r="J1369" t="inlineStr">
        <is>
          <t>2023-09-26</t>
        </is>
      </c>
      <c r="K1369" t="inlineStr">
        <is>
          <t>marginalpdbc_20230927.1</t>
        </is>
      </c>
      <c r="L1369" t="inlineStr">
        <is>
          <t>24 periodos; mín 77.14, máx 170.00 €/MWh</t>
        </is>
      </c>
    </row>
    <row r="1370">
      <c r="A1370" s="53" t="n">
        <v>45197</v>
      </c>
      <c r="B1370" t="inlineStr">
        <is>
          <t>2023-09-28</t>
        </is>
      </c>
      <c r="C1370" s="45" t="n">
        <v>113.8567</v>
      </c>
      <c r="D1370" t="inlineStr">
        <is>
          <t>€/MWh</t>
        </is>
      </c>
      <c r="E1370" s="54" t="n">
        <v>0.113857</v>
      </c>
      <c r="F1370" s="54" t="n"/>
      <c r="G1370" t="inlineStr">
        <is>
          <t>no aplica (precio mayorista)</t>
        </is>
      </c>
      <c r="J1370" t="inlineStr">
        <is>
          <t>2023-09-27</t>
        </is>
      </c>
      <c r="K1370" t="inlineStr">
        <is>
          <t>marginalpdbc_20230928.1</t>
        </is>
      </c>
      <c r="L1370" t="inlineStr">
        <is>
          <t>24 periodos; mín 82.18, máx 147.65 €/MWh</t>
        </is>
      </c>
    </row>
    <row r="1371">
      <c r="A1371" s="53" t="n">
        <v>45198</v>
      </c>
      <c r="B1371" t="inlineStr">
        <is>
          <t>2023-09-29</t>
        </is>
      </c>
      <c r="C1371" s="45" t="n">
        <v>118.9608</v>
      </c>
      <c r="D1371" t="inlineStr">
        <is>
          <t>€/MWh</t>
        </is>
      </c>
      <c r="E1371" s="54" t="n">
        <v>0.118961</v>
      </c>
      <c r="F1371" s="54" t="n"/>
      <c r="G1371" t="inlineStr">
        <is>
          <t>no aplica (precio mayorista)</t>
        </is>
      </c>
      <c r="J1371" t="inlineStr">
        <is>
          <t>2023-09-28</t>
        </is>
      </c>
      <c r="K1371" t="inlineStr">
        <is>
          <t>marginalpdbc_20230929.1</t>
        </is>
      </c>
      <c r="L1371" t="inlineStr">
        <is>
          <t>24 periodos; mín 90.87, máx 149.25 €/MWh</t>
        </is>
      </c>
    </row>
    <row r="1372">
      <c r="A1372" s="53" t="n">
        <v>45199</v>
      </c>
      <c r="B1372" t="inlineStr">
        <is>
          <t>2023-09-30</t>
        </is>
      </c>
      <c r="C1372" s="45" t="n">
        <v>104.8933</v>
      </c>
      <c r="D1372" t="inlineStr">
        <is>
          <t>€/MWh</t>
        </is>
      </c>
      <c r="E1372" s="54" t="n">
        <v>0.104893</v>
      </c>
      <c r="F1372" s="54" t="n"/>
      <c r="G1372" t="inlineStr">
        <is>
          <t>no aplica (precio mayorista)</t>
        </is>
      </c>
      <c r="J1372" t="inlineStr">
        <is>
          <t>2023-09-29</t>
        </is>
      </c>
      <c r="K1372" t="inlineStr">
        <is>
          <t>marginalpdbc_20230930.1</t>
        </is>
      </c>
      <c r="L1372" t="inlineStr">
        <is>
          <t>24 periodos; mín 40.00, máx 150.58 €/MWh</t>
        </is>
      </c>
    </row>
    <row r="1373">
      <c r="A1373" s="53" t="n">
        <v>45200</v>
      </c>
      <c r="B1373" t="inlineStr">
        <is>
          <t>2023-10-01</t>
        </is>
      </c>
      <c r="C1373" s="45" t="n">
        <v>95.9958</v>
      </c>
      <c r="D1373" t="inlineStr">
        <is>
          <t>€/MWh</t>
        </is>
      </c>
      <c r="E1373" s="54" t="n">
        <v>0.095996</v>
      </c>
      <c r="F1373" s="54" t="n"/>
      <c r="G1373" t="inlineStr">
        <is>
          <t>no aplica (precio mayorista)</t>
        </is>
      </c>
      <c r="J1373" t="inlineStr">
        <is>
          <t>2023-09-30</t>
        </is>
      </c>
      <c r="K1373" t="inlineStr">
        <is>
          <t>marginalpdbc_20231001.1</t>
        </is>
      </c>
      <c r="L1373" t="inlineStr">
        <is>
          <t>24 periodos; mín 4.30, máx 142.45 €/MWh</t>
        </is>
      </c>
    </row>
    <row r="1374">
      <c r="A1374" s="53" t="n">
        <v>45201</v>
      </c>
      <c r="B1374" t="inlineStr">
        <is>
          <t>2023-10-02</t>
        </is>
      </c>
      <c r="C1374" s="45" t="n">
        <v>114.8612</v>
      </c>
      <c r="D1374" t="inlineStr">
        <is>
          <t>€/MWh</t>
        </is>
      </c>
      <c r="E1374" s="54" t="n">
        <v>0.114861</v>
      </c>
      <c r="F1374" s="54" t="n"/>
      <c r="G1374" t="inlineStr">
        <is>
          <t>no aplica (precio mayorista)</t>
        </is>
      </c>
      <c r="J1374" t="inlineStr">
        <is>
          <t>2023-10-01</t>
        </is>
      </c>
      <c r="K1374" t="inlineStr">
        <is>
          <t>marginalpdbc_20231002.1</t>
        </is>
      </c>
      <c r="L1374" t="inlineStr">
        <is>
          <t>24 periodos; mín 87.70, máx 160.07 €/MWh</t>
        </is>
      </c>
    </row>
    <row r="1375">
      <c r="A1375" s="53" t="n">
        <v>45202</v>
      </c>
      <c r="B1375" t="inlineStr">
        <is>
          <t>2023-10-03</t>
        </is>
      </c>
      <c r="C1375" s="45" t="n">
        <v>106.6042</v>
      </c>
      <c r="D1375" t="inlineStr">
        <is>
          <t>€/MWh</t>
        </is>
      </c>
      <c r="E1375" s="54" t="n">
        <v>0.106604</v>
      </c>
      <c r="F1375" s="54" t="n"/>
      <c r="G1375" t="inlineStr">
        <is>
          <t>no aplica (precio mayorista)</t>
        </is>
      </c>
      <c r="J1375" t="inlineStr">
        <is>
          <t>2023-10-02</t>
        </is>
      </c>
      <c r="K1375" t="inlineStr">
        <is>
          <t>marginalpdbc_20231003.1</t>
        </is>
      </c>
      <c r="L1375" t="inlineStr">
        <is>
          <t>24 periodos; mín 35.00, máx 134.27 €/MWh</t>
        </is>
      </c>
    </row>
    <row r="1376">
      <c r="A1376" s="53" t="n">
        <v>45203</v>
      </c>
      <c r="B1376" t="inlineStr">
        <is>
          <t>2023-10-04</t>
        </is>
      </c>
      <c r="C1376" s="45" t="n">
        <v>102.74</v>
      </c>
      <c r="D1376" t="inlineStr">
        <is>
          <t>€/MWh</t>
        </is>
      </c>
      <c r="E1376" s="54" t="n">
        <v>0.10274</v>
      </c>
      <c r="F1376" s="54" t="n"/>
      <c r="G1376" t="inlineStr">
        <is>
          <t>no aplica (precio mayorista)</t>
        </is>
      </c>
      <c r="J1376" t="inlineStr">
        <is>
          <t>2023-10-03</t>
        </is>
      </c>
      <c r="K1376" t="inlineStr">
        <is>
          <t>marginalpdbc_20231004.1</t>
        </is>
      </c>
      <c r="L1376" t="inlineStr">
        <is>
          <t>24 periodos; mín 82.85, máx 139.93 €/MWh</t>
        </is>
      </c>
    </row>
    <row r="1377">
      <c r="A1377" s="53" t="n">
        <v>45204</v>
      </c>
      <c r="B1377" t="inlineStr">
        <is>
          <t>2023-10-05</t>
        </is>
      </c>
      <c r="C1377" s="45" t="n">
        <v>103.5</v>
      </c>
      <c r="D1377" t="inlineStr">
        <is>
          <t>€/MWh</t>
        </is>
      </c>
      <c r="E1377" s="54" t="n">
        <v>0.1035</v>
      </c>
      <c r="F1377" s="54" t="n"/>
      <c r="G1377" t="inlineStr">
        <is>
          <t>no aplica (precio mayorista)</t>
        </is>
      </c>
      <c r="J1377" t="inlineStr">
        <is>
          <t>2023-10-04</t>
        </is>
      </c>
      <c r="K1377" t="inlineStr">
        <is>
          <t>marginalpdbc_20231005.1</t>
        </is>
      </c>
      <c r="L1377" t="inlineStr">
        <is>
          <t>24 periodos; mín 80.03, máx 139.40 €/MWh</t>
        </is>
      </c>
    </row>
    <row r="1378">
      <c r="A1378" s="53" t="n">
        <v>45205</v>
      </c>
      <c r="B1378" t="inlineStr">
        <is>
          <t>2023-10-06</t>
        </is>
      </c>
      <c r="C1378" s="45" t="n">
        <v>105.5096</v>
      </c>
      <c r="D1378" t="inlineStr">
        <is>
          <t>€/MWh</t>
        </is>
      </c>
      <c r="E1378" s="54" t="n">
        <v>0.10551</v>
      </c>
      <c r="F1378" s="54" t="n"/>
      <c r="G1378" t="inlineStr">
        <is>
          <t>no aplica (precio mayorista)</t>
        </is>
      </c>
      <c r="J1378" t="inlineStr">
        <is>
          <t>2023-10-05</t>
        </is>
      </c>
      <c r="K1378" t="inlineStr">
        <is>
          <t>marginalpdbc_20231006.1</t>
        </is>
      </c>
      <c r="L1378" t="inlineStr">
        <is>
          <t>24 periodos; mín 81.40, máx 130.00 €/MWh</t>
        </is>
      </c>
    </row>
    <row r="1379">
      <c r="A1379" s="53" t="n">
        <v>45206</v>
      </c>
      <c r="B1379" t="inlineStr">
        <is>
          <t>2023-10-07</t>
        </is>
      </c>
      <c r="C1379" s="45" t="n">
        <v>99.1579</v>
      </c>
      <c r="D1379" t="inlineStr">
        <is>
          <t>€/MWh</t>
        </is>
      </c>
      <c r="E1379" s="54" t="n">
        <v>0.099158</v>
      </c>
      <c r="F1379" s="54" t="n"/>
      <c r="G1379" t="inlineStr">
        <is>
          <t>no aplica (precio mayorista)</t>
        </is>
      </c>
      <c r="J1379" t="inlineStr">
        <is>
          <t>2023-10-06</t>
        </is>
      </c>
      <c r="K1379" t="inlineStr">
        <is>
          <t>marginalpdbc_20231007.1</t>
        </is>
      </c>
      <c r="L1379" t="inlineStr">
        <is>
          <t>24 periodos; mín 60.00, máx 125.00 €/MWh</t>
        </is>
      </c>
    </row>
    <row r="1380">
      <c r="A1380" s="53" t="n">
        <v>45207</v>
      </c>
      <c r="B1380" t="inlineStr">
        <is>
          <t>2023-10-08</t>
        </is>
      </c>
      <c r="C1380" s="45" t="n">
        <v>104.2325</v>
      </c>
      <c r="D1380" t="inlineStr">
        <is>
          <t>€/MWh</t>
        </is>
      </c>
      <c r="E1380" s="54" t="n">
        <v>0.104233</v>
      </c>
      <c r="F1380" s="54" t="n"/>
      <c r="G1380" t="inlineStr">
        <is>
          <t>no aplica (precio mayorista)</t>
        </is>
      </c>
      <c r="J1380" t="inlineStr">
        <is>
          <t>2023-10-07</t>
        </is>
      </c>
      <c r="K1380" t="inlineStr">
        <is>
          <t>marginalpdbc_20231008.1</t>
        </is>
      </c>
      <c r="L1380" t="inlineStr">
        <is>
          <t>24 periodos; mín 54.59, máx 139.01 €/MWh</t>
        </is>
      </c>
    </row>
    <row r="1381">
      <c r="A1381" s="53" t="n">
        <v>45208</v>
      </c>
      <c r="B1381" t="inlineStr">
        <is>
          <t>2023-10-09</t>
        </is>
      </c>
      <c r="C1381" s="45" t="n">
        <v>120.9604</v>
      </c>
      <c r="D1381" t="inlineStr">
        <is>
          <t>€/MWh</t>
        </is>
      </c>
      <c r="E1381" s="54" t="n">
        <v>0.12096</v>
      </c>
      <c r="F1381" s="54" t="n"/>
      <c r="G1381" t="inlineStr">
        <is>
          <t>no aplica (precio mayorista)</t>
        </is>
      </c>
      <c r="J1381" t="inlineStr">
        <is>
          <t>2023-10-08</t>
        </is>
      </c>
      <c r="K1381" t="inlineStr">
        <is>
          <t>marginalpdbc_20231009.1</t>
        </is>
      </c>
      <c r="L1381" t="inlineStr">
        <is>
          <t>24 periodos; mín 93.00, máx 184.50 €/MWh</t>
        </is>
      </c>
    </row>
    <row r="1382">
      <c r="A1382" s="53" t="n">
        <v>45209</v>
      </c>
      <c r="B1382" t="inlineStr">
        <is>
          <t>2023-10-10</t>
        </is>
      </c>
      <c r="C1382" s="45" t="n">
        <v>125.3896</v>
      </c>
      <c r="D1382" t="inlineStr">
        <is>
          <t>€/MWh</t>
        </is>
      </c>
      <c r="E1382" s="54" t="n">
        <v>0.12539</v>
      </c>
      <c r="F1382" s="54" t="n"/>
      <c r="G1382" t="inlineStr">
        <is>
          <t>no aplica (precio mayorista)</t>
        </is>
      </c>
      <c r="J1382" t="inlineStr">
        <is>
          <t>2023-10-09</t>
        </is>
      </c>
      <c r="K1382" t="inlineStr">
        <is>
          <t>marginalpdbc_20231010.1</t>
        </is>
      </c>
      <c r="L1382" t="inlineStr">
        <is>
          <t>24 periodos; mín 99.25, máx 159.48 €/MWh</t>
        </is>
      </c>
    </row>
    <row r="1383">
      <c r="A1383" s="53" t="n">
        <v>45210</v>
      </c>
      <c r="B1383" t="inlineStr">
        <is>
          <t>2023-10-11</t>
        </is>
      </c>
      <c r="C1383" s="45" t="n">
        <v>123.5858</v>
      </c>
      <c r="D1383" t="inlineStr">
        <is>
          <t>€/MWh</t>
        </is>
      </c>
      <c r="E1383" s="54" t="n">
        <v>0.123586</v>
      </c>
      <c r="F1383" s="54" t="n"/>
      <c r="G1383" t="inlineStr">
        <is>
          <t>no aplica (precio mayorista)</t>
        </is>
      </c>
      <c r="J1383" t="inlineStr">
        <is>
          <t>2023-10-10</t>
        </is>
      </c>
      <c r="K1383" t="inlineStr">
        <is>
          <t>marginalpdbc_20231011.1</t>
        </is>
      </c>
      <c r="L1383" t="inlineStr">
        <is>
          <t>24 periodos; mín 90.00, máx 158.28 €/MWh</t>
        </is>
      </c>
    </row>
    <row r="1384">
      <c r="A1384" s="53" t="n">
        <v>45211</v>
      </c>
      <c r="B1384" t="inlineStr">
        <is>
          <t>2023-10-12</t>
        </is>
      </c>
      <c r="C1384" s="45" t="n">
        <v>121.9496</v>
      </c>
      <c r="D1384" t="inlineStr">
        <is>
          <t>€/MWh</t>
        </is>
      </c>
      <c r="E1384" s="54" t="n">
        <v>0.12195</v>
      </c>
      <c r="F1384" s="54" t="n"/>
      <c r="G1384" t="inlineStr">
        <is>
          <t>no aplica (precio mayorista)</t>
        </is>
      </c>
      <c r="J1384" t="inlineStr">
        <is>
          <t>2023-10-11</t>
        </is>
      </c>
      <c r="K1384" t="inlineStr">
        <is>
          <t>marginalpdbc_20231012.1</t>
        </is>
      </c>
      <c r="L1384" t="inlineStr">
        <is>
          <t>24 periodos; mín 88.23, máx 152.03 €/MWh</t>
        </is>
      </c>
    </row>
    <row r="1385">
      <c r="A1385" s="53" t="n">
        <v>45212</v>
      </c>
      <c r="B1385" t="inlineStr">
        <is>
          <t>2023-10-13</t>
        </is>
      </c>
      <c r="C1385" s="45" t="n">
        <v>118.6379</v>
      </c>
      <c r="D1385" t="inlineStr">
        <is>
          <t>€/MWh</t>
        </is>
      </c>
      <c r="E1385" s="54" t="n">
        <v>0.118638</v>
      </c>
      <c r="F1385" s="54" t="n"/>
      <c r="G1385" t="inlineStr">
        <is>
          <t>no aplica (precio mayorista)</t>
        </is>
      </c>
      <c r="J1385" t="inlineStr">
        <is>
          <t>2023-10-12</t>
        </is>
      </c>
      <c r="K1385" t="inlineStr">
        <is>
          <t>marginalpdbc_20231013.1</t>
        </is>
      </c>
      <c r="L1385" t="inlineStr">
        <is>
          <t>24 periodos; mín 90.00, máx 143.00 €/MWh</t>
        </is>
      </c>
    </row>
    <row r="1386">
      <c r="A1386" s="53" t="n">
        <v>45213</v>
      </c>
      <c r="B1386" t="inlineStr">
        <is>
          <t>2023-10-14</t>
        </is>
      </c>
      <c r="C1386" s="45" t="n">
        <v>135.1342</v>
      </c>
      <c r="D1386" t="inlineStr">
        <is>
          <t>€/MWh</t>
        </is>
      </c>
      <c r="E1386" s="54" t="n">
        <v>0.135134</v>
      </c>
      <c r="F1386" s="54" t="n"/>
      <c r="G1386" t="inlineStr">
        <is>
          <t>no aplica (precio mayorista)</t>
        </is>
      </c>
      <c r="J1386" t="inlineStr">
        <is>
          <t>2023-10-13</t>
        </is>
      </c>
      <c r="K1386" t="inlineStr">
        <is>
          <t>marginalpdbc_20231014.1</t>
        </is>
      </c>
      <c r="L1386" t="inlineStr">
        <is>
          <t>24 periodos; mín 108.57, máx 143.09 €/MWh</t>
        </is>
      </c>
    </row>
    <row r="1387">
      <c r="A1387" s="53" t="n">
        <v>45214</v>
      </c>
      <c r="B1387" t="inlineStr">
        <is>
          <t>2023-10-15</t>
        </is>
      </c>
      <c r="C1387" s="45" t="n">
        <v>132.1854</v>
      </c>
      <c r="D1387" t="inlineStr">
        <is>
          <t>€/MWh</t>
        </is>
      </c>
      <c r="E1387" s="54" t="n">
        <v>0.132185</v>
      </c>
      <c r="F1387" s="54" t="n"/>
      <c r="G1387" t="inlineStr">
        <is>
          <t>no aplica (precio mayorista)</t>
        </is>
      </c>
      <c r="J1387" t="inlineStr">
        <is>
          <t>2023-10-14</t>
        </is>
      </c>
      <c r="K1387" t="inlineStr">
        <is>
          <t>marginalpdbc_20231015.1</t>
        </is>
      </c>
      <c r="L1387" t="inlineStr">
        <is>
          <t>24 periodos; mín 98.00, máx 163.42 €/MWh</t>
        </is>
      </c>
    </row>
    <row r="1388">
      <c r="A1388" s="53" t="n">
        <v>45215</v>
      </c>
      <c r="B1388" t="inlineStr">
        <is>
          <t>2023-10-16</t>
        </is>
      </c>
      <c r="C1388" s="45" t="n">
        <v>141.045</v>
      </c>
      <c r="D1388" t="inlineStr">
        <is>
          <t>€/MWh</t>
        </is>
      </c>
      <c r="E1388" s="54" t="n">
        <v>0.141045</v>
      </c>
      <c r="F1388" s="54" t="n"/>
      <c r="G1388" t="inlineStr">
        <is>
          <t>no aplica (precio mayorista)</t>
        </is>
      </c>
      <c r="J1388" t="inlineStr">
        <is>
          <t>2023-10-15</t>
        </is>
      </c>
      <c r="K1388" t="inlineStr">
        <is>
          <t>marginalpdbc_20231016.1</t>
        </is>
      </c>
      <c r="L1388" t="inlineStr">
        <is>
          <t>24 periodos; mín 110.24, máx 220.00 €/MWh</t>
        </is>
      </c>
    </row>
    <row r="1389">
      <c r="A1389" s="53" t="n">
        <v>45216</v>
      </c>
      <c r="B1389" t="inlineStr">
        <is>
          <t>2023-10-17</t>
        </is>
      </c>
      <c r="C1389" s="45" t="n">
        <v>108.2292</v>
      </c>
      <c r="D1389" t="inlineStr">
        <is>
          <t>€/MWh</t>
        </is>
      </c>
      <c r="E1389" s="54" t="n">
        <v>0.108229</v>
      </c>
      <c r="F1389" s="54" t="n"/>
      <c r="G1389" t="inlineStr">
        <is>
          <t>no aplica (precio mayorista)</t>
        </is>
      </c>
      <c r="J1389" t="inlineStr">
        <is>
          <t>2023-10-16</t>
        </is>
      </c>
      <c r="K1389" t="inlineStr">
        <is>
          <t>marginalpdbc_20231017.1</t>
        </is>
      </c>
      <c r="L1389" t="inlineStr">
        <is>
          <t>24 periodos; mín 84.78, máx 144.76 €/MWh</t>
        </is>
      </c>
    </row>
    <row r="1390">
      <c r="A1390" s="53" t="n">
        <v>45217</v>
      </c>
      <c r="B1390" t="inlineStr">
        <is>
          <t>2023-10-18</t>
        </is>
      </c>
      <c r="C1390" s="45" t="n">
        <v>60.7408</v>
      </c>
      <c r="D1390" t="inlineStr">
        <is>
          <t>€/MWh</t>
        </is>
      </c>
      <c r="E1390" s="54" t="n">
        <v>0.060741</v>
      </c>
      <c r="F1390" s="54" t="n"/>
      <c r="G1390" t="inlineStr">
        <is>
          <t>no aplica (precio mayorista)</t>
        </is>
      </c>
      <c r="J1390" t="inlineStr">
        <is>
          <t>2023-10-17</t>
        </is>
      </c>
      <c r="K1390" t="inlineStr">
        <is>
          <t>marginalpdbc_20231018.1</t>
        </is>
      </c>
      <c r="L1390" t="inlineStr">
        <is>
          <t>24 periodos; mín 5.00, máx 102.56 €/MWh</t>
        </is>
      </c>
    </row>
    <row r="1391">
      <c r="A1391" s="53" t="n">
        <v>45218</v>
      </c>
      <c r="B1391" t="inlineStr">
        <is>
          <t>2023-10-19</t>
        </is>
      </c>
      <c r="C1391" s="45" t="n">
        <v>67.8058</v>
      </c>
      <c r="D1391" t="inlineStr">
        <is>
          <t>€/MWh</t>
        </is>
      </c>
      <c r="E1391" s="54" t="n">
        <v>0.06780600000000001</v>
      </c>
      <c r="F1391" s="54" t="n"/>
      <c r="G1391" t="inlineStr">
        <is>
          <t>no aplica (precio mayorista)</t>
        </is>
      </c>
      <c r="J1391" t="inlineStr">
        <is>
          <t>2023-10-18</t>
        </is>
      </c>
      <c r="K1391" t="inlineStr">
        <is>
          <t>marginalpdbc_20231019.1</t>
        </is>
      </c>
      <c r="L1391" t="inlineStr">
        <is>
          <t>24 periodos; mín 4.30, máx 95.72 €/MWh</t>
        </is>
      </c>
    </row>
    <row r="1392">
      <c r="A1392" s="53" t="n">
        <v>45219</v>
      </c>
      <c r="B1392" t="inlineStr">
        <is>
          <t>2023-10-20</t>
        </is>
      </c>
      <c r="C1392" s="45" t="n">
        <v>23.1221</v>
      </c>
      <c r="D1392" t="inlineStr">
        <is>
          <t>€/MWh</t>
        </is>
      </c>
      <c r="E1392" s="54" t="n">
        <v>0.023122</v>
      </c>
      <c r="F1392" s="54" t="n"/>
      <c r="G1392" t="inlineStr">
        <is>
          <t>no aplica (precio mayorista)</t>
        </is>
      </c>
      <c r="J1392" t="inlineStr">
        <is>
          <t>2023-10-19</t>
        </is>
      </c>
      <c r="K1392" t="inlineStr">
        <is>
          <t>marginalpdbc_20231020.1</t>
        </is>
      </c>
      <c r="L1392" t="inlineStr">
        <is>
          <t>24 periodos; mín 1.64, máx 74.99 €/MWh</t>
        </is>
      </c>
    </row>
    <row r="1393">
      <c r="A1393" s="53" t="n">
        <v>45220</v>
      </c>
      <c r="B1393" t="inlineStr">
        <is>
          <t>2023-10-21</t>
        </is>
      </c>
      <c r="C1393" s="45" t="n">
        <v>61.2408</v>
      </c>
      <c r="D1393" t="inlineStr">
        <is>
          <t>€/MWh</t>
        </is>
      </c>
      <c r="E1393" s="54" t="n">
        <v>0.061241</v>
      </c>
      <c r="F1393" s="54" t="n"/>
      <c r="G1393" t="inlineStr">
        <is>
          <t>no aplica (precio mayorista)</t>
        </is>
      </c>
      <c r="J1393" t="inlineStr">
        <is>
          <t>2023-10-20</t>
        </is>
      </c>
      <c r="K1393" t="inlineStr">
        <is>
          <t>marginalpdbc_20231021.1</t>
        </is>
      </c>
      <c r="L1393" t="inlineStr">
        <is>
          <t>24 periodos; mín 10.00, máx 200.00 €/MWh</t>
        </is>
      </c>
    </row>
    <row r="1394">
      <c r="A1394" s="53" t="n">
        <v>45221</v>
      </c>
      <c r="B1394" t="inlineStr">
        <is>
          <t>2023-10-22</t>
        </is>
      </c>
      <c r="C1394" s="45" t="n">
        <v>86.97920000000001</v>
      </c>
      <c r="D1394" t="inlineStr">
        <is>
          <t>€/MWh</t>
        </is>
      </c>
      <c r="E1394" s="54" t="n">
        <v>0.086979</v>
      </c>
      <c r="F1394" s="54" t="n"/>
      <c r="G1394" t="inlineStr">
        <is>
          <t>no aplica (precio mayorista)</t>
        </is>
      </c>
      <c r="J1394" t="inlineStr">
        <is>
          <t>2023-10-21</t>
        </is>
      </c>
      <c r="K1394" t="inlineStr">
        <is>
          <t>marginalpdbc_20231022.1</t>
        </is>
      </c>
      <c r="L1394" t="inlineStr">
        <is>
          <t>24 periodos; mín 46.20, máx 130.00 €/MWh</t>
        </is>
      </c>
    </row>
    <row r="1395">
      <c r="A1395" s="53" t="n">
        <v>45222</v>
      </c>
      <c r="B1395" t="inlineStr">
        <is>
          <t>2023-10-23</t>
        </is>
      </c>
      <c r="C1395" s="45" t="n">
        <v>124.1204</v>
      </c>
      <c r="D1395" t="inlineStr">
        <is>
          <t>€/MWh</t>
        </is>
      </c>
      <c r="E1395" s="54" t="n">
        <v>0.12412</v>
      </c>
      <c r="F1395" s="54" t="n"/>
      <c r="G1395" t="inlineStr">
        <is>
          <t>no aplica (precio mayorista)</t>
        </is>
      </c>
      <c r="J1395" t="inlineStr">
        <is>
          <t>2023-10-22</t>
        </is>
      </c>
      <c r="K1395" t="inlineStr">
        <is>
          <t>marginalpdbc_20231023.1</t>
        </is>
      </c>
      <c r="L1395" t="inlineStr">
        <is>
          <t>24 periodos; mín 96.90, máx 215.02 €/MWh</t>
        </is>
      </c>
    </row>
    <row r="1396">
      <c r="A1396" s="53" t="n">
        <v>45223</v>
      </c>
      <c r="B1396" t="inlineStr">
        <is>
          <t>2023-10-24</t>
        </is>
      </c>
      <c r="C1396" s="45" t="n">
        <v>104.1754</v>
      </c>
      <c r="D1396" t="inlineStr">
        <is>
          <t>€/MWh</t>
        </is>
      </c>
      <c r="E1396" s="54" t="n">
        <v>0.104175</v>
      </c>
      <c r="F1396" s="54" t="n"/>
      <c r="G1396" t="inlineStr">
        <is>
          <t>no aplica (precio mayorista)</t>
        </is>
      </c>
      <c r="J1396" t="inlineStr">
        <is>
          <t>2023-10-23</t>
        </is>
      </c>
      <c r="K1396" t="inlineStr">
        <is>
          <t>marginalpdbc_20231024.1</t>
        </is>
      </c>
      <c r="L1396" t="inlineStr">
        <is>
          <t>24 periodos; mín 64.95, máx 132.13 €/MWh</t>
        </is>
      </c>
    </row>
    <row r="1397">
      <c r="A1397" s="53" t="n">
        <v>45224</v>
      </c>
      <c r="B1397" t="inlineStr">
        <is>
          <t>2023-10-25</t>
        </is>
      </c>
      <c r="C1397" s="45" t="n">
        <v>68.70869999999999</v>
      </c>
      <c r="D1397" t="inlineStr">
        <is>
          <t>€/MWh</t>
        </is>
      </c>
      <c r="E1397" s="54" t="n">
        <v>0.06870900000000001</v>
      </c>
      <c r="F1397" s="54" t="n"/>
      <c r="G1397" t="inlineStr">
        <is>
          <t>no aplica (precio mayorista)</t>
        </is>
      </c>
      <c r="J1397" t="inlineStr">
        <is>
          <t>2023-10-24</t>
        </is>
      </c>
      <c r="K1397" t="inlineStr">
        <is>
          <t>marginalpdbc_20231025.1</t>
        </is>
      </c>
      <c r="L1397" t="inlineStr">
        <is>
          <t>24 periodos; mín 17.45, máx 109.68 €/MWh</t>
        </is>
      </c>
    </row>
    <row r="1398">
      <c r="A1398" s="53" t="n">
        <v>45225</v>
      </c>
      <c r="B1398" t="inlineStr">
        <is>
          <t>2023-10-26</t>
        </is>
      </c>
      <c r="C1398" s="45" t="n">
        <v>51.7704</v>
      </c>
      <c r="D1398" t="inlineStr">
        <is>
          <t>€/MWh</t>
        </is>
      </c>
      <c r="E1398" s="54" t="n">
        <v>0.05177</v>
      </c>
      <c r="F1398" s="54" t="n"/>
      <c r="G1398" t="inlineStr">
        <is>
          <t>no aplica (precio mayorista)</t>
        </is>
      </c>
      <c r="J1398" t="inlineStr">
        <is>
          <t>2023-10-25</t>
        </is>
      </c>
      <c r="K1398" t="inlineStr">
        <is>
          <t>marginalpdbc_20231026.1</t>
        </is>
      </c>
      <c r="L1398" t="inlineStr">
        <is>
          <t>24 periodos; mín 21.95, máx 78.25 €/MWh</t>
        </is>
      </c>
    </row>
    <row r="1399">
      <c r="A1399" s="53" t="n">
        <v>45226</v>
      </c>
      <c r="B1399" t="inlineStr">
        <is>
          <t>2023-10-27</t>
        </is>
      </c>
      <c r="C1399" s="45" t="n">
        <v>27.2092</v>
      </c>
      <c r="D1399" t="inlineStr">
        <is>
          <t>€/MWh</t>
        </is>
      </c>
      <c r="E1399" s="54" t="n">
        <v>0.027209</v>
      </c>
      <c r="F1399" s="54" t="n"/>
      <c r="G1399" t="inlineStr">
        <is>
          <t>no aplica (precio mayorista)</t>
        </is>
      </c>
      <c r="J1399" t="inlineStr">
        <is>
          <t>2023-10-26</t>
        </is>
      </c>
      <c r="K1399" t="inlineStr">
        <is>
          <t>marginalpdbc_20231027.1</t>
        </is>
      </c>
      <c r="L1399" t="inlineStr">
        <is>
          <t>24 periodos; mín 4.30, máx 92.49 €/MWh</t>
        </is>
      </c>
    </row>
    <row r="1400">
      <c r="A1400" s="53" t="n">
        <v>45227</v>
      </c>
      <c r="B1400" t="inlineStr">
        <is>
          <t>2023-10-28</t>
        </is>
      </c>
      <c r="C1400" s="45" t="n">
        <v>6.4479</v>
      </c>
      <c r="D1400" t="inlineStr">
        <is>
          <t>€/MWh</t>
        </is>
      </c>
      <c r="E1400" s="54" t="n">
        <v>0.006448</v>
      </c>
      <c r="F1400" s="54" t="n"/>
      <c r="G1400" t="inlineStr">
        <is>
          <t>no aplica (precio mayorista)</t>
        </is>
      </c>
      <c r="J1400" t="inlineStr">
        <is>
          <t>2023-10-27</t>
        </is>
      </c>
      <c r="K1400" t="inlineStr">
        <is>
          <t>marginalpdbc_20231028.1</t>
        </is>
      </c>
      <c r="L1400" t="inlineStr">
        <is>
          <t>24 periodos; mín 0.00, máx 23.55 €/MWh</t>
        </is>
      </c>
    </row>
    <row r="1401">
      <c r="A1401" s="53" t="n">
        <v>45228</v>
      </c>
      <c r="B1401" t="inlineStr">
        <is>
          <t>2023-10-29</t>
        </is>
      </c>
      <c r="C1401" s="45" t="n">
        <v>12.2472</v>
      </c>
      <c r="D1401" t="inlineStr">
        <is>
          <t>€/MWh</t>
        </is>
      </c>
      <c r="E1401" s="54" t="n">
        <v>0.012247</v>
      </c>
      <c r="F1401" s="54" t="n"/>
      <c r="G1401" t="inlineStr">
        <is>
          <t>no aplica (precio mayorista)</t>
        </is>
      </c>
      <c r="J1401" t="inlineStr">
        <is>
          <t>2023-10-28</t>
        </is>
      </c>
      <c r="K1401" t="inlineStr">
        <is>
          <t>marginalpdbc_20231029.1</t>
        </is>
      </c>
      <c r="L1401" t="inlineStr">
        <is>
          <t>25 periodos; mín 0.00, máx 64.21 €/MWh</t>
        </is>
      </c>
    </row>
    <row r="1402">
      <c r="A1402" s="53" t="n">
        <v>45229</v>
      </c>
      <c r="B1402" t="inlineStr">
        <is>
          <t>2023-10-30</t>
        </is>
      </c>
      <c r="C1402" s="45" t="n">
        <v>34.9958</v>
      </c>
      <c r="D1402" t="inlineStr">
        <is>
          <t>€/MWh</t>
        </is>
      </c>
      <c r="E1402" s="54" t="n">
        <v>0.034996</v>
      </c>
      <c r="F1402" s="54" t="n"/>
      <c r="G1402" t="inlineStr">
        <is>
          <t>no aplica (precio mayorista)</t>
        </is>
      </c>
      <c r="J1402" t="inlineStr">
        <is>
          <t>2023-10-29</t>
        </is>
      </c>
      <c r="K1402" t="inlineStr">
        <is>
          <t>marginalpdbc_20231030.1</t>
        </is>
      </c>
      <c r="L1402" t="inlineStr">
        <is>
          <t>24 periodos; mín 4.30, máx 96.81 €/MWh</t>
        </is>
      </c>
    </row>
    <row r="1403">
      <c r="A1403" s="53" t="n">
        <v>45230</v>
      </c>
      <c r="B1403" t="inlineStr">
        <is>
          <t>2023-10-31</t>
        </is>
      </c>
      <c r="C1403" s="45" t="n">
        <v>104.9246</v>
      </c>
      <c r="D1403" t="inlineStr">
        <is>
          <t>€/MWh</t>
        </is>
      </c>
      <c r="E1403" s="54" t="n">
        <v>0.104925</v>
      </c>
      <c r="F1403" s="54" t="n"/>
      <c r="G1403" t="inlineStr">
        <is>
          <t>no aplica (precio mayorista)</t>
        </is>
      </c>
      <c r="J1403" t="inlineStr">
        <is>
          <t>2023-10-30</t>
        </is>
      </c>
      <c r="K1403" t="inlineStr">
        <is>
          <t>marginalpdbc_20231031.1</t>
        </is>
      </c>
      <c r="L1403" t="inlineStr">
        <is>
          <t>24 periodos; mín 60.00, máx 172.04 €/MWh</t>
        </is>
      </c>
    </row>
    <row r="1404">
      <c r="A1404" s="53" t="n">
        <v>45231</v>
      </c>
      <c r="B1404" t="inlineStr">
        <is>
          <t>2023-11-01</t>
        </is>
      </c>
      <c r="C1404" s="45" t="n">
        <v>4.5254</v>
      </c>
      <c r="D1404" t="inlineStr">
        <is>
          <t>€/MWh</t>
        </is>
      </c>
      <c r="E1404" s="54" t="n">
        <v>0.004525</v>
      </c>
      <c r="F1404" s="54" t="n"/>
      <c r="G1404" t="inlineStr">
        <is>
          <t>no aplica (precio mayorista)</t>
        </is>
      </c>
      <c r="J1404" t="inlineStr">
        <is>
          <t>2023-10-31</t>
        </is>
      </c>
      <c r="K1404" t="inlineStr">
        <is>
          <t>marginalpdbc_20231101.1</t>
        </is>
      </c>
      <c r="L1404" t="inlineStr">
        <is>
          <t>24 periodos; mín 0.01, máx 16.75 €/MWh</t>
        </is>
      </c>
    </row>
    <row r="1405">
      <c r="A1405" s="53" t="n">
        <v>45232</v>
      </c>
      <c r="B1405" t="inlineStr">
        <is>
          <t>2023-11-02</t>
        </is>
      </c>
      <c r="C1405" s="45" t="n">
        <v>4.4175</v>
      </c>
      <c r="D1405" t="inlineStr">
        <is>
          <t>€/MWh</t>
        </is>
      </c>
      <c r="E1405" s="54" t="n">
        <v>0.004417</v>
      </c>
      <c r="F1405" s="54" t="n"/>
      <c r="G1405" t="inlineStr">
        <is>
          <t>no aplica (precio mayorista)</t>
        </is>
      </c>
      <c r="J1405" t="inlineStr">
        <is>
          <t>2023-11-01</t>
        </is>
      </c>
      <c r="K1405" t="inlineStr">
        <is>
          <t>marginalpdbc_20231102.1</t>
        </is>
      </c>
      <c r="L1405" t="inlineStr">
        <is>
          <t>24 periodos; mín 0.06, máx 10.00 €/MWh</t>
        </is>
      </c>
    </row>
    <row r="1406">
      <c r="A1406" s="53" t="n">
        <v>45233</v>
      </c>
      <c r="B1406" t="inlineStr">
        <is>
          <t>2023-11-03</t>
        </is>
      </c>
      <c r="C1406" s="45" t="n">
        <v>5.7579</v>
      </c>
      <c r="D1406" t="inlineStr">
        <is>
          <t>€/MWh</t>
        </is>
      </c>
      <c r="E1406" s="54" t="n">
        <v>0.005758</v>
      </c>
      <c r="F1406" s="54" t="n"/>
      <c r="G1406" t="inlineStr">
        <is>
          <t>no aplica (precio mayorista)</t>
        </is>
      </c>
      <c r="J1406" t="inlineStr">
        <is>
          <t>2023-11-02</t>
        </is>
      </c>
      <c r="K1406" t="inlineStr">
        <is>
          <t>marginalpdbc_20231103.1</t>
        </is>
      </c>
      <c r="L1406" t="inlineStr">
        <is>
          <t>24 periodos; mín 0.00, máx 15.50 €/MWh</t>
        </is>
      </c>
    </row>
    <row r="1407">
      <c r="A1407" s="53" t="n">
        <v>45234</v>
      </c>
      <c r="B1407" t="inlineStr">
        <is>
          <t>2023-11-04</t>
        </is>
      </c>
      <c r="C1407" s="45" t="n">
        <v>1.5125</v>
      </c>
      <c r="D1407" t="inlineStr">
        <is>
          <t>€/MWh</t>
        </is>
      </c>
      <c r="E1407" s="54" t="n">
        <v>0.001512</v>
      </c>
      <c r="F1407" s="54" t="n"/>
      <c r="G1407" t="inlineStr">
        <is>
          <t>no aplica (precio mayorista)</t>
        </is>
      </c>
      <c r="J1407" t="inlineStr">
        <is>
          <t>2023-11-03</t>
        </is>
      </c>
      <c r="K1407" t="inlineStr">
        <is>
          <t>marginalpdbc_20231104.1</t>
        </is>
      </c>
      <c r="L1407" t="inlineStr">
        <is>
          <t>24 periodos; mín 0.00, máx 4.30 €/MWh</t>
        </is>
      </c>
    </row>
    <row r="1408">
      <c r="A1408" s="53" t="n">
        <v>45235</v>
      </c>
      <c r="B1408" t="inlineStr">
        <is>
          <t>2023-11-05</t>
        </is>
      </c>
      <c r="C1408" s="45" t="n">
        <v>5.025</v>
      </c>
      <c r="D1408" t="inlineStr">
        <is>
          <t>€/MWh</t>
        </is>
      </c>
      <c r="E1408" s="54" t="n">
        <v>0.005025</v>
      </c>
      <c r="F1408" s="54" t="n"/>
      <c r="G1408" t="inlineStr">
        <is>
          <t>no aplica (precio mayorista)</t>
        </is>
      </c>
      <c r="J1408" t="inlineStr">
        <is>
          <t>2023-11-04</t>
        </is>
      </c>
      <c r="K1408" t="inlineStr">
        <is>
          <t>marginalpdbc_20231105.1</t>
        </is>
      </c>
      <c r="L1408" t="inlineStr">
        <is>
          <t>24 periodos; mín 0.00, máx 25.02 €/MWh</t>
        </is>
      </c>
    </row>
    <row r="1409">
      <c r="A1409" s="53" t="n">
        <v>45236</v>
      </c>
      <c r="B1409" t="inlineStr">
        <is>
          <t>2023-11-06</t>
        </is>
      </c>
      <c r="C1409" s="45" t="n">
        <v>55.1458</v>
      </c>
      <c r="D1409" t="inlineStr">
        <is>
          <t>€/MWh</t>
        </is>
      </c>
      <c r="E1409" s="54" t="n">
        <v>0.055146</v>
      </c>
      <c r="F1409" s="54" t="n"/>
      <c r="G1409" t="inlineStr">
        <is>
          <t>no aplica (precio mayorista)</t>
        </is>
      </c>
      <c r="J1409" t="inlineStr">
        <is>
          <t>2023-11-05</t>
        </is>
      </c>
      <c r="K1409" t="inlineStr">
        <is>
          <t>marginalpdbc_20231106.1</t>
        </is>
      </c>
      <c r="L1409" t="inlineStr">
        <is>
          <t>24 periodos; mín 1.77, máx 151.74 €/MWh</t>
        </is>
      </c>
    </row>
    <row r="1410">
      <c r="A1410" s="53" t="n">
        <v>45237</v>
      </c>
      <c r="B1410" t="inlineStr">
        <is>
          <t>2023-11-07</t>
        </is>
      </c>
      <c r="C1410" s="45" t="n">
        <v>97.8879</v>
      </c>
      <c r="D1410" t="inlineStr">
        <is>
          <t>€/MWh</t>
        </is>
      </c>
      <c r="E1410" s="54" t="n">
        <v>0.097888</v>
      </c>
      <c r="F1410" s="54" t="n"/>
      <c r="G1410" t="inlineStr">
        <is>
          <t>no aplica (precio mayorista)</t>
        </is>
      </c>
      <c r="J1410" t="inlineStr">
        <is>
          <t>2023-11-06</t>
        </is>
      </c>
      <c r="K1410" t="inlineStr">
        <is>
          <t>marginalpdbc_20231107.1</t>
        </is>
      </c>
      <c r="L1410" t="inlineStr">
        <is>
          <t>24 periodos; mín 68.01, máx 150.59 €/MWh</t>
        </is>
      </c>
    </row>
    <row r="1411">
      <c r="A1411" s="53" t="n">
        <v>45238</v>
      </c>
      <c r="B1411" t="inlineStr">
        <is>
          <t>2023-11-08</t>
        </is>
      </c>
      <c r="C1411" s="45" t="n">
        <v>91.46250000000001</v>
      </c>
      <c r="D1411" t="inlineStr">
        <is>
          <t>€/MWh</t>
        </is>
      </c>
      <c r="E1411" s="54" t="n">
        <v>0.091462</v>
      </c>
      <c r="F1411" s="54" t="n"/>
      <c r="G1411" t="inlineStr">
        <is>
          <t>no aplica (precio mayorista)</t>
        </is>
      </c>
      <c r="J1411" t="inlineStr">
        <is>
          <t>2023-11-07</t>
        </is>
      </c>
      <c r="K1411" t="inlineStr">
        <is>
          <t>marginalpdbc_20231108.1</t>
        </is>
      </c>
      <c r="L1411" t="inlineStr">
        <is>
          <t>24 periodos; mín 66.76, máx 127.43 €/MWh</t>
        </is>
      </c>
    </row>
    <row r="1412">
      <c r="A1412" s="53" t="n">
        <v>45239</v>
      </c>
      <c r="B1412" t="inlineStr">
        <is>
          <t>2023-11-09</t>
        </is>
      </c>
      <c r="C1412" s="45" t="n">
        <v>71.2092</v>
      </c>
      <c r="D1412" t="inlineStr">
        <is>
          <t>€/MWh</t>
        </is>
      </c>
      <c r="E1412" s="54" t="n">
        <v>0.07120899999999999</v>
      </c>
      <c r="F1412" s="54" t="n"/>
      <c r="G1412" t="inlineStr">
        <is>
          <t>no aplica (precio mayorista)</t>
        </is>
      </c>
      <c r="J1412" t="inlineStr">
        <is>
          <t>2023-11-08</t>
        </is>
      </c>
      <c r="K1412" t="inlineStr">
        <is>
          <t>marginalpdbc_20231109.1</t>
        </is>
      </c>
      <c r="L1412" t="inlineStr">
        <is>
          <t>24 periodos; mín 30.00, máx 112.22 €/MWh</t>
        </is>
      </c>
    </row>
    <row r="1413">
      <c r="A1413" s="53" t="n">
        <v>45240</v>
      </c>
      <c r="B1413" t="inlineStr">
        <is>
          <t>2023-11-10</t>
        </is>
      </c>
      <c r="C1413" s="45" t="n">
        <v>54.3517</v>
      </c>
      <c r="D1413" t="inlineStr">
        <is>
          <t>€/MWh</t>
        </is>
      </c>
      <c r="E1413" s="54" t="n">
        <v>0.054352</v>
      </c>
      <c r="F1413" s="54" t="n"/>
      <c r="G1413" t="inlineStr">
        <is>
          <t>no aplica (precio mayorista)</t>
        </is>
      </c>
      <c r="J1413" t="inlineStr">
        <is>
          <t>2023-11-09</t>
        </is>
      </c>
      <c r="K1413" t="inlineStr">
        <is>
          <t>marginalpdbc_20231110.1</t>
        </is>
      </c>
      <c r="L1413" t="inlineStr">
        <is>
          <t>24 periodos; mín 20.78, máx 106.43 €/MWh</t>
        </is>
      </c>
    </row>
    <row r="1414">
      <c r="A1414" s="53" t="n">
        <v>45241</v>
      </c>
      <c r="B1414" t="inlineStr">
        <is>
          <t>2023-11-11</t>
        </is>
      </c>
      <c r="C1414" s="45" t="n">
        <v>8.7325</v>
      </c>
      <c r="D1414" t="inlineStr">
        <is>
          <t>€/MWh</t>
        </is>
      </c>
      <c r="E1414" s="54" t="n">
        <v>0.008732999999999999</v>
      </c>
      <c r="F1414" s="54" t="n"/>
      <c r="G1414" t="inlineStr">
        <is>
          <t>no aplica (precio mayorista)</t>
        </is>
      </c>
      <c r="J1414" t="inlineStr">
        <is>
          <t>2023-11-10</t>
        </is>
      </c>
      <c r="K1414" t="inlineStr">
        <is>
          <t>marginalpdbc_20231111.1</t>
        </is>
      </c>
      <c r="L1414" t="inlineStr">
        <is>
          <t>24 periodos; mín 1.62, máx 20.17 €/MWh</t>
        </is>
      </c>
    </row>
    <row r="1415">
      <c r="A1415" s="53" t="n">
        <v>45242</v>
      </c>
      <c r="B1415" t="inlineStr">
        <is>
          <t>2023-11-12</t>
        </is>
      </c>
      <c r="C1415" s="45" t="n">
        <v>20.9929</v>
      </c>
      <c r="D1415" t="inlineStr">
        <is>
          <t>€/MWh</t>
        </is>
      </c>
      <c r="E1415" s="54" t="n">
        <v>0.020993</v>
      </c>
      <c r="F1415" s="54" t="n"/>
      <c r="G1415" t="inlineStr">
        <is>
          <t>no aplica (precio mayorista)</t>
        </is>
      </c>
      <c r="J1415" t="inlineStr">
        <is>
          <t>2023-11-11</t>
        </is>
      </c>
      <c r="K1415" t="inlineStr">
        <is>
          <t>marginalpdbc_20231112.1</t>
        </is>
      </c>
      <c r="L1415" t="inlineStr">
        <is>
          <t>24 periodos; mín 3.42, máx 77.80 €/MWh</t>
        </is>
      </c>
    </row>
    <row r="1416">
      <c r="A1416" s="53" t="n">
        <v>45243</v>
      </c>
      <c r="B1416" t="inlineStr">
        <is>
          <t>2023-11-13</t>
        </is>
      </c>
      <c r="C1416" s="45" t="n">
        <v>52.1371</v>
      </c>
      <c r="D1416" t="inlineStr">
        <is>
          <t>€/MWh</t>
        </is>
      </c>
      <c r="E1416" s="54" t="n">
        <v>0.052137</v>
      </c>
      <c r="F1416" s="54" t="n"/>
      <c r="G1416" t="inlineStr">
        <is>
          <t>no aplica (precio mayorista)</t>
        </is>
      </c>
      <c r="J1416" t="inlineStr">
        <is>
          <t>2023-11-12</t>
        </is>
      </c>
      <c r="K1416" t="inlineStr">
        <is>
          <t>marginalpdbc_20231113.1</t>
        </is>
      </c>
      <c r="L1416" t="inlineStr">
        <is>
          <t>24 periodos; mín 18.02, máx 107.00 €/MWh</t>
        </is>
      </c>
    </row>
    <row r="1417">
      <c r="A1417" s="53" t="n">
        <v>45244</v>
      </c>
      <c r="B1417" t="inlineStr">
        <is>
          <t>2023-11-14</t>
        </is>
      </c>
      <c r="C1417" s="45" t="n">
        <v>67.2687</v>
      </c>
      <c r="D1417" t="inlineStr">
        <is>
          <t>€/MWh</t>
        </is>
      </c>
      <c r="E1417" s="54" t="n">
        <v>0.067269</v>
      </c>
      <c r="F1417" s="54" t="n"/>
      <c r="G1417" t="inlineStr">
        <is>
          <t>no aplica (precio mayorista)</t>
        </is>
      </c>
      <c r="J1417" t="inlineStr">
        <is>
          <t>2023-11-13</t>
        </is>
      </c>
      <c r="K1417" t="inlineStr">
        <is>
          <t>marginalpdbc_20231114.1</t>
        </is>
      </c>
      <c r="L1417" t="inlineStr">
        <is>
          <t>24 periodos; mín 38.33, máx 118.22 €/MWh</t>
        </is>
      </c>
    </row>
    <row r="1418">
      <c r="A1418" s="53" t="n">
        <v>45245</v>
      </c>
      <c r="B1418" t="inlineStr">
        <is>
          <t>2023-11-15</t>
        </is>
      </c>
      <c r="C1418" s="45" t="n">
        <v>94.7188</v>
      </c>
      <c r="D1418" t="inlineStr">
        <is>
          <t>€/MWh</t>
        </is>
      </c>
      <c r="E1418" s="54" t="n">
        <v>0.094719</v>
      </c>
      <c r="F1418" s="54" t="n"/>
      <c r="G1418" t="inlineStr">
        <is>
          <t>no aplica (precio mayorista)</t>
        </is>
      </c>
      <c r="J1418" t="inlineStr">
        <is>
          <t>2023-11-14</t>
        </is>
      </c>
      <c r="K1418" t="inlineStr">
        <is>
          <t>marginalpdbc_20231115.1</t>
        </is>
      </c>
      <c r="L1418" t="inlineStr">
        <is>
          <t>24 periodos; mín 74.00, máx 129.90 €/MWh</t>
        </is>
      </c>
    </row>
    <row r="1419">
      <c r="A1419" s="53" t="n">
        <v>45246</v>
      </c>
      <c r="B1419" t="inlineStr">
        <is>
          <t>2023-11-16</t>
        </is>
      </c>
      <c r="C1419" s="45" t="n">
        <v>101.8533</v>
      </c>
      <c r="D1419" t="inlineStr">
        <is>
          <t>€/MWh</t>
        </is>
      </c>
      <c r="E1419" s="54" t="n">
        <v>0.101853</v>
      </c>
      <c r="F1419" s="54" t="n"/>
      <c r="G1419" t="inlineStr">
        <is>
          <t>no aplica (precio mayorista)</t>
        </is>
      </c>
      <c r="J1419" t="inlineStr">
        <is>
          <t>2023-11-15</t>
        </is>
      </c>
      <c r="K1419" t="inlineStr">
        <is>
          <t>marginalpdbc_20231116.1</t>
        </is>
      </c>
      <c r="L1419" t="inlineStr">
        <is>
          <t>24 periodos; mín 79.90, máx 125.28 €/MWh</t>
        </is>
      </c>
    </row>
    <row r="1420">
      <c r="A1420" s="53" t="n">
        <v>45247</v>
      </c>
      <c r="B1420" t="inlineStr">
        <is>
          <t>2023-11-17</t>
        </is>
      </c>
      <c r="C1420" s="45" t="n">
        <v>118.0004</v>
      </c>
      <c r="D1420" t="inlineStr">
        <is>
          <t>€/MWh</t>
        </is>
      </c>
      <c r="E1420" s="54" t="n">
        <v>0.118</v>
      </c>
      <c r="F1420" s="54" t="n"/>
      <c r="G1420" t="inlineStr">
        <is>
          <t>no aplica (precio mayorista)</t>
        </is>
      </c>
      <c r="J1420" t="inlineStr">
        <is>
          <t>2023-11-16</t>
        </is>
      </c>
      <c r="K1420" t="inlineStr">
        <is>
          <t>marginalpdbc_20231117.1</t>
        </is>
      </c>
      <c r="L1420" t="inlineStr">
        <is>
          <t>24 periodos; mín 92.79, máx 150.33 €/MWh</t>
        </is>
      </c>
    </row>
    <row r="1421">
      <c r="A1421" s="53" t="n">
        <v>45248</v>
      </c>
      <c r="B1421" t="inlineStr">
        <is>
          <t>2023-11-18</t>
        </is>
      </c>
      <c r="C1421" s="45" t="n">
        <v>89.0483</v>
      </c>
      <c r="D1421" t="inlineStr">
        <is>
          <t>€/MWh</t>
        </is>
      </c>
      <c r="E1421" s="54" t="n">
        <v>0.089048</v>
      </c>
      <c r="F1421" s="54" t="n"/>
      <c r="G1421" t="inlineStr">
        <is>
          <t>no aplica (precio mayorista)</t>
        </is>
      </c>
      <c r="J1421" t="inlineStr">
        <is>
          <t>2023-11-17</t>
        </is>
      </c>
      <c r="K1421" t="inlineStr">
        <is>
          <t>marginalpdbc_20231118.1</t>
        </is>
      </c>
      <c r="L1421" t="inlineStr">
        <is>
          <t>24 periodos; mín 66.05, máx 111.16 €/MWh</t>
        </is>
      </c>
    </row>
    <row r="1422">
      <c r="A1422" s="53" t="n">
        <v>45249</v>
      </c>
      <c r="B1422" t="inlineStr">
        <is>
          <t>2023-11-19</t>
        </is>
      </c>
      <c r="C1422" s="45" t="n">
        <v>71.19459999999999</v>
      </c>
      <c r="D1422" t="inlineStr">
        <is>
          <t>€/MWh</t>
        </is>
      </c>
      <c r="E1422" s="54" t="n">
        <v>0.07119499999999999</v>
      </c>
      <c r="F1422" s="54" t="n"/>
      <c r="G1422" t="inlineStr">
        <is>
          <t>no aplica (precio mayorista)</t>
        </is>
      </c>
      <c r="J1422" t="inlineStr">
        <is>
          <t>2023-11-18</t>
        </is>
      </c>
      <c r="K1422" t="inlineStr">
        <is>
          <t>marginalpdbc_20231119.1</t>
        </is>
      </c>
      <c r="L1422" t="inlineStr">
        <is>
          <t>24 periodos; mín 20.78, máx 114.18 €/MWh</t>
        </is>
      </c>
    </row>
    <row r="1423">
      <c r="A1423" s="53" t="n">
        <v>45250</v>
      </c>
      <c r="B1423" t="inlineStr">
        <is>
          <t>2023-11-20</t>
        </is>
      </c>
      <c r="C1423" s="45" t="n">
        <v>94.1146</v>
      </c>
      <c r="D1423" t="inlineStr">
        <is>
          <t>€/MWh</t>
        </is>
      </c>
      <c r="E1423" s="54" t="n">
        <v>0.094115</v>
      </c>
      <c r="F1423" s="54" t="n"/>
      <c r="G1423" t="inlineStr">
        <is>
          <t>no aplica (precio mayorista)</t>
        </is>
      </c>
      <c r="J1423" t="inlineStr">
        <is>
          <t>2023-11-19</t>
        </is>
      </c>
      <c r="K1423" t="inlineStr">
        <is>
          <t>marginalpdbc_20231120.1</t>
        </is>
      </c>
      <c r="L1423" t="inlineStr">
        <is>
          <t>24 periodos; mín 60.10, máx 125.71 €/MWh</t>
        </is>
      </c>
    </row>
    <row r="1424">
      <c r="A1424" s="53" t="n">
        <v>45251</v>
      </c>
      <c r="B1424" t="inlineStr">
        <is>
          <t>2023-11-21</t>
        </is>
      </c>
      <c r="C1424" s="45" t="n">
        <v>41.0533</v>
      </c>
      <c r="D1424" t="inlineStr">
        <is>
          <t>€/MWh</t>
        </is>
      </c>
      <c r="E1424" s="54" t="n">
        <v>0.041053</v>
      </c>
      <c r="F1424" s="54" t="n"/>
      <c r="G1424" t="inlineStr">
        <is>
          <t>no aplica (precio mayorista)</t>
        </is>
      </c>
      <c r="J1424" t="inlineStr">
        <is>
          <t>2023-11-20</t>
        </is>
      </c>
      <c r="K1424" t="inlineStr">
        <is>
          <t>marginalpdbc_20231121.1</t>
        </is>
      </c>
      <c r="L1424" t="inlineStr">
        <is>
          <t>24 periodos; mín 10.00, máx 76.30 €/MWh</t>
        </is>
      </c>
    </row>
    <row r="1425">
      <c r="A1425" s="53" t="n">
        <v>45252</v>
      </c>
      <c r="B1425" t="inlineStr">
        <is>
          <t>2023-11-22</t>
        </is>
      </c>
      <c r="C1425" s="45" t="n">
        <v>29.6104</v>
      </c>
      <c r="D1425" t="inlineStr">
        <is>
          <t>€/MWh</t>
        </is>
      </c>
      <c r="E1425" s="54" t="n">
        <v>0.02961</v>
      </c>
      <c r="F1425" s="54" t="n"/>
      <c r="G1425" t="inlineStr">
        <is>
          <t>no aplica (precio mayorista)</t>
        </is>
      </c>
      <c r="J1425" t="inlineStr">
        <is>
          <t>2023-11-21</t>
        </is>
      </c>
      <c r="K1425" t="inlineStr">
        <is>
          <t>marginalpdbc_20231122.1</t>
        </is>
      </c>
      <c r="L1425" t="inlineStr">
        <is>
          <t>24 periodos; mín 7.41, máx 68.10 €/MWh</t>
        </is>
      </c>
    </row>
    <row r="1426">
      <c r="A1426" s="53" t="n">
        <v>45253</v>
      </c>
      <c r="B1426" t="inlineStr">
        <is>
          <t>2023-11-23</t>
        </is>
      </c>
      <c r="C1426" s="45" t="n">
        <v>52.4892</v>
      </c>
      <c r="D1426" t="inlineStr">
        <is>
          <t>€/MWh</t>
        </is>
      </c>
      <c r="E1426" s="54" t="n">
        <v>0.052489</v>
      </c>
      <c r="F1426" s="54" t="n"/>
      <c r="G1426" t="inlineStr">
        <is>
          <t>no aplica (precio mayorista)</t>
        </is>
      </c>
      <c r="J1426" t="inlineStr">
        <is>
          <t>2023-11-22</t>
        </is>
      </c>
      <c r="K1426" t="inlineStr">
        <is>
          <t>marginalpdbc_20231123.1</t>
        </is>
      </c>
      <c r="L1426" t="inlineStr">
        <is>
          <t>24 periodos; mín 23.96, máx 125.76 €/MWh</t>
        </is>
      </c>
    </row>
    <row r="1427">
      <c r="A1427" s="53" t="n">
        <v>45254</v>
      </c>
      <c r="B1427" t="inlineStr">
        <is>
          <t>2023-11-24</t>
        </is>
      </c>
      <c r="C1427" s="45" t="n">
        <v>66.13379999999999</v>
      </c>
      <c r="D1427" t="inlineStr">
        <is>
          <t>€/MWh</t>
        </is>
      </c>
      <c r="E1427" s="54" t="n">
        <v>0.066134</v>
      </c>
      <c r="F1427" s="54" t="n"/>
      <c r="G1427" t="inlineStr">
        <is>
          <t>no aplica (precio mayorista)</t>
        </is>
      </c>
      <c r="J1427" t="inlineStr">
        <is>
          <t>2023-11-23</t>
        </is>
      </c>
      <c r="K1427" t="inlineStr">
        <is>
          <t>marginalpdbc_20231124.1</t>
        </is>
      </c>
      <c r="L1427" t="inlineStr">
        <is>
          <t>24 periodos; mín 30.00, máx 105.59 €/MWh</t>
        </is>
      </c>
    </row>
    <row r="1428">
      <c r="A1428" s="53" t="n">
        <v>45255</v>
      </c>
      <c r="B1428" t="inlineStr">
        <is>
          <t>2023-11-25</t>
        </is>
      </c>
      <c r="C1428" s="45" t="n">
        <v>87.80710000000001</v>
      </c>
      <c r="D1428" t="inlineStr">
        <is>
          <t>€/MWh</t>
        </is>
      </c>
      <c r="E1428" s="54" t="n">
        <v>0.087807</v>
      </c>
      <c r="F1428" s="54" t="n"/>
      <c r="G1428" t="inlineStr">
        <is>
          <t>no aplica (precio mayorista)</t>
        </is>
      </c>
      <c r="J1428" t="inlineStr">
        <is>
          <t>2023-11-24</t>
        </is>
      </c>
      <c r="K1428" t="inlineStr">
        <is>
          <t>marginalpdbc_20231125.1</t>
        </is>
      </c>
      <c r="L1428" t="inlineStr">
        <is>
          <t>24 periodos; mín 62.60, máx 130.26 €/MWh</t>
        </is>
      </c>
    </row>
    <row r="1429">
      <c r="A1429" s="53" t="n">
        <v>45256</v>
      </c>
      <c r="B1429" t="inlineStr">
        <is>
          <t>2023-11-26</t>
        </is>
      </c>
      <c r="C1429" s="45" t="n">
        <v>117.5846</v>
      </c>
      <c r="D1429" t="inlineStr">
        <is>
          <t>€/MWh</t>
        </is>
      </c>
      <c r="E1429" s="54" t="n">
        <v>0.117585</v>
      </c>
      <c r="F1429" s="54" t="n"/>
      <c r="G1429" t="inlineStr">
        <is>
          <t>no aplica (precio mayorista)</t>
        </is>
      </c>
      <c r="J1429" t="inlineStr">
        <is>
          <t>2023-11-25</t>
        </is>
      </c>
      <c r="K1429" t="inlineStr">
        <is>
          <t>marginalpdbc_20231126.1</t>
        </is>
      </c>
      <c r="L1429" t="inlineStr">
        <is>
          <t>24 periodos; mín 99.00, máx 156.68 €/MWh</t>
        </is>
      </c>
    </row>
    <row r="1430">
      <c r="A1430" s="53" t="n">
        <v>45257</v>
      </c>
      <c r="B1430" t="inlineStr">
        <is>
          <t>2023-11-27</t>
        </is>
      </c>
      <c r="C1430" s="45" t="n">
        <v>107.8471</v>
      </c>
      <c r="D1430" t="inlineStr">
        <is>
          <t>€/MWh</t>
        </is>
      </c>
      <c r="E1430" s="54" t="n">
        <v>0.107847</v>
      </c>
      <c r="F1430" s="54" t="n"/>
      <c r="G1430" t="inlineStr">
        <is>
          <t>no aplica (precio mayorista)</t>
        </is>
      </c>
      <c r="J1430" t="inlineStr">
        <is>
          <t>2023-11-26</t>
        </is>
      </c>
      <c r="K1430" t="inlineStr">
        <is>
          <t>marginalpdbc_20231127.1</t>
        </is>
      </c>
      <c r="L1430" t="inlineStr">
        <is>
          <t>24 periodos; mín 85.11, máx 144.99 €/MWh</t>
        </is>
      </c>
    </row>
    <row r="1431">
      <c r="A1431" s="53" t="n">
        <v>45258</v>
      </c>
      <c r="B1431" t="inlineStr">
        <is>
          <t>2023-11-28</t>
        </is>
      </c>
      <c r="C1431" s="45" t="n">
        <v>108.36</v>
      </c>
      <c r="D1431" t="inlineStr">
        <is>
          <t>€/MWh</t>
        </is>
      </c>
      <c r="E1431" s="54" t="n">
        <v>0.10836</v>
      </c>
      <c r="F1431" s="54" t="n"/>
      <c r="G1431" t="inlineStr">
        <is>
          <t>no aplica (precio mayorista)</t>
        </is>
      </c>
      <c r="J1431" t="inlineStr">
        <is>
          <t>2023-11-27</t>
        </is>
      </c>
      <c r="K1431" t="inlineStr">
        <is>
          <t>marginalpdbc_20231128.1</t>
        </is>
      </c>
      <c r="L1431" t="inlineStr">
        <is>
          <t>24 periodos; mín 64.47, máx 161.99 €/MWh</t>
        </is>
      </c>
    </row>
    <row r="1432">
      <c r="A1432" s="53" t="n">
        <v>45259</v>
      </c>
      <c r="B1432" t="inlineStr">
        <is>
          <t>2023-11-29</t>
        </is>
      </c>
      <c r="C1432" s="45" t="n">
        <v>85.0046</v>
      </c>
      <c r="D1432" t="inlineStr">
        <is>
          <t>€/MWh</t>
        </is>
      </c>
      <c r="E1432" s="54" t="n">
        <v>0.085005</v>
      </c>
      <c r="F1432" s="54" t="n"/>
      <c r="G1432" t="inlineStr">
        <is>
          <t>no aplica (precio mayorista)</t>
        </is>
      </c>
      <c r="J1432" t="inlineStr">
        <is>
          <t>2023-11-28</t>
        </is>
      </c>
      <c r="K1432" t="inlineStr">
        <is>
          <t>marginalpdbc_20231129.1</t>
        </is>
      </c>
      <c r="L1432" t="inlineStr">
        <is>
          <t>24 periodos; mín 57.79, máx 100.28 €/MWh</t>
        </is>
      </c>
    </row>
    <row r="1433">
      <c r="A1433" s="53" t="n">
        <v>45260</v>
      </c>
      <c r="B1433" t="inlineStr">
        <is>
          <t>2023-11-30</t>
        </is>
      </c>
      <c r="C1433" s="45" t="n">
        <v>98.1225</v>
      </c>
      <c r="D1433" t="inlineStr">
        <is>
          <t>€/MWh</t>
        </is>
      </c>
      <c r="E1433" s="54" t="n">
        <v>0.098123</v>
      </c>
      <c r="F1433" s="54" t="n"/>
      <c r="G1433" t="inlineStr">
        <is>
          <t>no aplica (precio mayorista)</t>
        </is>
      </c>
      <c r="J1433" t="inlineStr">
        <is>
          <t>2023-11-29</t>
        </is>
      </c>
      <c r="K1433" t="inlineStr">
        <is>
          <t>marginalpdbc_20231130.1</t>
        </is>
      </c>
      <c r="L1433" t="inlineStr">
        <is>
          <t>24 periodos; mín 59.01, máx 150.20 €/MWh</t>
        </is>
      </c>
    </row>
    <row r="1434">
      <c r="A1434" s="53" t="n">
        <v>45261</v>
      </c>
      <c r="B1434" t="inlineStr">
        <is>
          <t>2023-12-01</t>
        </is>
      </c>
      <c r="C1434" s="45" t="n">
        <v>97.9675</v>
      </c>
      <c r="D1434" t="inlineStr">
        <is>
          <t>€/MWh</t>
        </is>
      </c>
      <c r="E1434" s="54" t="n">
        <v>0.097967</v>
      </c>
      <c r="F1434" s="54" t="n"/>
      <c r="G1434" t="inlineStr">
        <is>
          <t>no aplica (precio mayorista)</t>
        </is>
      </c>
      <c r="J1434" t="inlineStr">
        <is>
          <t>2023-11-30</t>
        </is>
      </c>
      <c r="K1434" t="inlineStr">
        <is>
          <t>marginalpdbc_20231201.1</t>
        </is>
      </c>
      <c r="L1434" t="inlineStr">
        <is>
          <t>24 periodos; mín 65.00, máx 127.96 €/MWh</t>
        </is>
      </c>
    </row>
    <row r="1435">
      <c r="A1435" s="53" t="n">
        <v>45262</v>
      </c>
      <c r="B1435" t="inlineStr">
        <is>
          <t>2023-12-02</t>
        </is>
      </c>
      <c r="C1435" s="45" t="n">
        <v>81.0258</v>
      </c>
      <c r="D1435" t="inlineStr">
        <is>
          <t>€/MWh</t>
        </is>
      </c>
      <c r="E1435" s="54" t="n">
        <v>0.081026</v>
      </c>
      <c r="F1435" s="54" t="n"/>
      <c r="G1435" t="inlineStr">
        <is>
          <t>no aplica (precio mayorista)</t>
        </is>
      </c>
      <c r="J1435" t="inlineStr">
        <is>
          <t>2023-12-01</t>
        </is>
      </c>
      <c r="K1435" t="inlineStr">
        <is>
          <t>marginalpdbc_20231202.1</t>
        </is>
      </c>
      <c r="L1435" t="inlineStr">
        <is>
          <t>24 periodos; mín 56.00, máx 129.64 €/MWh</t>
        </is>
      </c>
    </row>
    <row r="1436">
      <c r="A1436" s="53" t="n">
        <v>45263</v>
      </c>
      <c r="B1436" t="inlineStr">
        <is>
          <t>2023-12-03</t>
        </is>
      </c>
      <c r="C1436" s="45" t="n">
        <v>79.9229</v>
      </c>
      <c r="D1436" t="inlineStr">
        <is>
          <t>€/MWh</t>
        </is>
      </c>
      <c r="E1436" s="54" t="n">
        <v>0.07992299999999999</v>
      </c>
      <c r="F1436" s="54" t="n"/>
      <c r="G1436" t="inlineStr">
        <is>
          <t>no aplica (precio mayorista)</t>
        </is>
      </c>
      <c r="J1436" t="inlineStr">
        <is>
          <t>2023-12-02</t>
        </is>
      </c>
      <c r="K1436" t="inlineStr">
        <is>
          <t>marginalpdbc_20231203.1</t>
        </is>
      </c>
      <c r="L1436" t="inlineStr">
        <is>
          <t>24 periodos; mín 60.00, máx 97.67 €/MWh</t>
        </is>
      </c>
    </row>
    <row r="1437">
      <c r="A1437" s="53" t="n">
        <v>45264</v>
      </c>
      <c r="B1437" t="inlineStr">
        <is>
          <t>2023-12-04</t>
        </is>
      </c>
      <c r="C1437" s="45" t="n">
        <v>77.24079999999999</v>
      </c>
      <c r="D1437" t="inlineStr">
        <is>
          <t>€/MWh</t>
        </is>
      </c>
      <c r="E1437" s="54" t="n">
        <v>0.077241</v>
      </c>
      <c r="F1437" s="54" t="n"/>
      <c r="G1437" t="inlineStr">
        <is>
          <t>no aplica (precio mayorista)</t>
        </is>
      </c>
      <c r="J1437" t="inlineStr">
        <is>
          <t>2023-12-03</t>
        </is>
      </c>
      <c r="K1437" t="inlineStr">
        <is>
          <t>marginalpdbc_20231204.1</t>
        </is>
      </c>
      <c r="L1437" t="inlineStr">
        <is>
          <t>24 periodos; mín 45.10, máx 123.02 €/MWh</t>
        </is>
      </c>
    </row>
    <row r="1438">
      <c r="A1438" s="53" t="n">
        <v>45265</v>
      </c>
      <c r="B1438" t="inlineStr">
        <is>
          <t>2023-12-05</t>
        </is>
      </c>
      <c r="C1438" s="45" t="n">
        <v>113.1358</v>
      </c>
      <c r="D1438" t="inlineStr">
        <is>
          <t>€/MWh</t>
        </is>
      </c>
      <c r="E1438" s="54" t="n">
        <v>0.113136</v>
      </c>
      <c r="F1438" s="54" t="n"/>
      <c r="G1438" t="inlineStr">
        <is>
          <t>no aplica (precio mayorista)</t>
        </is>
      </c>
      <c r="J1438" t="inlineStr">
        <is>
          <t>2023-12-04</t>
        </is>
      </c>
      <c r="K1438" t="inlineStr">
        <is>
          <t>marginalpdbc_20231205.1</t>
        </is>
      </c>
      <c r="L1438" t="inlineStr">
        <is>
          <t>24 periodos; mín 83.62, máx 147.47 €/MWh</t>
        </is>
      </c>
    </row>
    <row r="1439">
      <c r="A1439" s="53" t="n">
        <v>45266</v>
      </c>
      <c r="B1439" t="inlineStr">
        <is>
          <t>2023-12-06</t>
        </is>
      </c>
      <c r="C1439" s="45" t="n">
        <v>105.965</v>
      </c>
      <c r="D1439" t="inlineStr">
        <is>
          <t>€/MWh</t>
        </is>
      </c>
      <c r="E1439" s="54" t="n">
        <v>0.105965</v>
      </c>
      <c r="F1439" s="54" t="n"/>
      <c r="G1439" t="inlineStr">
        <is>
          <t>no aplica (precio mayorista)</t>
        </is>
      </c>
      <c r="J1439" t="inlineStr">
        <is>
          <t>2023-12-05</t>
        </is>
      </c>
      <c r="K1439" t="inlineStr">
        <is>
          <t>marginalpdbc_20231206.1</t>
        </is>
      </c>
      <c r="L1439" t="inlineStr">
        <is>
          <t>24 periodos; mín 90.59, máx 129.91 €/MWh</t>
        </is>
      </c>
    </row>
    <row r="1440">
      <c r="A1440" s="53" t="n">
        <v>45267</v>
      </c>
      <c r="B1440" t="inlineStr">
        <is>
          <t>2023-12-07</t>
        </is>
      </c>
      <c r="C1440" s="45" t="n">
        <v>85.0733</v>
      </c>
      <c r="D1440" t="inlineStr">
        <is>
          <t>€/MWh</t>
        </is>
      </c>
      <c r="E1440" s="54" t="n">
        <v>0.085073</v>
      </c>
      <c r="F1440" s="54" t="n"/>
      <c r="G1440" t="inlineStr">
        <is>
          <t>no aplica (precio mayorista)</t>
        </is>
      </c>
      <c r="J1440" t="inlineStr">
        <is>
          <t>2023-12-06</t>
        </is>
      </c>
      <c r="K1440" t="inlineStr">
        <is>
          <t>marginalpdbc_20231207.1</t>
        </is>
      </c>
      <c r="L1440" t="inlineStr">
        <is>
          <t>24 periodos; mín 65.00, máx 95.00 €/MWh</t>
        </is>
      </c>
    </row>
    <row r="1441">
      <c r="A1441" s="53" t="n">
        <v>45268</v>
      </c>
      <c r="B1441" t="inlineStr">
        <is>
          <t>2023-12-08</t>
        </is>
      </c>
      <c r="C1441" s="45" t="n">
        <v>21.7804</v>
      </c>
      <c r="D1441" t="inlineStr">
        <is>
          <t>€/MWh</t>
        </is>
      </c>
      <c r="E1441" s="54" t="n">
        <v>0.02178</v>
      </c>
      <c r="F1441" s="54" t="n"/>
      <c r="G1441" t="inlineStr">
        <is>
          <t>no aplica (precio mayorista)</t>
        </is>
      </c>
      <c r="J1441" t="inlineStr">
        <is>
          <t>2023-12-07</t>
        </is>
      </c>
      <c r="K1441" t="inlineStr">
        <is>
          <t>marginalpdbc_20231208.1</t>
        </is>
      </c>
      <c r="L1441" t="inlineStr">
        <is>
          <t>24 periodos; mín 4.30, máx 63.37 €/MWh</t>
        </is>
      </c>
    </row>
    <row r="1442">
      <c r="A1442" s="53" t="n">
        <v>45269</v>
      </c>
      <c r="B1442" t="inlineStr">
        <is>
          <t>2023-12-09</t>
        </is>
      </c>
      <c r="C1442" s="45" t="n">
        <v>35.3925</v>
      </c>
      <c r="D1442" t="inlineStr">
        <is>
          <t>€/MWh</t>
        </is>
      </c>
      <c r="E1442" s="54" t="n">
        <v>0.035393</v>
      </c>
      <c r="F1442" s="54" t="n"/>
      <c r="G1442" t="inlineStr">
        <is>
          <t>no aplica (precio mayorista)</t>
        </is>
      </c>
      <c r="J1442" t="inlineStr">
        <is>
          <t>2023-12-08</t>
        </is>
      </c>
      <c r="K1442" t="inlineStr">
        <is>
          <t>marginalpdbc_20231209.1</t>
        </is>
      </c>
      <c r="L1442" t="inlineStr">
        <is>
          <t>24 periodos; mín 16.66, máx 76.27 €/MWh</t>
        </is>
      </c>
    </row>
    <row r="1443">
      <c r="A1443" s="53" t="n">
        <v>45270</v>
      </c>
      <c r="B1443" t="inlineStr">
        <is>
          <t>2023-12-10</t>
        </is>
      </c>
      <c r="C1443" s="45" t="n">
        <v>38.895</v>
      </c>
      <c r="D1443" t="inlineStr">
        <is>
          <t>€/MWh</t>
        </is>
      </c>
      <c r="E1443" s="54" t="n">
        <v>0.038895</v>
      </c>
      <c r="F1443" s="54" t="n"/>
      <c r="G1443" t="inlineStr">
        <is>
          <t>no aplica (precio mayorista)</t>
        </is>
      </c>
      <c r="J1443" t="inlineStr">
        <is>
          <t>2023-12-09</t>
        </is>
      </c>
      <c r="K1443" t="inlineStr">
        <is>
          <t>marginalpdbc_20231210.1</t>
        </is>
      </c>
      <c r="L1443" t="inlineStr">
        <is>
          <t>24 periodos; mín 15.80, máx 62.40 €/MWh</t>
        </is>
      </c>
    </row>
    <row r="1444">
      <c r="A1444" s="53" t="n">
        <v>45271</v>
      </c>
      <c r="B1444" t="inlineStr">
        <is>
          <t>2023-12-11</t>
        </is>
      </c>
      <c r="C1444" s="45" t="n">
        <v>74.62869999999999</v>
      </c>
      <c r="D1444" t="inlineStr">
        <is>
          <t>€/MWh</t>
        </is>
      </c>
      <c r="E1444" s="54" t="n">
        <v>0.074629</v>
      </c>
      <c r="F1444" s="54" t="n"/>
      <c r="G1444" t="inlineStr">
        <is>
          <t>no aplica (precio mayorista)</t>
        </is>
      </c>
      <c r="J1444" t="inlineStr">
        <is>
          <t>2023-12-10</t>
        </is>
      </c>
      <c r="K1444" t="inlineStr">
        <is>
          <t>marginalpdbc_20231211.1</t>
        </is>
      </c>
      <c r="L1444" t="inlineStr">
        <is>
          <t>24 periodos; mín 10.00, máx 123.57 €/MWh</t>
        </is>
      </c>
    </row>
    <row r="1445">
      <c r="A1445" s="53" t="n">
        <v>45272</v>
      </c>
      <c r="B1445" t="inlineStr">
        <is>
          <t>2023-12-12</t>
        </is>
      </c>
      <c r="C1445" s="45" t="n">
        <v>69.5617</v>
      </c>
      <c r="D1445" t="inlineStr">
        <is>
          <t>€/MWh</t>
        </is>
      </c>
      <c r="E1445" s="54" t="n">
        <v>0.069562</v>
      </c>
      <c r="F1445" s="54" t="n"/>
      <c r="G1445" t="inlineStr">
        <is>
          <t>no aplica (precio mayorista)</t>
        </is>
      </c>
      <c r="J1445" t="inlineStr">
        <is>
          <t>2023-12-11</t>
        </is>
      </c>
      <c r="K1445" t="inlineStr">
        <is>
          <t>marginalpdbc_20231212.1</t>
        </is>
      </c>
      <c r="L1445" t="inlineStr">
        <is>
          <t>24 periodos; mín 49.00, máx 92.13 €/MWh</t>
        </is>
      </c>
    </row>
    <row r="1446">
      <c r="A1446" s="53" t="n">
        <v>45273</v>
      </c>
      <c r="B1446" t="inlineStr">
        <is>
          <t>2023-12-13</t>
        </is>
      </c>
      <c r="C1446" s="45" t="n">
        <v>57.2883</v>
      </c>
      <c r="D1446" t="inlineStr">
        <is>
          <t>€/MWh</t>
        </is>
      </c>
      <c r="E1446" s="54" t="n">
        <v>0.057288</v>
      </c>
      <c r="F1446" s="54" t="n"/>
      <c r="G1446" t="inlineStr">
        <is>
          <t>no aplica (precio mayorista)</t>
        </is>
      </c>
      <c r="J1446" t="inlineStr">
        <is>
          <t>2023-12-12</t>
        </is>
      </c>
      <c r="K1446" t="inlineStr">
        <is>
          <t>marginalpdbc_20231213.1</t>
        </is>
      </c>
      <c r="L1446" t="inlineStr">
        <is>
          <t>24 periodos; mín 39.98, máx 90.10 €/MWh</t>
        </is>
      </c>
    </row>
    <row r="1447">
      <c r="A1447" s="53" t="n">
        <v>45274</v>
      </c>
      <c r="B1447" t="inlineStr">
        <is>
          <t>2023-12-14</t>
        </is>
      </c>
      <c r="C1447" s="45" t="n">
        <v>67.25879999999999</v>
      </c>
      <c r="D1447" t="inlineStr">
        <is>
          <t>€/MWh</t>
        </is>
      </c>
      <c r="E1447" s="54" t="n">
        <v>0.067259</v>
      </c>
      <c r="F1447" s="54" t="n"/>
      <c r="G1447" t="inlineStr">
        <is>
          <t>no aplica (precio mayorista)</t>
        </is>
      </c>
      <c r="J1447" t="inlineStr">
        <is>
          <t>2023-12-13</t>
        </is>
      </c>
      <c r="K1447" t="inlineStr">
        <is>
          <t>marginalpdbc_20231214.1</t>
        </is>
      </c>
      <c r="L1447" t="inlineStr">
        <is>
          <t>24 periodos; mín 47.00, máx 103.15 €/MWh</t>
        </is>
      </c>
    </row>
    <row r="1448">
      <c r="A1448" s="53" t="n">
        <v>45275</v>
      </c>
      <c r="B1448" t="inlineStr">
        <is>
          <t>2023-12-15</t>
        </is>
      </c>
      <c r="C1448" s="45" t="n">
        <v>74.8554</v>
      </c>
      <c r="D1448" t="inlineStr">
        <is>
          <t>€/MWh</t>
        </is>
      </c>
      <c r="E1448" s="54" t="n">
        <v>0.074855</v>
      </c>
      <c r="F1448" s="54" t="n"/>
      <c r="G1448" t="inlineStr">
        <is>
          <t>no aplica (precio mayorista)</t>
        </is>
      </c>
      <c r="J1448" t="inlineStr">
        <is>
          <t>2023-12-14</t>
        </is>
      </c>
      <c r="K1448" t="inlineStr">
        <is>
          <t>marginalpdbc_20231215.1</t>
        </is>
      </c>
      <c r="L1448" t="inlineStr">
        <is>
          <t>24 periodos; mín 50.24, máx 90.98 €/MWh</t>
        </is>
      </c>
    </row>
    <row r="1449">
      <c r="A1449" s="53" t="n">
        <v>45276</v>
      </c>
      <c r="B1449" t="inlineStr">
        <is>
          <t>2023-12-16</t>
        </is>
      </c>
      <c r="C1449" s="45" t="n">
        <v>79.22790000000001</v>
      </c>
      <c r="D1449" t="inlineStr">
        <is>
          <t>€/MWh</t>
        </is>
      </c>
      <c r="E1449" s="54" t="n">
        <v>0.07922800000000001</v>
      </c>
      <c r="F1449" s="54" t="n"/>
      <c r="G1449" t="inlineStr">
        <is>
          <t>no aplica (precio mayorista)</t>
        </is>
      </c>
      <c r="J1449" t="inlineStr">
        <is>
          <t>2023-12-15</t>
        </is>
      </c>
      <c r="K1449" t="inlineStr">
        <is>
          <t>marginalpdbc_20231216.1</t>
        </is>
      </c>
      <c r="L1449" t="inlineStr">
        <is>
          <t>24 periodos; mín 54.10, máx 105.00 €/MWh</t>
        </is>
      </c>
    </row>
    <row r="1450">
      <c r="A1450" s="53" t="n">
        <v>45277</v>
      </c>
      <c r="B1450" t="inlineStr">
        <is>
          <t>2023-12-17</t>
        </is>
      </c>
      <c r="C1450" s="45" t="n">
        <v>76.2779</v>
      </c>
      <c r="D1450" t="inlineStr">
        <is>
          <t>€/MWh</t>
        </is>
      </c>
      <c r="E1450" s="54" t="n">
        <v>0.076278</v>
      </c>
      <c r="F1450" s="54" t="n"/>
      <c r="G1450" t="inlineStr">
        <is>
          <t>no aplica (precio mayorista)</t>
        </is>
      </c>
      <c r="J1450" t="inlineStr">
        <is>
          <t>2023-12-16</t>
        </is>
      </c>
      <c r="K1450" t="inlineStr">
        <is>
          <t>marginalpdbc_20231217.1</t>
        </is>
      </c>
      <c r="L1450" t="inlineStr">
        <is>
          <t>24 periodos; mín 43.71, máx 114.06 €/MWh</t>
        </is>
      </c>
    </row>
    <row r="1451">
      <c r="A1451" s="53" t="n">
        <v>45278</v>
      </c>
      <c r="B1451" t="inlineStr">
        <is>
          <t>2023-12-18</t>
        </is>
      </c>
      <c r="C1451" s="45" t="n">
        <v>97.89960000000001</v>
      </c>
      <c r="D1451" t="inlineStr">
        <is>
          <t>€/MWh</t>
        </is>
      </c>
      <c r="E1451" s="54" t="n">
        <v>0.0979</v>
      </c>
      <c r="F1451" s="54" t="n"/>
      <c r="G1451" t="inlineStr">
        <is>
          <t>no aplica (precio mayorista)</t>
        </is>
      </c>
      <c r="J1451" t="inlineStr">
        <is>
          <t>2023-12-17</t>
        </is>
      </c>
      <c r="K1451" t="inlineStr">
        <is>
          <t>marginalpdbc_20231218.1</t>
        </is>
      </c>
      <c r="L1451" t="inlineStr">
        <is>
          <t>24 periodos; mín 74.89, máx 174.00 €/MWh</t>
        </is>
      </c>
    </row>
    <row r="1452">
      <c r="A1452" s="53" t="n">
        <v>45279</v>
      </c>
      <c r="B1452" t="inlineStr">
        <is>
          <t>2023-12-19</t>
        </is>
      </c>
      <c r="C1452" s="45" t="n">
        <v>86.6837</v>
      </c>
      <c r="D1452" t="inlineStr">
        <is>
          <t>€/MWh</t>
        </is>
      </c>
      <c r="E1452" s="54" t="n">
        <v>0.086684</v>
      </c>
      <c r="F1452" s="54" t="n"/>
      <c r="G1452" t="inlineStr">
        <is>
          <t>no aplica (precio mayorista)</t>
        </is>
      </c>
      <c r="J1452" t="inlineStr">
        <is>
          <t>2023-12-18</t>
        </is>
      </c>
      <c r="K1452" t="inlineStr">
        <is>
          <t>marginalpdbc_20231219.1</t>
        </is>
      </c>
      <c r="L1452" t="inlineStr">
        <is>
          <t>24 periodos; mín 59.90, máx 109.58 €/MWh</t>
        </is>
      </c>
    </row>
    <row r="1453">
      <c r="A1453" s="53" t="n">
        <v>45280</v>
      </c>
      <c r="B1453" t="inlineStr">
        <is>
          <t>2023-12-20</t>
        </is>
      </c>
      <c r="C1453" s="45" t="n">
        <v>60.2979</v>
      </c>
      <c r="D1453" t="inlineStr">
        <is>
          <t>€/MWh</t>
        </is>
      </c>
      <c r="E1453" s="54" t="n">
        <v>0.060298</v>
      </c>
      <c r="F1453" s="54" t="n"/>
      <c r="G1453" t="inlineStr">
        <is>
          <t>no aplica (precio mayorista)</t>
        </is>
      </c>
      <c r="J1453" t="inlineStr">
        <is>
          <t>2023-12-19</t>
        </is>
      </c>
      <c r="K1453" t="inlineStr">
        <is>
          <t>marginalpdbc_20231220.1</t>
        </is>
      </c>
      <c r="L1453" t="inlineStr">
        <is>
          <t>24 periodos; mín 33.88, máx 88.06 €/MWh</t>
        </is>
      </c>
    </row>
    <row r="1454">
      <c r="A1454" s="53" t="n">
        <v>45281</v>
      </c>
      <c r="B1454" t="inlineStr">
        <is>
          <t>2023-12-21</t>
        </is>
      </c>
      <c r="C1454" s="45" t="n">
        <v>53.1996</v>
      </c>
      <c r="D1454" t="inlineStr">
        <is>
          <t>€/MWh</t>
        </is>
      </c>
      <c r="E1454" s="54" t="n">
        <v>0.0532</v>
      </c>
      <c r="F1454" s="54" t="n"/>
      <c r="G1454" t="inlineStr">
        <is>
          <t>no aplica (precio mayorista)</t>
        </is>
      </c>
      <c r="J1454" t="inlineStr">
        <is>
          <t>2023-12-20</t>
        </is>
      </c>
      <c r="K1454" t="inlineStr">
        <is>
          <t>marginalpdbc_20231221.1</t>
        </is>
      </c>
      <c r="L1454" t="inlineStr">
        <is>
          <t>24 periodos; mín 37.48, máx 74.61 €/MWh</t>
        </is>
      </c>
    </row>
    <row r="1455">
      <c r="A1455" s="53" t="n">
        <v>45282</v>
      </c>
      <c r="B1455" t="inlineStr">
        <is>
          <t>2023-12-22</t>
        </is>
      </c>
      <c r="C1455" s="45" t="n">
        <v>51.7713</v>
      </c>
      <c r="D1455" t="inlineStr">
        <is>
          <t>€/MWh</t>
        </is>
      </c>
      <c r="E1455" s="54" t="n">
        <v>0.051771</v>
      </c>
      <c r="F1455" s="54" t="n"/>
      <c r="G1455" t="inlineStr">
        <is>
          <t>no aplica (precio mayorista)</t>
        </is>
      </c>
      <c r="J1455" t="inlineStr">
        <is>
          <t>2023-12-21</t>
        </is>
      </c>
      <c r="K1455" t="inlineStr">
        <is>
          <t>marginalpdbc_20231222.1</t>
        </is>
      </c>
      <c r="L1455" t="inlineStr">
        <is>
          <t>24 periodos; mín 27.79, máx 73.10 €/MWh</t>
        </is>
      </c>
    </row>
    <row r="1456">
      <c r="A1456" s="53" t="n">
        <v>45283</v>
      </c>
      <c r="B1456" t="inlineStr">
        <is>
          <t>2023-12-23</t>
        </is>
      </c>
      <c r="C1456" s="45" t="n">
        <v>46.6217</v>
      </c>
      <c r="D1456" t="inlineStr">
        <is>
          <t>€/MWh</t>
        </is>
      </c>
      <c r="E1456" s="54" t="n">
        <v>0.046622</v>
      </c>
      <c r="F1456" s="54" t="n"/>
      <c r="G1456" t="inlineStr">
        <is>
          <t>no aplica (precio mayorista)</t>
        </is>
      </c>
      <c r="J1456" t="inlineStr">
        <is>
          <t>2023-12-22</t>
        </is>
      </c>
      <c r="K1456" t="inlineStr">
        <is>
          <t>marginalpdbc_20231223.1</t>
        </is>
      </c>
      <c r="L1456" t="inlineStr">
        <is>
          <t>24 periodos; mín 23.17, máx 74.61 €/MWh</t>
        </is>
      </c>
    </row>
    <row r="1457">
      <c r="A1457" s="53" t="n">
        <v>45284</v>
      </c>
      <c r="B1457" t="inlineStr">
        <is>
          <t>2023-12-24</t>
        </is>
      </c>
      <c r="C1457" s="45" t="n">
        <v>69.1721</v>
      </c>
      <c r="D1457" t="inlineStr">
        <is>
          <t>€/MWh</t>
        </is>
      </c>
      <c r="E1457" s="54" t="n">
        <v>0.069172</v>
      </c>
      <c r="F1457" s="54" t="n"/>
      <c r="G1457" t="inlineStr">
        <is>
          <t>no aplica (precio mayorista)</t>
        </is>
      </c>
      <c r="J1457" t="inlineStr">
        <is>
          <t>2023-12-23</t>
        </is>
      </c>
      <c r="K1457" t="inlineStr">
        <is>
          <t>marginalpdbc_20231224.1</t>
        </is>
      </c>
      <c r="L1457" t="inlineStr">
        <is>
          <t>24 periodos; mín 46.99, máx 109.30 €/MWh</t>
        </is>
      </c>
    </row>
    <row r="1458">
      <c r="A1458" s="53" t="n">
        <v>45285</v>
      </c>
      <c r="B1458" t="inlineStr">
        <is>
          <t>2023-12-25</t>
        </is>
      </c>
      <c r="C1458" s="45" t="n">
        <v>63.0908</v>
      </c>
      <c r="D1458" t="inlineStr">
        <is>
          <t>€/MWh</t>
        </is>
      </c>
      <c r="E1458" s="54" t="n">
        <v>0.06309099999999999</v>
      </c>
      <c r="F1458" s="54" t="n"/>
      <c r="G1458" t="inlineStr">
        <is>
          <t>no aplica (precio mayorista)</t>
        </is>
      </c>
      <c r="J1458" t="inlineStr">
        <is>
          <t>2023-12-24</t>
        </is>
      </c>
      <c r="K1458" t="inlineStr">
        <is>
          <t>marginalpdbc_20231225.1</t>
        </is>
      </c>
      <c r="L1458" t="inlineStr">
        <is>
          <t>24 periodos; mín 47.79, máx 85.02 €/MWh</t>
        </is>
      </c>
    </row>
    <row r="1459">
      <c r="A1459" s="53" t="n">
        <v>45286</v>
      </c>
      <c r="B1459" t="inlineStr">
        <is>
          <t>2023-12-26</t>
        </is>
      </c>
      <c r="C1459" s="45" t="n">
        <v>93.45869999999999</v>
      </c>
      <c r="D1459" t="inlineStr">
        <is>
          <t>€/MWh</t>
        </is>
      </c>
      <c r="E1459" s="54" t="n">
        <v>0.093459</v>
      </c>
      <c r="F1459" s="54" t="n"/>
      <c r="G1459" t="inlineStr">
        <is>
          <t>no aplica (precio mayorista)</t>
        </is>
      </c>
      <c r="J1459" t="inlineStr">
        <is>
          <t>2023-12-25</t>
        </is>
      </c>
      <c r="K1459" t="inlineStr">
        <is>
          <t>marginalpdbc_20231226.1</t>
        </is>
      </c>
      <c r="L1459" t="inlineStr">
        <is>
          <t>24 periodos; mín 73.02, máx 141.20 €/MWh</t>
        </is>
      </c>
    </row>
    <row r="1460">
      <c r="A1460" s="53" t="n">
        <v>45287</v>
      </c>
      <c r="B1460" t="inlineStr">
        <is>
          <t>2023-12-27</t>
        </is>
      </c>
      <c r="C1460" s="45" t="n">
        <v>79.545</v>
      </c>
      <c r="D1460" t="inlineStr">
        <is>
          <t>€/MWh</t>
        </is>
      </c>
      <c r="E1460" s="54" t="n">
        <v>0.079545</v>
      </c>
      <c r="F1460" s="54" t="n"/>
      <c r="G1460" t="inlineStr">
        <is>
          <t>no aplica (precio mayorista)</t>
        </is>
      </c>
      <c r="J1460" t="inlineStr">
        <is>
          <t>2023-12-26</t>
        </is>
      </c>
      <c r="K1460" t="inlineStr">
        <is>
          <t>marginalpdbc_20231227.1</t>
        </is>
      </c>
      <c r="L1460" t="inlineStr">
        <is>
          <t>24 periodos; mín 50.18, máx 121.53 €/MWh</t>
        </is>
      </c>
    </row>
    <row r="1461">
      <c r="A1461" s="53" t="n">
        <v>45288</v>
      </c>
      <c r="B1461" t="inlineStr">
        <is>
          <t>2023-12-28</t>
        </is>
      </c>
      <c r="C1461" s="45" t="n">
        <v>98.19329999999999</v>
      </c>
      <c r="D1461" t="inlineStr">
        <is>
          <t>€/MWh</t>
        </is>
      </c>
      <c r="E1461" s="54" t="n">
        <v>0.098193</v>
      </c>
      <c r="F1461" s="54" t="n"/>
      <c r="G1461" t="inlineStr">
        <is>
          <t>no aplica (precio mayorista)</t>
        </is>
      </c>
      <c r="J1461" t="inlineStr">
        <is>
          <t>2023-12-27</t>
        </is>
      </c>
      <c r="K1461" t="inlineStr">
        <is>
          <t>marginalpdbc_20231228.1</t>
        </is>
      </c>
      <c r="L1461" t="inlineStr">
        <is>
          <t>24 periodos; mín 75.18, máx 128.46 €/MWh</t>
        </is>
      </c>
    </row>
    <row r="1462">
      <c r="A1462" s="53" t="n">
        <v>45289</v>
      </c>
      <c r="B1462" t="inlineStr">
        <is>
          <t>2023-12-29</t>
        </is>
      </c>
      <c r="C1462" s="45" t="n">
        <v>103.5004</v>
      </c>
      <c r="D1462" t="inlineStr">
        <is>
          <t>€/MWh</t>
        </is>
      </c>
      <c r="E1462" s="54" t="n">
        <v>0.1035</v>
      </c>
      <c r="F1462" s="54" t="n"/>
      <c r="G1462" t="inlineStr">
        <is>
          <t>no aplica (precio mayorista)</t>
        </is>
      </c>
      <c r="J1462" t="inlineStr">
        <is>
          <t>2023-12-28</t>
        </is>
      </c>
      <c r="K1462" t="inlineStr">
        <is>
          <t>marginalpdbc_20231229.1</t>
        </is>
      </c>
      <c r="L1462" t="inlineStr">
        <is>
          <t>24 periodos; mín 87.00, máx 126.72 €/MWh</t>
        </is>
      </c>
    </row>
    <row r="1463">
      <c r="A1463" s="53" t="n">
        <v>45290</v>
      </c>
      <c r="B1463" t="inlineStr">
        <is>
          <t>2023-12-30</t>
        </is>
      </c>
      <c r="C1463" s="45" t="n">
        <v>68.4054</v>
      </c>
      <c r="D1463" t="inlineStr">
        <is>
          <t>€/MWh</t>
        </is>
      </c>
      <c r="E1463" s="54" t="n">
        <v>0.06840499999999999</v>
      </c>
      <c r="F1463" s="54" t="n"/>
      <c r="G1463" t="inlineStr">
        <is>
          <t>no aplica (precio mayorista)</t>
        </is>
      </c>
      <c r="J1463" t="inlineStr">
        <is>
          <t>2023-12-29</t>
        </is>
      </c>
      <c r="K1463" t="inlineStr">
        <is>
          <t>marginalpdbc_20231230.1</t>
        </is>
      </c>
      <c r="L1463" t="inlineStr">
        <is>
          <t>24 periodos; mín 42.04, máx 88.21 €/MWh</t>
        </is>
      </c>
    </row>
    <row r="1464">
      <c r="A1464" s="53" t="n">
        <v>45291</v>
      </c>
      <c r="B1464" t="inlineStr">
        <is>
          <t>2023-12-31</t>
        </is>
      </c>
      <c r="C1464" s="45" t="n">
        <v>30.0563</v>
      </c>
      <c r="D1464" t="inlineStr">
        <is>
          <t>€/MWh</t>
        </is>
      </c>
      <c r="E1464" s="54" t="n">
        <v>0.030056</v>
      </c>
      <c r="F1464" s="54" t="n"/>
      <c r="G1464" t="inlineStr">
        <is>
          <t>no aplica (precio mayorista)</t>
        </is>
      </c>
      <c r="J1464" t="inlineStr">
        <is>
          <t>2023-12-30</t>
        </is>
      </c>
      <c r="K1464" t="inlineStr">
        <is>
          <t>marginalpdbc_20231231.1</t>
        </is>
      </c>
      <c r="L1464" t="inlineStr">
        <is>
          <t>24 periodos; mín 0.00, máx 101.30 €/MWh</t>
        </is>
      </c>
    </row>
    <row r="1465">
      <c r="A1465" s="53" t="n">
        <v>45292</v>
      </c>
      <c r="B1465" t="inlineStr">
        <is>
          <t>2024-01-01</t>
        </is>
      </c>
      <c r="C1465" s="45" t="n">
        <v>36.2425</v>
      </c>
      <c r="D1465" t="inlineStr">
        <is>
          <t>€/MWh</t>
        </is>
      </c>
      <c r="E1465" s="54" t="n">
        <v>0.036242</v>
      </c>
      <c r="F1465" s="54" t="n"/>
      <c r="G1465" t="inlineStr">
        <is>
          <t>no aplica (precio mayorista)</t>
        </is>
      </c>
      <c r="J1465" t="inlineStr">
        <is>
          <t>2023-12-31</t>
        </is>
      </c>
      <c r="K1465" t="inlineStr">
        <is>
          <t>marginalpdbc_20240101.1</t>
        </is>
      </c>
      <c r="L1465" t="inlineStr">
        <is>
          <t>24 periodos; mín 1.73, máx 63.33 €/MWh</t>
        </is>
      </c>
    </row>
    <row r="1466">
      <c r="A1466" s="53" t="n">
        <v>45293</v>
      </c>
      <c r="B1466" t="inlineStr">
        <is>
          <t>2024-01-02</t>
        </is>
      </c>
      <c r="C1466" s="45" t="n">
        <v>40.9079</v>
      </c>
      <c r="D1466" t="inlineStr">
        <is>
          <t>€/MWh</t>
        </is>
      </c>
      <c r="E1466" s="54" t="n">
        <v>0.040908</v>
      </c>
      <c r="F1466" s="54" t="n"/>
      <c r="G1466" t="inlineStr">
        <is>
          <t>no aplica (precio mayorista)</t>
        </is>
      </c>
      <c r="J1466" t="inlineStr">
        <is>
          <t>2024-01-01</t>
        </is>
      </c>
      <c r="K1466" t="inlineStr">
        <is>
          <t>marginalpdbc_20240102.1</t>
        </is>
      </c>
      <c r="L1466" t="inlineStr">
        <is>
          <t>24 periodos; mín 3.99, máx 62.45 €/MWh</t>
        </is>
      </c>
    </row>
    <row r="1467">
      <c r="A1467" s="53" t="n">
        <v>45294</v>
      </c>
      <c r="B1467" t="inlineStr">
        <is>
          <t>2024-01-03</t>
        </is>
      </c>
      <c r="C1467" s="45" t="n">
        <v>55.0842</v>
      </c>
      <c r="D1467" t="inlineStr">
        <is>
          <t>€/MWh</t>
        </is>
      </c>
      <c r="E1467" s="54" t="n">
        <v>0.055084</v>
      </c>
      <c r="F1467" s="54" t="n"/>
      <c r="G1467" t="inlineStr">
        <is>
          <t>no aplica (precio mayorista)</t>
        </is>
      </c>
      <c r="J1467" t="inlineStr">
        <is>
          <t>2024-01-02</t>
        </is>
      </c>
      <c r="K1467" t="inlineStr">
        <is>
          <t>marginalpdbc_20240103.1</t>
        </is>
      </c>
      <c r="L1467" t="inlineStr">
        <is>
          <t>24 periodos; mín 2.21, máx 113.26 €/MWh</t>
        </is>
      </c>
    </row>
    <row r="1468">
      <c r="A1468" s="53" t="n">
        <v>45295</v>
      </c>
      <c r="B1468" t="inlineStr">
        <is>
          <t>2024-01-04</t>
        </is>
      </c>
      <c r="C1468" s="45" t="n">
        <v>91.3579</v>
      </c>
      <c r="D1468" t="inlineStr">
        <is>
          <t>€/MWh</t>
        </is>
      </c>
      <c r="E1468" s="54" t="n">
        <v>0.09135799999999999</v>
      </c>
      <c r="F1468" s="54" t="n"/>
      <c r="G1468" t="inlineStr">
        <is>
          <t>no aplica (precio mayorista)</t>
        </is>
      </c>
      <c r="J1468" t="inlineStr">
        <is>
          <t>2024-01-03</t>
        </is>
      </c>
      <c r="K1468" t="inlineStr">
        <is>
          <t>marginalpdbc_20240104.1</t>
        </is>
      </c>
      <c r="L1468" t="inlineStr">
        <is>
          <t>24 periodos; mín 66.86, máx 105.18 €/MWh</t>
        </is>
      </c>
    </row>
    <row r="1469">
      <c r="A1469" s="53" t="n">
        <v>45296</v>
      </c>
      <c r="B1469" t="inlineStr">
        <is>
          <t>2024-01-05</t>
        </is>
      </c>
      <c r="C1469" s="45" t="n">
        <v>68.61539999999999</v>
      </c>
      <c r="D1469" t="inlineStr">
        <is>
          <t>€/MWh</t>
        </is>
      </c>
      <c r="E1469" s="54" t="n">
        <v>0.068615</v>
      </c>
      <c r="F1469" s="54" t="n"/>
      <c r="G1469" t="inlineStr">
        <is>
          <t>no aplica (precio mayorista)</t>
        </is>
      </c>
      <c r="J1469" t="inlineStr">
        <is>
          <t>2024-01-04</t>
        </is>
      </c>
      <c r="K1469" t="inlineStr">
        <is>
          <t>marginalpdbc_20240105.1</t>
        </is>
      </c>
      <c r="L1469" t="inlineStr">
        <is>
          <t>24 periodos; mín 30.55, máx 90.88 €/MWh</t>
        </is>
      </c>
    </row>
    <row r="1470">
      <c r="A1470" s="53" t="n">
        <v>45297</v>
      </c>
      <c r="B1470" t="inlineStr">
        <is>
          <t>2024-01-06</t>
        </is>
      </c>
      <c r="C1470" s="45" t="n">
        <v>43.97</v>
      </c>
      <c r="D1470" t="inlineStr">
        <is>
          <t>€/MWh</t>
        </is>
      </c>
      <c r="E1470" s="54" t="n">
        <v>0.04397</v>
      </c>
      <c r="F1470" s="54" t="n"/>
      <c r="G1470" t="inlineStr">
        <is>
          <t>no aplica (precio mayorista)</t>
        </is>
      </c>
      <c r="J1470" t="inlineStr">
        <is>
          <t>2024-01-05</t>
        </is>
      </c>
      <c r="K1470" t="inlineStr">
        <is>
          <t>marginalpdbc_20240106.1</t>
        </is>
      </c>
      <c r="L1470" t="inlineStr">
        <is>
          <t>24 periodos; mín 3.20, máx 92.14 €/MWh</t>
        </is>
      </c>
    </row>
    <row r="1471">
      <c r="A1471" s="53" t="n">
        <v>45298</v>
      </c>
      <c r="B1471" t="inlineStr">
        <is>
          <t>2024-01-07</t>
        </is>
      </c>
      <c r="C1471" s="45" t="n">
        <v>75.9983</v>
      </c>
      <c r="D1471" t="inlineStr">
        <is>
          <t>€/MWh</t>
        </is>
      </c>
      <c r="E1471" s="54" t="n">
        <v>0.075998</v>
      </c>
      <c r="F1471" s="54" t="n"/>
      <c r="G1471" t="inlineStr">
        <is>
          <t>no aplica (precio mayorista)</t>
        </is>
      </c>
      <c r="J1471" t="inlineStr">
        <is>
          <t>2024-01-06</t>
        </is>
      </c>
      <c r="K1471" t="inlineStr">
        <is>
          <t>marginalpdbc_20240107.1</t>
        </is>
      </c>
      <c r="L1471" t="inlineStr">
        <is>
          <t>24 periodos; mín 45.57, máx 104.85 €/MWh</t>
        </is>
      </c>
    </row>
    <row r="1472">
      <c r="A1472" s="53" t="n">
        <v>45299</v>
      </c>
      <c r="B1472" t="inlineStr">
        <is>
          <t>2024-01-08</t>
        </is>
      </c>
      <c r="C1472" s="45" t="n">
        <v>105.5092</v>
      </c>
      <c r="D1472" t="inlineStr">
        <is>
          <t>€/MWh</t>
        </is>
      </c>
      <c r="E1472" s="54" t="n">
        <v>0.105509</v>
      </c>
      <c r="F1472" s="54" t="n"/>
      <c r="G1472" t="inlineStr">
        <is>
          <t>no aplica (precio mayorista)</t>
        </is>
      </c>
      <c r="J1472" t="inlineStr">
        <is>
          <t>2024-01-07</t>
        </is>
      </c>
      <c r="K1472" t="inlineStr">
        <is>
          <t>marginalpdbc_20240108.1</t>
        </is>
      </c>
      <c r="L1472" t="inlineStr">
        <is>
          <t>24 periodos; mín 78.43, máx 133.28 €/MWh</t>
        </is>
      </c>
    </row>
    <row r="1473">
      <c r="A1473" s="53" t="n">
        <v>45300</v>
      </c>
      <c r="B1473" t="inlineStr">
        <is>
          <t>2024-01-09</t>
        </is>
      </c>
      <c r="C1473" s="45" t="n">
        <v>113.8287</v>
      </c>
      <c r="D1473" t="inlineStr">
        <is>
          <t>€/MWh</t>
        </is>
      </c>
      <c r="E1473" s="54" t="n">
        <v>0.113829</v>
      </c>
      <c r="F1473" s="54" t="n"/>
      <c r="G1473" t="inlineStr">
        <is>
          <t>no aplica (precio mayorista)</t>
        </is>
      </c>
      <c r="J1473" t="inlineStr">
        <is>
          <t>2024-01-08</t>
        </is>
      </c>
      <c r="K1473" t="inlineStr">
        <is>
          <t>marginalpdbc_20240109.1</t>
        </is>
      </c>
      <c r="L1473" t="inlineStr">
        <is>
          <t>24 periodos; mín 97.15, máx 148.01 €/MWh</t>
        </is>
      </c>
    </row>
    <row r="1474">
      <c r="A1474" s="53" t="n">
        <v>45301</v>
      </c>
      <c r="B1474" t="inlineStr">
        <is>
          <t>2024-01-10</t>
        </is>
      </c>
      <c r="C1474" s="45" t="n">
        <v>100.8792</v>
      </c>
      <c r="D1474" t="inlineStr">
        <is>
          <t>€/MWh</t>
        </is>
      </c>
      <c r="E1474" s="54" t="n">
        <v>0.100879</v>
      </c>
      <c r="F1474" s="54" t="n"/>
      <c r="G1474" t="inlineStr">
        <is>
          <t>no aplica (precio mayorista)</t>
        </is>
      </c>
      <c r="J1474" t="inlineStr">
        <is>
          <t>2024-01-09</t>
        </is>
      </c>
      <c r="K1474" t="inlineStr">
        <is>
          <t>marginalpdbc_20240110.1</t>
        </is>
      </c>
      <c r="L1474" t="inlineStr">
        <is>
          <t>24 periodos; mín 85.00, máx 121.40 €/MWh</t>
        </is>
      </c>
    </row>
    <row r="1475">
      <c r="A1475" s="53" t="n">
        <v>45302</v>
      </c>
      <c r="B1475" t="inlineStr">
        <is>
          <t>2024-01-11</t>
        </is>
      </c>
      <c r="C1475" s="45" t="n">
        <v>96.9708</v>
      </c>
      <c r="D1475" t="inlineStr">
        <is>
          <t>€/MWh</t>
        </is>
      </c>
      <c r="E1475" s="54" t="n">
        <v>0.096971</v>
      </c>
      <c r="F1475" s="54" t="n"/>
      <c r="G1475" t="inlineStr">
        <is>
          <t>no aplica (precio mayorista)</t>
        </is>
      </c>
      <c r="J1475" t="inlineStr">
        <is>
          <t>2024-01-10</t>
        </is>
      </c>
      <c r="K1475" t="inlineStr">
        <is>
          <t>marginalpdbc_20240111.1</t>
        </is>
      </c>
      <c r="L1475" t="inlineStr">
        <is>
          <t>24 periodos; mín 79.60, máx 132.31 €/MWh</t>
        </is>
      </c>
    </row>
    <row r="1476">
      <c r="A1476" s="53" t="n">
        <v>45303</v>
      </c>
      <c r="B1476" t="inlineStr">
        <is>
          <t>2024-01-12</t>
        </is>
      </c>
      <c r="C1476" s="45" t="n">
        <v>97.5575</v>
      </c>
      <c r="D1476" t="inlineStr">
        <is>
          <t>€/MWh</t>
        </is>
      </c>
      <c r="E1476" s="54" t="n">
        <v>0.09755800000000001</v>
      </c>
      <c r="F1476" s="54" t="n"/>
      <c r="G1476" t="inlineStr">
        <is>
          <t>no aplica (precio mayorista)</t>
        </is>
      </c>
      <c r="J1476" t="inlineStr">
        <is>
          <t>2024-01-11</t>
        </is>
      </c>
      <c r="K1476" t="inlineStr">
        <is>
          <t>marginalpdbc_20240112.1</t>
        </is>
      </c>
      <c r="L1476" t="inlineStr">
        <is>
          <t>24 periodos; mín 83.00, máx 126.00 €/MWh</t>
        </is>
      </c>
    </row>
    <row r="1477">
      <c r="A1477" s="53" t="n">
        <v>45304</v>
      </c>
      <c r="B1477" t="inlineStr">
        <is>
          <t>2024-01-13</t>
        </is>
      </c>
      <c r="C1477" s="45" t="n">
        <v>87.35039999999999</v>
      </c>
      <c r="D1477" t="inlineStr">
        <is>
          <t>€/MWh</t>
        </is>
      </c>
      <c r="E1477" s="54" t="n">
        <v>0.08735</v>
      </c>
      <c r="F1477" s="54" t="n"/>
      <c r="G1477" t="inlineStr">
        <is>
          <t>no aplica (precio mayorista)</t>
        </is>
      </c>
      <c r="J1477" t="inlineStr">
        <is>
          <t>2024-01-12</t>
        </is>
      </c>
      <c r="K1477" t="inlineStr">
        <is>
          <t>marginalpdbc_20240113.1</t>
        </is>
      </c>
      <c r="L1477" t="inlineStr">
        <is>
          <t>24 periodos; mín 71.45, máx 107.99 €/MWh</t>
        </is>
      </c>
    </row>
    <row r="1478">
      <c r="A1478" s="53" t="n">
        <v>45305</v>
      </c>
      <c r="B1478" t="inlineStr">
        <is>
          <t>2024-01-14</t>
        </is>
      </c>
      <c r="C1478" s="45" t="n">
        <v>75.1254</v>
      </c>
      <c r="D1478" t="inlineStr">
        <is>
          <t>€/MWh</t>
        </is>
      </c>
      <c r="E1478" s="54" t="n">
        <v>0.075125</v>
      </c>
      <c r="F1478" s="54" t="n"/>
      <c r="G1478" t="inlineStr">
        <is>
          <t>no aplica (precio mayorista)</t>
        </is>
      </c>
      <c r="J1478" t="inlineStr">
        <is>
          <t>2024-01-13</t>
        </is>
      </c>
      <c r="K1478" t="inlineStr">
        <is>
          <t>marginalpdbc_20240114.1</t>
        </is>
      </c>
      <c r="L1478" t="inlineStr">
        <is>
          <t>24 periodos; mín 62.30, máx 92.01 €/MWh</t>
        </is>
      </c>
    </row>
    <row r="1479">
      <c r="A1479" s="53" t="n">
        <v>45306</v>
      </c>
      <c r="B1479" t="inlineStr">
        <is>
          <t>2024-01-15</t>
        </is>
      </c>
      <c r="C1479" s="45" t="n">
        <v>87.5596</v>
      </c>
      <c r="D1479" t="inlineStr">
        <is>
          <t>€/MWh</t>
        </is>
      </c>
      <c r="E1479" s="54" t="n">
        <v>0.08756</v>
      </c>
      <c r="F1479" s="54" t="n"/>
      <c r="G1479" t="inlineStr">
        <is>
          <t>no aplica (precio mayorista)</t>
        </is>
      </c>
      <c r="J1479" t="inlineStr">
        <is>
          <t>2024-01-14</t>
        </is>
      </c>
      <c r="K1479" t="inlineStr">
        <is>
          <t>marginalpdbc_20240115.1</t>
        </is>
      </c>
      <c r="L1479" t="inlineStr">
        <is>
          <t>24 periodos; mín 62.04, máx 113.90 €/MWh</t>
        </is>
      </c>
    </row>
    <row r="1480">
      <c r="A1480" s="53" t="n">
        <v>45307</v>
      </c>
      <c r="B1480" t="inlineStr">
        <is>
          <t>2024-01-16</t>
        </is>
      </c>
      <c r="C1480" s="45" t="n">
        <v>90.11579999999999</v>
      </c>
      <c r="D1480" t="inlineStr">
        <is>
          <t>€/MWh</t>
        </is>
      </c>
      <c r="E1480" s="54" t="n">
        <v>0.090116</v>
      </c>
      <c r="F1480" s="54" t="n"/>
      <c r="G1480" t="inlineStr">
        <is>
          <t>no aplica (precio mayorista)</t>
        </is>
      </c>
      <c r="J1480" t="inlineStr">
        <is>
          <t>2024-01-15</t>
        </is>
      </c>
      <c r="K1480" t="inlineStr">
        <is>
          <t>marginalpdbc_20240116.1</t>
        </is>
      </c>
      <c r="L1480" t="inlineStr">
        <is>
          <t>24 periodos; mín 60.00, máx 127.07 €/MWh</t>
        </is>
      </c>
    </row>
    <row r="1481">
      <c r="A1481" s="53" t="n">
        <v>45308</v>
      </c>
      <c r="B1481" t="inlineStr">
        <is>
          <t>2024-01-17</t>
        </is>
      </c>
      <c r="C1481" s="45" t="n">
        <v>26.955</v>
      </c>
      <c r="D1481" t="inlineStr">
        <is>
          <t>€/MWh</t>
        </is>
      </c>
      <c r="E1481" s="54" t="n">
        <v>0.026955</v>
      </c>
      <c r="F1481" s="54" t="n"/>
      <c r="G1481" t="inlineStr">
        <is>
          <t>no aplica (precio mayorista)</t>
        </is>
      </c>
      <c r="J1481" t="inlineStr">
        <is>
          <t>2024-01-16</t>
        </is>
      </c>
      <c r="K1481" t="inlineStr">
        <is>
          <t>marginalpdbc_20240117.1</t>
        </is>
      </c>
      <c r="L1481" t="inlineStr">
        <is>
          <t>24 periodos; mín 4.90, máx 54.88 €/MWh</t>
        </is>
      </c>
    </row>
    <row r="1482">
      <c r="A1482" s="53" t="n">
        <v>45309</v>
      </c>
      <c r="B1482" t="inlineStr">
        <is>
          <t>2024-01-18</t>
        </is>
      </c>
      <c r="C1482" s="45" t="n">
        <v>46.8421</v>
      </c>
      <c r="D1482" t="inlineStr">
        <is>
          <t>€/MWh</t>
        </is>
      </c>
      <c r="E1482" s="54" t="n">
        <v>0.046842</v>
      </c>
      <c r="F1482" s="54" t="n"/>
      <c r="G1482" t="inlineStr">
        <is>
          <t>no aplica (precio mayorista)</t>
        </is>
      </c>
      <c r="J1482" t="inlineStr">
        <is>
          <t>2024-01-17</t>
        </is>
      </c>
      <c r="K1482" t="inlineStr">
        <is>
          <t>marginalpdbc_20240118.1</t>
        </is>
      </c>
      <c r="L1482" t="inlineStr">
        <is>
          <t>24 periodos; mín 0.43, máx 105.34 €/MWh</t>
        </is>
      </c>
    </row>
    <row r="1483">
      <c r="A1483" s="53" t="n">
        <v>45310</v>
      </c>
      <c r="B1483" t="inlineStr">
        <is>
          <t>2024-01-19</t>
        </is>
      </c>
      <c r="C1483" s="45" t="n">
        <v>70.86539999999999</v>
      </c>
      <c r="D1483" t="inlineStr">
        <is>
          <t>€/MWh</t>
        </is>
      </c>
      <c r="E1483" s="54" t="n">
        <v>0.070865</v>
      </c>
      <c r="F1483" s="54" t="n"/>
      <c r="G1483" t="inlineStr">
        <is>
          <t>no aplica (precio mayorista)</t>
        </is>
      </c>
      <c r="J1483" t="inlineStr">
        <is>
          <t>2024-01-18</t>
        </is>
      </c>
      <c r="K1483" t="inlineStr">
        <is>
          <t>marginalpdbc_20240119.1</t>
        </is>
      </c>
      <c r="L1483" t="inlineStr">
        <is>
          <t>24 periodos; mín 50.00, máx 87.33 €/MWh</t>
        </is>
      </c>
    </row>
    <row r="1484">
      <c r="A1484" s="53" t="n">
        <v>45311</v>
      </c>
      <c r="B1484" t="inlineStr">
        <is>
          <t>2024-01-20</t>
        </is>
      </c>
      <c r="C1484" s="45" t="n">
        <v>80.5258</v>
      </c>
      <c r="D1484" t="inlineStr">
        <is>
          <t>€/MWh</t>
        </is>
      </c>
      <c r="E1484" s="54" t="n">
        <v>0.080526</v>
      </c>
      <c r="F1484" s="54" t="n"/>
      <c r="G1484" t="inlineStr">
        <is>
          <t>no aplica (precio mayorista)</t>
        </is>
      </c>
      <c r="J1484" t="inlineStr">
        <is>
          <t>2024-01-19</t>
        </is>
      </c>
      <c r="K1484" t="inlineStr">
        <is>
          <t>marginalpdbc_20240120.1</t>
        </is>
      </c>
      <c r="L1484" t="inlineStr">
        <is>
          <t>24 periodos; mín 63.68, máx 99.94 €/MWh</t>
        </is>
      </c>
    </row>
    <row r="1485">
      <c r="A1485" s="53" t="n">
        <v>45312</v>
      </c>
      <c r="B1485" t="inlineStr">
        <is>
          <t>2024-01-21</t>
        </is>
      </c>
      <c r="C1485" s="45" t="n">
        <v>64.40170000000001</v>
      </c>
      <c r="D1485" t="inlineStr">
        <is>
          <t>€/MWh</t>
        </is>
      </c>
      <c r="E1485" s="54" t="n">
        <v>0.064402</v>
      </c>
      <c r="F1485" s="54" t="n"/>
      <c r="G1485" t="inlineStr">
        <is>
          <t>no aplica (precio mayorista)</t>
        </is>
      </c>
      <c r="J1485" t="inlineStr">
        <is>
          <t>2024-01-20</t>
        </is>
      </c>
      <c r="K1485" t="inlineStr">
        <is>
          <t>marginalpdbc_20240121.1</t>
        </is>
      </c>
      <c r="L1485" t="inlineStr">
        <is>
          <t>24 periodos; mín 47.42, máx 95.62 €/MWh</t>
        </is>
      </c>
    </row>
    <row r="1486">
      <c r="A1486" s="53" t="n">
        <v>45313</v>
      </c>
      <c r="B1486" t="inlineStr">
        <is>
          <t>2024-01-22</t>
        </is>
      </c>
      <c r="C1486" s="45" t="n">
        <v>67.91670000000001</v>
      </c>
      <c r="D1486" t="inlineStr">
        <is>
          <t>€/MWh</t>
        </is>
      </c>
      <c r="E1486" s="54" t="n">
        <v>0.06791700000000001</v>
      </c>
      <c r="F1486" s="54" t="n"/>
      <c r="G1486" t="inlineStr">
        <is>
          <t>no aplica (precio mayorista)</t>
        </is>
      </c>
      <c r="J1486" t="inlineStr">
        <is>
          <t>2024-01-21</t>
        </is>
      </c>
      <c r="K1486" t="inlineStr">
        <is>
          <t>marginalpdbc_20240122.1</t>
        </is>
      </c>
      <c r="L1486" t="inlineStr">
        <is>
          <t>24 periodos; mín 25.00, máx 119.00 €/MWh</t>
        </is>
      </c>
    </row>
    <row r="1487">
      <c r="A1487" s="53" t="n">
        <v>45314</v>
      </c>
      <c r="B1487" t="inlineStr">
        <is>
          <t>2024-01-23</t>
        </is>
      </c>
      <c r="C1487" s="45" t="n">
        <v>78.0192</v>
      </c>
      <c r="D1487" t="inlineStr">
        <is>
          <t>€/MWh</t>
        </is>
      </c>
      <c r="E1487" s="54" t="n">
        <v>0.07801900000000001</v>
      </c>
      <c r="F1487" s="54" t="n"/>
      <c r="G1487" t="inlineStr">
        <is>
          <t>no aplica (precio mayorista)</t>
        </is>
      </c>
      <c r="J1487" t="inlineStr">
        <is>
          <t>2024-01-22</t>
        </is>
      </c>
      <c r="K1487" t="inlineStr">
        <is>
          <t>marginalpdbc_20240123.1</t>
        </is>
      </c>
      <c r="L1487" t="inlineStr">
        <is>
          <t>24 periodos; mín 58.50, máx 129.01 €/MWh</t>
        </is>
      </c>
    </row>
    <row r="1488">
      <c r="A1488" s="53" t="n">
        <v>45315</v>
      </c>
      <c r="B1488" t="inlineStr">
        <is>
          <t>2024-01-24</t>
        </is>
      </c>
      <c r="C1488" s="45" t="n">
        <v>83.4233</v>
      </c>
      <c r="D1488" t="inlineStr">
        <is>
          <t>€/MWh</t>
        </is>
      </c>
      <c r="E1488" s="54" t="n">
        <v>0.083423</v>
      </c>
      <c r="F1488" s="54" t="n"/>
      <c r="G1488" t="inlineStr">
        <is>
          <t>no aplica (precio mayorista)</t>
        </is>
      </c>
      <c r="J1488" t="inlineStr">
        <is>
          <t>2024-01-23</t>
        </is>
      </c>
      <c r="K1488" t="inlineStr">
        <is>
          <t>marginalpdbc_20240124.1</t>
        </is>
      </c>
      <c r="L1488" t="inlineStr">
        <is>
          <t>24 periodos; mín 58.20, máx 152.17 €/MWh</t>
        </is>
      </c>
    </row>
    <row r="1489">
      <c r="A1489" s="53" t="n">
        <v>45316</v>
      </c>
      <c r="B1489" t="inlineStr">
        <is>
          <t>2024-01-25</t>
        </is>
      </c>
      <c r="C1489" s="45" t="n">
        <v>76.7967</v>
      </c>
      <c r="D1489" t="inlineStr">
        <is>
          <t>€/MWh</t>
        </is>
      </c>
      <c r="E1489" s="54" t="n">
        <v>0.076797</v>
      </c>
      <c r="F1489" s="54" t="n"/>
      <c r="G1489" t="inlineStr">
        <is>
          <t>no aplica (precio mayorista)</t>
        </is>
      </c>
      <c r="J1489" t="inlineStr">
        <is>
          <t>2024-01-24</t>
        </is>
      </c>
      <c r="K1489" t="inlineStr">
        <is>
          <t>marginalpdbc_20240125.1</t>
        </is>
      </c>
      <c r="L1489" t="inlineStr">
        <is>
          <t>24 periodos; mín 55.36, máx 135.36 €/MWh</t>
        </is>
      </c>
    </row>
    <row r="1490">
      <c r="A1490" s="53" t="n">
        <v>45317</v>
      </c>
      <c r="B1490" t="inlineStr">
        <is>
          <t>2024-01-26</t>
        </is>
      </c>
      <c r="C1490" s="45" t="n">
        <v>72.5646</v>
      </c>
      <c r="D1490" t="inlineStr">
        <is>
          <t>€/MWh</t>
        </is>
      </c>
      <c r="E1490" s="54" t="n">
        <v>0.072565</v>
      </c>
      <c r="F1490" s="54" t="n"/>
      <c r="G1490" t="inlineStr">
        <is>
          <t>no aplica (precio mayorista)</t>
        </is>
      </c>
      <c r="J1490" t="inlineStr">
        <is>
          <t>2024-01-25</t>
        </is>
      </c>
      <c r="K1490" t="inlineStr">
        <is>
          <t>marginalpdbc_20240126.1</t>
        </is>
      </c>
      <c r="L1490" t="inlineStr">
        <is>
          <t>24 periodos; mín 50.70, máx 115.00 €/MWh</t>
        </is>
      </c>
    </row>
    <row r="1491">
      <c r="A1491" s="53" t="n">
        <v>45318</v>
      </c>
      <c r="B1491" t="inlineStr">
        <is>
          <t>2024-01-27</t>
        </is>
      </c>
      <c r="C1491" s="45" t="n">
        <v>66.065</v>
      </c>
      <c r="D1491" t="inlineStr">
        <is>
          <t>€/MWh</t>
        </is>
      </c>
      <c r="E1491" s="54" t="n">
        <v>0.066065</v>
      </c>
      <c r="F1491" s="54" t="n"/>
      <c r="G1491" t="inlineStr">
        <is>
          <t>no aplica (precio mayorista)</t>
        </is>
      </c>
      <c r="J1491" t="inlineStr">
        <is>
          <t>2024-01-26</t>
        </is>
      </c>
      <c r="K1491" t="inlineStr">
        <is>
          <t>marginalpdbc_20240127.1</t>
        </is>
      </c>
      <c r="L1491" t="inlineStr">
        <is>
          <t>24 periodos; mín 47.00, máx 95.97 €/MWh</t>
        </is>
      </c>
    </row>
    <row r="1492">
      <c r="A1492" s="53" t="n">
        <v>45319</v>
      </c>
      <c r="B1492" t="inlineStr">
        <is>
          <t>2024-01-28</t>
        </is>
      </c>
      <c r="C1492" s="45" t="n">
        <v>52.14</v>
      </c>
      <c r="D1492" t="inlineStr">
        <is>
          <t>€/MWh</t>
        </is>
      </c>
      <c r="E1492" s="54" t="n">
        <v>0.05214</v>
      </c>
      <c r="F1492" s="54" t="n"/>
      <c r="G1492" t="inlineStr">
        <is>
          <t>no aplica (precio mayorista)</t>
        </is>
      </c>
      <c r="J1492" t="inlineStr">
        <is>
          <t>2024-01-27</t>
        </is>
      </c>
      <c r="K1492" t="inlineStr">
        <is>
          <t>marginalpdbc_20240128.1</t>
        </is>
      </c>
      <c r="L1492" t="inlineStr">
        <is>
          <t>24 periodos; mín 37.00, máx 71.55 €/MWh</t>
        </is>
      </c>
    </row>
    <row r="1493">
      <c r="A1493" s="53" t="n">
        <v>45320</v>
      </c>
      <c r="B1493" t="inlineStr">
        <is>
          <t>2024-01-29</t>
        </is>
      </c>
      <c r="C1493" s="45" t="n">
        <v>77.9675</v>
      </c>
      <c r="D1493" t="inlineStr">
        <is>
          <t>€/MWh</t>
        </is>
      </c>
      <c r="E1493" s="54" t="n">
        <v>0.07796699999999999</v>
      </c>
      <c r="F1493" s="54" t="n"/>
      <c r="G1493" t="inlineStr">
        <is>
          <t>no aplica (precio mayorista)</t>
        </is>
      </c>
      <c r="J1493" t="inlineStr">
        <is>
          <t>2024-01-28</t>
        </is>
      </c>
      <c r="K1493" t="inlineStr">
        <is>
          <t>marginalpdbc_20240129.1</t>
        </is>
      </c>
      <c r="L1493" t="inlineStr">
        <is>
          <t>24 periodos; mín 47.26, máx 110.00 €/MWh</t>
        </is>
      </c>
    </row>
    <row r="1494">
      <c r="A1494" s="53" t="n">
        <v>45321</v>
      </c>
      <c r="B1494" t="inlineStr">
        <is>
          <t>2024-01-30</t>
        </is>
      </c>
      <c r="C1494" s="45" t="n">
        <v>81.2846</v>
      </c>
      <c r="D1494" t="inlineStr">
        <is>
          <t>€/MWh</t>
        </is>
      </c>
      <c r="E1494" s="54" t="n">
        <v>0.081285</v>
      </c>
      <c r="F1494" s="54" t="n"/>
      <c r="G1494" t="inlineStr">
        <is>
          <t>no aplica (precio mayorista)</t>
        </is>
      </c>
      <c r="J1494" t="inlineStr">
        <is>
          <t>2024-01-29</t>
        </is>
      </c>
      <c r="K1494" t="inlineStr">
        <is>
          <t>marginalpdbc_20240130.1</t>
        </is>
      </c>
      <c r="L1494" t="inlineStr">
        <is>
          <t>24 periodos; mín 64.00, máx 123.22 €/MWh</t>
        </is>
      </c>
    </row>
    <row r="1495">
      <c r="A1495" s="53" t="n">
        <v>45322</v>
      </c>
      <c r="B1495" t="inlineStr">
        <is>
          <t>2024-01-31</t>
        </is>
      </c>
      <c r="C1495" s="45" t="n">
        <v>84.2625</v>
      </c>
      <c r="D1495" t="inlineStr">
        <is>
          <t>€/MWh</t>
        </is>
      </c>
      <c r="E1495" s="54" t="n">
        <v>0.084263</v>
      </c>
      <c r="F1495" s="54" t="n"/>
      <c r="G1495" t="inlineStr">
        <is>
          <t>no aplica (precio mayorista)</t>
        </is>
      </c>
      <c r="J1495" t="inlineStr">
        <is>
          <t>2024-01-30</t>
        </is>
      </c>
      <c r="K1495" t="inlineStr">
        <is>
          <t>marginalpdbc_20240131.1</t>
        </is>
      </c>
      <c r="L1495" t="inlineStr">
        <is>
          <t>24 periodos; mín 64.95, máx 168.35 €/MWh</t>
        </is>
      </c>
    </row>
    <row r="1496">
      <c r="A1496" s="53" t="n">
        <v>45323</v>
      </c>
      <c r="B1496" t="inlineStr">
        <is>
          <t>2024-02-01</t>
        </is>
      </c>
      <c r="C1496" s="45" t="n">
        <v>70.9483</v>
      </c>
      <c r="D1496" t="inlineStr">
        <is>
          <t>€/MWh</t>
        </is>
      </c>
      <c r="E1496" s="54" t="n">
        <v>0.070948</v>
      </c>
      <c r="F1496" s="54" t="n"/>
      <c r="G1496" t="inlineStr">
        <is>
          <t>no aplica (precio mayorista)</t>
        </is>
      </c>
      <c r="J1496" t="inlineStr">
        <is>
          <t>2024-01-31</t>
        </is>
      </c>
      <c r="K1496" t="inlineStr">
        <is>
          <t>marginalpdbc_20240201.1</t>
        </is>
      </c>
      <c r="L1496" t="inlineStr">
        <is>
          <t>24 periodos; mín 53.47, máx 101.89 €/MWh</t>
        </is>
      </c>
    </row>
    <row r="1497">
      <c r="A1497" s="53" t="n">
        <v>45324</v>
      </c>
      <c r="B1497" t="inlineStr">
        <is>
          <t>2024-02-02</t>
        </is>
      </c>
      <c r="C1497" s="45" t="n">
        <v>65.3175</v>
      </c>
      <c r="D1497" t="inlineStr">
        <is>
          <t>€/MWh</t>
        </is>
      </c>
      <c r="E1497" s="54" t="n">
        <v>0.065318</v>
      </c>
      <c r="F1497" s="54" t="n"/>
      <c r="G1497" t="inlineStr">
        <is>
          <t>no aplica (precio mayorista)</t>
        </is>
      </c>
      <c r="J1497" t="inlineStr">
        <is>
          <t>2024-02-01</t>
        </is>
      </c>
      <c r="K1497" t="inlineStr">
        <is>
          <t>marginalpdbc_20240202.1</t>
        </is>
      </c>
      <c r="L1497" t="inlineStr">
        <is>
          <t>24 periodos; mín 52.41, máx 90.75 €/MWh</t>
        </is>
      </c>
    </row>
    <row r="1498">
      <c r="A1498" s="53" t="n">
        <v>45325</v>
      </c>
      <c r="B1498" t="inlineStr">
        <is>
          <t>2024-02-03</t>
        </is>
      </c>
      <c r="C1498" s="45" t="n">
        <v>60.3242</v>
      </c>
      <c r="D1498" t="inlineStr">
        <is>
          <t>€/MWh</t>
        </is>
      </c>
      <c r="E1498" s="54" t="n">
        <v>0.060324</v>
      </c>
      <c r="F1498" s="54" t="n"/>
      <c r="G1498" t="inlineStr">
        <is>
          <t>no aplica (precio mayorista)</t>
        </is>
      </c>
      <c r="J1498" t="inlineStr">
        <is>
          <t>2024-02-02</t>
        </is>
      </c>
      <c r="K1498" t="inlineStr">
        <is>
          <t>marginalpdbc_20240203.1</t>
        </is>
      </c>
      <c r="L1498" t="inlineStr">
        <is>
          <t>24 periodos; mín 39.81, máx 95.68 €/MWh</t>
        </is>
      </c>
    </row>
    <row r="1499">
      <c r="A1499" s="53" t="n">
        <v>45326</v>
      </c>
      <c r="B1499" t="inlineStr">
        <is>
          <t>2024-02-04</t>
        </is>
      </c>
      <c r="C1499" s="45" t="n">
        <v>63.0992</v>
      </c>
      <c r="D1499" t="inlineStr">
        <is>
          <t>€/MWh</t>
        </is>
      </c>
      <c r="E1499" s="54" t="n">
        <v>0.063099</v>
      </c>
      <c r="F1499" s="54" t="n"/>
      <c r="G1499" t="inlineStr">
        <is>
          <t>no aplica (precio mayorista)</t>
        </is>
      </c>
      <c r="J1499" t="inlineStr">
        <is>
          <t>2024-02-03</t>
        </is>
      </c>
      <c r="K1499" t="inlineStr">
        <is>
          <t>marginalpdbc_20240204.1</t>
        </is>
      </c>
      <c r="L1499" t="inlineStr">
        <is>
          <t>24 periodos; mín 32.00, máx 129.81 €/MWh</t>
        </is>
      </c>
    </row>
    <row r="1500">
      <c r="A1500" s="53" t="n">
        <v>45327</v>
      </c>
      <c r="B1500" t="inlineStr">
        <is>
          <t>2024-02-05</t>
        </is>
      </c>
      <c r="C1500" s="45" t="n">
        <v>80.91670000000001</v>
      </c>
      <c r="D1500" t="inlineStr">
        <is>
          <t>€/MWh</t>
        </is>
      </c>
      <c r="E1500" s="54" t="n">
        <v>0.080917</v>
      </c>
      <c r="F1500" s="54" t="n"/>
      <c r="G1500" t="inlineStr">
        <is>
          <t>no aplica (precio mayorista)</t>
        </is>
      </c>
      <c r="J1500" t="inlineStr">
        <is>
          <t>2024-02-04</t>
        </is>
      </c>
      <c r="K1500" t="inlineStr">
        <is>
          <t>marginalpdbc_20240205.1</t>
        </is>
      </c>
      <c r="L1500" t="inlineStr">
        <is>
          <t>24 periodos; mín 50.00, máx 181.26 €/MWh</t>
        </is>
      </c>
    </row>
    <row r="1501">
      <c r="A1501" s="53" t="n">
        <v>45328</v>
      </c>
      <c r="B1501" t="inlineStr">
        <is>
          <t>2024-02-06</t>
        </is>
      </c>
      <c r="C1501" s="45" t="n">
        <v>74.0279</v>
      </c>
      <c r="D1501" t="inlineStr">
        <is>
          <t>€/MWh</t>
        </is>
      </c>
      <c r="E1501" s="54" t="n">
        <v>0.074028</v>
      </c>
      <c r="F1501" s="54" t="n"/>
      <c r="G1501" t="inlineStr">
        <is>
          <t>no aplica (precio mayorista)</t>
        </is>
      </c>
      <c r="J1501" t="inlineStr">
        <is>
          <t>2024-02-05</t>
        </is>
      </c>
      <c r="K1501" t="inlineStr">
        <is>
          <t>marginalpdbc_20240206.1</t>
        </is>
      </c>
      <c r="L1501" t="inlineStr">
        <is>
          <t>24 periodos; mín 51.50, máx 121.06 €/MWh</t>
        </is>
      </c>
    </row>
    <row r="1502">
      <c r="A1502" s="53" t="n">
        <v>45329</v>
      </c>
      <c r="B1502" t="inlineStr">
        <is>
          <t>2024-02-07</t>
        </is>
      </c>
      <c r="C1502" s="45" t="n">
        <v>50.1079</v>
      </c>
      <c r="D1502" t="inlineStr">
        <is>
          <t>€/MWh</t>
        </is>
      </c>
      <c r="E1502" s="54" t="n">
        <v>0.050108</v>
      </c>
      <c r="F1502" s="54" t="n"/>
      <c r="G1502" t="inlineStr">
        <is>
          <t>no aplica (precio mayorista)</t>
        </is>
      </c>
      <c r="J1502" t="inlineStr">
        <is>
          <t>2024-02-06</t>
        </is>
      </c>
      <c r="K1502" t="inlineStr">
        <is>
          <t>marginalpdbc_20240207.1</t>
        </is>
      </c>
      <c r="L1502" t="inlineStr">
        <is>
          <t>24 periodos; mín 21.01, máx 76.89 €/MWh</t>
        </is>
      </c>
    </row>
    <row r="1503">
      <c r="A1503" s="53" t="n">
        <v>45330</v>
      </c>
      <c r="B1503" t="inlineStr">
        <is>
          <t>2024-02-08</t>
        </is>
      </c>
      <c r="C1503" s="45" t="n">
        <v>38.6675</v>
      </c>
      <c r="D1503" t="inlineStr">
        <is>
          <t>€/MWh</t>
        </is>
      </c>
      <c r="E1503" s="54" t="n">
        <v>0.038667</v>
      </c>
      <c r="F1503" s="54" t="n"/>
      <c r="G1503" t="inlineStr">
        <is>
          <t>no aplica (precio mayorista)</t>
        </is>
      </c>
      <c r="J1503" t="inlineStr">
        <is>
          <t>2024-02-07</t>
        </is>
      </c>
      <c r="K1503" t="inlineStr">
        <is>
          <t>marginalpdbc_20240208.1</t>
        </is>
      </c>
      <c r="L1503" t="inlineStr">
        <is>
          <t>24 periodos; mín 28.70, máx 57.00 €/MWh</t>
        </is>
      </c>
    </row>
    <row r="1504">
      <c r="A1504" s="53" t="n">
        <v>45331</v>
      </c>
      <c r="B1504" t="inlineStr">
        <is>
          <t>2024-02-09</t>
        </is>
      </c>
      <c r="C1504" s="45" t="n">
        <v>40.1763</v>
      </c>
      <c r="D1504" t="inlineStr">
        <is>
          <t>€/MWh</t>
        </is>
      </c>
      <c r="E1504" s="54" t="n">
        <v>0.040176</v>
      </c>
      <c r="F1504" s="54" t="n"/>
      <c r="G1504" t="inlineStr">
        <is>
          <t>no aplica (precio mayorista)</t>
        </is>
      </c>
      <c r="J1504" t="inlineStr">
        <is>
          <t>2024-02-08</t>
        </is>
      </c>
      <c r="K1504" t="inlineStr">
        <is>
          <t>marginalpdbc_20240209.1</t>
        </is>
      </c>
      <c r="L1504" t="inlineStr">
        <is>
          <t>24 periodos; mín 3.20, máx 66.35 €/MWh</t>
        </is>
      </c>
    </row>
    <row r="1505">
      <c r="A1505" s="53" t="n">
        <v>45332</v>
      </c>
      <c r="B1505" t="inlineStr">
        <is>
          <t>2024-02-10</t>
        </is>
      </c>
      <c r="C1505" s="45" t="n">
        <v>9.4704</v>
      </c>
      <c r="D1505" t="inlineStr">
        <is>
          <t>€/MWh</t>
        </is>
      </c>
      <c r="E1505" s="54" t="n">
        <v>0.009469999999999999</v>
      </c>
      <c r="F1505" s="54" t="n"/>
      <c r="G1505" t="inlineStr">
        <is>
          <t>no aplica (precio mayorista)</t>
        </is>
      </c>
      <c r="J1505" t="inlineStr">
        <is>
          <t>2024-02-09</t>
        </is>
      </c>
      <c r="K1505" t="inlineStr">
        <is>
          <t>marginalpdbc_20240210.1</t>
        </is>
      </c>
      <c r="L1505" t="inlineStr">
        <is>
          <t>24 periodos; mín 0.00, máx 37.90 €/MWh</t>
        </is>
      </c>
    </row>
    <row r="1506">
      <c r="A1506" s="53" t="n">
        <v>45333</v>
      </c>
      <c r="B1506" t="inlineStr">
        <is>
          <t>2024-02-11</t>
        </is>
      </c>
      <c r="C1506" s="45" t="n">
        <v>44.8292</v>
      </c>
      <c r="D1506" t="inlineStr">
        <is>
          <t>€/MWh</t>
        </is>
      </c>
      <c r="E1506" s="54" t="n">
        <v>0.044829</v>
      </c>
      <c r="F1506" s="54" t="n"/>
      <c r="G1506" t="inlineStr">
        <is>
          <t>no aplica (precio mayorista)</t>
        </is>
      </c>
      <c r="J1506" t="inlineStr">
        <is>
          <t>2024-02-10</t>
        </is>
      </c>
      <c r="K1506" t="inlineStr">
        <is>
          <t>marginalpdbc_20240211.1</t>
        </is>
      </c>
      <c r="L1506" t="inlineStr">
        <is>
          <t>24 periodos; mín 20.50, máx 83.98 €/MWh</t>
        </is>
      </c>
    </row>
    <row r="1507">
      <c r="A1507" s="53" t="n">
        <v>45334</v>
      </c>
      <c r="B1507" t="inlineStr">
        <is>
          <t>2024-02-12</t>
        </is>
      </c>
      <c r="C1507" s="45" t="n">
        <v>45.8542</v>
      </c>
      <c r="D1507" t="inlineStr">
        <is>
          <t>€/MWh</t>
        </is>
      </c>
      <c r="E1507" s="54" t="n">
        <v>0.045854</v>
      </c>
      <c r="F1507" s="54" t="n"/>
      <c r="G1507" t="inlineStr">
        <is>
          <t>no aplica (precio mayorista)</t>
        </is>
      </c>
      <c r="J1507" t="inlineStr">
        <is>
          <t>2024-02-11</t>
        </is>
      </c>
      <c r="K1507" t="inlineStr">
        <is>
          <t>marginalpdbc_20240212.1</t>
        </is>
      </c>
      <c r="L1507" t="inlineStr">
        <is>
          <t>24 periodos; mín 30.00, máx 88.21 €/MWh</t>
        </is>
      </c>
    </row>
    <row r="1508">
      <c r="A1508" s="53" t="n">
        <v>45335</v>
      </c>
      <c r="B1508" t="inlineStr">
        <is>
          <t>2024-02-13</t>
        </is>
      </c>
      <c r="C1508" s="45" t="n">
        <v>62.7183</v>
      </c>
      <c r="D1508" t="inlineStr">
        <is>
          <t>€/MWh</t>
        </is>
      </c>
      <c r="E1508" s="54" t="n">
        <v>0.062718</v>
      </c>
      <c r="F1508" s="54" t="n"/>
      <c r="G1508" t="inlineStr">
        <is>
          <t>no aplica (precio mayorista)</t>
        </is>
      </c>
      <c r="J1508" t="inlineStr">
        <is>
          <t>2024-02-12</t>
        </is>
      </c>
      <c r="K1508" t="inlineStr">
        <is>
          <t>marginalpdbc_20240213.1</t>
        </is>
      </c>
      <c r="L1508" t="inlineStr">
        <is>
          <t>24 periodos; mín 40.00, máx 91.81 €/MWh</t>
        </is>
      </c>
    </row>
    <row r="1509">
      <c r="A1509" s="53" t="n">
        <v>45336</v>
      </c>
      <c r="B1509" t="inlineStr">
        <is>
          <t>2024-02-14</t>
        </is>
      </c>
      <c r="C1509" s="45" t="n">
        <v>59.5692</v>
      </c>
      <c r="D1509" t="inlineStr">
        <is>
          <t>€/MWh</t>
        </is>
      </c>
      <c r="E1509" s="54" t="n">
        <v>0.059569</v>
      </c>
      <c r="F1509" s="54" t="n"/>
      <c r="G1509" t="inlineStr">
        <is>
          <t>no aplica (precio mayorista)</t>
        </is>
      </c>
      <c r="J1509" t="inlineStr">
        <is>
          <t>2024-02-13</t>
        </is>
      </c>
      <c r="K1509" t="inlineStr">
        <is>
          <t>marginalpdbc_20240214.1</t>
        </is>
      </c>
      <c r="L1509" t="inlineStr">
        <is>
          <t>24 periodos; mín 39.88, máx 85.16 €/MWh</t>
        </is>
      </c>
    </row>
    <row r="1510">
      <c r="A1510" s="53" t="n">
        <v>45337</v>
      </c>
      <c r="B1510" t="inlineStr">
        <is>
          <t>2024-02-15</t>
        </is>
      </c>
      <c r="C1510" s="45" t="n">
        <v>51.2196</v>
      </c>
      <c r="D1510" t="inlineStr">
        <is>
          <t>€/MWh</t>
        </is>
      </c>
      <c r="E1510" s="54" t="n">
        <v>0.05122</v>
      </c>
      <c r="F1510" s="54" t="n"/>
      <c r="G1510" t="inlineStr">
        <is>
          <t>no aplica (precio mayorista)</t>
        </is>
      </c>
      <c r="J1510" t="inlineStr">
        <is>
          <t>2024-02-14</t>
        </is>
      </c>
      <c r="K1510" t="inlineStr">
        <is>
          <t>marginalpdbc_20240215.1</t>
        </is>
      </c>
      <c r="L1510" t="inlineStr">
        <is>
          <t>24 periodos; mín 36.37, máx 64.44 €/MWh</t>
        </is>
      </c>
    </row>
    <row r="1511">
      <c r="A1511" s="53" t="n">
        <v>45338</v>
      </c>
      <c r="B1511" t="inlineStr">
        <is>
          <t>2024-02-16</t>
        </is>
      </c>
      <c r="C1511" s="45" t="n">
        <v>54.2425</v>
      </c>
      <c r="D1511" t="inlineStr">
        <is>
          <t>€/MWh</t>
        </is>
      </c>
      <c r="E1511" s="54" t="n">
        <v>0.054242</v>
      </c>
      <c r="F1511" s="54" t="n"/>
      <c r="G1511" t="inlineStr">
        <is>
          <t>no aplica (precio mayorista)</t>
        </is>
      </c>
      <c r="J1511" t="inlineStr">
        <is>
          <t>2024-02-15</t>
        </is>
      </c>
      <c r="K1511" t="inlineStr">
        <is>
          <t>marginalpdbc_20240216.1</t>
        </is>
      </c>
      <c r="L1511" t="inlineStr">
        <is>
          <t>24 periodos; mín 42.00, máx 77.93 €/MWh</t>
        </is>
      </c>
    </row>
    <row r="1512">
      <c r="A1512" s="53" t="n">
        <v>45339</v>
      </c>
      <c r="B1512" t="inlineStr">
        <is>
          <t>2024-02-17</t>
        </is>
      </c>
      <c r="C1512" s="45" t="n">
        <v>48.6933</v>
      </c>
      <c r="D1512" t="inlineStr">
        <is>
          <t>€/MWh</t>
        </is>
      </c>
      <c r="E1512" s="54" t="n">
        <v>0.048693</v>
      </c>
      <c r="F1512" s="54" t="n"/>
      <c r="G1512" t="inlineStr">
        <is>
          <t>no aplica (precio mayorista)</t>
        </is>
      </c>
      <c r="J1512" t="inlineStr">
        <is>
          <t>2024-02-16</t>
        </is>
      </c>
      <c r="K1512" t="inlineStr">
        <is>
          <t>marginalpdbc_20240217.1</t>
        </is>
      </c>
      <c r="L1512" t="inlineStr">
        <is>
          <t>24 periodos; mín 30.70, máx 82.93 €/MWh</t>
        </is>
      </c>
    </row>
    <row r="1513">
      <c r="A1513" s="53" t="n">
        <v>45340</v>
      </c>
      <c r="B1513" t="inlineStr">
        <is>
          <t>2024-02-18</t>
        </is>
      </c>
      <c r="C1513" s="45" t="n">
        <v>47.0354</v>
      </c>
      <c r="D1513" t="inlineStr">
        <is>
          <t>€/MWh</t>
        </is>
      </c>
      <c r="E1513" s="54" t="n">
        <v>0.047035</v>
      </c>
      <c r="F1513" s="54" t="n"/>
      <c r="G1513" t="inlineStr">
        <is>
          <t>no aplica (precio mayorista)</t>
        </is>
      </c>
      <c r="J1513" t="inlineStr">
        <is>
          <t>2024-02-17</t>
        </is>
      </c>
      <c r="K1513" t="inlineStr">
        <is>
          <t>marginalpdbc_20240218.1</t>
        </is>
      </c>
      <c r="L1513" t="inlineStr">
        <is>
          <t>24 periodos; mín 30.18, máx 64.71 €/MWh</t>
        </is>
      </c>
    </row>
    <row r="1514">
      <c r="A1514" s="53" t="n">
        <v>45341</v>
      </c>
      <c r="B1514" t="inlineStr">
        <is>
          <t>2024-02-19</t>
        </is>
      </c>
      <c r="C1514" s="45" t="n">
        <v>45.5479</v>
      </c>
      <c r="D1514" t="inlineStr">
        <is>
          <t>€/MWh</t>
        </is>
      </c>
      <c r="E1514" s="54" t="n">
        <v>0.045548</v>
      </c>
      <c r="F1514" s="54" t="n"/>
      <c r="G1514" t="inlineStr">
        <is>
          <t>no aplica (precio mayorista)</t>
        </is>
      </c>
      <c r="J1514" t="inlineStr">
        <is>
          <t>2024-02-18</t>
        </is>
      </c>
      <c r="K1514" t="inlineStr">
        <is>
          <t>marginalpdbc_20240219.1</t>
        </is>
      </c>
      <c r="L1514" t="inlineStr">
        <is>
          <t>24 periodos; mín 27.79, máx 72.26 €/MWh</t>
        </is>
      </c>
    </row>
    <row r="1515">
      <c r="A1515" s="53" t="n">
        <v>45342</v>
      </c>
      <c r="B1515" t="inlineStr">
        <is>
          <t>2024-02-20</t>
        </is>
      </c>
      <c r="C1515" s="45" t="n">
        <v>52.8629</v>
      </c>
      <c r="D1515" t="inlineStr">
        <is>
          <t>€/MWh</t>
        </is>
      </c>
      <c r="E1515" s="54" t="n">
        <v>0.052863</v>
      </c>
      <c r="F1515" s="54" t="n"/>
      <c r="G1515" t="inlineStr">
        <is>
          <t>no aplica (precio mayorista)</t>
        </is>
      </c>
      <c r="J1515" t="inlineStr">
        <is>
          <t>2024-02-19</t>
        </is>
      </c>
      <c r="K1515" t="inlineStr">
        <is>
          <t>marginalpdbc_20240220.1</t>
        </is>
      </c>
      <c r="L1515" t="inlineStr">
        <is>
          <t>24 periodos; mín 28.60, máx 181.00 €/MWh</t>
        </is>
      </c>
    </row>
    <row r="1516">
      <c r="A1516" s="53" t="n">
        <v>45343</v>
      </c>
      <c r="B1516" t="inlineStr">
        <is>
          <t>2024-02-21</t>
        </is>
      </c>
      <c r="C1516" s="45" t="n">
        <v>45.2996</v>
      </c>
      <c r="D1516" t="inlineStr">
        <is>
          <t>€/MWh</t>
        </is>
      </c>
      <c r="E1516" s="54" t="n">
        <v>0.0453</v>
      </c>
      <c r="F1516" s="54" t="n"/>
      <c r="G1516" t="inlineStr">
        <is>
          <t>no aplica (precio mayorista)</t>
        </is>
      </c>
      <c r="J1516" t="inlineStr">
        <is>
          <t>2024-02-20</t>
        </is>
      </c>
      <c r="K1516" t="inlineStr">
        <is>
          <t>marginalpdbc_20240221.1</t>
        </is>
      </c>
      <c r="L1516" t="inlineStr">
        <is>
          <t>24 periodos; mín 28.60, máx 76.70 €/MWh</t>
        </is>
      </c>
    </row>
    <row r="1517">
      <c r="A1517" s="53" t="n">
        <v>45344</v>
      </c>
      <c r="B1517" t="inlineStr">
        <is>
          <t>2024-02-22</t>
        </is>
      </c>
      <c r="C1517" s="45" t="n">
        <v>10.7088</v>
      </c>
      <c r="D1517" t="inlineStr">
        <is>
          <t>€/MWh</t>
        </is>
      </c>
      <c r="E1517" s="54" t="n">
        <v>0.010709</v>
      </c>
      <c r="F1517" s="54" t="n"/>
      <c r="G1517" t="inlineStr">
        <is>
          <t>no aplica (precio mayorista)</t>
        </is>
      </c>
      <c r="J1517" t="inlineStr">
        <is>
          <t>2024-02-21</t>
        </is>
      </c>
      <c r="K1517" t="inlineStr">
        <is>
          <t>marginalpdbc_20240222.1</t>
        </is>
      </c>
      <c r="L1517" t="inlineStr">
        <is>
          <t>24 periodos; mín 3.20, máx 22.73 €/MWh</t>
        </is>
      </c>
    </row>
    <row r="1518">
      <c r="A1518" s="53" t="n">
        <v>45345</v>
      </c>
      <c r="B1518" t="inlineStr">
        <is>
          <t>2024-02-23</t>
        </is>
      </c>
      <c r="C1518" s="45" t="n">
        <v>6.7158</v>
      </c>
      <c r="D1518" t="inlineStr">
        <is>
          <t>€/MWh</t>
        </is>
      </c>
      <c r="E1518" s="54" t="n">
        <v>0.006716</v>
      </c>
      <c r="F1518" s="54" t="n"/>
      <c r="G1518" t="inlineStr">
        <is>
          <t>no aplica (precio mayorista)</t>
        </is>
      </c>
      <c r="J1518" t="inlineStr">
        <is>
          <t>2024-02-22</t>
        </is>
      </c>
      <c r="K1518" t="inlineStr">
        <is>
          <t>marginalpdbc_20240223.1</t>
        </is>
      </c>
      <c r="L1518" t="inlineStr">
        <is>
          <t>24 periodos; mín 0.01, máx 18.36 €/MWh</t>
        </is>
      </c>
    </row>
    <row r="1519">
      <c r="A1519" s="53" t="n">
        <v>45346</v>
      </c>
      <c r="B1519" t="inlineStr">
        <is>
          <t>2024-02-24</t>
        </is>
      </c>
      <c r="C1519" s="45" t="n">
        <v>6.9417</v>
      </c>
      <c r="D1519" t="inlineStr">
        <is>
          <t>€/MWh</t>
        </is>
      </c>
      <c r="E1519" s="54" t="n">
        <v>0.006942</v>
      </c>
      <c r="F1519" s="54" t="n"/>
      <c r="G1519" t="inlineStr">
        <is>
          <t>no aplica (precio mayorista)</t>
        </is>
      </c>
      <c r="J1519" t="inlineStr">
        <is>
          <t>2024-02-23</t>
        </is>
      </c>
      <c r="K1519" t="inlineStr">
        <is>
          <t>marginalpdbc_20240224.1</t>
        </is>
      </c>
      <c r="L1519" t="inlineStr">
        <is>
          <t>24 periodos; mín 0.00, máx 32.37 €/MWh</t>
        </is>
      </c>
    </row>
    <row r="1520">
      <c r="A1520" s="53" t="n">
        <v>45347</v>
      </c>
      <c r="B1520" t="inlineStr">
        <is>
          <t>2024-02-25</t>
        </is>
      </c>
      <c r="C1520" s="45" t="n">
        <v>3.0604</v>
      </c>
      <c r="D1520" t="inlineStr">
        <is>
          <t>€/MWh</t>
        </is>
      </c>
      <c r="E1520" s="54" t="n">
        <v>0.00306</v>
      </c>
      <c r="F1520" s="54" t="n"/>
      <c r="G1520" t="inlineStr">
        <is>
          <t>no aplica (precio mayorista)</t>
        </is>
      </c>
      <c r="J1520" t="inlineStr">
        <is>
          <t>2024-02-24</t>
        </is>
      </c>
      <c r="K1520" t="inlineStr">
        <is>
          <t>marginalpdbc_20240225.1</t>
        </is>
      </c>
      <c r="L1520" t="inlineStr">
        <is>
          <t>24 periodos; mín 0.00, máx 7.20 €/MWh</t>
        </is>
      </c>
    </row>
    <row r="1521">
      <c r="A1521" s="53" t="n">
        <v>45348</v>
      </c>
      <c r="B1521" t="inlineStr">
        <is>
          <t>2024-02-26</t>
        </is>
      </c>
      <c r="C1521" s="45" t="n">
        <v>3.8175</v>
      </c>
      <c r="D1521" t="inlineStr">
        <is>
          <t>€/MWh</t>
        </is>
      </c>
      <c r="E1521" s="54" t="n">
        <v>0.003818</v>
      </c>
      <c r="F1521" s="54" t="n"/>
      <c r="G1521" t="inlineStr">
        <is>
          <t>no aplica (precio mayorista)</t>
        </is>
      </c>
      <c r="J1521" t="inlineStr">
        <is>
          <t>2024-02-25</t>
        </is>
      </c>
      <c r="K1521" t="inlineStr">
        <is>
          <t>marginalpdbc_20240226.1</t>
        </is>
      </c>
      <c r="L1521" t="inlineStr">
        <is>
          <t>24 periodos; mín 0.00, máx 11.75 €/MWh</t>
        </is>
      </c>
    </row>
    <row r="1522">
      <c r="A1522" s="53" t="n">
        <v>45349</v>
      </c>
      <c r="B1522" t="inlineStr">
        <is>
          <t>2024-02-27</t>
        </is>
      </c>
      <c r="C1522" s="45" t="n">
        <v>3.655</v>
      </c>
      <c r="D1522" t="inlineStr">
        <is>
          <t>€/MWh</t>
        </is>
      </c>
      <c r="E1522" s="54" t="n">
        <v>0.003655</v>
      </c>
      <c r="F1522" s="54" t="n"/>
      <c r="G1522" t="inlineStr">
        <is>
          <t>no aplica (precio mayorista)</t>
        </is>
      </c>
      <c r="J1522" t="inlineStr">
        <is>
          <t>2024-02-26</t>
        </is>
      </c>
      <c r="K1522" t="inlineStr">
        <is>
          <t>marginalpdbc_20240227.1</t>
        </is>
      </c>
      <c r="L1522" t="inlineStr">
        <is>
          <t>24 periodos; mín 0.00, máx 25.00 €/MWh</t>
        </is>
      </c>
    </row>
    <row r="1523">
      <c r="A1523" s="53" t="n">
        <v>45350</v>
      </c>
      <c r="B1523" t="inlineStr">
        <is>
          <t>2024-02-28</t>
        </is>
      </c>
      <c r="C1523" s="45" t="n">
        <v>9.3462</v>
      </c>
      <c r="D1523" t="inlineStr">
        <is>
          <t>€/MWh</t>
        </is>
      </c>
      <c r="E1523" s="54" t="n">
        <v>0.009346</v>
      </c>
      <c r="F1523" s="54" t="n"/>
      <c r="G1523" t="inlineStr">
        <is>
          <t>no aplica (precio mayorista)</t>
        </is>
      </c>
      <c r="J1523" t="inlineStr">
        <is>
          <t>2024-02-27</t>
        </is>
      </c>
      <c r="K1523" t="inlineStr">
        <is>
          <t>marginalpdbc_20240228.1</t>
        </is>
      </c>
      <c r="L1523" t="inlineStr">
        <is>
          <t>24 periodos; mín 0.00, máx 66.96 €/MWh</t>
        </is>
      </c>
    </row>
    <row r="1524">
      <c r="A1524" s="53" t="n">
        <v>45351</v>
      </c>
      <c r="B1524" t="inlineStr">
        <is>
          <t>2024-02-29</t>
        </is>
      </c>
      <c r="C1524" s="45" t="n">
        <v>4.7967</v>
      </c>
      <c r="D1524" t="inlineStr">
        <is>
          <t>€/MWh</t>
        </is>
      </c>
      <c r="E1524" s="54" t="n">
        <v>0.004797</v>
      </c>
      <c r="F1524" s="54" t="n"/>
      <c r="G1524" t="inlineStr">
        <is>
          <t>no aplica (precio mayorista)</t>
        </is>
      </c>
      <c r="J1524" t="inlineStr">
        <is>
          <t>2024-02-28</t>
        </is>
      </c>
      <c r="K1524" t="inlineStr">
        <is>
          <t>marginalpdbc_20240229.1</t>
        </is>
      </c>
      <c r="L1524" t="inlineStr">
        <is>
          <t>24 periodos; mín 0.00, máx 14.67 €/MWh</t>
        </is>
      </c>
    </row>
    <row r="1525">
      <c r="A1525" s="53" t="n">
        <v>45352</v>
      </c>
      <c r="B1525" t="inlineStr">
        <is>
          <t>2024-03-01</t>
        </is>
      </c>
      <c r="C1525" s="45" t="n">
        <v>2.1387</v>
      </c>
      <c r="D1525" t="inlineStr">
        <is>
          <t>€/MWh</t>
        </is>
      </c>
      <c r="E1525" s="54" t="n">
        <v>0.002139</v>
      </c>
      <c r="F1525" s="54" t="n"/>
      <c r="G1525" t="inlineStr">
        <is>
          <t>no aplica (precio mayorista)</t>
        </is>
      </c>
      <c r="J1525" t="inlineStr">
        <is>
          <t>2024-02-29</t>
        </is>
      </c>
      <c r="K1525" t="inlineStr">
        <is>
          <t>marginalpdbc_20240301.1</t>
        </is>
      </c>
      <c r="L1525" t="inlineStr">
        <is>
          <t>24 periodos; mín 0.00, máx 10.10 €/MWh</t>
        </is>
      </c>
    </row>
    <row r="1526">
      <c r="A1526" s="53" t="n">
        <v>45353</v>
      </c>
      <c r="B1526" t="inlineStr">
        <is>
          <t>2024-03-02</t>
        </is>
      </c>
      <c r="C1526" s="45" t="n">
        <v>4.1646</v>
      </c>
      <c r="D1526" t="inlineStr">
        <is>
          <t>€/MWh</t>
        </is>
      </c>
      <c r="E1526" s="54" t="n">
        <v>0.004165</v>
      </c>
      <c r="F1526" s="54" t="n"/>
      <c r="G1526" t="inlineStr">
        <is>
          <t>no aplica (precio mayorista)</t>
        </is>
      </c>
      <c r="J1526" t="inlineStr">
        <is>
          <t>2024-03-01</t>
        </is>
      </c>
      <c r="K1526" t="inlineStr">
        <is>
          <t>marginalpdbc_20240302.1</t>
        </is>
      </c>
      <c r="L1526" t="inlineStr">
        <is>
          <t>24 periodos; mín 0.00, máx 31.25 €/MWh</t>
        </is>
      </c>
    </row>
    <row r="1527">
      <c r="A1527" s="53" t="n">
        <v>45354</v>
      </c>
      <c r="B1527" t="inlineStr">
        <is>
          <t>2024-03-03</t>
        </is>
      </c>
      <c r="C1527" s="45" t="n">
        <v>3.7892</v>
      </c>
      <c r="D1527" t="inlineStr">
        <is>
          <t>€/MWh</t>
        </is>
      </c>
      <c r="E1527" s="54" t="n">
        <v>0.003789</v>
      </c>
      <c r="F1527" s="54" t="n"/>
      <c r="G1527" t="inlineStr">
        <is>
          <t>no aplica (precio mayorista)</t>
        </is>
      </c>
      <c r="J1527" t="inlineStr">
        <is>
          <t>2024-03-02</t>
        </is>
      </c>
      <c r="K1527" t="inlineStr">
        <is>
          <t>marginalpdbc_20240303.1</t>
        </is>
      </c>
      <c r="L1527" t="inlineStr">
        <is>
          <t>24 periodos; mín 0.00, máx 30.60 €/MWh</t>
        </is>
      </c>
    </row>
    <row r="1528">
      <c r="A1528" s="53" t="n">
        <v>45355</v>
      </c>
      <c r="B1528" t="inlineStr">
        <is>
          <t>2024-03-04</t>
        </is>
      </c>
      <c r="C1528" s="45" t="n">
        <v>7.9538</v>
      </c>
      <c r="D1528" t="inlineStr">
        <is>
          <t>€/MWh</t>
        </is>
      </c>
      <c r="E1528" s="54" t="n">
        <v>0.007953999999999999</v>
      </c>
      <c r="F1528" s="54" t="n"/>
      <c r="G1528" t="inlineStr">
        <is>
          <t>no aplica (precio mayorista)</t>
        </is>
      </c>
      <c r="J1528" t="inlineStr">
        <is>
          <t>2024-03-03</t>
        </is>
      </c>
      <c r="K1528" t="inlineStr">
        <is>
          <t>marginalpdbc_20240304.1</t>
        </is>
      </c>
      <c r="L1528" t="inlineStr">
        <is>
          <t>24 periodos; mín 1.00, máx 25.00 €/MWh</t>
        </is>
      </c>
    </row>
    <row r="1529">
      <c r="A1529" s="53" t="n">
        <v>45356</v>
      </c>
      <c r="B1529" t="inlineStr">
        <is>
          <t>2024-03-05</t>
        </is>
      </c>
      <c r="C1529" s="45" t="n">
        <v>33.4529</v>
      </c>
      <c r="D1529" t="inlineStr">
        <is>
          <t>€/MWh</t>
        </is>
      </c>
      <c r="E1529" s="54" t="n">
        <v>0.033453</v>
      </c>
      <c r="F1529" s="54" t="n"/>
      <c r="G1529" t="inlineStr">
        <is>
          <t>no aplica (precio mayorista)</t>
        </is>
      </c>
      <c r="J1529" t="inlineStr">
        <is>
          <t>2024-03-04</t>
        </is>
      </c>
      <c r="K1529" t="inlineStr">
        <is>
          <t>marginalpdbc_20240305.1</t>
        </is>
      </c>
      <c r="L1529" t="inlineStr">
        <is>
          <t>24 periodos; mín 3.90, máx 129.47 €/MWh</t>
        </is>
      </c>
    </row>
    <row r="1530">
      <c r="A1530" s="53" t="n">
        <v>45357</v>
      </c>
      <c r="B1530" t="inlineStr">
        <is>
          <t>2024-03-06</t>
        </is>
      </c>
      <c r="C1530" s="45" t="n">
        <v>45.9663</v>
      </c>
      <c r="D1530" t="inlineStr">
        <is>
          <t>€/MWh</t>
        </is>
      </c>
      <c r="E1530" s="54" t="n">
        <v>0.045966</v>
      </c>
      <c r="F1530" s="54" t="n"/>
      <c r="G1530" t="inlineStr">
        <is>
          <t>no aplica (precio mayorista)</t>
        </is>
      </c>
      <c r="J1530" t="inlineStr">
        <is>
          <t>2024-03-05</t>
        </is>
      </c>
      <c r="K1530" t="inlineStr">
        <is>
          <t>marginalpdbc_20240306.1</t>
        </is>
      </c>
      <c r="L1530" t="inlineStr">
        <is>
          <t>24 periodos; mín 3.87, máx 119.27 €/MWh</t>
        </is>
      </c>
    </row>
    <row r="1531">
      <c r="A1531" s="53" t="n">
        <v>45358</v>
      </c>
      <c r="B1531" t="inlineStr">
        <is>
          <t>2024-03-07</t>
        </is>
      </c>
      <c r="C1531" s="45" t="n">
        <v>8.5229</v>
      </c>
      <c r="D1531" t="inlineStr">
        <is>
          <t>€/MWh</t>
        </is>
      </c>
      <c r="E1531" s="54" t="n">
        <v>0.008522999999999999</v>
      </c>
      <c r="F1531" s="54" t="n"/>
      <c r="G1531" t="inlineStr">
        <is>
          <t>no aplica (precio mayorista)</t>
        </is>
      </c>
      <c r="J1531" t="inlineStr">
        <is>
          <t>2024-03-06</t>
        </is>
      </c>
      <c r="K1531" t="inlineStr">
        <is>
          <t>marginalpdbc_20240307.1</t>
        </is>
      </c>
      <c r="L1531" t="inlineStr">
        <is>
          <t>24 periodos; mín 0.43, máx 35.00 €/MWh</t>
        </is>
      </c>
    </row>
    <row r="1532">
      <c r="A1532" s="53" t="n">
        <v>45359</v>
      </c>
      <c r="B1532" t="inlineStr">
        <is>
          <t>2024-03-08</t>
        </is>
      </c>
      <c r="C1532" s="45" t="n">
        <v>1.6654</v>
      </c>
      <c r="D1532" t="inlineStr">
        <is>
          <t>€/MWh</t>
        </is>
      </c>
      <c r="E1532" s="54" t="n">
        <v>0.001665</v>
      </c>
      <c r="F1532" s="54" t="n"/>
      <c r="G1532" t="inlineStr">
        <is>
          <t>no aplica (precio mayorista)</t>
        </is>
      </c>
      <c r="J1532" t="inlineStr">
        <is>
          <t>2024-03-07</t>
        </is>
      </c>
      <c r="K1532" t="inlineStr">
        <is>
          <t>marginalpdbc_20240308.1</t>
        </is>
      </c>
      <c r="L1532" t="inlineStr">
        <is>
          <t>24 periodos; mín 0.00, máx 5.98 €/MWh</t>
        </is>
      </c>
    </row>
    <row r="1533">
      <c r="A1533" s="53" t="n">
        <v>45360</v>
      </c>
      <c r="B1533" t="inlineStr">
        <is>
          <t>2024-03-09</t>
        </is>
      </c>
      <c r="C1533" s="45" t="n">
        <v>0.5908</v>
      </c>
      <c r="D1533" t="inlineStr">
        <is>
          <t>€/MWh</t>
        </is>
      </c>
      <c r="E1533" s="54" t="n">
        <v>0.0005910000000000001</v>
      </c>
      <c r="F1533" s="54" t="n"/>
      <c r="G1533" t="inlineStr">
        <is>
          <t>no aplica (precio mayorista)</t>
        </is>
      </c>
      <c r="J1533" t="inlineStr">
        <is>
          <t>2024-03-08</t>
        </is>
      </c>
      <c r="K1533" t="inlineStr">
        <is>
          <t>marginalpdbc_20240309.1</t>
        </is>
      </c>
      <c r="L1533" t="inlineStr">
        <is>
          <t>24 periodos; mín 0.00, máx 3.50 €/MWh</t>
        </is>
      </c>
    </row>
    <row r="1534">
      <c r="A1534" s="53" t="n">
        <v>45361</v>
      </c>
      <c r="B1534" t="inlineStr">
        <is>
          <t>2024-03-10</t>
        </is>
      </c>
      <c r="C1534" s="45" t="n">
        <v>0.5371</v>
      </c>
      <c r="D1534" t="inlineStr">
        <is>
          <t>€/MWh</t>
        </is>
      </c>
      <c r="E1534" s="54" t="n">
        <v>0.000537</v>
      </c>
      <c r="F1534" s="54" t="n"/>
      <c r="G1534" t="inlineStr">
        <is>
          <t>no aplica (precio mayorista)</t>
        </is>
      </c>
      <c r="J1534" t="inlineStr">
        <is>
          <t>2024-03-09</t>
        </is>
      </c>
      <c r="K1534" t="inlineStr">
        <is>
          <t>marginalpdbc_20240310.1</t>
        </is>
      </c>
      <c r="L1534" t="inlineStr">
        <is>
          <t>24 periodos; mín 0.00, máx 3.20 €/MWh</t>
        </is>
      </c>
    </row>
    <row r="1535">
      <c r="A1535" s="53" t="n">
        <v>45362</v>
      </c>
      <c r="B1535" t="inlineStr">
        <is>
          <t>2024-03-11</t>
        </is>
      </c>
      <c r="C1535" s="45" t="n">
        <v>14.6325</v>
      </c>
      <c r="D1535" t="inlineStr">
        <is>
          <t>€/MWh</t>
        </is>
      </c>
      <c r="E1535" s="54" t="n">
        <v>0.014632</v>
      </c>
      <c r="F1535" s="54" t="n"/>
      <c r="G1535" t="inlineStr">
        <is>
          <t>no aplica (precio mayorista)</t>
        </is>
      </c>
      <c r="J1535" t="inlineStr">
        <is>
          <t>2024-03-10</t>
        </is>
      </c>
      <c r="K1535" t="inlineStr">
        <is>
          <t>marginalpdbc_20240311.1</t>
        </is>
      </c>
      <c r="L1535" t="inlineStr">
        <is>
          <t>24 periodos; mín 0.00, máx 87.97 €/MWh</t>
        </is>
      </c>
    </row>
    <row r="1536">
      <c r="A1536" s="53" t="n">
        <v>45363</v>
      </c>
      <c r="B1536" t="inlineStr">
        <is>
          <t>2024-03-12</t>
        </is>
      </c>
      <c r="C1536" s="45" t="n">
        <v>42.2825</v>
      </c>
      <c r="D1536" t="inlineStr">
        <is>
          <t>€/MWh</t>
        </is>
      </c>
      <c r="E1536" s="54" t="n">
        <v>0.042283</v>
      </c>
      <c r="F1536" s="54" t="n"/>
      <c r="G1536" t="inlineStr">
        <is>
          <t>no aplica (precio mayorista)</t>
        </is>
      </c>
      <c r="J1536" t="inlineStr">
        <is>
          <t>2024-03-11</t>
        </is>
      </c>
      <c r="K1536" t="inlineStr">
        <is>
          <t>marginalpdbc_20240312.1</t>
        </is>
      </c>
      <c r="L1536" t="inlineStr">
        <is>
          <t>24 periodos; mín 0.10, máx 173.82 €/MWh</t>
        </is>
      </c>
    </row>
    <row r="1537">
      <c r="A1537" s="53" t="n">
        <v>45364</v>
      </c>
      <c r="B1537" t="inlineStr">
        <is>
          <t>2024-03-13</t>
        </is>
      </c>
      <c r="C1537" s="45" t="n">
        <v>42.3558</v>
      </c>
      <c r="D1537" t="inlineStr">
        <is>
          <t>€/MWh</t>
        </is>
      </c>
      <c r="E1537" s="54" t="n">
        <v>0.042356</v>
      </c>
      <c r="F1537" s="54" t="n"/>
      <c r="G1537" t="inlineStr">
        <is>
          <t>no aplica (precio mayorista)</t>
        </is>
      </c>
      <c r="J1537" t="inlineStr">
        <is>
          <t>2024-03-12</t>
        </is>
      </c>
      <c r="K1537" t="inlineStr">
        <is>
          <t>marginalpdbc_20240313.1</t>
        </is>
      </c>
      <c r="L1537" t="inlineStr">
        <is>
          <t>24 periodos; mín 2.01, máx 134.32 €/MWh</t>
        </is>
      </c>
    </row>
    <row r="1538">
      <c r="A1538" s="53" t="n">
        <v>45365</v>
      </c>
      <c r="B1538" t="inlineStr">
        <is>
          <t>2024-03-14</t>
        </is>
      </c>
      <c r="C1538" s="45" t="n">
        <v>35.99</v>
      </c>
      <c r="D1538" t="inlineStr">
        <is>
          <t>€/MWh</t>
        </is>
      </c>
      <c r="E1538" s="54" t="n">
        <v>0.03599</v>
      </c>
      <c r="F1538" s="54" t="n"/>
      <c r="G1538" t="inlineStr">
        <is>
          <t>no aplica (precio mayorista)</t>
        </is>
      </c>
      <c r="J1538" t="inlineStr">
        <is>
          <t>2024-03-13</t>
        </is>
      </c>
      <c r="K1538" t="inlineStr">
        <is>
          <t>marginalpdbc_20240314.1</t>
        </is>
      </c>
      <c r="L1538" t="inlineStr">
        <is>
          <t>24 periodos; mín 3.20, máx 87.85 €/MWh</t>
        </is>
      </c>
    </row>
    <row r="1539">
      <c r="A1539" s="53" t="n">
        <v>45366</v>
      </c>
      <c r="B1539" t="inlineStr">
        <is>
          <t>2024-03-15</t>
        </is>
      </c>
      <c r="C1539" s="45" t="n">
        <v>37.7325</v>
      </c>
      <c r="D1539" t="inlineStr">
        <is>
          <t>€/MWh</t>
        </is>
      </c>
      <c r="E1539" s="54" t="n">
        <v>0.037733</v>
      </c>
      <c r="F1539" s="54" t="n"/>
      <c r="G1539" t="inlineStr">
        <is>
          <t>no aplica (precio mayorista)</t>
        </is>
      </c>
      <c r="J1539" t="inlineStr">
        <is>
          <t>2024-03-14</t>
        </is>
      </c>
      <c r="K1539" t="inlineStr">
        <is>
          <t>marginalpdbc_20240315.1</t>
        </is>
      </c>
      <c r="L1539" t="inlineStr">
        <is>
          <t>24 periodos; mín 10.55, máx 123.58 €/MWh</t>
        </is>
      </c>
    </row>
    <row r="1540">
      <c r="A1540" s="53" t="n">
        <v>45367</v>
      </c>
      <c r="B1540" t="inlineStr">
        <is>
          <t>2024-03-16</t>
        </is>
      </c>
      <c r="C1540" s="45" t="n">
        <v>31.6137</v>
      </c>
      <c r="D1540" t="inlineStr">
        <is>
          <t>€/MWh</t>
        </is>
      </c>
      <c r="E1540" s="54" t="n">
        <v>0.031614</v>
      </c>
      <c r="F1540" s="54" t="n"/>
      <c r="G1540" t="inlineStr">
        <is>
          <t>no aplica (precio mayorista)</t>
        </is>
      </c>
      <c r="J1540" t="inlineStr">
        <is>
          <t>2024-03-15</t>
        </is>
      </c>
      <c r="K1540" t="inlineStr">
        <is>
          <t>marginalpdbc_20240316.1</t>
        </is>
      </c>
      <c r="L1540" t="inlineStr">
        <is>
          <t>24 periodos; mín 0.43, máx 82.61 €/MWh</t>
        </is>
      </c>
    </row>
    <row r="1541">
      <c r="A1541" s="53" t="n">
        <v>45368</v>
      </c>
      <c r="B1541" t="inlineStr">
        <is>
          <t>2024-03-17</t>
        </is>
      </c>
      <c r="C1541" s="45" t="n">
        <v>28.0508</v>
      </c>
      <c r="D1541" t="inlineStr">
        <is>
          <t>€/MWh</t>
        </is>
      </c>
      <c r="E1541" s="54" t="n">
        <v>0.028051</v>
      </c>
      <c r="F1541" s="54" t="n"/>
      <c r="G1541" t="inlineStr">
        <is>
          <t>no aplica (precio mayorista)</t>
        </is>
      </c>
      <c r="J1541" t="inlineStr">
        <is>
          <t>2024-03-16</t>
        </is>
      </c>
      <c r="K1541" t="inlineStr">
        <is>
          <t>marginalpdbc_20240317.1</t>
        </is>
      </c>
      <c r="L1541" t="inlineStr">
        <is>
          <t>24 periodos; mín 0.43, máx 79.96 €/MWh</t>
        </is>
      </c>
    </row>
    <row r="1542">
      <c r="A1542" s="53" t="n">
        <v>45369</v>
      </c>
      <c r="B1542" t="inlineStr">
        <is>
          <t>2024-03-18</t>
        </is>
      </c>
      <c r="C1542" s="45" t="n">
        <v>61.3354</v>
      </c>
      <c r="D1542" t="inlineStr">
        <is>
          <t>€/MWh</t>
        </is>
      </c>
      <c r="E1542" s="54" t="n">
        <v>0.061335</v>
      </c>
      <c r="F1542" s="54" t="n"/>
      <c r="G1542" t="inlineStr">
        <is>
          <t>no aplica (precio mayorista)</t>
        </is>
      </c>
      <c r="J1542" t="inlineStr">
        <is>
          <t>2024-03-17</t>
        </is>
      </c>
      <c r="K1542" t="inlineStr">
        <is>
          <t>marginalpdbc_20240318.1</t>
        </is>
      </c>
      <c r="L1542" t="inlineStr">
        <is>
          <t>24 periodos; mín 35.00, máx 125.16 €/MWh</t>
        </is>
      </c>
    </row>
    <row r="1543">
      <c r="A1543" s="53" t="n">
        <v>45370</v>
      </c>
      <c r="B1543" t="inlineStr">
        <is>
          <t>2024-03-19</t>
        </is>
      </c>
      <c r="C1543" s="45" t="n">
        <v>65.0046</v>
      </c>
      <c r="D1543" t="inlineStr">
        <is>
          <t>€/MWh</t>
        </is>
      </c>
      <c r="E1543" s="54" t="n">
        <v>0.06500499999999999</v>
      </c>
      <c r="F1543" s="54" t="n"/>
      <c r="G1543" t="inlineStr">
        <is>
          <t>no aplica (precio mayorista)</t>
        </is>
      </c>
      <c r="J1543" t="inlineStr">
        <is>
          <t>2024-03-18</t>
        </is>
      </c>
      <c r="K1543" t="inlineStr">
        <is>
          <t>marginalpdbc_20240319.1</t>
        </is>
      </c>
      <c r="L1543" t="inlineStr">
        <is>
          <t>24 periodos; mín 35.00, máx 128.96 €/MWh</t>
        </is>
      </c>
    </row>
    <row r="1544">
      <c r="A1544" s="53" t="n">
        <v>45371</v>
      </c>
      <c r="B1544" t="inlineStr">
        <is>
          <t>2024-03-20</t>
        </is>
      </c>
      <c r="C1544" s="45" t="n">
        <v>56.9442</v>
      </c>
      <c r="D1544" t="inlineStr">
        <is>
          <t>€/MWh</t>
        </is>
      </c>
      <c r="E1544" s="54" t="n">
        <v>0.056944</v>
      </c>
      <c r="F1544" s="54" t="n"/>
      <c r="G1544" t="inlineStr">
        <is>
          <t>no aplica (precio mayorista)</t>
        </is>
      </c>
      <c r="J1544" t="inlineStr">
        <is>
          <t>2024-03-19</t>
        </is>
      </c>
      <c r="K1544" t="inlineStr">
        <is>
          <t>marginalpdbc_20240320.1</t>
        </is>
      </c>
      <c r="L1544" t="inlineStr">
        <is>
          <t>24 periodos; mín 27.00, máx 100.76 €/MWh</t>
        </is>
      </c>
    </row>
    <row r="1545">
      <c r="A1545" s="53" t="n">
        <v>45372</v>
      </c>
      <c r="B1545" t="inlineStr">
        <is>
          <t>2024-03-21</t>
        </is>
      </c>
      <c r="C1545" s="45" t="n">
        <v>35.9042</v>
      </c>
      <c r="D1545" t="inlineStr">
        <is>
          <t>€/MWh</t>
        </is>
      </c>
      <c r="E1545" s="54" t="n">
        <v>0.035904</v>
      </c>
      <c r="F1545" s="54" t="n"/>
      <c r="G1545" t="inlineStr">
        <is>
          <t>no aplica (precio mayorista)</t>
        </is>
      </c>
      <c r="J1545" t="inlineStr">
        <is>
          <t>2024-03-20</t>
        </is>
      </c>
      <c r="K1545" t="inlineStr">
        <is>
          <t>marginalpdbc_20240321.1</t>
        </is>
      </c>
      <c r="L1545" t="inlineStr">
        <is>
          <t>24 periodos; mín 10.61, máx 84.00 €/MWh</t>
        </is>
      </c>
    </row>
    <row r="1546">
      <c r="A1546" s="53" t="n">
        <v>45373</v>
      </c>
      <c r="B1546" t="inlineStr">
        <is>
          <t>2024-03-22</t>
        </is>
      </c>
      <c r="C1546" s="45" t="n">
        <v>22.4042</v>
      </c>
      <c r="D1546" t="inlineStr">
        <is>
          <t>€/MWh</t>
        </is>
      </c>
      <c r="E1546" s="54" t="n">
        <v>0.022404</v>
      </c>
      <c r="F1546" s="54" t="n"/>
      <c r="G1546" t="inlineStr">
        <is>
          <t>no aplica (precio mayorista)</t>
        </is>
      </c>
      <c r="J1546" t="inlineStr">
        <is>
          <t>2024-03-21</t>
        </is>
      </c>
      <c r="K1546" t="inlineStr">
        <is>
          <t>marginalpdbc_20240322.1</t>
        </is>
      </c>
      <c r="L1546" t="inlineStr">
        <is>
          <t>24 periodos; mín 1.10, máx 57.30 €/MWh</t>
        </is>
      </c>
    </row>
    <row r="1547">
      <c r="A1547" s="53" t="n">
        <v>45374</v>
      </c>
      <c r="B1547" t="inlineStr">
        <is>
          <t>2024-03-23</t>
        </is>
      </c>
      <c r="C1547" s="45" t="n">
        <v>2.0054</v>
      </c>
      <c r="D1547" t="inlineStr">
        <is>
          <t>€/MWh</t>
        </is>
      </c>
      <c r="E1547" s="54" t="n">
        <v>0.002005</v>
      </c>
      <c r="F1547" s="54" t="n"/>
      <c r="G1547" t="inlineStr">
        <is>
          <t>no aplica (precio mayorista)</t>
        </is>
      </c>
      <c r="J1547" t="inlineStr">
        <is>
          <t>2024-03-22</t>
        </is>
      </c>
      <c r="K1547" t="inlineStr">
        <is>
          <t>marginalpdbc_20240323.1</t>
        </is>
      </c>
      <c r="L1547" t="inlineStr">
        <is>
          <t>24 periodos; mín 0.00, máx 9.01 €/MWh</t>
        </is>
      </c>
    </row>
    <row r="1548">
      <c r="A1548" s="53" t="n">
        <v>45375</v>
      </c>
      <c r="B1548" t="inlineStr">
        <is>
          <t>2024-03-24</t>
        </is>
      </c>
      <c r="C1548" s="45" t="n">
        <v>6.6917</v>
      </c>
      <c r="D1548" t="inlineStr">
        <is>
          <t>€/MWh</t>
        </is>
      </c>
      <c r="E1548" s="54" t="n">
        <v>0.006692</v>
      </c>
      <c r="F1548" s="54" t="n"/>
      <c r="G1548" t="inlineStr">
        <is>
          <t>no aplica (precio mayorista)</t>
        </is>
      </c>
      <c r="J1548" t="inlineStr">
        <is>
          <t>2024-03-23</t>
        </is>
      </c>
      <c r="K1548" t="inlineStr">
        <is>
          <t>marginalpdbc_20240324.1</t>
        </is>
      </c>
      <c r="L1548" t="inlineStr">
        <is>
          <t>24 periodos; mín 0.00, máx 35.00 €/MWh</t>
        </is>
      </c>
    </row>
    <row r="1549">
      <c r="A1549" s="53" t="n">
        <v>45376</v>
      </c>
      <c r="B1549" t="inlineStr">
        <is>
          <t>2024-03-25</t>
        </is>
      </c>
      <c r="C1549" s="45" t="n">
        <v>23.7454</v>
      </c>
      <c r="D1549" t="inlineStr">
        <is>
          <t>€/MWh</t>
        </is>
      </c>
      <c r="E1549" s="54" t="n">
        <v>0.023745</v>
      </c>
      <c r="F1549" s="54" t="n"/>
      <c r="G1549" t="inlineStr">
        <is>
          <t>no aplica (precio mayorista)</t>
        </is>
      </c>
      <c r="J1549" t="inlineStr">
        <is>
          <t>2024-03-24</t>
        </is>
      </c>
      <c r="K1549" t="inlineStr">
        <is>
          <t>marginalpdbc_20240325.1</t>
        </is>
      </c>
      <c r="L1549" t="inlineStr">
        <is>
          <t>24 periodos; mín 2.10, máx 75.75 €/MWh</t>
        </is>
      </c>
    </row>
    <row r="1550">
      <c r="A1550" s="53" t="n">
        <v>45377</v>
      </c>
      <c r="B1550" t="inlineStr">
        <is>
          <t>2024-03-26</t>
        </is>
      </c>
      <c r="C1550" s="45" t="n">
        <v>2.3596</v>
      </c>
      <c r="D1550" t="inlineStr">
        <is>
          <t>€/MWh</t>
        </is>
      </c>
      <c r="E1550" s="54" t="n">
        <v>0.00236</v>
      </c>
      <c r="F1550" s="54" t="n"/>
      <c r="G1550" t="inlineStr">
        <is>
          <t>no aplica (precio mayorista)</t>
        </is>
      </c>
      <c r="J1550" t="inlineStr">
        <is>
          <t>2024-03-25</t>
        </is>
      </c>
      <c r="K1550" t="inlineStr">
        <is>
          <t>marginalpdbc_20240326.1</t>
        </is>
      </c>
      <c r="L1550" t="inlineStr">
        <is>
          <t>24 periodos; mín 0.00, máx 14.00 €/MWh</t>
        </is>
      </c>
    </row>
    <row r="1551">
      <c r="A1551" s="53" t="n">
        <v>45378</v>
      </c>
      <c r="B1551" t="inlineStr">
        <is>
          <t>2024-03-27</t>
        </is>
      </c>
      <c r="C1551" s="45" t="n">
        <v>0.755</v>
      </c>
      <c r="D1551" t="inlineStr">
        <is>
          <t>€/MWh</t>
        </is>
      </c>
      <c r="E1551" s="54" t="n">
        <v>0.000755</v>
      </c>
      <c r="F1551" s="54" t="n"/>
      <c r="G1551" t="inlineStr">
        <is>
          <t>no aplica (precio mayorista)</t>
        </is>
      </c>
      <c r="J1551" t="inlineStr">
        <is>
          <t>2024-03-26</t>
        </is>
      </c>
      <c r="K1551" t="inlineStr">
        <is>
          <t>marginalpdbc_20240327.1</t>
        </is>
      </c>
      <c r="L1551" t="inlineStr">
        <is>
          <t>24 periodos; mín 0.00, máx 3.20 €/MWh</t>
        </is>
      </c>
    </row>
    <row r="1552">
      <c r="A1552" s="53" t="n">
        <v>45379</v>
      </c>
      <c r="B1552" t="inlineStr">
        <is>
          <t>2024-03-28</t>
        </is>
      </c>
      <c r="C1552" s="45" t="n">
        <v>0.66</v>
      </c>
      <c r="D1552" t="inlineStr">
        <is>
          <t>€/MWh</t>
        </is>
      </c>
      <c r="E1552" s="54" t="n">
        <v>0.00066</v>
      </c>
      <c r="F1552" s="54" t="n"/>
      <c r="G1552" t="inlineStr">
        <is>
          <t>no aplica (precio mayorista)</t>
        </is>
      </c>
      <c r="J1552" t="inlineStr">
        <is>
          <t>2024-03-27</t>
        </is>
      </c>
      <c r="K1552" t="inlineStr">
        <is>
          <t>marginalpdbc_20240328.1</t>
        </is>
      </c>
      <c r="L1552" t="inlineStr">
        <is>
          <t>24 periodos; mín 0.00, máx 3.20 €/MWh</t>
        </is>
      </c>
    </row>
    <row r="1553">
      <c r="A1553" s="53" t="n">
        <v>45380</v>
      </c>
      <c r="B1553" t="inlineStr">
        <is>
          <t>2024-03-29</t>
        </is>
      </c>
      <c r="C1553" s="45" t="n">
        <v>4.0525</v>
      </c>
      <c r="D1553" t="inlineStr">
        <is>
          <t>€/MWh</t>
        </is>
      </c>
      <c r="E1553" s="54" t="n">
        <v>0.004053</v>
      </c>
      <c r="F1553" s="54" t="n"/>
      <c r="G1553" t="inlineStr">
        <is>
          <t>no aplica (precio mayorista)</t>
        </is>
      </c>
      <c r="J1553" t="inlineStr">
        <is>
          <t>2024-03-28</t>
        </is>
      </c>
      <c r="K1553" t="inlineStr">
        <is>
          <t>marginalpdbc_20240329.1</t>
        </is>
      </c>
      <c r="L1553" t="inlineStr">
        <is>
          <t>24 periodos; mín 0.40, máx 21.42 €/MWh</t>
        </is>
      </c>
    </row>
    <row r="1554">
      <c r="A1554" s="53" t="n">
        <v>45381</v>
      </c>
      <c r="B1554" t="inlineStr">
        <is>
          <t>2024-03-30</t>
        </is>
      </c>
      <c r="C1554" s="45" t="n">
        <v>4.5158</v>
      </c>
      <c r="D1554" t="inlineStr">
        <is>
          <t>€/MWh</t>
        </is>
      </c>
      <c r="E1554" s="54" t="n">
        <v>0.004516</v>
      </c>
      <c r="F1554" s="54" t="n"/>
      <c r="G1554" t="inlineStr">
        <is>
          <t>no aplica (precio mayorista)</t>
        </is>
      </c>
      <c r="J1554" t="inlineStr">
        <is>
          <t>2024-03-29</t>
        </is>
      </c>
      <c r="K1554" t="inlineStr">
        <is>
          <t>marginalpdbc_20240330.1</t>
        </is>
      </c>
      <c r="L1554" t="inlineStr">
        <is>
          <t>24 periodos; mín 0.43, máx 16.70 €/MWh</t>
        </is>
      </c>
    </row>
    <row r="1555">
      <c r="A1555" s="53" t="n">
        <v>45382</v>
      </c>
      <c r="B1555" t="inlineStr">
        <is>
          <t>2024-03-31</t>
        </is>
      </c>
      <c r="C1555" s="45" t="n">
        <v>0.8326</v>
      </c>
      <c r="D1555" t="inlineStr">
        <is>
          <t>€/MWh</t>
        </is>
      </c>
      <c r="E1555" s="54" t="n">
        <v>0.000833</v>
      </c>
      <c r="F1555" s="54" t="n"/>
      <c r="G1555" t="inlineStr">
        <is>
          <t>no aplica (precio mayorista)</t>
        </is>
      </c>
      <c r="J1555" t="inlineStr">
        <is>
          <t>2024-03-30</t>
        </is>
      </c>
      <c r="K1555" t="inlineStr">
        <is>
          <t>marginalpdbc_20240331.1</t>
        </is>
      </c>
      <c r="L1555" t="inlineStr">
        <is>
          <t>23 periodos; mín 0.00, máx 3.20 €/MWh</t>
        </is>
      </c>
    </row>
    <row r="1556">
      <c r="A1556" s="53" t="n">
        <v>45383</v>
      </c>
      <c r="B1556" t="inlineStr">
        <is>
          <t>2024-04-01</t>
        </is>
      </c>
      <c r="C1556" s="45" t="n">
        <v>2.7637</v>
      </c>
      <c r="D1556" t="inlineStr">
        <is>
          <t>€/MWh</t>
        </is>
      </c>
      <c r="E1556" s="54" t="n">
        <v>0.002764</v>
      </c>
      <c r="F1556" s="54" t="n"/>
      <c r="G1556" t="inlineStr">
        <is>
          <t>no aplica (precio mayorista)</t>
        </is>
      </c>
      <c r="J1556" t="inlineStr">
        <is>
          <t>2024-03-31</t>
        </is>
      </c>
      <c r="K1556" t="inlineStr">
        <is>
          <t>marginalpdbc_20240401.1</t>
        </is>
      </c>
      <c r="L1556" t="inlineStr">
        <is>
          <t>24 periodos; mín -0.01, máx 21.43 €/MWh</t>
        </is>
      </c>
    </row>
    <row r="1557">
      <c r="A1557" s="53" t="n">
        <v>45384</v>
      </c>
      <c r="B1557" t="inlineStr">
        <is>
          <t>2024-04-02</t>
        </is>
      </c>
      <c r="C1557" s="45" t="n">
        <v>9.8513</v>
      </c>
      <c r="D1557" t="inlineStr">
        <is>
          <t>€/MWh</t>
        </is>
      </c>
      <c r="E1557" s="54" t="n">
        <v>0.009851</v>
      </c>
      <c r="F1557" s="54" t="n"/>
      <c r="G1557" t="inlineStr">
        <is>
          <t>no aplica (precio mayorista)</t>
        </is>
      </c>
      <c r="J1557" t="inlineStr">
        <is>
          <t>2024-04-01</t>
        </is>
      </c>
      <c r="K1557" t="inlineStr">
        <is>
          <t>marginalpdbc_20240402.1</t>
        </is>
      </c>
      <c r="L1557" t="inlineStr">
        <is>
          <t>24 periodos; mín 0.00, máx 35.00 €/MWh</t>
        </is>
      </c>
    </row>
    <row r="1558">
      <c r="A1558" s="53" t="n">
        <v>45385</v>
      </c>
      <c r="B1558" t="inlineStr">
        <is>
          <t>2024-04-03</t>
        </is>
      </c>
      <c r="C1558" s="45" t="n">
        <v>9.030799999999999</v>
      </c>
      <c r="D1558" t="inlineStr">
        <is>
          <t>€/MWh</t>
        </is>
      </c>
      <c r="E1558" s="54" t="n">
        <v>0.009031000000000001</v>
      </c>
      <c r="F1558" s="54" t="n"/>
      <c r="G1558" t="inlineStr">
        <is>
          <t>no aplica (precio mayorista)</t>
        </is>
      </c>
      <c r="J1558" t="inlineStr">
        <is>
          <t>2024-04-02</t>
        </is>
      </c>
      <c r="K1558" t="inlineStr">
        <is>
          <t>marginalpdbc_20240403.1</t>
        </is>
      </c>
      <c r="L1558" t="inlineStr">
        <is>
          <t>24 periodos; mín 0.00, máx 35.00 €/MWh</t>
        </is>
      </c>
    </row>
    <row r="1559">
      <c r="A1559" s="53" t="n">
        <v>45386</v>
      </c>
      <c r="B1559" t="inlineStr">
        <is>
          <t>2024-04-04</t>
        </is>
      </c>
      <c r="C1559" s="45" t="n">
        <v>3.9987</v>
      </c>
      <c r="D1559" t="inlineStr">
        <is>
          <t>€/MWh</t>
        </is>
      </c>
      <c r="E1559" s="54" t="n">
        <v>0.003999</v>
      </c>
      <c r="F1559" s="54" t="n"/>
      <c r="G1559" t="inlineStr">
        <is>
          <t>no aplica (precio mayorista)</t>
        </is>
      </c>
      <c r="J1559" t="inlineStr">
        <is>
          <t>2024-04-03</t>
        </is>
      </c>
      <c r="K1559" t="inlineStr">
        <is>
          <t>marginalpdbc_20240404.1</t>
        </is>
      </c>
      <c r="L1559" t="inlineStr">
        <is>
          <t>24 periodos; mín 0.00, máx 25.00 €/MWh</t>
        </is>
      </c>
    </row>
    <row r="1560">
      <c r="A1560" s="53" t="n">
        <v>45387</v>
      </c>
      <c r="B1560" t="inlineStr">
        <is>
          <t>2024-04-05</t>
        </is>
      </c>
      <c r="C1560" s="45" t="n">
        <v>0.4396</v>
      </c>
      <c r="D1560" t="inlineStr">
        <is>
          <t>€/MWh</t>
        </is>
      </c>
      <c r="E1560" s="54" t="n">
        <v>0.00044</v>
      </c>
      <c r="F1560" s="54" t="n"/>
      <c r="G1560" t="inlineStr">
        <is>
          <t>no aplica (precio mayorista)</t>
        </is>
      </c>
      <c r="J1560" t="inlineStr">
        <is>
          <t>2024-04-04</t>
        </is>
      </c>
      <c r="K1560" t="inlineStr">
        <is>
          <t>marginalpdbc_20240405.1</t>
        </is>
      </c>
      <c r="L1560" t="inlineStr">
        <is>
          <t>24 periodos; mín -0.01, máx 3.25 €/MWh</t>
        </is>
      </c>
    </row>
    <row r="1561">
      <c r="A1561" s="53" t="n">
        <v>45388</v>
      </c>
      <c r="B1561" t="inlineStr">
        <is>
          <t>2024-04-06</t>
        </is>
      </c>
      <c r="C1561" s="45" t="n">
        <v>0.7442</v>
      </c>
      <c r="D1561" t="inlineStr">
        <is>
          <t>€/MWh</t>
        </is>
      </c>
      <c r="E1561" s="54" t="n">
        <v>0.000744</v>
      </c>
      <c r="F1561" s="54" t="n"/>
      <c r="G1561" t="inlineStr">
        <is>
          <t>no aplica (precio mayorista)</t>
        </is>
      </c>
      <c r="J1561" t="inlineStr">
        <is>
          <t>2024-04-05</t>
        </is>
      </c>
      <c r="K1561" t="inlineStr">
        <is>
          <t>marginalpdbc_20240406.1</t>
        </is>
      </c>
      <c r="L1561" t="inlineStr">
        <is>
          <t>24 periodos; mín -0.02, máx 8.00 €/MWh</t>
        </is>
      </c>
    </row>
    <row r="1562">
      <c r="A1562" s="53" t="n">
        <v>45389</v>
      </c>
      <c r="B1562" t="inlineStr">
        <is>
          <t>2024-04-07</t>
        </is>
      </c>
      <c r="C1562" s="45" t="n">
        <v>4.0475</v>
      </c>
      <c r="D1562" t="inlineStr">
        <is>
          <t>€/MWh</t>
        </is>
      </c>
      <c r="E1562" s="54" t="n">
        <v>0.004048</v>
      </c>
      <c r="F1562" s="54" t="n"/>
      <c r="G1562" t="inlineStr">
        <is>
          <t>no aplica (precio mayorista)</t>
        </is>
      </c>
      <c r="J1562" t="inlineStr">
        <is>
          <t>2024-04-06</t>
        </is>
      </c>
      <c r="K1562" t="inlineStr">
        <is>
          <t>marginalpdbc_20240407.1</t>
        </is>
      </c>
      <c r="L1562" t="inlineStr">
        <is>
          <t>24 periodos; mín -0.01, máx 35.00 €/MWh</t>
        </is>
      </c>
    </row>
    <row r="1563">
      <c r="A1563" s="53" t="n">
        <v>45390</v>
      </c>
      <c r="B1563" t="inlineStr">
        <is>
          <t>2024-04-08</t>
        </is>
      </c>
      <c r="C1563" s="45" t="n">
        <v>0.5212</v>
      </c>
      <c r="D1563" t="inlineStr">
        <is>
          <t>€/MWh</t>
        </is>
      </c>
      <c r="E1563" s="54" t="n">
        <v>0.000521</v>
      </c>
      <c r="F1563" s="54" t="n"/>
      <c r="G1563" t="inlineStr">
        <is>
          <t>no aplica (precio mayorista)</t>
        </is>
      </c>
      <c r="J1563" t="inlineStr">
        <is>
          <t>2024-04-07</t>
        </is>
      </c>
      <c r="K1563" t="inlineStr">
        <is>
          <t>marginalpdbc_20240408.1</t>
        </is>
      </c>
      <c r="L1563" t="inlineStr">
        <is>
          <t>24 periodos; mín -0.01, máx 3.25 €/MWh</t>
        </is>
      </c>
    </row>
    <row r="1564">
      <c r="A1564" s="53" t="n">
        <v>45391</v>
      </c>
      <c r="B1564" t="inlineStr">
        <is>
          <t>2024-04-09</t>
        </is>
      </c>
      <c r="C1564" s="45" t="n">
        <v>1.2896</v>
      </c>
      <c r="D1564" t="inlineStr">
        <is>
          <t>€/MWh</t>
        </is>
      </c>
      <c r="E1564" s="54" t="n">
        <v>0.00129</v>
      </c>
      <c r="F1564" s="54" t="n"/>
      <c r="G1564" t="inlineStr">
        <is>
          <t>no aplica (precio mayorista)</t>
        </is>
      </c>
      <c r="J1564" t="inlineStr">
        <is>
          <t>2024-04-08</t>
        </is>
      </c>
      <c r="K1564" t="inlineStr">
        <is>
          <t>marginalpdbc_20240409.1</t>
        </is>
      </c>
      <c r="L1564" t="inlineStr">
        <is>
          <t>24 periodos; mín -0.02, máx 14.72 €/MWh</t>
        </is>
      </c>
    </row>
    <row r="1565">
      <c r="A1565" s="53" t="n">
        <v>45392</v>
      </c>
      <c r="B1565" t="inlineStr">
        <is>
          <t>2024-04-10</t>
        </is>
      </c>
      <c r="C1565" s="45" t="n">
        <v>4.3121</v>
      </c>
      <c r="D1565" t="inlineStr">
        <is>
          <t>€/MWh</t>
        </is>
      </c>
      <c r="E1565" s="54" t="n">
        <v>0.004312</v>
      </c>
      <c r="F1565" s="54" t="n"/>
      <c r="G1565" t="inlineStr">
        <is>
          <t>no aplica (precio mayorista)</t>
        </is>
      </c>
      <c r="J1565" t="inlineStr">
        <is>
          <t>2024-04-09</t>
        </is>
      </c>
      <c r="K1565" t="inlineStr">
        <is>
          <t>marginalpdbc_20240410.1</t>
        </is>
      </c>
      <c r="L1565" t="inlineStr">
        <is>
          <t>24 periodos; mín -0.05, máx 35.00 €/MWh</t>
        </is>
      </c>
    </row>
    <row r="1566">
      <c r="A1566" s="53" t="n">
        <v>45393</v>
      </c>
      <c r="B1566" t="inlineStr">
        <is>
          <t>2024-04-11</t>
        </is>
      </c>
      <c r="C1566" s="45" t="n">
        <v>12.0288</v>
      </c>
      <c r="D1566" t="inlineStr">
        <is>
          <t>€/MWh</t>
        </is>
      </c>
      <c r="E1566" s="54" t="n">
        <v>0.012029</v>
      </c>
      <c r="F1566" s="54" t="n"/>
      <c r="G1566" t="inlineStr">
        <is>
          <t>no aplica (precio mayorista)</t>
        </is>
      </c>
      <c r="J1566" t="inlineStr">
        <is>
          <t>2024-04-10</t>
        </is>
      </c>
      <c r="K1566" t="inlineStr">
        <is>
          <t>marginalpdbc_20240411.1</t>
        </is>
      </c>
      <c r="L1566" t="inlineStr">
        <is>
          <t>24 periodos; mín -0.02, máx 70.95 €/MWh</t>
        </is>
      </c>
    </row>
    <row r="1567">
      <c r="A1567" s="53" t="n">
        <v>45394</v>
      </c>
      <c r="B1567" t="inlineStr">
        <is>
          <t>2024-04-12</t>
        </is>
      </c>
      <c r="C1567" s="45" t="n">
        <v>19.9425</v>
      </c>
      <c r="D1567" t="inlineStr">
        <is>
          <t>€/MWh</t>
        </is>
      </c>
      <c r="E1567" s="54" t="n">
        <v>0.019942</v>
      </c>
      <c r="F1567" s="54" t="n"/>
      <c r="G1567" t="inlineStr">
        <is>
          <t>no aplica (precio mayorista)</t>
        </is>
      </c>
      <c r="J1567" t="inlineStr">
        <is>
          <t>2024-04-11</t>
        </is>
      </c>
      <c r="K1567" t="inlineStr">
        <is>
          <t>marginalpdbc_20240412.1</t>
        </is>
      </c>
      <c r="L1567" t="inlineStr">
        <is>
          <t>24 periodos; mín -0.10, máx 78.44 €/MWh</t>
        </is>
      </c>
    </row>
    <row r="1568">
      <c r="A1568" s="53" t="n">
        <v>45395</v>
      </c>
      <c r="B1568" t="inlineStr">
        <is>
          <t>2024-04-13</t>
        </is>
      </c>
      <c r="C1568" s="45" t="n">
        <v>9.1671</v>
      </c>
      <c r="D1568" t="inlineStr">
        <is>
          <t>€/MWh</t>
        </is>
      </c>
      <c r="E1568" s="54" t="n">
        <v>0.009167</v>
      </c>
      <c r="F1568" s="54" t="n"/>
      <c r="G1568" t="inlineStr">
        <is>
          <t>no aplica (precio mayorista)</t>
        </is>
      </c>
      <c r="J1568" t="inlineStr">
        <is>
          <t>2024-04-12</t>
        </is>
      </c>
      <c r="K1568" t="inlineStr">
        <is>
          <t>marginalpdbc_20240413.1</t>
        </is>
      </c>
      <c r="L1568" t="inlineStr">
        <is>
          <t>24 periodos; mín -0.40, máx 35.00 €/MWh</t>
        </is>
      </c>
    </row>
    <row r="1569">
      <c r="A1569" s="53" t="n">
        <v>45396</v>
      </c>
      <c r="B1569" t="inlineStr">
        <is>
          <t>2024-04-14</t>
        </is>
      </c>
      <c r="C1569" s="45" t="n">
        <v>5.5987</v>
      </c>
      <c r="D1569" t="inlineStr">
        <is>
          <t>€/MWh</t>
        </is>
      </c>
      <c r="E1569" s="54" t="n">
        <v>0.005599</v>
      </c>
      <c r="F1569" s="54" t="n"/>
      <c r="G1569" t="inlineStr">
        <is>
          <t>no aplica (precio mayorista)</t>
        </is>
      </c>
      <c r="J1569" t="inlineStr">
        <is>
          <t>2024-04-13</t>
        </is>
      </c>
      <c r="K1569" t="inlineStr">
        <is>
          <t>marginalpdbc_20240414.1</t>
        </is>
      </c>
      <c r="L1569" t="inlineStr">
        <is>
          <t>24 periodos; mín -1.01, máx 30.77 €/MWh</t>
        </is>
      </c>
    </row>
    <row r="1570">
      <c r="A1570" s="53" t="n">
        <v>45397</v>
      </c>
      <c r="B1570" t="inlineStr">
        <is>
          <t>2024-04-15</t>
        </is>
      </c>
      <c r="C1570" s="45" t="n">
        <v>3.4838</v>
      </c>
      <c r="D1570" t="inlineStr">
        <is>
          <t>€/MWh</t>
        </is>
      </c>
      <c r="E1570" s="54" t="n">
        <v>0.003484</v>
      </c>
      <c r="F1570" s="54" t="n"/>
      <c r="G1570" t="inlineStr">
        <is>
          <t>no aplica (precio mayorista)</t>
        </is>
      </c>
      <c r="J1570" t="inlineStr">
        <is>
          <t>2024-04-14</t>
        </is>
      </c>
      <c r="K1570" t="inlineStr">
        <is>
          <t>marginalpdbc_20240415.1</t>
        </is>
      </c>
      <c r="L1570" t="inlineStr">
        <is>
          <t>24 periodos; mín -1.00, máx 19.72 €/MWh</t>
        </is>
      </c>
    </row>
    <row r="1571">
      <c r="A1571" s="53" t="n">
        <v>45398</v>
      </c>
      <c r="B1571" t="inlineStr">
        <is>
          <t>2024-04-16</t>
        </is>
      </c>
      <c r="C1571" s="45" t="n">
        <v>1.3671</v>
      </c>
      <c r="D1571" t="inlineStr">
        <is>
          <t>€/MWh</t>
        </is>
      </c>
      <c r="E1571" s="54" t="n">
        <v>0.001367</v>
      </c>
      <c r="F1571" s="54" t="n"/>
      <c r="G1571" t="inlineStr">
        <is>
          <t>no aplica (precio mayorista)</t>
        </is>
      </c>
      <c r="J1571" t="inlineStr">
        <is>
          <t>2024-04-15</t>
        </is>
      </c>
      <c r="K1571" t="inlineStr">
        <is>
          <t>marginalpdbc_20240416.1</t>
        </is>
      </c>
      <c r="L1571" t="inlineStr">
        <is>
          <t>24 periodos; mín -0.13, máx 10.01 €/MWh</t>
        </is>
      </c>
    </row>
    <row r="1572">
      <c r="A1572" s="53" t="n">
        <v>45399</v>
      </c>
      <c r="B1572" t="inlineStr">
        <is>
          <t>2024-04-17</t>
        </is>
      </c>
      <c r="C1572" s="45" t="n">
        <v>3.2604</v>
      </c>
      <c r="D1572" t="inlineStr">
        <is>
          <t>€/MWh</t>
        </is>
      </c>
      <c r="E1572" s="54" t="n">
        <v>0.00326</v>
      </c>
      <c r="F1572" s="54" t="n"/>
      <c r="G1572" t="inlineStr">
        <is>
          <t>no aplica (precio mayorista)</t>
        </is>
      </c>
      <c r="J1572" t="inlineStr">
        <is>
          <t>2024-04-16</t>
        </is>
      </c>
      <c r="K1572" t="inlineStr">
        <is>
          <t>marginalpdbc_20240417.1</t>
        </is>
      </c>
      <c r="L1572" t="inlineStr">
        <is>
          <t>24 periodos; mín -0.05, máx 22.34 €/MWh</t>
        </is>
      </c>
    </row>
    <row r="1573">
      <c r="A1573" s="53" t="n">
        <v>45400</v>
      </c>
      <c r="B1573" t="inlineStr">
        <is>
          <t>2024-04-18</t>
        </is>
      </c>
      <c r="C1573" s="45" t="n">
        <v>4.5379</v>
      </c>
      <c r="D1573" t="inlineStr">
        <is>
          <t>€/MWh</t>
        </is>
      </c>
      <c r="E1573" s="54" t="n">
        <v>0.004538</v>
      </c>
      <c r="F1573" s="54" t="n"/>
      <c r="G1573" t="inlineStr">
        <is>
          <t>no aplica (precio mayorista)</t>
        </is>
      </c>
      <c r="J1573" t="inlineStr">
        <is>
          <t>2024-04-17</t>
        </is>
      </c>
      <c r="K1573" t="inlineStr">
        <is>
          <t>marginalpdbc_20240418.1</t>
        </is>
      </c>
      <c r="L1573" t="inlineStr">
        <is>
          <t>24 periodos; mín -0.01, máx 30.77 €/MWh</t>
        </is>
      </c>
    </row>
    <row r="1574">
      <c r="A1574" s="53" t="n">
        <v>45401</v>
      </c>
      <c r="B1574" t="inlineStr">
        <is>
          <t>2024-04-19</t>
        </is>
      </c>
      <c r="C1574" s="45" t="n">
        <v>15.1808</v>
      </c>
      <c r="D1574" t="inlineStr">
        <is>
          <t>€/MWh</t>
        </is>
      </c>
      <c r="E1574" s="54" t="n">
        <v>0.015181</v>
      </c>
      <c r="F1574" s="54" t="n"/>
      <c r="G1574" t="inlineStr">
        <is>
          <t>no aplica (precio mayorista)</t>
        </is>
      </c>
      <c r="J1574" t="inlineStr">
        <is>
          <t>2024-04-18</t>
        </is>
      </c>
      <c r="K1574" t="inlineStr">
        <is>
          <t>marginalpdbc_20240419.1</t>
        </is>
      </c>
      <c r="L1574" t="inlineStr">
        <is>
          <t>24 periodos; mín 0.00, máx 37.52 €/MWh</t>
        </is>
      </c>
    </row>
    <row r="1575">
      <c r="A1575" s="53" t="n">
        <v>45402</v>
      </c>
      <c r="B1575" t="inlineStr">
        <is>
          <t>2024-04-20</t>
        </is>
      </c>
      <c r="C1575" s="45" t="n">
        <v>5.6583</v>
      </c>
      <c r="D1575" t="inlineStr">
        <is>
          <t>€/MWh</t>
        </is>
      </c>
      <c r="E1575" s="54" t="n">
        <v>0.005658</v>
      </c>
      <c r="F1575" s="54" t="n"/>
      <c r="G1575" t="inlineStr">
        <is>
          <t>no aplica (precio mayorista)</t>
        </is>
      </c>
      <c r="J1575" t="inlineStr">
        <is>
          <t>2024-04-19</t>
        </is>
      </c>
      <c r="K1575" t="inlineStr">
        <is>
          <t>marginalpdbc_20240420.1</t>
        </is>
      </c>
      <c r="L1575" t="inlineStr">
        <is>
          <t>24 periodos; mín -0.07, máx 24.69 €/MWh</t>
        </is>
      </c>
    </row>
    <row r="1576">
      <c r="A1576" s="53" t="n">
        <v>45403</v>
      </c>
      <c r="B1576" t="inlineStr">
        <is>
          <t>2024-04-21</t>
        </is>
      </c>
      <c r="C1576" s="45" t="n">
        <v>2.1725</v>
      </c>
      <c r="D1576" t="inlineStr">
        <is>
          <t>€/MWh</t>
        </is>
      </c>
      <c r="E1576" s="54" t="n">
        <v>0.002172</v>
      </c>
      <c r="F1576" s="54" t="n"/>
      <c r="G1576" t="inlineStr">
        <is>
          <t>no aplica (precio mayorista)</t>
        </is>
      </c>
      <c r="J1576" t="inlineStr">
        <is>
          <t>2024-04-20</t>
        </is>
      </c>
      <c r="K1576" t="inlineStr">
        <is>
          <t>marginalpdbc_20240421.1</t>
        </is>
      </c>
      <c r="L1576" t="inlineStr">
        <is>
          <t>24 periodos; mín -1.50, máx 8.93 €/MWh</t>
        </is>
      </c>
    </row>
    <row r="1577">
      <c r="A1577" s="53" t="n">
        <v>45404</v>
      </c>
      <c r="B1577" t="inlineStr">
        <is>
          <t>2024-04-22</t>
        </is>
      </c>
      <c r="C1577" s="45" t="n">
        <v>1.9013</v>
      </c>
      <c r="D1577" t="inlineStr">
        <is>
          <t>€/MWh</t>
        </is>
      </c>
      <c r="E1577" s="54" t="n">
        <v>0.001901</v>
      </c>
      <c r="F1577" s="54" t="n"/>
      <c r="G1577" t="inlineStr">
        <is>
          <t>no aplica (precio mayorista)</t>
        </is>
      </c>
      <c r="J1577" t="inlineStr">
        <is>
          <t>2024-04-21</t>
        </is>
      </c>
      <c r="K1577" t="inlineStr">
        <is>
          <t>marginalpdbc_20240422.1</t>
        </is>
      </c>
      <c r="L1577" t="inlineStr">
        <is>
          <t>24 periodos; mín -0.30, máx 12.81 €/MWh</t>
        </is>
      </c>
    </row>
    <row r="1578">
      <c r="A1578" s="53" t="n">
        <v>45405</v>
      </c>
      <c r="B1578" t="inlineStr">
        <is>
          <t>2024-04-23</t>
        </is>
      </c>
      <c r="C1578" s="45" t="n">
        <v>5.8404</v>
      </c>
      <c r="D1578" t="inlineStr">
        <is>
          <t>€/MWh</t>
        </is>
      </c>
      <c r="E1578" s="54" t="n">
        <v>0.00584</v>
      </c>
      <c r="F1578" s="54" t="n"/>
      <c r="G1578" t="inlineStr">
        <is>
          <t>no aplica (precio mayorista)</t>
        </is>
      </c>
      <c r="J1578" t="inlineStr">
        <is>
          <t>2024-04-22</t>
        </is>
      </c>
      <c r="K1578" t="inlineStr">
        <is>
          <t>marginalpdbc_20240423.1</t>
        </is>
      </c>
      <c r="L1578" t="inlineStr">
        <is>
          <t>24 periodos; mín -0.01, máx 35.00 €/MWh</t>
        </is>
      </c>
    </row>
    <row r="1579">
      <c r="A1579" s="53" t="n">
        <v>45406</v>
      </c>
      <c r="B1579" t="inlineStr">
        <is>
          <t>2024-04-24</t>
        </is>
      </c>
      <c r="C1579" s="45" t="n">
        <v>18.5725</v>
      </c>
      <c r="D1579" t="inlineStr">
        <is>
          <t>€/MWh</t>
        </is>
      </c>
      <c r="E1579" s="54" t="n">
        <v>0.018573</v>
      </c>
      <c r="F1579" s="54" t="n"/>
      <c r="G1579" t="inlineStr">
        <is>
          <t>no aplica (precio mayorista)</t>
        </is>
      </c>
      <c r="J1579" t="inlineStr">
        <is>
          <t>2024-04-23</t>
        </is>
      </c>
      <c r="K1579" t="inlineStr">
        <is>
          <t>marginalpdbc_20240424.1</t>
        </is>
      </c>
      <c r="L1579" t="inlineStr">
        <is>
          <t>24 periodos; mín 0.00, máx 101.48 €/MWh</t>
        </is>
      </c>
    </row>
    <row r="1580">
      <c r="A1580" s="53" t="n">
        <v>45407</v>
      </c>
      <c r="B1580" t="inlineStr">
        <is>
          <t>2024-04-25</t>
        </is>
      </c>
      <c r="C1580" s="45" t="n">
        <v>41.4446</v>
      </c>
      <c r="D1580" t="inlineStr">
        <is>
          <t>€/MWh</t>
        </is>
      </c>
      <c r="E1580" s="54" t="n">
        <v>0.041445</v>
      </c>
      <c r="F1580" s="54" t="n"/>
      <c r="G1580" t="inlineStr">
        <is>
          <t>no aplica (precio mayorista)</t>
        </is>
      </c>
      <c r="J1580" t="inlineStr">
        <is>
          <t>2024-04-24</t>
        </is>
      </c>
      <c r="K1580" t="inlineStr">
        <is>
          <t>marginalpdbc_20240425.1</t>
        </is>
      </c>
      <c r="L1580" t="inlineStr">
        <is>
          <t>24 periodos; mín 6.00, máx 109.90 €/MWh</t>
        </is>
      </c>
    </row>
    <row r="1581">
      <c r="A1581" s="53" t="n">
        <v>45408</v>
      </c>
      <c r="B1581" t="inlineStr">
        <is>
          <t>2024-04-26</t>
        </is>
      </c>
      <c r="C1581" s="45" t="n">
        <v>57.4913</v>
      </c>
      <c r="D1581" t="inlineStr">
        <is>
          <t>€/MWh</t>
        </is>
      </c>
      <c r="E1581" s="54" t="n">
        <v>0.057491</v>
      </c>
      <c r="F1581" s="54" t="n"/>
      <c r="G1581" t="inlineStr">
        <is>
          <t>no aplica (precio mayorista)</t>
        </is>
      </c>
      <c r="J1581" t="inlineStr">
        <is>
          <t>2024-04-25</t>
        </is>
      </c>
      <c r="K1581" t="inlineStr">
        <is>
          <t>marginalpdbc_20240426.1</t>
        </is>
      </c>
      <c r="L1581" t="inlineStr">
        <is>
          <t>24 periodos; mín 16.98, máx 104.06 €/MWh</t>
        </is>
      </c>
    </row>
    <row r="1582">
      <c r="A1582" s="53" t="n">
        <v>45409</v>
      </c>
      <c r="B1582" t="inlineStr">
        <is>
          <t>2024-04-27</t>
        </is>
      </c>
      <c r="C1582" s="45" t="n">
        <v>25.0238</v>
      </c>
      <c r="D1582" t="inlineStr">
        <is>
          <t>€/MWh</t>
        </is>
      </c>
      <c r="E1582" s="54" t="n">
        <v>0.025024</v>
      </c>
      <c r="F1582" s="54" t="n"/>
      <c r="G1582" t="inlineStr">
        <is>
          <t>no aplica (precio mayorista)</t>
        </is>
      </c>
      <c r="J1582" t="inlineStr">
        <is>
          <t>2024-04-26</t>
        </is>
      </c>
      <c r="K1582" t="inlineStr">
        <is>
          <t>marginalpdbc_20240427.1</t>
        </is>
      </c>
      <c r="L1582" t="inlineStr">
        <is>
          <t>24 periodos; mín 0.00, máx 65.27 €/MWh</t>
        </is>
      </c>
    </row>
    <row r="1583">
      <c r="A1583" s="53" t="n">
        <v>45410</v>
      </c>
      <c r="B1583" t="inlineStr">
        <is>
          <t>2024-04-28</t>
        </is>
      </c>
      <c r="C1583" s="45" t="n">
        <v>28.7225</v>
      </c>
      <c r="D1583" t="inlineStr">
        <is>
          <t>€/MWh</t>
        </is>
      </c>
      <c r="E1583" s="54" t="n">
        <v>0.028723</v>
      </c>
      <c r="F1583" s="54" t="n"/>
      <c r="G1583" t="inlineStr">
        <is>
          <t>no aplica (precio mayorista)</t>
        </is>
      </c>
      <c r="J1583" t="inlineStr">
        <is>
          <t>2024-04-27</t>
        </is>
      </c>
      <c r="K1583" t="inlineStr">
        <is>
          <t>marginalpdbc_20240428.1</t>
        </is>
      </c>
      <c r="L1583" t="inlineStr">
        <is>
          <t>24 periodos; mín -0.01, máx 78.56 €/MWh</t>
        </is>
      </c>
    </row>
    <row r="1584">
      <c r="A1584" s="53" t="n">
        <v>45411</v>
      </c>
      <c r="B1584" t="inlineStr">
        <is>
          <t>2024-04-29</t>
        </is>
      </c>
      <c r="C1584" s="45" t="n">
        <v>58.2725</v>
      </c>
      <c r="D1584" t="inlineStr">
        <is>
          <t>€/MWh</t>
        </is>
      </c>
      <c r="E1584" s="54" t="n">
        <v>0.058272</v>
      </c>
      <c r="F1584" s="54" t="n"/>
      <c r="G1584" t="inlineStr">
        <is>
          <t>no aplica (precio mayorista)</t>
        </is>
      </c>
      <c r="J1584" t="inlineStr">
        <is>
          <t>2024-04-28</t>
        </is>
      </c>
      <c r="K1584" t="inlineStr">
        <is>
          <t>marginalpdbc_20240429.1</t>
        </is>
      </c>
      <c r="L1584" t="inlineStr">
        <is>
          <t>24 periodos; mín 35.00, máx 102.26 €/MWh</t>
        </is>
      </c>
    </row>
    <row r="1585">
      <c r="A1585" s="53" t="n">
        <v>45412</v>
      </c>
      <c r="B1585" t="inlineStr">
        <is>
          <t>2024-04-30</t>
        </is>
      </c>
      <c r="C1585" s="45" t="n">
        <v>53.4358</v>
      </c>
      <c r="D1585" t="inlineStr">
        <is>
          <t>€/MWh</t>
        </is>
      </c>
      <c r="E1585" s="54" t="n">
        <v>0.053436</v>
      </c>
      <c r="F1585" s="54" t="n"/>
      <c r="G1585" t="inlineStr">
        <is>
          <t>no aplica (precio mayorista)</t>
        </is>
      </c>
      <c r="J1585" t="inlineStr">
        <is>
          <t>2024-04-29</t>
        </is>
      </c>
      <c r="K1585" t="inlineStr">
        <is>
          <t>marginalpdbc_20240430.1</t>
        </is>
      </c>
      <c r="L1585" t="inlineStr">
        <is>
          <t>24 periodos; mín 15.10, máx 99.32 €/MWh</t>
        </is>
      </c>
    </row>
    <row r="1586">
      <c r="A1586" s="53" t="n">
        <v>45413</v>
      </c>
      <c r="B1586" t="inlineStr">
        <is>
          <t>2024-05-01</t>
        </is>
      </c>
      <c r="C1586" s="45" t="n">
        <v>12.5308</v>
      </c>
      <c r="D1586" t="inlineStr">
        <is>
          <t>€/MWh</t>
        </is>
      </c>
      <c r="E1586" s="54" t="n">
        <v>0.012531</v>
      </c>
      <c r="F1586" s="54" t="n"/>
      <c r="G1586" t="inlineStr">
        <is>
          <t>no aplica (precio mayorista)</t>
        </is>
      </c>
      <c r="J1586" t="inlineStr">
        <is>
          <t>2024-04-30</t>
        </is>
      </c>
      <c r="K1586" t="inlineStr">
        <is>
          <t>marginalpdbc_20240501.1</t>
        </is>
      </c>
      <c r="L1586" t="inlineStr">
        <is>
          <t>24 periodos; mín -1.29, máx 35.01 €/MWh</t>
        </is>
      </c>
    </row>
    <row r="1587">
      <c r="A1587" s="53" t="n">
        <v>45414</v>
      </c>
      <c r="B1587" t="inlineStr">
        <is>
          <t>2024-05-02</t>
        </is>
      </c>
      <c r="C1587" s="45" t="n">
        <v>15.6025</v>
      </c>
      <c r="D1587" t="inlineStr">
        <is>
          <t>€/MWh</t>
        </is>
      </c>
      <c r="E1587" s="54" t="n">
        <v>0.015602</v>
      </c>
      <c r="F1587" s="54" t="n"/>
      <c r="G1587" t="inlineStr">
        <is>
          <t>no aplica (precio mayorista)</t>
        </is>
      </c>
      <c r="J1587" t="inlineStr">
        <is>
          <t>2024-05-01</t>
        </is>
      </c>
      <c r="K1587" t="inlineStr">
        <is>
          <t>marginalpdbc_20240502.1</t>
        </is>
      </c>
      <c r="L1587" t="inlineStr">
        <is>
          <t>24 periodos; mín 0.00, máx 59.14 €/MWh</t>
        </is>
      </c>
    </row>
    <row r="1588">
      <c r="A1588" s="53" t="n">
        <v>45415</v>
      </c>
      <c r="B1588" t="inlineStr">
        <is>
          <t>2024-05-03</t>
        </is>
      </c>
      <c r="C1588" s="45" t="n">
        <v>26.1104</v>
      </c>
      <c r="D1588" t="inlineStr">
        <is>
          <t>€/MWh</t>
        </is>
      </c>
      <c r="E1588" s="54" t="n">
        <v>0.02611</v>
      </c>
      <c r="F1588" s="54" t="n"/>
      <c r="G1588" t="inlineStr">
        <is>
          <t>no aplica (precio mayorista)</t>
        </is>
      </c>
      <c r="J1588" t="inlineStr">
        <is>
          <t>2024-05-02</t>
        </is>
      </c>
      <c r="K1588" t="inlineStr">
        <is>
          <t>marginalpdbc_20240503.1</t>
        </is>
      </c>
      <c r="L1588" t="inlineStr">
        <is>
          <t>24 periodos; mín 0.44, máx 66.52 €/MWh</t>
        </is>
      </c>
    </row>
    <row r="1589">
      <c r="A1589" s="53" t="n">
        <v>45416</v>
      </c>
      <c r="B1589" t="inlineStr">
        <is>
          <t>2024-05-04</t>
        </is>
      </c>
      <c r="C1589" s="45" t="n">
        <v>14.7958</v>
      </c>
      <c r="D1589" t="inlineStr">
        <is>
          <t>€/MWh</t>
        </is>
      </c>
      <c r="E1589" s="54" t="n">
        <v>0.014796</v>
      </c>
      <c r="F1589" s="54" t="n"/>
      <c r="G1589" t="inlineStr">
        <is>
          <t>no aplica (precio mayorista)</t>
        </is>
      </c>
      <c r="J1589" t="inlineStr">
        <is>
          <t>2024-05-03</t>
        </is>
      </c>
      <c r="K1589" t="inlineStr">
        <is>
          <t>marginalpdbc_20240504.1</t>
        </is>
      </c>
      <c r="L1589" t="inlineStr">
        <is>
          <t>24 periodos; mín 0.00, máx 35.02 €/MWh</t>
        </is>
      </c>
    </row>
    <row r="1590">
      <c r="A1590" s="53" t="n">
        <v>45417</v>
      </c>
      <c r="B1590" t="inlineStr">
        <is>
          <t>2024-05-05</t>
        </is>
      </c>
      <c r="C1590" s="45" t="n">
        <v>17.5292</v>
      </c>
      <c r="D1590" t="inlineStr">
        <is>
          <t>€/MWh</t>
        </is>
      </c>
      <c r="E1590" s="54" t="n">
        <v>0.017529</v>
      </c>
      <c r="F1590" s="54" t="n"/>
      <c r="G1590" t="inlineStr">
        <is>
          <t>no aplica (precio mayorista)</t>
        </is>
      </c>
      <c r="J1590" t="inlineStr">
        <is>
          <t>2024-05-04</t>
        </is>
      </c>
      <c r="K1590" t="inlineStr">
        <is>
          <t>marginalpdbc_20240505.1</t>
        </is>
      </c>
      <c r="L1590" t="inlineStr">
        <is>
          <t>24 periodos; mín -0.58, máx 54.33 €/MWh</t>
        </is>
      </c>
    </row>
    <row r="1591">
      <c r="A1591" s="53" t="n">
        <v>45418</v>
      </c>
      <c r="B1591" t="inlineStr">
        <is>
          <t>2024-05-06</t>
        </is>
      </c>
      <c r="C1591" s="45" t="n">
        <v>47.805</v>
      </c>
      <c r="D1591" t="inlineStr">
        <is>
          <t>€/MWh</t>
        </is>
      </c>
      <c r="E1591" s="54" t="n">
        <v>0.047805</v>
      </c>
      <c r="F1591" s="54" t="n"/>
      <c r="G1591" t="inlineStr">
        <is>
          <t>no aplica (precio mayorista)</t>
        </is>
      </c>
      <c r="J1591" t="inlineStr">
        <is>
          <t>2024-05-05</t>
        </is>
      </c>
      <c r="K1591" t="inlineStr">
        <is>
          <t>marginalpdbc_20240506.1</t>
        </is>
      </c>
      <c r="L1591" t="inlineStr">
        <is>
          <t>24 periodos; mín 4.23, máx 97.69 €/MWh</t>
        </is>
      </c>
    </row>
    <row r="1592">
      <c r="A1592" s="53" t="n">
        <v>45419</v>
      </c>
      <c r="B1592" t="inlineStr">
        <is>
          <t>2024-05-07</t>
        </is>
      </c>
      <c r="C1592" s="45" t="n">
        <v>42.0412</v>
      </c>
      <c r="D1592" t="inlineStr">
        <is>
          <t>€/MWh</t>
        </is>
      </c>
      <c r="E1592" s="54" t="n">
        <v>0.042041</v>
      </c>
      <c r="F1592" s="54" t="n"/>
      <c r="G1592" t="inlineStr">
        <is>
          <t>no aplica (precio mayorista)</t>
        </is>
      </c>
      <c r="J1592" t="inlineStr">
        <is>
          <t>2024-05-06</t>
        </is>
      </c>
      <c r="K1592" t="inlineStr">
        <is>
          <t>marginalpdbc_20240507.1</t>
        </is>
      </c>
      <c r="L1592" t="inlineStr">
        <is>
          <t>24 periodos; mín 0.00, máx 99.87 €/MWh</t>
        </is>
      </c>
    </row>
    <row r="1593">
      <c r="A1593" s="53" t="n">
        <v>45420</v>
      </c>
      <c r="B1593" t="inlineStr">
        <is>
          <t>2024-05-08</t>
        </is>
      </c>
      <c r="C1593" s="45" t="n">
        <v>21.245</v>
      </c>
      <c r="D1593" t="inlineStr">
        <is>
          <t>€/MWh</t>
        </is>
      </c>
      <c r="E1593" s="54" t="n">
        <v>0.021245</v>
      </c>
      <c r="F1593" s="54" t="n"/>
      <c r="G1593" t="inlineStr">
        <is>
          <t>no aplica (precio mayorista)</t>
        </is>
      </c>
      <c r="J1593" t="inlineStr">
        <is>
          <t>2024-05-07</t>
        </is>
      </c>
      <c r="K1593" t="inlineStr">
        <is>
          <t>marginalpdbc_20240508.1</t>
        </is>
      </c>
      <c r="L1593" t="inlineStr">
        <is>
          <t>24 periodos; mín 3.25, máx 63.38 €/MWh</t>
        </is>
      </c>
    </row>
    <row r="1594">
      <c r="A1594" s="53" t="n">
        <v>45421</v>
      </c>
      <c r="B1594" t="inlineStr">
        <is>
          <t>2024-05-09</t>
        </is>
      </c>
      <c r="C1594" s="45" t="n">
        <v>33.5388</v>
      </c>
      <c r="D1594" t="inlineStr">
        <is>
          <t>€/MWh</t>
        </is>
      </c>
      <c r="E1594" s="54" t="n">
        <v>0.033539</v>
      </c>
      <c r="F1594" s="54" t="n"/>
      <c r="G1594" t="inlineStr">
        <is>
          <t>no aplica (precio mayorista)</t>
        </is>
      </c>
      <c r="J1594" t="inlineStr">
        <is>
          <t>2024-05-08</t>
        </is>
      </c>
      <c r="K1594" t="inlineStr">
        <is>
          <t>marginalpdbc_20240509.1</t>
        </is>
      </c>
      <c r="L1594" t="inlineStr">
        <is>
          <t>24 periodos; mín 0.44, máx 104.62 €/MWh</t>
        </is>
      </c>
    </row>
    <row r="1595">
      <c r="A1595" s="53" t="n">
        <v>45422</v>
      </c>
      <c r="B1595" t="inlineStr">
        <is>
          <t>2024-05-10</t>
        </is>
      </c>
      <c r="C1595" s="45" t="n">
        <v>28.9479</v>
      </c>
      <c r="D1595" t="inlineStr">
        <is>
          <t>€/MWh</t>
        </is>
      </c>
      <c r="E1595" s="54" t="n">
        <v>0.028948</v>
      </c>
      <c r="F1595" s="54" t="n"/>
      <c r="G1595" t="inlineStr">
        <is>
          <t>no aplica (precio mayorista)</t>
        </is>
      </c>
      <c r="J1595" t="inlineStr">
        <is>
          <t>2024-05-09</t>
        </is>
      </c>
      <c r="K1595" t="inlineStr">
        <is>
          <t>marginalpdbc_20240510.1</t>
        </is>
      </c>
      <c r="L1595" t="inlineStr">
        <is>
          <t>24 periodos; mín 0.44, máx 75.72 €/MWh</t>
        </is>
      </c>
    </row>
    <row r="1596">
      <c r="A1596" s="53" t="n">
        <v>45423</v>
      </c>
      <c r="B1596" t="inlineStr">
        <is>
          <t>2024-05-11</t>
        </is>
      </c>
      <c r="C1596" s="45" t="n">
        <v>20.59</v>
      </c>
      <c r="D1596" t="inlineStr">
        <is>
          <t>€/MWh</t>
        </is>
      </c>
      <c r="E1596" s="54" t="n">
        <v>0.02059</v>
      </c>
      <c r="F1596" s="54" t="n"/>
      <c r="G1596" t="inlineStr">
        <is>
          <t>no aplica (precio mayorista)</t>
        </is>
      </c>
      <c r="J1596" t="inlineStr">
        <is>
          <t>2024-05-10</t>
        </is>
      </c>
      <c r="K1596" t="inlineStr">
        <is>
          <t>marginalpdbc_20240511.1</t>
        </is>
      </c>
      <c r="L1596" t="inlineStr">
        <is>
          <t>24 periodos; mín -0.41, máx 44.00 €/MWh</t>
        </is>
      </c>
    </row>
    <row r="1597">
      <c r="A1597" s="53" t="n">
        <v>45424</v>
      </c>
      <c r="B1597" t="inlineStr">
        <is>
          <t>2024-05-12</t>
        </is>
      </c>
      <c r="C1597" s="45" t="n">
        <v>21.5304</v>
      </c>
      <c r="D1597" t="inlineStr">
        <is>
          <t>€/MWh</t>
        </is>
      </c>
      <c r="E1597" s="54" t="n">
        <v>0.02153</v>
      </c>
      <c r="F1597" s="54" t="n"/>
      <c r="G1597" t="inlineStr">
        <is>
          <t>no aplica (precio mayorista)</t>
        </is>
      </c>
      <c r="J1597" t="inlineStr">
        <is>
          <t>2024-05-11</t>
        </is>
      </c>
      <c r="K1597" t="inlineStr">
        <is>
          <t>marginalpdbc_20240512.1</t>
        </is>
      </c>
      <c r="L1597" t="inlineStr">
        <is>
          <t>24 periodos; mín -1.00, máx 61.50 €/MWh</t>
        </is>
      </c>
    </row>
    <row r="1598">
      <c r="A1598" s="53" t="n">
        <v>45425</v>
      </c>
      <c r="B1598" t="inlineStr">
        <is>
          <t>2024-05-13</t>
        </is>
      </c>
      <c r="C1598" s="45" t="n">
        <v>23.3367</v>
      </c>
      <c r="D1598" t="inlineStr">
        <is>
          <t>€/MWh</t>
        </is>
      </c>
      <c r="E1598" s="54" t="n">
        <v>0.023337</v>
      </c>
      <c r="F1598" s="54" t="n"/>
      <c r="G1598" t="inlineStr">
        <is>
          <t>no aplica (precio mayorista)</t>
        </is>
      </c>
      <c r="J1598" t="inlineStr">
        <is>
          <t>2024-05-12</t>
        </is>
      </c>
      <c r="K1598" t="inlineStr">
        <is>
          <t>marginalpdbc_20240513.1</t>
        </is>
      </c>
      <c r="L1598" t="inlineStr">
        <is>
          <t>24 periodos; mín 0.00, máx 50.00 €/MWh</t>
        </is>
      </c>
    </row>
    <row r="1599">
      <c r="A1599" s="53" t="n">
        <v>45426</v>
      </c>
      <c r="B1599" t="inlineStr">
        <is>
          <t>2024-05-14</t>
        </is>
      </c>
      <c r="C1599" s="45" t="n">
        <v>8.1408</v>
      </c>
      <c r="D1599" t="inlineStr">
        <is>
          <t>€/MWh</t>
        </is>
      </c>
      <c r="E1599" s="54" t="n">
        <v>0.008141000000000001</v>
      </c>
      <c r="F1599" s="54" t="n"/>
      <c r="G1599" t="inlineStr">
        <is>
          <t>no aplica (precio mayorista)</t>
        </is>
      </c>
      <c r="J1599" t="inlineStr">
        <is>
          <t>2024-05-13</t>
        </is>
      </c>
      <c r="K1599" t="inlineStr">
        <is>
          <t>marginalpdbc_20240514.1</t>
        </is>
      </c>
      <c r="L1599" t="inlineStr">
        <is>
          <t>24 periodos; mín -0.06, máx 35.00 €/MWh</t>
        </is>
      </c>
    </row>
    <row r="1600">
      <c r="A1600" s="53" t="n">
        <v>45427</v>
      </c>
      <c r="B1600" t="inlineStr">
        <is>
          <t>2024-05-15</t>
        </is>
      </c>
      <c r="C1600" s="45" t="n">
        <v>14.2121</v>
      </c>
      <c r="D1600" t="inlineStr">
        <is>
          <t>€/MWh</t>
        </is>
      </c>
      <c r="E1600" s="54" t="n">
        <v>0.014212</v>
      </c>
      <c r="F1600" s="54" t="n"/>
      <c r="G1600" t="inlineStr">
        <is>
          <t>no aplica (precio mayorista)</t>
        </is>
      </c>
      <c r="J1600" t="inlineStr">
        <is>
          <t>2024-05-14</t>
        </is>
      </c>
      <c r="K1600" t="inlineStr">
        <is>
          <t>marginalpdbc_20240515.1</t>
        </is>
      </c>
      <c r="L1600" t="inlineStr">
        <is>
          <t>24 periodos; mín 0.00, máx 51.29 €/MWh</t>
        </is>
      </c>
    </row>
    <row r="1601">
      <c r="A1601" s="53" t="n">
        <v>45428</v>
      </c>
      <c r="B1601" t="inlineStr">
        <is>
          <t>2024-05-16</t>
        </is>
      </c>
      <c r="C1601" s="45" t="n">
        <v>32.35</v>
      </c>
      <c r="D1601" t="inlineStr">
        <is>
          <t>€/MWh</t>
        </is>
      </c>
      <c r="E1601" s="54" t="n">
        <v>0.03235</v>
      </c>
      <c r="F1601" s="54" t="n"/>
      <c r="G1601" t="inlineStr">
        <is>
          <t>no aplica (precio mayorista)</t>
        </is>
      </c>
      <c r="J1601" t="inlineStr">
        <is>
          <t>2024-05-15</t>
        </is>
      </c>
      <c r="K1601" t="inlineStr">
        <is>
          <t>marginalpdbc_20240516.1</t>
        </is>
      </c>
      <c r="L1601" t="inlineStr">
        <is>
          <t>24 periodos; mín 0.49, máx 120.00 €/MWh</t>
        </is>
      </c>
    </row>
    <row r="1602">
      <c r="A1602" s="53" t="n">
        <v>45429</v>
      </c>
      <c r="B1602" t="inlineStr">
        <is>
          <t>2024-05-17</t>
        </is>
      </c>
      <c r="C1602" s="45" t="n">
        <v>53.4217</v>
      </c>
      <c r="D1602" t="inlineStr">
        <is>
          <t>€/MWh</t>
        </is>
      </c>
      <c r="E1602" s="54" t="n">
        <v>0.053422</v>
      </c>
      <c r="F1602" s="54" t="n"/>
      <c r="G1602" t="inlineStr">
        <is>
          <t>no aplica (precio mayorista)</t>
        </is>
      </c>
      <c r="J1602" t="inlineStr">
        <is>
          <t>2024-05-16</t>
        </is>
      </c>
      <c r="K1602" t="inlineStr">
        <is>
          <t>marginalpdbc_20240517.1</t>
        </is>
      </c>
      <c r="L1602" t="inlineStr">
        <is>
          <t>24 periodos; mín 10.61, máx 102.66 €/MWh</t>
        </is>
      </c>
    </row>
    <row r="1603">
      <c r="A1603" s="53" t="n">
        <v>45430</v>
      </c>
      <c r="B1603" t="inlineStr">
        <is>
          <t>2024-05-18</t>
        </is>
      </c>
      <c r="C1603" s="45" t="n">
        <v>32.9896</v>
      </c>
      <c r="D1603" t="inlineStr">
        <is>
          <t>€/MWh</t>
        </is>
      </c>
      <c r="E1603" s="54" t="n">
        <v>0.03299</v>
      </c>
      <c r="F1603" s="54" t="n"/>
      <c r="G1603" t="inlineStr">
        <is>
          <t>no aplica (precio mayorista)</t>
        </is>
      </c>
      <c r="J1603" t="inlineStr">
        <is>
          <t>2024-05-17</t>
        </is>
      </c>
      <c r="K1603" t="inlineStr">
        <is>
          <t>marginalpdbc_20240518.1</t>
        </is>
      </c>
      <c r="L1603" t="inlineStr">
        <is>
          <t>24 periodos; mín 0.00, máx 74.46 €/MWh</t>
        </is>
      </c>
    </row>
    <row r="1604">
      <c r="A1604" s="53" t="n">
        <v>45431</v>
      </c>
      <c r="B1604" t="inlineStr">
        <is>
          <t>2024-05-19</t>
        </is>
      </c>
      <c r="C1604" s="45" t="n">
        <v>26.6021</v>
      </c>
      <c r="D1604" t="inlineStr">
        <is>
          <t>€/MWh</t>
        </is>
      </c>
      <c r="E1604" s="54" t="n">
        <v>0.026602</v>
      </c>
      <c r="F1604" s="54" t="n"/>
      <c r="G1604" t="inlineStr">
        <is>
          <t>no aplica (precio mayorista)</t>
        </is>
      </c>
      <c r="J1604" t="inlineStr">
        <is>
          <t>2024-05-18</t>
        </is>
      </c>
      <c r="K1604" t="inlineStr">
        <is>
          <t>marginalpdbc_20240519.1</t>
        </is>
      </c>
      <c r="L1604" t="inlineStr">
        <is>
          <t>24 periodos; mín -0.62, máx 58.15 €/MWh</t>
        </is>
      </c>
    </row>
    <row r="1605">
      <c r="A1605" s="53" t="n">
        <v>45432</v>
      </c>
      <c r="B1605" t="inlineStr">
        <is>
          <t>2024-05-20</t>
        </is>
      </c>
      <c r="C1605" s="45" t="n">
        <v>32.7154</v>
      </c>
      <c r="D1605" t="inlineStr">
        <is>
          <t>€/MWh</t>
        </is>
      </c>
      <c r="E1605" s="54" t="n">
        <v>0.032715</v>
      </c>
      <c r="F1605" s="54" t="n"/>
      <c r="G1605" t="inlineStr">
        <is>
          <t>no aplica (precio mayorista)</t>
        </is>
      </c>
      <c r="J1605" t="inlineStr">
        <is>
          <t>2024-05-19</t>
        </is>
      </c>
      <c r="K1605" t="inlineStr">
        <is>
          <t>marginalpdbc_20240520.1</t>
        </is>
      </c>
      <c r="L1605" t="inlineStr">
        <is>
          <t>24 periodos; mín 0.54, máx 59.31 €/MWh</t>
        </is>
      </c>
    </row>
    <row r="1606">
      <c r="A1606" s="53" t="n">
        <v>45433</v>
      </c>
      <c r="B1606" t="inlineStr">
        <is>
          <t>2024-05-21</t>
        </is>
      </c>
      <c r="C1606" s="45" t="n">
        <v>46.0908</v>
      </c>
      <c r="D1606" t="inlineStr">
        <is>
          <t>€/MWh</t>
        </is>
      </c>
      <c r="E1606" s="54" t="n">
        <v>0.046091</v>
      </c>
      <c r="F1606" s="54" t="n"/>
      <c r="G1606" t="inlineStr">
        <is>
          <t>no aplica (precio mayorista)</t>
        </is>
      </c>
      <c r="J1606" t="inlineStr">
        <is>
          <t>2024-05-20</t>
        </is>
      </c>
      <c r="K1606" t="inlineStr">
        <is>
          <t>marginalpdbc_20240521.1</t>
        </is>
      </c>
      <c r="L1606" t="inlineStr">
        <is>
          <t>24 periodos; mín 7.44, máx 72.87 €/MWh</t>
        </is>
      </c>
    </row>
    <row r="1607">
      <c r="A1607" s="53" t="n">
        <v>45434</v>
      </c>
      <c r="B1607" t="inlineStr">
        <is>
          <t>2024-05-22</t>
        </is>
      </c>
      <c r="C1607" s="45" t="n">
        <v>44.7592</v>
      </c>
      <c r="D1607" t="inlineStr">
        <is>
          <t>€/MWh</t>
        </is>
      </c>
      <c r="E1607" s="54" t="n">
        <v>0.044759</v>
      </c>
      <c r="F1607" s="54" t="n"/>
      <c r="G1607" t="inlineStr">
        <is>
          <t>no aplica (precio mayorista)</t>
        </is>
      </c>
      <c r="J1607" t="inlineStr">
        <is>
          <t>2024-05-21</t>
        </is>
      </c>
      <c r="K1607" t="inlineStr">
        <is>
          <t>marginalpdbc_20240522.1</t>
        </is>
      </c>
      <c r="L1607" t="inlineStr">
        <is>
          <t>24 periodos; mín 3.25, máx 74.63 €/MWh</t>
        </is>
      </c>
    </row>
    <row r="1608">
      <c r="A1608" s="53" t="n">
        <v>45435</v>
      </c>
      <c r="B1608" t="inlineStr">
        <is>
          <t>2024-05-23</t>
        </is>
      </c>
      <c r="C1608" s="45" t="n">
        <v>60.4467</v>
      </c>
      <c r="D1608" t="inlineStr">
        <is>
          <t>€/MWh</t>
        </is>
      </c>
      <c r="E1608" s="54" t="n">
        <v>0.060447</v>
      </c>
      <c r="F1608" s="54" t="n"/>
      <c r="G1608" t="inlineStr">
        <is>
          <t>no aplica (precio mayorista)</t>
        </is>
      </c>
      <c r="J1608" t="inlineStr">
        <is>
          <t>2024-05-22</t>
        </is>
      </c>
      <c r="K1608" t="inlineStr">
        <is>
          <t>marginalpdbc_20240523.1</t>
        </is>
      </c>
      <c r="L1608" t="inlineStr">
        <is>
          <t>24 periodos; mín 26.10, máx 92.30 €/MWh</t>
        </is>
      </c>
    </row>
    <row r="1609">
      <c r="A1609" s="53" t="n">
        <v>45436</v>
      </c>
      <c r="B1609" t="inlineStr">
        <is>
          <t>2024-05-24</t>
        </is>
      </c>
      <c r="C1609" s="45" t="n">
        <v>71.6658</v>
      </c>
      <c r="D1609" t="inlineStr">
        <is>
          <t>€/MWh</t>
        </is>
      </c>
      <c r="E1609" s="54" t="n">
        <v>0.07166599999999999</v>
      </c>
      <c r="F1609" s="54" t="n"/>
      <c r="G1609" t="inlineStr">
        <is>
          <t>no aplica (precio mayorista)</t>
        </is>
      </c>
      <c r="J1609" t="inlineStr">
        <is>
          <t>2024-05-23</t>
        </is>
      </c>
      <c r="K1609" t="inlineStr">
        <is>
          <t>marginalpdbc_20240524.1</t>
        </is>
      </c>
      <c r="L1609" t="inlineStr">
        <is>
          <t>24 periodos; mín 35.01, máx 117.19 €/MWh</t>
        </is>
      </c>
    </row>
    <row r="1610">
      <c r="A1610" s="53" t="n">
        <v>45437</v>
      </c>
      <c r="B1610" t="inlineStr">
        <is>
          <t>2024-05-25</t>
        </is>
      </c>
      <c r="C1610" s="45" t="n">
        <v>43.7146</v>
      </c>
      <c r="D1610" t="inlineStr">
        <is>
          <t>€/MWh</t>
        </is>
      </c>
      <c r="E1610" s="54" t="n">
        <v>0.043715</v>
      </c>
      <c r="F1610" s="54" t="n"/>
      <c r="G1610" t="inlineStr">
        <is>
          <t>no aplica (precio mayorista)</t>
        </is>
      </c>
      <c r="J1610" t="inlineStr">
        <is>
          <t>2024-05-24</t>
        </is>
      </c>
      <c r="K1610" t="inlineStr">
        <is>
          <t>marginalpdbc_20240525.1</t>
        </is>
      </c>
      <c r="L1610" t="inlineStr">
        <is>
          <t>24 periodos; mín 0.00, máx 94.88 €/MWh</t>
        </is>
      </c>
    </row>
    <row r="1611">
      <c r="A1611" s="53" t="n">
        <v>45438</v>
      </c>
      <c r="B1611" t="inlineStr">
        <is>
          <t>2024-05-26</t>
        </is>
      </c>
      <c r="C1611" s="45" t="n">
        <v>25.4221</v>
      </c>
      <c r="D1611" t="inlineStr">
        <is>
          <t>€/MWh</t>
        </is>
      </c>
      <c r="E1611" s="54" t="n">
        <v>0.025422</v>
      </c>
      <c r="F1611" s="54" t="n"/>
      <c r="G1611" t="inlineStr">
        <is>
          <t>no aplica (precio mayorista)</t>
        </is>
      </c>
      <c r="J1611" t="inlineStr">
        <is>
          <t>2024-05-25</t>
        </is>
      </c>
      <c r="K1611" t="inlineStr">
        <is>
          <t>marginalpdbc_20240526.1</t>
        </is>
      </c>
      <c r="L1611" t="inlineStr">
        <is>
          <t>24 periodos; mín -0.60, máx 56.64 €/MWh</t>
        </is>
      </c>
    </row>
    <row r="1612">
      <c r="A1612" s="53" t="n">
        <v>45439</v>
      </c>
      <c r="B1612" t="inlineStr">
        <is>
          <t>2024-05-27</t>
        </is>
      </c>
      <c r="C1612" s="45" t="n">
        <v>30.84</v>
      </c>
      <c r="D1612" t="inlineStr">
        <is>
          <t>€/MWh</t>
        </is>
      </c>
      <c r="E1612" s="54" t="n">
        <v>0.03084</v>
      </c>
      <c r="F1612" s="54" t="n"/>
      <c r="G1612" t="inlineStr">
        <is>
          <t>no aplica (precio mayorista)</t>
        </is>
      </c>
      <c r="J1612" t="inlineStr">
        <is>
          <t>2024-05-26</t>
        </is>
      </c>
      <c r="K1612" t="inlineStr">
        <is>
          <t>marginalpdbc_20240527.1</t>
        </is>
      </c>
      <c r="L1612" t="inlineStr">
        <is>
          <t>24 periodos; mín 6.00, máx 54.00 €/MWh</t>
        </is>
      </c>
    </row>
    <row r="1613">
      <c r="A1613" s="53" t="n">
        <v>45440</v>
      </c>
      <c r="B1613" t="inlineStr">
        <is>
          <t>2024-05-28</t>
        </is>
      </c>
      <c r="C1613" s="45" t="n">
        <v>27.4671</v>
      </c>
      <c r="D1613" t="inlineStr">
        <is>
          <t>€/MWh</t>
        </is>
      </c>
      <c r="E1613" s="54" t="n">
        <v>0.027467</v>
      </c>
      <c r="F1613" s="54" t="n"/>
      <c r="G1613" t="inlineStr">
        <is>
          <t>no aplica (precio mayorista)</t>
        </is>
      </c>
      <c r="J1613" t="inlineStr">
        <is>
          <t>2024-05-27</t>
        </is>
      </c>
      <c r="K1613" t="inlineStr">
        <is>
          <t>marginalpdbc_20240528.1</t>
        </is>
      </c>
      <c r="L1613" t="inlineStr">
        <is>
          <t>24 periodos; mín 0.00, máx 70.96 €/MWh</t>
        </is>
      </c>
    </row>
    <row r="1614">
      <c r="A1614" s="53" t="n">
        <v>45441</v>
      </c>
      <c r="B1614" t="inlineStr">
        <is>
          <t>2024-05-29</t>
        </is>
      </c>
      <c r="C1614" s="45" t="n">
        <v>38.8583</v>
      </c>
      <c r="D1614" t="inlineStr">
        <is>
          <t>€/MWh</t>
        </is>
      </c>
      <c r="E1614" s="54" t="n">
        <v>0.038858</v>
      </c>
      <c r="F1614" s="54" t="n"/>
      <c r="G1614" t="inlineStr">
        <is>
          <t>no aplica (precio mayorista)</t>
        </is>
      </c>
      <c r="J1614" t="inlineStr">
        <is>
          <t>2024-05-28</t>
        </is>
      </c>
      <c r="K1614" t="inlineStr">
        <is>
          <t>marginalpdbc_20240529.1</t>
        </is>
      </c>
      <c r="L1614" t="inlineStr">
        <is>
          <t>24 periodos; mín 11.00, máx 69.87 €/MWh</t>
        </is>
      </c>
    </row>
    <row r="1615">
      <c r="A1615" s="53" t="n">
        <v>45442</v>
      </c>
      <c r="B1615" t="inlineStr">
        <is>
          <t>2024-05-30</t>
        </is>
      </c>
      <c r="C1615" s="45" t="n">
        <v>24.3675</v>
      </c>
      <c r="D1615" t="inlineStr">
        <is>
          <t>€/MWh</t>
        </is>
      </c>
      <c r="E1615" s="54" t="n">
        <v>0.024367</v>
      </c>
      <c r="F1615" s="54" t="n"/>
      <c r="G1615" t="inlineStr">
        <is>
          <t>no aplica (precio mayorista)</t>
        </is>
      </c>
      <c r="J1615" t="inlineStr">
        <is>
          <t>2024-05-29</t>
        </is>
      </c>
      <c r="K1615" t="inlineStr">
        <is>
          <t>marginalpdbc_20240530.1</t>
        </is>
      </c>
      <c r="L1615" t="inlineStr">
        <is>
          <t>24 periodos; mín 0.00, máx 50.94 €/MWh</t>
        </is>
      </c>
    </row>
    <row r="1616">
      <c r="A1616" s="53" t="n">
        <v>45443</v>
      </c>
      <c r="B1616" t="inlineStr">
        <is>
          <t>2024-05-31</t>
        </is>
      </c>
      <c r="C1616" s="45" t="n">
        <v>2.6892</v>
      </c>
      <c r="D1616" t="inlineStr">
        <is>
          <t>€/MWh</t>
        </is>
      </c>
      <c r="E1616" s="54" t="n">
        <v>0.002689</v>
      </c>
      <c r="F1616" s="54" t="n"/>
      <c r="G1616" t="inlineStr">
        <is>
          <t>no aplica (precio mayorista)</t>
        </is>
      </c>
      <c r="J1616" t="inlineStr">
        <is>
          <t>2024-05-30</t>
        </is>
      </c>
      <c r="K1616" t="inlineStr">
        <is>
          <t>marginalpdbc_20240531.1</t>
        </is>
      </c>
      <c r="L1616" t="inlineStr">
        <is>
          <t>24 periodos; mín -0.01, máx 10.00 €/MWh</t>
        </is>
      </c>
    </row>
    <row r="1617">
      <c r="A1617" s="53" t="n">
        <v>45444</v>
      </c>
      <c r="B1617" t="inlineStr">
        <is>
          <t>2024-06-01</t>
        </is>
      </c>
      <c r="C1617" s="45" t="n">
        <v>1.7596</v>
      </c>
      <c r="D1617" t="inlineStr">
        <is>
          <t>€/MWh</t>
        </is>
      </c>
      <c r="E1617" s="54" t="n">
        <v>0.00176</v>
      </c>
      <c r="F1617" s="54" t="n"/>
      <c r="G1617" t="inlineStr">
        <is>
          <t>no aplica (precio mayorista)</t>
        </is>
      </c>
      <c r="J1617" t="inlineStr">
        <is>
          <t>2024-05-31</t>
        </is>
      </c>
      <c r="K1617" t="inlineStr">
        <is>
          <t>marginalpdbc_20240601.1</t>
        </is>
      </c>
      <c r="L1617" t="inlineStr">
        <is>
          <t>24 periodos; mín -0.66, máx 8.44 €/MWh</t>
        </is>
      </c>
    </row>
    <row r="1618">
      <c r="A1618" s="53" t="n">
        <v>45445</v>
      </c>
      <c r="B1618" t="inlineStr">
        <is>
          <t>2024-06-02</t>
        </is>
      </c>
      <c r="C1618" s="45" t="n">
        <v>4.2612</v>
      </c>
      <c r="D1618" t="inlineStr">
        <is>
          <t>€/MWh</t>
        </is>
      </c>
      <c r="E1618" s="54" t="n">
        <v>0.004261</v>
      </c>
      <c r="F1618" s="54" t="n"/>
      <c r="G1618" t="inlineStr">
        <is>
          <t>no aplica (precio mayorista)</t>
        </is>
      </c>
      <c r="J1618" t="inlineStr">
        <is>
          <t>2024-06-01</t>
        </is>
      </c>
      <c r="K1618" t="inlineStr">
        <is>
          <t>marginalpdbc_20240602.1</t>
        </is>
      </c>
      <c r="L1618" t="inlineStr">
        <is>
          <t>24 periodos; mín -1.86, máx 28.87 €/MWh</t>
        </is>
      </c>
    </row>
    <row r="1619">
      <c r="A1619" s="53" t="n">
        <v>45446</v>
      </c>
      <c r="B1619" t="inlineStr">
        <is>
          <t>2024-06-03</t>
        </is>
      </c>
      <c r="C1619" s="45" t="n">
        <v>28.5554</v>
      </c>
      <c r="D1619" t="inlineStr">
        <is>
          <t>€/MWh</t>
        </is>
      </c>
      <c r="E1619" s="54" t="n">
        <v>0.028555</v>
      </c>
      <c r="F1619" s="54" t="n"/>
      <c r="G1619" t="inlineStr">
        <is>
          <t>no aplica (precio mayorista)</t>
        </is>
      </c>
      <c r="J1619" t="inlineStr">
        <is>
          <t>2024-06-02</t>
        </is>
      </c>
      <c r="K1619" t="inlineStr">
        <is>
          <t>marginalpdbc_20240603.1</t>
        </is>
      </c>
      <c r="L1619" t="inlineStr">
        <is>
          <t>24 periodos; mín 1.31, máx 102.15 €/MWh</t>
        </is>
      </c>
    </row>
    <row r="1620">
      <c r="A1620" s="53" t="n">
        <v>45447</v>
      </c>
      <c r="B1620" t="inlineStr">
        <is>
          <t>2024-06-04</t>
        </is>
      </c>
      <c r="C1620" s="45" t="n">
        <v>87.64</v>
      </c>
      <c r="D1620" t="inlineStr">
        <is>
          <t>€/MWh</t>
        </is>
      </c>
      <c r="E1620" s="54" t="n">
        <v>0.08764</v>
      </c>
      <c r="F1620" s="54" t="n"/>
      <c r="G1620" t="inlineStr">
        <is>
          <t>no aplica (precio mayorista)</t>
        </is>
      </c>
      <c r="J1620" t="inlineStr">
        <is>
          <t>2024-06-03</t>
        </is>
      </c>
      <c r="K1620" t="inlineStr">
        <is>
          <t>marginalpdbc_20240604.1</t>
        </is>
      </c>
      <c r="L1620" t="inlineStr">
        <is>
          <t>24 periodos; mín 27.50, máx 175.55 €/MWh</t>
        </is>
      </c>
    </row>
    <row r="1621">
      <c r="A1621" s="53" t="n">
        <v>45448</v>
      </c>
      <c r="B1621" t="inlineStr">
        <is>
          <t>2024-06-05</t>
        </is>
      </c>
      <c r="C1621" s="45" t="n">
        <v>93.2604</v>
      </c>
      <c r="D1621" t="inlineStr">
        <is>
          <t>€/MWh</t>
        </is>
      </c>
      <c r="E1621" s="54" t="n">
        <v>0.09326</v>
      </c>
      <c r="F1621" s="54" t="n"/>
      <c r="G1621" t="inlineStr">
        <is>
          <t>no aplica (precio mayorista)</t>
        </is>
      </c>
      <c r="J1621" t="inlineStr">
        <is>
          <t>2024-06-04</t>
        </is>
      </c>
      <c r="K1621" t="inlineStr">
        <is>
          <t>marginalpdbc_20240605.1</t>
        </is>
      </c>
      <c r="L1621" t="inlineStr">
        <is>
          <t>24 periodos; mín 35.01, máx 170.01 €/MWh</t>
        </is>
      </c>
    </row>
    <row r="1622">
      <c r="A1622" s="53" t="n">
        <v>45449</v>
      </c>
      <c r="B1622" t="inlineStr">
        <is>
          <t>2024-06-06</t>
        </is>
      </c>
      <c r="C1622" s="45" t="n">
        <v>93.4233</v>
      </c>
      <c r="D1622" t="inlineStr">
        <is>
          <t>€/MWh</t>
        </is>
      </c>
      <c r="E1622" s="54" t="n">
        <v>0.09342300000000001</v>
      </c>
      <c r="F1622" s="54" t="n"/>
      <c r="G1622" t="inlineStr">
        <is>
          <t>no aplica (precio mayorista)</t>
        </is>
      </c>
      <c r="J1622" t="inlineStr">
        <is>
          <t>2024-06-05</t>
        </is>
      </c>
      <c r="K1622" t="inlineStr">
        <is>
          <t>marginalpdbc_20240606.1</t>
        </is>
      </c>
      <c r="L1622" t="inlineStr">
        <is>
          <t>24 periodos; mín 55.90, máx 122.37 €/MWh</t>
        </is>
      </c>
    </row>
    <row r="1623">
      <c r="A1623" s="53" t="n">
        <v>45450</v>
      </c>
      <c r="B1623" t="inlineStr">
        <is>
          <t>2024-06-07</t>
        </is>
      </c>
      <c r="C1623" s="45" t="n">
        <v>79.13290000000001</v>
      </c>
      <c r="D1623" t="inlineStr">
        <is>
          <t>€/MWh</t>
        </is>
      </c>
      <c r="E1623" s="54" t="n">
        <v>0.079133</v>
      </c>
      <c r="F1623" s="54" t="n"/>
      <c r="G1623" t="inlineStr">
        <is>
          <t>no aplica (precio mayorista)</t>
        </is>
      </c>
      <c r="J1623" t="inlineStr">
        <is>
          <t>2024-06-06</t>
        </is>
      </c>
      <c r="K1623" t="inlineStr">
        <is>
          <t>marginalpdbc_20240607.1</t>
        </is>
      </c>
      <c r="L1623" t="inlineStr">
        <is>
          <t>24 periodos; mín 38.10, máx 103.49 €/MWh</t>
        </is>
      </c>
    </row>
    <row r="1624">
      <c r="A1624" s="53" t="n">
        <v>45451</v>
      </c>
      <c r="B1624" t="inlineStr">
        <is>
          <t>2024-06-08</t>
        </is>
      </c>
      <c r="C1624" s="45" t="n">
        <v>71.4204</v>
      </c>
      <c r="D1624" t="inlineStr">
        <is>
          <t>€/MWh</t>
        </is>
      </c>
      <c r="E1624" s="54" t="n">
        <v>0.07142</v>
      </c>
      <c r="F1624" s="54" t="n"/>
      <c r="G1624" t="inlineStr">
        <is>
          <t>no aplica (precio mayorista)</t>
        </is>
      </c>
      <c r="J1624" t="inlineStr">
        <is>
          <t>2024-06-07</t>
        </is>
      </c>
      <c r="K1624" t="inlineStr">
        <is>
          <t>marginalpdbc_20240608.1</t>
        </is>
      </c>
      <c r="L1624" t="inlineStr">
        <is>
          <t>24 periodos; mín 25.30, máx 101.44 €/MWh</t>
        </is>
      </c>
    </row>
    <row r="1625">
      <c r="A1625" s="53" t="n">
        <v>45452</v>
      </c>
      <c r="B1625" t="inlineStr">
        <is>
          <t>2024-06-09</t>
        </is>
      </c>
      <c r="C1625" s="45" t="n">
        <v>16.4279</v>
      </c>
      <c r="D1625" t="inlineStr">
        <is>
          <t>€/MWh</t>
        </is>
      </c>
      <c r="E1625" s="54" t="n">
        <v>0.016428</v>
      </c>
      <c r="F1625" s="54" t="n"/>
      <c r="G1625" t="inlineStr">
        <is>
          <t>no aplica (precio mayorista)</t>
        </is>
      </c>
      <c r="J1625" t="inlineStr">
        <is>
          <t>2024-06-08</t>
        </is>
      </c>
      <c r="K1625" t="inlineStr">
        <is>
          <t>marginalpdbc_20240609.1</t>
        </is>
      </c>
      <c r="L1625" t="inlineStr">
        <is>
          <t>24 periodos; mín -0.01, máx 69.64 €/MWh</t>
        </is>
      </c>
    </row>
    <row r="1626">
      <c r="A1626" s="53" t="n">
        <v>45453</v>
      </c>
      <c r="B1626" t="inlineStr">
        <is>
          <t>2024-06-10</t>
        </is>
      </c>
      <c r="C1626" s="45" t="n">
        <v>44.6058</v>
      </c>
      <c r="D1626" t="inlineStr">
        <is>
          <t>€/MWh</t>
        </is>
      </c>
      <c r="E1626" s="54" t="n">
        <v>0.044606</v>
      </c>
      <c r="F1626" s="54" t="n"/>
      <c r="G1626" t="inlineStr">
        <is>
          <t>no aplica (precio mayorista)</t>
        </is>
      </c>
      <c r="J1626" t="inlineStr">
        <is>
          <t>2024-06-09</t>
        </is>
      </c>
      <c r="K1626" t="inlineStr">
        <is>
          <t>marginalpdbc_20240610.1</t>
        </is>
      </c>
      <c r="L1626" t="inlineStr">
        <is>
          <t>24 periodos; mín 34.80, máx 86.75 €/MWh</t>
        </is>
      </c>
    </row>
    <row r="1627">
      <c r="A1627" s="53" t="n">
        <v>45454</v>
      </c>
      <c r="B1627" t="inlineStr">
        <is>
          <t>2024-06-11</t>
        </is>
      </c>
      <c r="C1627" s="45" t="n">
        <v>65.47709999999999</v>
      </c>
      <c r="D1627" t="inlineStr">
        <is>
          <t>€/MWh</t>
        </is>
      </c>
      <c r="E1627" s="54" t="n">
        <v>0.06547699999999999</v>
      </c>
      <c r="F1627" s="54" t="n"/>
      <c r="G1627" t="inlineStr">
        <is>
          <t>no aplica (precio mayorista)</t>
        </is>
      </c>
      <c r="J1627" t="inlineStr">
        <is>
          <t>2024-06-10</t>
        </is>
      </c>
      <c r="K1627" t="inlineStr">
        <is>
          <t>marginalpdbc_20240611.1</t>
        </is>
      </c>
      <c r="L1627" t="inlineStr">
        <is>
          <t>24 periodos; mín 35.01, máx 98.30 €/MWh</t>
        </is>
      </c>
    </row>
    <row r="1628">
      <c r="A1628" s="53" t="n">
        <v>45455</v>
      </c>
      <c r="B1628" t="inlineStr">
        <is>
          <t>2024-06-12</t>
        </is>
      </c>
      <c r="C1628" s="45" t="n">
        <v>55.1458</v>
      </c>
      <c r="D1628" t="inlineStr">
        <is>
          <t>€/MWh</t>
        </is>
      </c>
      <c r="E1628" s="54" t="n">
        <v>0.055146</v>
      </c>
      <c r="F1628" s="54" t="n"/>
      <c r="G1628" t="inlineStr">
        <is>
          <t>no aplica (precio mayorista)</t>
        </is>
      </c>
      <c r="J1628" t="inlineStr">
        <is>
          <t>2024-06-11</t>
        </is>
      </c>
      <c r="K1628" t="inlineStr">
        <is>
          <t>marginalpdbc_20240612.1</t>
        </is>
      </c>
      <c r="L1628" t="inlineStr">
        <is>
          <t>24 periodos; mín 10.43, máx 101.34 €/MWh</t>
        </is>
      </c>
    </row>
    <row r="1629">
      <c r="A1629" s="53" t="n">
        <v>45456</v>
      </c>
      <c r="B1629" t="inlineStr">
        <is>
          <t>2024-06-13</t>
        </is>
      </c>
      <c r="C1629" s="45" t="n">
        <v>65.2167</v>
      </c>
      <c r="D1629" t="inlineStr">
        <is>
          <t>€/MWh</t>
        </is>
      </c>
      <c r="E1629" s="54" t="n">
        <v>0.065217</v>
      </c>
      <c r="F1629" s="54" t="n"/>
      <c r="G1629" t="inlineStr">
        <is>
          <t>no aplica (precio mayorista)</t>
        </is>
      </c>
      <c r="J1629" t="inlineStr">
        <is>
          <t>2024-06-12</t>
        </is>
      </c>
      <c r="K1629" t="inlineStr">
        <is>
          <t>marginalpdbc_20240613.1</t>
        </is>
      </c>
      <c r="L1629" t="inlineStr">
        <is>
          <t>24 periodos; mín 0.00, máx 130.00 €/MWh</t>
        </is>
      </c>
    </row>
    <row r="1630">
      <c r="A1630" s="53" t="n">
        <v>45457</v>
      </c>
      <c r="B1630" t="inlineStr">
        <is>
          <t>2024-06-14</t>
        </is>
      </c>
      <c r="C1630" s="45" t="n">
        <v>43.7433</v>
      </c>
      <c r="D1630" t="inlineStr">
        <is>
          <t>€/MWh</t>
        </is>
      </c>
      <c r="E1630" s="54" t="n">
        <v>0.043743</v>
      </c>
      <c r="F1630" s="54" t="n"/>
      <c r="G1630" t="inlineStr">
        <is>
          <t>no aplica (precio mayorista)</t>
        </is>
      </c>
      <c r="J1630" t="inlineStr">
        <is>
          <t>2024-06-13</t>
        </is>
      </c>
      <c r="K1630" t="inlineStr">
        <is>
          <t>marginalpdbc_20240614.1</t>
        </is>
      </c>
      <c r="L1630" t="inlineStr">
        <is>
          <t>24 periodos; mín 0.00, máx 90.00 €/MWh</t>
        </is>
      </c>
    </row>
    <row r="1631">
      <c r="A1631" s="53" t="n">
        <v>45458</v>
      </c>
      <c r="B1631" t="inlineStr">
        <is>
          <t>2024-06-15</t>
        </is>
      </c>
      <c r="C1631" s="45" t="n">
        <v>19.6933</v>
      </c>
      <c r="D1631" t="inlineStr">
        <is>
          <t>€/MWh</t>
        </is>
      </c>
      <c r="E1631" s="54" t="n">
        <v>0.019693</v>
      </c>
      <c r="F1631" s="54" t="n"/>
      <c r="G1631" t="inlineStr">
        <is>
          <t>no aplica (precio mayorista)</t>
        </is>
      </c>
      <c r="J1631" t="inlineStr">
        <is>
          <t>2024-06-14</t>
        </is>
      </c>
      <c r="K1631" t="inlineStr">
        <is>
          <t>marginalpdbc_20240615.1</t>
        </is>
      </c>
      <c r="L1631" t="inlineStr">
        <is>
          <t>24 periodos; mín -0.79, máx 47.70 €/MWh</t>
        </is>
      </c>
    </row>
    <row r="1632">
      <c r="A1632" s="53" t="n">
        <v>45459</v>
      </c>
      <c r="B1632" t="inlineStr">
        <is>
          <t>2024-06-16</t>
        </is>
      </c>
      <c r="C1632" s="45" t="n">
        <v>16.1242</v>
      </c>
      <c r="D1632" t="inlineStr">
        <is>
          <t>€/MWh</t>
        </is>
      </c>
      <c r="E1632" s="54" t="n">
        <v>0.016124</v>
      </c>
      <c r="F1632" s="54" t="n"/>
      <c r="G1632" t="inlineStr">
        <is>
          <t>no aplica (precio mayorista)</t>
        </is>
      </c>
      <c r="J1632" t="inlineStr">
        <is>
          <t>2024-06-15</t>
        </is>
      </c>
      <c r="K1632" t="inlineStr">
        <is>
          <t>marginalpdbc_20240616.1</t>
        </is>
      </c>
      <c r="L1632" t="inlineStr">
        <is>
          <t>24 periodos; mín -2.00, máx 41.62 €/MWh</t>
        </is>
      </c>
    </row>
    <row r="1633">
      <c r="A1633" s="53" t="n">
        <v>45460</v>
      </c>
      <c r="B1633" t="inlineStr">
        <is>
          <t>2024-06-17</t>
        </is>
      </c>
      <c r="C1633" s="45" t="n">
        <v>29.2742</v>
      </c>
      <c r="D1633" t="inlineStr">
        <is>
          <t>€/MWh</t>
        </is>
      </c>
      <c r="E1633" s="54" t="n">
        <v>0.029274</v>
      </c>
      <c r="F1633" s="54" t="n"/>
      <c r="G1633" t="inlineStr">
        <is>
          <t>no aplica (precio mayorista)</t>
        </is>
      </c>
      <c r="J1633" t="inlineStr">
        <is>
          <t>2024-06-16</t>
        </is>
      </c>
      <c r="K1633" t="inlineStr">
        <is>
          <t>marginalpdbc_20240617.1</t>
        </is>
      </c>
      <c r="L1633" t="inlineStr">
        <is>
          <t>24 periodos; mín 0.00, máx 91.27 €/MWh</t>
        </is>
      </c>
    </row>
    <row r="1634">
      <c r="A1634" s="53" t="n">
        <v>45461</v>
      </c>
      <c r="B1634" t="inlineStr">
        <is>
          <t>2024-06-18</t>
        </is>
      </c>
      <c r="C1634" s="45" t="n">
        <v>56.7125</v>
      </c>
      <c r="D1634" t="inlineStr">
        <is>
          <t>€/MWh</t>
        </is>
      </c>
      <c r="E1634" s="54" t="n">
        <v>0.056712</v>
      </c>
      <c r="F1634" s="54" t="n"/>
      <c r="G1634" t="inlineStr">
        <is>
          <t>no aplica (precio mayorista)</t>
        </is>
      </c>
      <c r="J1634" t="inlineStr">
        <is>
          <t>2024-06-17</t>
        </is>
      </c>
      <c r="K1634" t="inlineStr">
        <is>
          <t>marginalpdbc_20240618.1</t>
        </is>
      </c>
      <c r="L1634" t="inlineStr">
        <is>
          <t>24 periodos; mín 9.99, máx 130.90 €/MWh</t>
        </is>
      </c>
    </row>
    <row r="1635">
      <c r="A1635" s="53" t="n">
        <v>45462</v>
      </c>
      <c r="B1635" t="inlineStr">
        <is>
          <t>2024-06-19</t>
        </is>
      </c>
      <c r="C1635" s="45" t="n">
        <v>76.3329</v>
      </c>
      <c r="D1635" t="inlineStr">
        <is>
          <t>€/MWh</t>
        </is>
      </c>
      <c r="E1635" s="54" t="n">
        <v>0.076333</v>
      </c>
      <c r="F1635" s="54" t="n"/>
      <c r="G1635" t="inlineStr">
        <is>
          <t>no aplica (precio mayorista)</t>
        </is>
      </c>
      <c r="J1635" t="inlineStr">
        <is>
          <t>2024-06-18</t>
        </is>
      </c>
      <c r="K1635" t="inlineStr">
        <is>
          <t>marginalpdbc_20240619.1</t>
        </is>
      </c>
      <c r="L1635" t="inlineStr">
        <is>
          <t>24 periodos; mín 35.01, máx 114.32 €/MWh</t>
        </is>
      </c>
    </row>
    <row r="1636">
      <c r="A1636" s="53" t="n">
        <v>45463</v>
      </c>
      <c r="B1636" t="inlineStr">
        <is>
          <t>2024-06-20</t>
        </is>
      </c>
      <c r="C1636" s="45" t="n">
        <v>90.59999999999999</v>
      </c>
      <c r="D1636" t="inlineStr">
        <is>
          <t>€/MWh</t>
        </is>
      </c>
      <c r="E1636" s="54" t="n">
        <v>0.0906</v>
      </c>
      <c r="F1636" s="54" t="n"/>
      <c r="G1636" t="inlineStr">
        <is>
          <t>no aplica (precio mayorista)</t>
        </is>
      </c>
      <c r="J1636" t="inlineStr">
        <is>
          <t>2024-06-19</t>
        </is>
      </c>
      <c r="K1636" t="inlineStr">
        <is>
          <t>marginalpdbc_20240620.1</t>
        </is>
      </c>
      <c r="L1636" t="inlineStr">
        <is>
          <t>24 periodos; mín 58.35, máx 122.78 €/MWh</t>
        </is>
      </c>
    </row>
    <row r="1637">
      <c r="A1637" s="53" t="n">
        <v>45464</v>
      </c>
      <c r="B1637" t="inlineStr">
        <is>
          <t>2024-06-21</t>
        </is>
      </c>
      <c r="C1637" s="45" t="n">
        <v>85.9208</v>
      </c>
      <c r="D1637" t="inlineStr">
        <is>
          <t>€/MWh</t>
        </is>
      </c>
      <c r="E1637" s="54" t="n">
        <v>0.085921</v>
      </c>
      <c r="F1637" s="54" t="n"/>
      <c r="G1637" t="inlineStr">
        <is>
          <t>no aplica (precio mayorista)</t>
        </is>
      </c>
      <c r="J1637" t="inlineStr">
        <is>
          <t>2024-06-20</t>
        </is>
      </c>
      <c r="K1637" t="inlineStr">
        <is>
          <t>marginalpdbc_20240621.1</t>
        </is>
      </c>
      <c r="L1637" t="inlineStr">
        <is>
          <t>24 periodos; mín 40.00, máx 115.00 €/MWh</t>
        </is>
      </c>
    </row>
    <row r="1638">
      <c r="A1638" s="53" t="n">
        <v>45465</v>
      </c>
      <c r="B1638" t="inlineStr">
        <is>
          <t>2024-06-22</t>
        </is>
      </c>
      <c r="C1638" s="45" t="n">
        <v>42.9067</v>
      </c>
      <c r="D1638" t="inlineStr">
        <is>
          <t>€/MWh</t>
        </is>
      </c>
      <c r="E1638" s="54" t="n">
        <v>0.042907</v>
      </c>
      <c r="F1638" s="54" t="n"/>
      <c r="G1638" t="inlineStr">
        <is>
          <t>no aplica (precio mayorista)</t>
        </is>
      </c>
      <c r="J1638" t="inlineStr">
        <is>
          <t>2024-06-21</t>
        </is>
      </c>
      <c r="K1638" t="inlineStr">
        <is>
          <t>marginalpdbc_20240622.1</t>
        </is>
      </c>
      <c r="L1638" t="inlineStr">
        <is>
          <t>24 periodos; mín 0.00, máx 99.10 €/MWh</t>
        </is>
      </c>
    </row>
    <row r="1639">
      <c r="A1639" s="53" t="n">
        <v>45466</v>
      </c>
      <c r="B1639" t="inlineStr">
        <is>
          <t>2024-06-23</t>
        </is>
      </c>
      <c r="C1639" s="45" t="n">
        <v>26.7604</v>
      </c>
      <c r="D1639" t="inlineStr">
        <is>
          <t>€/MWh</t>
        </is>
      </c>
      <c r="E1639" s="54" t="n">
        <v>0.02676</v>
      </c>
      <c r="F1639" s="54" t="n"/>
      <c r="G1639" t="inlineStr">
        <is>
          <t>no aplica (precio mayorista)</t>
        </is>
      </c>
      <c r="J1639" t="inlineStr">
        <is>
          <t>2024-06-22</t>
        </is>
      </c>
      <c r="K1639" t="inlineStr">
        <is>
          <t>marginalpdbc_20240623.1</t>
        </is>
      </c>
      <c r="L1639" t="inlineStr">
        <is>
          <t>24 periodos; mín -2.00, máx 95.62 €/MWh</t>
        </is>
      </c>
    </row>
    <row r="1640">
      <c r="A1640" s="53" t="n">
        <v>45467</v>
      </c>
      <c r="B1640" t="inlineStr">
        <is>
          <t>2024-06-24</t>
        </is>
      </c>
      <c r="C1640" s="45" t="n">
        <v>41.1512</v>
      </c>
      <c r="D1640" t="inlineStr">
        <is>
          <t>€/MWh</t>
        </is>
      </c>
      <c r="E1640" s="54" t="n">
        <v>0.041151</v>
      </c>
      <c r="F1640" s="54" t="n"/>
      <c r="G1640" t="inlineStr">
        <is>
          <t>no aplica (precio mayorista)</t>
        </is>
      </c>
      <c r="J1640" t="inlineStr">
        <is>
          <t>2024-06-23</t>
        </is>
      </c>
      <c r="K1640" t="inlineStr">
        <is>
          <t>marginalpdbc_20240624.1</t>
        </is>
      </c>
      <c r="L1640" t="inlineStr">
        <is>
          <t>24 periodos; mín 0.00, máx 117.33 €/MWh</t>
        </is>
      </c>
    </row>
    <row r="1641">
      <c r="A1641" s="53" t="n">
        <v>45468</v>
      </c>
      <c r="B1641" t="inlineStr">
        <is>
          <t>2024-06-25</t>
        </is>
      </c>
      <c r="C1641" s="45" t="n">
        <v>70.06829999999999</v>
      </c>
      <c r="D1641" t="inlineStr">
        <is>
          <t>€/MWh</t>
        </is>
      </c>
      <c r="E1641" s="54" t="n">
        <v>0.07006800000000001</v>
      </c>
      <c r="F1641" s="54" t="n"/>
      <c r="G1641" t="inlineStr">
        <is>
          <t>no aplica (precio mayorista)</t>
        </is>
      </c>
      <c r="J1641" t="inlineStr">
        <is>
          <t>2024-06-24</t>
        </is>
      </c>
      <c r="K1641" t="inlineStr">
        <is>
          <t>marginalpdbc_20240625.1</t>
        </is>
      </c>
      <c r="L1641" t="inlineStr">
        <is>
          <t>24 periodos; mín 35.00, máx 117.41 €/MWh</t>
        </is>
      </c>
    </row>
    <row r="1642">
      <c r="A1642" s="53" t="n">
        <v>45469</v>
      </c>
      <c r="B1642" t="inlineStr">
        <is>
          <t>2024-06-26</t>
        </is>
      </c>
      <c r="C1642" s="45" t="n">
        <v>97.1688</v>
      </c>
      <c r="D1642" t="inlineStr">
        <is>
          <t>€/MWh</t>
        </is>
      </c>
      <c r="E1642" s="54" t="n">
        <v>0.09716900000000001</v>
      </c>
      <c r="F1642" s="54" t="n"/>
      <c r="G1642" t="inlineStr">
        <is>
          <t>no aplica (precio mayorista)</t>
        </is>
      </c>
      <c r="J1642" t="inlineStr">
        <is>
          <t>2024-06-25</t>
        </is>
      </c>
      <c r="K1642" t="inlineStr">
        <is>
          <t>marginalpdbc_20240626.1</t>
        </is>
      </c>
      <c r="L1642" t="inlineStr">
        <is>
          <t>24 periodos; mín 60.00, máx 137.18 €/MWh</t>
        </is>
      </c>
    </row>
    <row r="1643">
      <c r="A1643" s="53" t="n">
        <v>45470</v>
      </c>
      <c r="B1643" t="inlineStr">
        <is>
          <t>2024-06-27</t>
        </is>
      </c>
      <c r="C1643" s="45" t="n">
        <v>89.0962</v>
      </c>
      <c r="D1643" t="inlineStr">
        <is>
          <t>€/MWh</t>
        </is>
      </c>
      <c r="E1643" s="54" t="n">
        <v>0.08909599999999999</v>
      </c>
      <c r="F1643" s="54" t="n"/>
      <c r="G1643" t="inlineStr">
        <is>
          <t>no aplica (precio mayorista)</t>
        </is>
      </c>
      <c r="J1643" t="inlineStr">
        <is>
          <t>2024-06-26</t>
        </is>
      </c>
      <c r="K1643" t="inlineStr">
        <is>
          <t>marginalpdbc_20240627.1</t>
        </is>
      </c>
      <c r="L1643" t="inlineStr">
        <is>
          <t>24 periodos; mín 42.45, máx 120.74 €/MWh</t>
        </is>
      </c>
    </row>
    <row r="1644">
      <c r="A1644" s="53" t="n">
        <v>45471</v>
      </c>
      <c r="B1644" t="inlineStr">
        <is>
          <t>2024-06-28</t>
        </is>
      </c>
      <c r="C1644" s="45" t="n">
        <v>82.04170000000001</v>
      </c>
      <c r="D1644" t="inlineStr">
        <is>
          <t>€/MWh</t>
        </is>
      </c>
      <c r="E1644" s="54" t="n">
        <v>0.082042</v>
      </c>
      <c r="F1644" s="54" t="n"/>
      <c r="G1644" t="inlineStr">
        <is>
          <t>no aplica (precio mayorista)</t>
        </is>
      </c>
      <c r="J1644" t="inlineStr">
        <is>
          <t>2024-06-27</t>
        </is>
      </c>
      <c r="K1644" t="inlineStr">
        <is>
          <t>marginalpdbc_20240628.1</t>
        </is>
      </c>
      <c r="L1644" t="inlineStr">
        <is>
          <t>24 periodos; mín 35.02, máx 113.30 €/MWh</t>
        </is>
      </c>
    </row>
    <row r="1645">
      <c r="A1645" s="53" t="n">
        <v>45472</v>
      </c>
      <c r="B1645" t="inlineStr">
        <is>
          <t>2024-06-29</t>
        </is>
      </c>
      <c r="C1645" s="45" t="n">
        <v>50.5367</v>
      </c>
      <c r="D1645" t="inlineStr">
        <is>
          <t>€/MWh</t>
        </is>
      </c>
      <c r="E1645" s="54" t="n">
        <v>0.050537</v>
      </c>
      <c r="F1645" s="54" t="n"/>
      <c r="G1645" t="inlineStr">
        <is>
          <t>no aplica (precio mayorista)</t>
        </is>
      </c>
      <c r="J1645" t="inlineStr">
        <is>
          <t>2024-06-28</t>
        </is>
      </c>
      <c r="K1645" t="inlineStr">
        <is>
          <t>marginalpdbc_20240629.1</t>
        </is>
      </c>
      <c r="L1645" t="inlineStr">
        <is>
          <t>24 periodos; mín 1.50, máx 106.08 €/MWh</t>
        </is>
      </c>
    </row>
    <row r="1646">
      <c r="A1646" s="53" t="n">
        <v>45473</v>
      </c>
      <c r="B1646" t="inlineStr">
        <is>
          <t>2024-06-30</t>
        </is>
      </c>
      <c r="C1646" s="45" t="n">
        <v>57.9354</v>
      </c>
      <c r="D1646" t="inlineStr">
        <is>
          <t>€/MWh</t>
        </is>
      </c>
      <c r="E1646" s="54" t="n">
        <v>0.057935</v>
      </c>
      <c r="F1646" s="54" t="n"/>
      <c r="G1646" t="inlineStr">
        <is>
          <t>no aplica (precio mayorista)</t>
        </is>
      </c>
      <c r="J1646" t="inlineStr">
        <is>
          <t>2024-06-29</t>
        </is>
      </c>
      <c r="K1646" t="inlineStr">
        <is>
          <t>marginalpdbc_20240630.1</t>
        </is>
      </c>
      <c r="L1646" t="inlineStr">
        <is>
          <t>24 periodos; mín 0.00, máx 103.22 €/MWh</t>
        </is>
      </c>
    </row>
    <row r="1647">
      <c r="A1647" s="53" t="n">
        <v>45474</v>
      </c>
      <c r="B1647" t="inlineStr">
        <is>
          <t>2024-07-01</t>
        </is>
      </c>
      <c r="C1647" s="45" t="n">
        <v>53.2246</v>
      </c>
      <c r="D1647" t="inlineStr">
        <is>
          <t>€/MWh</t>
        </is>
      </c>
      <c r="E1647" s="54" t="n">
        <v>0.053225</v>
      </c>
      <c r="F1647" s="54" t="n"/>
      <c r="G1647" t="inlineStr">
        <is>
          <t>no aplica (precio mayorista)</t>
        </is>
      </c>
      <c r="J1647" t="inlineStr">
        <is>
          <t>2024-06-30</t>
        </is>
      </c>
      <c r="K1647" t="inlineStr">
        <is>
          <t>marginalpdbc_20240701.1</t>
        </is>
      </c>
      <c r="L1647" t="inlineStr">
        <is>
          <t>24 periodos; mín 10.15, máx 99.26 €/MWh</t>
        </is>
      </c>
    </row>
    <row r="1648">
      <c r="A1648" s="53" t="n">
        <v>45475</v>
      </c>
      <c r="B1648" t="inlineStr">
        <is>
          <t>2024-07-02</t>
        </is>
      </c>
      <c r="C1648" s="45" t="n">
        <v>46.9692</v>
      </c>
      <c r="D1648" t="inlineStr">
        <is>
          <t>€/MWh</t>
        </is>
      </c>
      <c r="E1648" s="54" t="n">
        <v>0.046969</v>
      </c>
      <c r="F1648" s="54" t="n"/>
      <c r="G1648" t="inlineStr">
        <is>
          <t>no aplica (precio mayorista)</t>
        </is>
      </c>
      <c r="J1648" t="inlineStr">
        <is>
          <t>2024-07-01</t>
        </is>
      </c>
      <c r="K1648" t="inlineStr">
        <is>
          <t>marginalpdbc_20240702.1</t>
        </is>
      </c>
      <c r="L1648" t="inlineStr">
        <is>
          <t>24 periodos; mín 4.00, máx 110.41 €/MWh</t>
        </is>
      </c>
    </row>
    <row r="1649">
      <c r="A1649" s="53" t="n">
        <v>45476</v>
      </c>
      <c r="B1649" t="inlineStr">
        <is>
          <t>2024-07-03</t>
        </is>
      </c>
      <c r="C1649" s="45" t="n">
        <v>61.7063</v>
      </c>
      <c r="D1649" t="inlineStr">
        <is>
          <t>€/MWh</t>
        </is>
      </c>
      <c r="E1649" s="54" t="n">
        <v>0.061706</v>
      </c>
      <c r="F1649" s="54" t="n"/>
      <c r="G1649" t="inlineStr">
        <is>
          <t>no aplica (precio mayorista)</t>
        </is>
      </c>
      <c r="J1649" t="inlineStr">
        <is>
          <t>2024-07-02</t>
        </is>
      </c>
      <c r="K1649" t="inlineStr">
        <is>
          <t>marginalpdbc_20240703.1</t>
        </is>
      </c>
      <c r="L1649" t="inlineStr">
        <is>
          <t>24 periodos; mín 3.60, máx 107.51 €/MWh</t>
        </is>
      </c>
    </row>
    <row r="1650">
      <c r="A1650" s="53" t="n">
        <v>45477</v>
      </c>
      <c r="B1650" t="inlineStr">
        <is>
          <t>2024-07-04</t>
        </is>
      </c>
      <c r="C1650" s="45" t="n">
        <v>51.8487</v>
      </c>
      <c r="D1650" t="inlineStr">
        <is>
          <t>€/MWh</t>
        </is>
      </c>
      <c r="E1650" s="54" t="n">
        <v>0.051849</v>
      </c>
      <c r="F1650" s="54" t="n"/>
      <c r="G1650" t="inlineStr">
        <is>
          <t>no aplica (precio mayorista)</t>
        </is>
      </c>
      <c r="J1650" t="inlineStr">
        <is>
          <t>2024-07-03</t>
        </is>
      </c>
      <c r="K1650" t="inlineStr">
        <is>
          <t>marginalpdbc_20240704.1</t>
        </is>
      </c>
      <c r="L1650" t="inlineStr">
        <is>
          <t>24 periodos; mín -0.82, máx 99.88 €/MWh</t>
        </is>
      </c>
    </row>
    <row r="1651">
      <c r="A1651" s="53" t="n">
        <v>45478</v>
      </c>
      <c r="B1651" t="inlineStr">
        <is>
          <t>2024-07-05</t>
        </is>
      </c>
      <c r="C1651" s="45" t="n">
        <v>59.8754</v>
      </c>
      <c r="D1651" t="inlineStr">
        <is>
          <t>€/MWh</t>
        </is>
      </c>
      <c r="E1651" s="54" t="n">
        <v>0.059875</v>
      </c>
      <c r="F1651" s="54" t="n"/>
      <c r="G1651" t="inlineStr">
        <is>
          <t>no aplica (precio mayorista)</t>
        </is>
      </c>
      <c r="J1651" t="inlineStr">
        <is>
          <t>2024-07-04</t>
        </is>
      </c>
      <c r="K1651" t="inlineStr">
        <is>
          <t>marginalpdbc_20240705.1</t>
        </is>
      </c>
      <c r="L1651" t="inlineStr">
        <is>
          <t>24 periodos; mín 1.23, máx 106.33 €/MWh</t>
        </is>
      </c>
    </row>
    <row r="1652">
      <c r="A1652" s="53" t="n">
        <v>45479</v>
      </c>
      <c r="B1652" t="inlineStr">
        <is>
          <t>2024-07-06</t>
        </is>
      </c>
      <c r="C1652" s="45" t="n">
        <v>33.9754</v>
      </c>
      <c r="D1652" t="inlineStr">
        <is>
          <t>€/MWh</t>
        </is>
      </c>
      <c r="E1652" s="54" t="n">
        <v>0.033975</v>
      </c>
      <c r="F1652" s="54" t="n"/>
      <c r="G1652" t="inlineStr">
        <is>
          <t>no aplica (precio mayorista)</t>
        </is>
      </c>
      <c r="J1652" t="inlineStr">
        <is>
          <t>2024-07-05</t>
        </is>
      </c>
      <c r="K1652" t="inlineStr">
        <is>
          <t>marginalpdbc_20240706.1</t>
        </is>
      </c>
      <c r="L1652" t="inlineStr">
        <is>
          <t>24 periodos; mín -1.01, máx 101.00 €/MWh</t>
        </is>
      </c>
    </row>
    <row r="1653">
      <c r="A1653" s="53" t="n">
        <v>45480</v>
      </c>
      <c r="B1653" t="inlineStr">
        <is>
          <t>2024-07-07</t>
        </is>
      </c>
      <c r="C1653" s="45" t="n">
        <v>34.7079</v>
      </c>
      <c r="D1653" t="inlineStr">
        <is>
          <t>€/MWh</t>
        </is>
      </c>
      <c r="E1653" s="54" t="n">
        <v>0.034708</v>
      </c>
      <c r="F1653" s="54" t="n"/>
      <c r="G1653" t="inlineStr">
        <is>
          <t>no aplica (precio mayorista)</t>
        </is>
      </c>
      <c r="J1653" t="inlineStr">
        <is>
          <t>2024-07-06</t>
        </is>
      </c>
      <c r="K1653" t="inlineStr">
        <is>
          <t>marginalpdbc_20240707.1</t>
        </is>
      </c>
      <c r="L1653" t="inlineStr">
        <is>
          <t>24 periodos; mín -1.01, máx 104.58 €/MWh</t>
        </is>
      </c>
    </row>
    <row r="1654">
      <c r="A1654" s="53" t="n">
        <v>45481</v>
      </c>
      <c r="B1654" t="inlineStr">
        <is>
          <t>2024-07-08</t>
        </is>
      </c>
      <c r="C1654" s="45" t="n">
        <v>73.1867</v>
      </c>
      <c r="D1654" t="inlineStr">
        <is>
          <t>€/MWh</t>
        </is>
      </c>
      <c r="E1654" s="54" t="n">
        <v>0.073187</v>
      </c>
      <c r="F1654" s="54" t="n"/>
      <c r="G1654" t="inlineStr">
        <is>
          <t>no aplica (precio mayorista)</t>
        </is>
      </c>
      <c r="J1654" t="inlineStr">
        <is>
          <t>2024-07-07</t>
        </is>
      </c>
      <c r="K1654" t="inlineStr">
        <is>
          <t>marginalpdbc_20240708.1</t>
        </is>
      </c>
      <c r="L1654" t="inlineStr">
        <is>
          <t>24 periodos; mín 31.98, máx 115.15 €/MWh</t>
        </is>
      </c>
    </row>
    <row r="1655">
      <c r="A1655" s="53" t="n">
        <v>45482</v>
      </c>
      <c r="B1655" t="inlineStr">
        <is>
          <t>2024-07-09</t>
        </is>
      </c>
      <c r="C1655" s="45" t="n">
        <v>69.5517</v>
      </c>
      <c r="D1655" t="inlineStr">
        <is>
          <t>€/MWh</t>
        </is>
      </c>
      <c r="E1655" s="54" t="n">
        <v>0.069552</v>
      </c>
      <c r="F1655" s="54" t="n"/>
      <c r="G1655" t="inlineStr">
        <is>
          <t>no aplica (precio mayorista)</t>
        </is>
      </c>
      <c r="J1655" t="inlineStr">
        <is>
          <t>2024-07-08</t>
        </is>
      </c>
      <c r="K1655" t="inlineStr">
        <is>
          <t>marginalpdbc_20240709.1</t>
        </is>
      </c>
      <c r="L1655" t="inlineStr">
        <is>
          <t>24 periodos; mín 8.30, máx 141.94 €/MWh</t>
        </is>
      </c>
    </row>
    <row r="1656">
      <c r="A1656" s="53" t="n">
        <v>45483</v>
      </c>
      <c r="B1656" t="inlineStr">
        <is>
          <t>2024-07-10</t>
        </is>
      </c>
      <c r="C1656" s="45" t="n">
        <v>87.6092</v>
      </c>
      <c r="D1656" t="inlineStr">
        <is>
          <t>€/MWh</t>
        </is>
      </c>
      <c r="E1656" s="54" t="n">
        <v>0.08760900000000001</v>
      </c>
      <c r="F1656" s="54" t="n"/>
      <c r="G1656" t="inlineStr">
        <is>
          <t>no aplica (precio mayorista)</t>
        </is>
      </c>
      <c r="J1656" t="inlineStr">
        <is>
          <t>2024-07-09</t>
        </is>
      </c>
      <c r="K1656" t="inlineStr">
        <is>
          <t>marginalpdbc_20240710.1</t>
        </is>
      </c>
      <c r="L1656" t="inlineStr">
        <is>
          <t>24 periodos; mín 45.06, máx 131.98 €/MWh</t>
        </is>
      </c>
    </row>
    <row r="1657">
      <c r="A1657" s="53" t="n">
        <v>45484</v>
      </c>
      <c r="B1657" t="inlineStr">
        <is>
          <t>2024-07-11</t>
        </is>
      </c>
      <c r="C1657" s="45" t="n">
        <v>85.5308</v>
      </c>
      <c r="D1657" t="inlineStr">
        <is>
          <t>€/MWh</t>
        </is>
      </c>
      <c r="E1657" s="54" t="n">
        <v>0.085531</v>
      </c>
      <c r="F1657" s="54" t="n"/>
      <c r="G1657" t="inlineStr">
        <is>
          <t>no aplica (precio mayorista)</t>
        </is>
      </c>
      <c r="J1657" t="inlineStr">
        <is>
          <t>2024-07-10</t>
        </is>
      </c>
      <c r="K1657" t="inlineStr">
        <is>
          <t>marginalpdbc_20240711.1</t>
        </is>
      </c>
      <c r="L1657" t="inlineStr">
        <is>
          <t>24 periodos; mín 50.98, máx 111.39 €/MWh</t>
        </is>
      </c>
    </row>
    <row r="1658">
      <c r="A1658" s="53" t="n">
        <v>45485</v>
      </c>
      <c r="B1658" t="inlineStr">
        <is>
          <t>2024-07-12</t>
        </is>
      </c>
      <c r="C1658" s="45" t="n">
        <v>58.7825</v>
      </c>
      <c r="D1658" t="inlineStr">
        <is>
          <t>€/MWh</t>
        </is>
      </c>
      <c r="E1658" s="54" t="n">
        <v>0.058783</v>
      </c>
      <c r="F1658" s="54" t="n"/>
      <c r="G1658" t="inlineStr">
        <is>
          <t>no aplica (precio mayorista)</t>
        </is>
      </c>
      <c r="J1658" t="inlineStr">
        <is>
          <t>2024-07-11</t>
        </is>
      </c>
      <c r="K1658" t="inlineStr">
        <is>
          <t>marginalpdbc_20240712.1</t>
        </is>
      </c>
      <c r="L1658" t="inlineStr">
        <is>
          <t>24 periodos; mín 24.45, máx 89.93 €/MWh</t>
        </is>
      </c>
    </row>
    <row r="1659">
      <c r="A1659" s="53" t="n">
        <v>45486</v>
      </c>
      <c r="B1659" t="inlineStr">
        <is>
          <t>2024-07-13</t>
        </is>
      </c>
      <c r="C1659" s="45" t="n">
        <v>51.375</v>
      </c>
      <c r="D1659" t="inlineStr">
        <is>
          <t>€/MWh</t>
        </is>
      </c>
      <c r="E1659" s="54" t="n">
        <v>0.051375</v>
      </c>
      <c r="F1659" s="54" t="n"/>
      <c r="G1659" t="inlineStr">
        <is>
          <t>no aplica (precio mayorista)</t>
        </is>
      </c>
      <c r="J1659" t="inlineStr">
        <is>
          <t>2024-07-12</t>
        </is>
      </c>
      <c r="K1659" t="inlineStr">
        <is>
          <t>marginalpdbc_20240713.1</t>
        </is>
      </c>
      <c r="L1659" t="inlineStr">
        <is>
          <t>24 periodos; mín 0.00, máx 107.48 €/MWh</t>
        </is>
      </c>
    </row>
    <row r="1660">
      <c r="A1660" s="53" t="n">
        <v>45487</v>
      </c>
      <c r="B1660" t="inlineStr">
        <is>
          <t>2024-07-14</t>
        </is>
      </c>
      <c r="C1660" s="45" t="n">
        <v>52.2821</v>
      </c>
      <c r="D1660" t="inlineStr">
        <is>
          <t>€/MWh</t>
        </is>
      </c>
      <c r="E1660" s="54" t="n">
        <v>0.052282</v>
      </c>
      <c r="F1660" s="54" t="n"/>
      <c r="G1660" t="inlineStr">
        <is>
          <t>no aplica (precio mayorista)</t>
        </is>
      </c>
      <c r="J1660" t="inlineStr">
        <is>
          <t>2024-07-13</t>
        </is>
      </c>
      <c r="K1660" t="inlineStr">
        <is>
          <t>marginalpdbc_20240714.1</t>
        </is>
      </c>
      <c r="L1660" t="inlineStr">
        <is>
          <t>24 periodos; mín -0.95, máx 109.91 €/MWh</t>
        </is>
      </c>
    </row>
    <row r="1661">
      <c r="A1661" s="53" t="n">
        <v>45488</v>
      </c>
      <c r="B1661" t="inlineStr">
        <is>
          <t>2024-07-15</t>
        </is>
      </c>
      <c r="C1661" s="45" t="n">
        <v>53.9533</v>
      </c>
      <c r="D1661" t="inlineStr">
        <is>
          <t>€/MWh</t>
        </is>
      </c>
      <c r="E1661" s="54" t="n">
        <v>0.053953</v>
      </c>
      <c r="F1661" s="54" t="n"/>
      <c r="G1661" t="inlineStr">
        <is>
          <t>no aplica (precio mayorista)</t>
        </is>
      </c>
      <c r="J1661" t="inlineStr">
        <is>
          <t>2024-07-14</t>
        </is>
      </c>
      <c r="K1661" t="inlineStr">
        <is>
          <t>marginalpdbc_20240715.1</t>
        </is>
      </c>
      <c r="L1661" t="inlineStr">
        <is>
          <t>24 periodos; mín 3.74, máx 109.37 €/MWh</t>
        </is>
      </c>
    </row>
    <row r="1662">
      <c r="A1662" s="53" t="n">
        <v>45489</v>
      </c>
      <c r="B1662" t="inlineStr">
        <is>
          <t>2024-07-16</t>
        </is>
      </c>
      <c r="C1662" s="45" t="n">
        <v>87.24420000000001</v>
      </c>
      <c r="D1662" t="inlineStr">
        <is>
          <t>€/MWh</t>
        </is>
      </c>
      <c r="E1662" s="54" t="n">
        <v>0.087244</v>
      </c>
      <c r="F1662" s="54" t="n"/>
      <c r="G1662" t="inlineStr">
        <is>
          <t>no aplica (precio mayorista)</t>
        </is>
      </c>
      <c r="J1662" t="inlineStr">
        <is>
          <t>2024-07-15</t>
        </is>
      </c>
      <c r="K1662" t="inlineStr">
        <is>
          <t>marginalpdbc_20240716.1</t>
        </is>
      </c>
      <c r="L1662" t="inlineStr">
        <is>
          <t>24 periodos; mín 59.79, máx 125.02 €/MWh</t>
        </is>
      </c>
    </row>
    <row r="1663">
      <c r="A1663" s="53" t="n">
        <v>45490</v>
      </c>
      <c r="B1663" t="inlineStr">
        <is>
          <t>2024-07-17</t>
        </is>
      </c>
      <c r="C1663" s="45" t="n">
        <v>94.4221</v>
      </c>
      <c r="D1663" t="inlineStr">
        <is>
          <t>€/MWh</t>
        </is>
      </c>
      <c r="E1663" s="54" t="n">
        <v>0.09442200000000001</v>
      </c>
      <c r="F1663" s="54" t="n"/>
      <c r="G1663" t="inlineStr">
        <is>
          <t>no aplica (precio mayorista)</t>
        </is>
      </c>
      <c r="J1663" t="inlineStr">
        <is>
          <t>2024-07-16</t>
        </is>
      </c>
      <c r="K1663" t="inlineStr">
        <is>
          <t>marginalpdbc_20240717.1</t>
        </is>
      </c>
      <c r="L1663" t="inlineStr">
        <is>
          <t>24 periodos; mín 69.66, máx 127.00 €/MWh</t>
        </is>
      </c>
    </row>
    <row r="1664">
      <c r="A1664" s="53" t="n">
        <v>45491</v>
      </c>
      <c r="B1664" t="inlineStr">
        <is>
          <t>2024-07-18</t>
        </is>
      </c>
      <c r="C1664" s="45" t="n">
        <v>101.3654</v>
      </c>
      <c r="D1664" t="inlineStr">
        <is>
          <t>€/MWh</t>
        </is>
      </c>
      <c r="E1664" s="54" t="n">
        <v>0.101365</v>
      </c>
      <c r="F1664" s="54" t="n"/>
      <c r="G1664" t="inlineStr">
        <is>
          <t>no aplica (precio mayorista)</t>
        </is>
      </c>
      <c r="J1664" t="inlineStr">
        <is>
          <t>2024-07-17</t>
        </is>
      </c>
      <c r="K1664" t="inlineStr">
        <is>
          <t>marginalpdbc_20240718.1</t>
        </is>
      </c>
      <c r="L1664" t="inlineStr">
        <is>
          <t>24 periodos; mín 79.21, máx 138.23 €/MWh</t>
        </is>
      </c>
    </row>
    <row r="1665">
      <c r="A1665" s="53" t="n">
        <v>45492</v>
      </c>
      <c r="B1665" t="inlineStr">
        <is>
          <t>2024-07-19</t>
        </is>
      </c>
      <c r="C1665" s="45" t="n">
        <v>97.7821</v>
      </c>
      <c r="D1665" t="inlineStr">
        <is>
          <t>€/MWh</t>
        </is>
      </c>
      <c r="E1665" s="54" t="n">
        <v>0.09778199999999999</v>
      </c>
      <c r="F1665" s="54" t="n"/>
      <c r="G1665" t="inlineStr">
        <is>
          <t>no aplica (precio mayorista)</t>
        </is>
      </c>
      <c r="J1665" t="inlineStr">
        <is>
          <t>2024-07-18</t>
        </is>
      </c>
      <c r="K1665" t="inlineStr">
        <is>
          <t>marginalpdbc_20240719.1</t>
        </is>
      </c>
      <c r="L1665" t="inlineStr">
        <is>
          <t>24 periodos; mín 68.72, máx 121.22 €/MWh</t>
        </is>
      </c>
    </row>
    <row r="1666">
      <c r="A1666" s="53" t="n">
        <v>45493</v>
      </c>
      <c r="B1666" t="inlineStr">
        <is>
          <t>2024-07-20</t>
        </is>
      </c>
      <c r="C1666" s="45" t="n">
        <v>51.4704</v>
      </c>
      <c r="D1666" t="inlineStr">
        <is>
          <t>€/MWh</t>
        </is>
      </c>
      <c r="E1666" s="54" t="n">
        <v>0.05147</v>
      </c>
      <c r="F1666" s="54" t="n"/>
      <c r="G1666" t="inlineStr">
        <is>
          <t>no aplica (precio mayorista)</t>
        </is>
      </c>
      <c r="J1666" t="inlineStr">
        <is>
          <t>2024-07-19</t>
        </is>
      </c>
      <c r="K1666" t="inlineStr">
        <is>
          <t>marginalpdbc_20240720.1</t>
        </is>
      </c>
      <c r="L1666" t="inlineStr">
        <is>
          <t>24 periodos; mín -0.01, máx 101.70 €/MWh</t>
        </is>
      </c>
    </row>
    <row r="1667">
      <c r="A1667" s="53" t="n">
        <v>45494</v>
      </c>
      <c r="B1667" t="inlineStr">
        <is>
          <t>2024-07-21</t>
        </is>
      </c>
      <c r="C1667" s="45" t="n">
        <v>30.4129</v>
      </c>
      <c r="D1667" t="inlineStr">
        <is>
          <t>€/MWh</t>
        </is>
      </c>
      <c r="E1667" s="54" t="n">
        <v>0.030413</v>
      </c>
      <c r="F1667" s="54" t="n"/>
      <c r="G1667" t="inlineStr">
        <is>
          <t>no aplica (precio mayorista)</t>
        </is>
      </c>
      <c r="J1667" t="inlineStr">
        <is>
          <t>2024-07-20</t>
        </is>
      </c>
      <c r="K1667" t="inlineStr">
        <is>
          <t>marginalpdbc_20240721.1</t>
        </is>
      </c>
      <c r="L1667" t="inlineStr">
        <is>
          <t>24 periodos; mín -0.25, máx 95.44 €/MWh</t>
        </is>
      </c>
    </row>
    <row r="1668">
      <c r="A1668" s="53" t="n">
        <v>45495</v>
      </c>
      <c r="B1668" t="inlineStr">
        <is>
          <t>2024-07-22</t>
        </is>
      </c>
      <c r="C1668" s="45" t="n">
        <v>79.5304</v>
      </c>
      <c r="D1668" t="inlineStr">
        <is>
          <t>€/MWh</t>
        </is>
      </c>
      <c r="E1668" s="54" t="n">
        <v>0.07953</v>
      </c>
      <c r="F1668" s="54" t="n"/>
      <c r="G1668" t="inlineStr">
        <is>
          <t>no aplica (precio mayorista)</t>
        </is>
      </c>
      <c r="J1668" t="inlineStr">
        <is>
          <t>2024-07-21</t>
        </is>
      </c>
      <c r="K1668" t="inlineStr">
        <is>
          <t>marginalpdbc_20240722.1</t>
        </is>
      </c>
      <c r="L1668" t="inlineStr">
        <is>
          <t>24 periodos; mín 54.99, máx 133.58 €/MWh</t>
        </is>
      </c>
    </row>
    <row r="1669">
      <c r="A1669" s="53" t="n">
        <v>45496</v>
      </c>
      <c r="B1669" t="inlineStr">
        <is>
          <t>2024-07-23</t>
        </is>
      </c>
      <c r="C1669" s="45" t="n">
        <v>91.72709999999999</v>
      </c>
      <c r="D1669" t="inlineStr">
        <is>
          <t>€/MWh</t>
        </is>
      </c>
      <c r="E1669" s="54" t="n">
        <v>0.091727</v>
      </c>
      <c r="F1669" s="54" t="n"/>
      <c r="G1669" t="inlineStr">
        <is>
          <t>no aplica (precio mayorista)</t>
        </is>
      </c>
      <c r="J1669" t="inlineStr">
        <is>
          <t>2024-07-22</t>
        </is>
      </c>
      <c r="K1669" t="inlineStr">
        <is>
          <t>marginalpdbc_20240723.1</t>
        </is>
      </c>
      <c r="L1669" t="inlineStr">
        <is>
          <t>24 periodos; mín 66.18, máx 122.23 €/MWh</t>
        </is>
      </c>
    </row>
    <row r="1670">
      <c r="A1670" s="53" t="n">
        <v>45497</v>
      </c>
      <c r="B1670" t="inlineStr">
        <is>
          <t>2024-07-24</t>
        </is>
      </c>
      <c r="C1670" s="45" t="n">
        <v>94.88</v>
      </c>
      <c r="D1670" t="inlineStr">
        <is>
          <t>€/MWh</t>
        </is>
      </c>
      <c r="E1670" s="54" t="n">
        <v>0.09488000000000001</v>
      </c>
      <c r="F1670" s="54" t="n"/>
      <c r="G1670" t="inlineStr">
        <is>
          <t>no aplica (precio mayorista)</t>
        </is>
      </c>
      <c r="J1670" t="inlineStr">
        <is>
          <t>2024-07-23</t>
        </is>
      </c>
      <c r="K1670" t="inlineStr">
        <is>
          <t>marginalpdbc_20240724.1</t>
        </is>
      </c>
      <c r="L1670" t="inlineStr">
        <is>
          <t>24 periodos; mín 75.31, máx 124.11 €/MWh</t>
        </is>
      </c>
    </row>
    <row r="1671">
      <c r="A1671" s="53" t="n">
        <v>45498</v>
      </c>
      <c r="B1671" t="inlineStr">
        <is>
          <t>2024-07-25</t>
        </is>
      </c>
      <c r="C1671" s="45" t="n">
        <v>89.2642</v>
      </c>
      <c r="D1671" t="inlineStr">
        <is>
          <t>€/MWh</t>
        </is>
      </c>
      <c r="E1671" s="54" t="n">
        <v>0.089264</v>
      </c>
      <c r="F1671" s="54" t="n"/>
      <c r="G1671" t="inlineStr">
        <is>
          <t>no aplica (precio mayorista)</t>
        </is>
      </c>
      <c r="J1671" t="inlineStr">
        <is>
          <t>2024-07-24</t>
        </is>
      </c>
      <c r="K1671" t="inlineStr">
        <is>
          <t>marginalpdbc_20240725.1</t>
        </is>
      </c>
      <c r="L1671" t="inlineStr">
        <is>
          <t>24 periodos; mín 59.10, máx 116.52 €/MWh</t>
        </is>
      </c>
    </row>
    <row r="1672">
      <c r="A1672" s="53" t="n">
        <v>45499</v>
      </c>
      <c r="B1672" t="inlineStr">
        <is>
          <t>2024-07-26</t>
        </is>
      </c>
      <c r="C1672" s="45" t="n">
        <v>94.8967</v>
      </c>
      <c r="D1672" t="inlineStr">
        <is>
          <t>€/MWh</t>
        </is>
      </c>
      <c r="E1672" s="54" t="n">
        <v>0.094897</v>
      </c>
      <c r="F1672" s="54" t="n"/>
      <c r="G1672" t="inlineStr">
        <is>
          <t>no aplica (precio mayorista)</t>
        </is>
      </c>
      <c r="J1672" t="inlineStr">
        <is>
          <t>2024-07-25</t>
        </is>
      </c>
      <c r="K1672" t="inlineStr">
        <is>
          <t>marginalpdbc_20240726.1</t>
        </is>
      </c>
      <c r="L1672" t="inlineStr">
        <is>
          <t>24 periodos; mín 71.20, máx 122.23 €/MWh</t>
        </is>
      </c>
    </row>
    <row r="1673">
      <c r="A1673" s="53" t="n">
        <v>45500</v>
      </c>
      <c r="B1673" t="inlineStr">
        <is>
          <t>2024-07-27</t>
        </is>
      </c>
      <c r="C1673" s="45" t="n">
        <v>76.9712</v>
      </c>
      <c r="D1673" t="inlineStr">
        <is>
          <t>€/MWh</t>
        </is>
      </c>
      <c r="E1673" s="54" t="n">
        <v>0.076971</v>
      </c>
      <c r="F1673" s="54" t="n"/>
      <c r="G1673" t="inlineStr">
        <is>
          <t>no aplica (precio mayorista)</t>
        </is>
      </c>
      <c r="J1673" t="inlineStr">
        <is>
          <t>2024-07-26</t>
        </is>
      </c>
      <c r="K1673" t="inlineStr">
        <is>
          <t>marginalpdbc_20240727.1</t>
        </is>
      </c>
      <c r="L1673" t="inlineStr">
        <is>
          <t>24 periodos; mín 15.00, máx 117.92 €/MWh</t>
        </is>
      </c>
    </row>
    <row r="1674">
      <c r="A1674" s="53" t="n">
        <v>45501</v>
      </c>
      <c r="B1674" t="inlineStr">
        <is>
          <t>2024-07-28</t>
        </is>
      </c>
      <c r="C1674" s="45" t="n">
        <v>63.3271</v>
      </c>
      <c r="D1674" t="inlineStr">
        <is>
          <t>€/MWh</t>
        </is>
      </c>
      <c r="E1674" s="54" t="n">
        <v>0.06332699999999999</v>
      </c>
      <c r="F1674" s="54" t="n"/>
      <c r="G1674" t="inlineStr">
        <is>
          <t>no aplica (precio mayorista)</t>
        </is>
      </c>
      <c r="J1674" t="inlineStr">
        <is>
          <t>2024-07-27</t>
        </is>
      </c>
      <c r="K1674" t="inlineStr">
        <is>
          <t>marginalpdbc_20240728.1</t>
        </is>
      </c>
      <c r="L1674" t="inlineStr">
        <is>
          <t>24 periodos; mín 0.00, máx 125.50 €/MWh</t>
        </is>
      </c>
    </row>
    <row r="1675">
      <c r="A1675" s="53" t="n">
        <v>45502</v>
      </c>
      <c r="B1675" t="inlineStr">
        <is>
          <t>2024-07-29</t>
        </is>
      </c>
      <c r="C1675" s="45" t="n">
        <v>108.7775</v>
      </c>
      <c r="D1675" t="inlineStr">
        <is>
          <t>€/MWh</t>
        </is>
      </c>
      <c r="E1675" s="54" t="n">
        <v>0.108777</v>
      </c>
      <c r="F1675" s="54" t="n"/>
      <c r="G1675" t="inlineStr">
        <is>
          <t>no aplica (precio mayorista)</t>
        </is>
      </c>
      <c r="J1675" t="inlineStr">
        <is>
          <t>2024-07-28</t>
        </is>
      </c>
      <c r="K1675" t="inlineStr">
        <is>
          <t>marginalpdbc_20240729.1</t>
        </is>
      </c>
      <c r="L1675" t="inlineStr">
        <is>
          <t>24 periodos; mín 93.00, máx 135.01 €/MWh</t>
        </is>
      </c>
    </row>
    <row r="1676">
      <c r="A1676" s="53" t="n">
        <v>45503</v>
      </c>
      <c r="B1676" t="inlineStr">
        <is>
          <t>2024-07-30</t>
        </is>
      </c>
      <c r="C1676" s="45" t="n">
        <v>99.7067</v>
      </c>
      <c r="D1676" t="inlineStr">
        <is>
          <t>€/MWh</t>
        </is>
      </c>
      <c r="E1676" s="54" t="n">
        <v>0.099707</v>
      </c>
      <c r="F1676" s="54" t="n"/>
      <c r="G1676" t="inlineStr">
        <is>
          <t>no aplica (precio mayorista)</t>
        </is>
      </c>
      <c r="J1676" t="inlineStr">
        <is>
          <t>2024-07-29</t>
        </is>
      </c>
      <c r="K1676" t="inlineStr">
        <is>
          <t>marginalpdbc_20240730.1</t>
        </is>
      </c>
      <c r="L1676" t="inlineStr">
        <is>
          <t>24 periodos; mín 64.00, máx 142.48 €/MWh</t>
        </is>
      </c>
    </row>
    <row r="1677">
      <c r="A1677" s="53" t="n">
        <v>45504</v>
      </c>
      <c r="B1677" t="inlineStr">
        <is>
          <t>2024-07-31</t>
        </is>
      </c>
      <c r="C1677" s="45" t="n">
        <v>105.3413</v>
      </c>
      <c r="D1677" t="inlineStr">
        <is>
          <t>€/MWh</t>
        </is>
      </c>
      <c r="E1677" s="54" t="n">
        <v>0.105341</v>
      </c>
      <c r="F1677" s="54" t="n"/>
      <c r="G1677" t="inlineStr">
        <is>
          <t>no aplica (precio mayorista)</t>
        </is>
      </c>
      <c r="J1677" t="inlineStr">
        <is>
          <t>2024-07-30</t>
        </is>
      </c>
      <c r="K1677" t="inlineStr">
        <is>
          <t>marginalpdbc_20240731.1</t>
        </is>
      </c>
      <c r="L1677" t="inlineStr">
        <is>
          <t>24 periodos; mín 79.59, máx 142.48 €/MWh</t>
        </is>
      </c>
    </row>
    <row r="1678">
      <c r="A1678" s="53" t="n">
        <v>45505</v>
      </c>
      <c r="B1678" t="inlineStr">
        <is>
          <t>2024-08-01</t>
        </is>
      </c>
      <c r="C1678" s="45" t="n">
        <v>107.3171</v>
      </c>
      <c r="D1678" t="inlineStr">
        <is>
          <t>€/MWh</t>
        </is>
      </c>
      <c r="E1678" s="54" t="n">
        <v>0.107317</v>
      </c>
      <c r="F1678" s="54" t="n"/>
      <c r="G1678" t="inlineStr">
        <is>
          <t>no aplica (precio mayorista)</t>
        </is>
      </c>
      <c r="J1678" t="inlineStr">
        <is>
          <t>2024-07-31</t>
        </is>
      </c>
      <c r="K1678" t="inlineStr">
        <is>
          <t>marginalpdbc_20240801.1</t>
        </is>
      </c>
      <c r="L1678" t="inlineStr">
        <is>
          <t>24 periodos; mín 81.80, máx 132.66 €/MWh</t>
        </is>
      </c>
    </row>
    <row r="1679">
      <c r="A1679" s="53" t="n">
        <v>45506</v>
      </c>
      <c r="B1679" t="inlineStr">
        <is>
          <t>2024-08-02</t>
        </is>
      </c>
      <c r="C1679" s="45" t="n">
        <v>93.4987</v>
      </c>
      <c r="D1679" t="inlineStr">
        <is>
          <t>€/MWh</t>
        </is>
      </c>
      <c r="E1679" s="54" t="n">
        <v>0.093499</v>
      </c>
      <c r="F1679" s="54" t="n"/>
      <c r="G1679" t="inlineStr">
        <is>
          <t>no aplica (precio mayorista)</t>
        </is>
      </c>
      <c r="J1679" t="inlineStr">
        <is>
          <t>2024-08-01</t>
        </is>
      </c>
      <c r="K1679" t="inlineStr">
        <is>
          <t>marginalpdbc_20240802.1</t>
        </is>
      </c>
      <c r="L1679" t="inlineStr">
        <is>
          <t>24 periodos; mín 49.95, máx 128.53 €/MWh</t>
        </is>
      </c>
    </row>
    <row r="1680">
      <c r="A1680" s="53" t="n">
        <v>45507</v>
      </c>
      <c r="B1680" t="inlineStr">
        <is>
          <t>2024-08-03</t>
        </is>
      </c>
      <c r="C1680" s="45" t="n">
        <v>77.645</v>
      </c>
      <c r="D1680" t="inlineStr">
        <is>
          <t>€/MWh</t>
        </is>
      </c>
      <c r="E1680" s="54" t="n">
        <v>0.07764500000000001</v>
      </c>
      <c r="F1680" s="54" t="n"/>
      <c r="G1680" t="inlineStr">
        <is>
          <t>no aplica (precio mayorista)</t>
        </is>
      </c>
      <c r="J1680" t="inlineStr">
        <is>
          <t>2024-08-02</t>
        </is>
      </c>
      <c r="K1680" t="inlineStr">
        <is>
          <t>marginalpdbc_20240803.1</t>
        </is>
      </c>
      <c r="L1680" t="inlineStr">
        <is>
          <t>24 periodos; mín 5.00, máx 136.53 €/MWh</t>
        </is>
      </c>
    </row>
    <row r="1681">
      <c r="A1681" s="53" t="n">
        <v>45508</v>
      </c>
      <c r="B1681" t="inlineStr">
        <is>
          <t>2024-08-04</t>
        </is>
      </c>
      <c r="C1681" s="45" t="n">
        <v>75.47669999999999</v>
      </c>
      <c r="D1681" t="inlineStr">
        <is>
          <t>€/MWh</t>
        </is>
      </c>
      <c r="E1681" s="54" t="n">
        <v>0.075477</v>
      </c>
      <c r="F1681" s="54" t="n"/>
      <c r="G1681" t="inlineStr">
        <is>
          <t>no aplica (precio mayorista)</t>
        </is>
      </c>
      <c r="J1681" t="inlineStr">
        <is>
          <t>2024-08-03</t>
        </is>
      </c>
      <c r="K1681" t="inlineStr">
        <is>
          <t>marginalpdbc_20240804.1</t>
        </is>
      </c>
      <c r="L1681" t="inlineStr">
        <is>
          <t>24 periodos; mín 0.44, máx 144.24 €/MWh</t>
        </is>
      </c>
    </row>
    <row r="1682">
      <c r="A1682" s="53" t="n">
        <v>45509</v>
      </c>
      <c r="B1682" t="inlineStr">
        <is>
          <t>2024-08-05</t>
        </is>
      </c>
      <c r="C1682" s="45" t="n">
        <v>109.8242</v>
      </c>
      <c r="D1682" t="inlineStr">
        <is>
          <t>€/MWh</t>
        </is>
      </c>
      <c r="E1682" s="54" t="n">
        <v>0.109824</v>
      </c>
      <c r="F1682" s="54" t="n"/>
      <c r="G1682" t="inlineStr">
        <is>
          <t>no aplica (precio mayorista)</t>
        </is>
      </c>
      <c r="J1682" t="inlineStr">
        <is>
          <t>2024-08-04</t>
        </is>
      </c>
      <c r="K1682" t="inlineStr">
        <is>
          <t>marginalpdbc_20240805.1</t>
        </is>
      </c>
      <c r="L1682" t="inlineStr">
        <is>
          <t>24 periodos; mín 81.45, máx 150.89 €/MWh</t>
        </is>
      </c>
    </row>
    <row r="1683">
      <c r="A1683" s="53" t="n">
        <v>45510</v>
      </c>
      <c r="B1683" t="inlineStr">
        <is>
          <t>2024-08-06</t>
        </is>
      </c>
      <c r="C1683" s="45" t="n">
        <v>105.5579</v>
      </c>
      <c r="D1683" t="inlineStr">
        <is>
          <t>€/MWh</t>
        </is>
      </c>
      <c r="E1683" s="54" t="n">
        <v>0.105558</v>
      </c>
      <c r="F1683" s="54" t="n"/>
      <c r="G1683" t="inlineStr">
        <is>
          <t>no aplica (precio mayorista)</t>
        </is>
      </c>
      <c r="J1683" t="inlineStr">
        <is>
          <t>2024-08-05</t>
        </is>
      </c>
      <c r="K1683" t="inlineStr">
        <is>
          <t>marginalpdbc_20240806.1</t>
        </is>
      </c>
      <c r="L1683" t="inlineStr">
        <is>
          <t>24 periodos; mín 82.31, máx 132.34 €/MWh</t>
        </is>
      </c>
    </row>
    <row r="1684">
      <c r="A1684" s="53" t="n">
        <v>45511</v>
      </c>
      <c r="B1684" t="inlineStr">
        <is>
          <t>2024-08-07</t>
        </is>
      </c>
      <c r="C1684" s="45" t="n">
        <v>97.42619999999999</v>
      </c>
      <c r="D1684" t="inlineStr">
        <is>
          <t>€/MWh</t>
        </is>
      </c>
      <c r="E1684" s="54" t="n">
        <v>0.097426</v>
      </c>
      <c r="F1684" s="54" t="n"/>
      <c r="G1684" t="inlineStr">
        <is>
          <t>no aplica (precio mayorista)</t>
        </is>
      </c>
      <c r="J1684" t="inlineStr">
        <is>
          <t>2024-08-06</t>
        </is>
      </c>
      <c r="K1684" t="inlineStr">
        <is>
          <t>marginalpdbc_20240807.1</t>
        </is>
      </c>
      <c r="L1684" t="inlineStr">
        <is>
          <t>24 periodos; mín 78.70, máx 128.90 €/MWh</t>
        </is>
      </c>
    </row>
    <row r="1685">
      <c r="A1685" s="53" t="n">
        <v>45512</v>
      </c>
      <c r="B1685" t="inlineStr">
        <is>
          <t>2024-08-08</t>
        </is>
      </c>
      <c r="C1685" s="45" t="n">
        <v>101.1862</v>
      </c>
      <c r="D1685" t="inlineStr">
        <is>
          <t>€/MWh</t>
        </is>
      </c>
      <c r="E1685" s="54" t="n">
        <v>0.101186</v>
      </c>
      <c r="F1685" s="54" t="n"/>
      <c r="G1685" t="inlineStr">
        <is>
          <t>no aplica (precio mayorista)</t>
        </is>
      </c>
      <c r="J1685" t="inlineStr">
        <is>
          <t>2024-08-07</t>
        </is>
      </c>
      <c r="K1685" t="inlineStr">
        <is>
          <t>marginalpdbc_20240808.1</t>
        </is>
      </c>
      <c r="L1685" t="inlineStr">
        <is>
          <t>24 periodos; mín 82.00, máx 140.01 €/MWh</t>
        </is>
      </c>
    </row>
    <row r="1686">
      <c r="A1686" s="53" t="n">
        <v>45513</v>
      </c>
      <c r="B1686" t="inlineStr">
        <is>
          <t>2024-08-09</t>
        </is>
      </c>
      <c r="C1686" s="45" t="n">
        <v>102.3192</v>
      </c>
      <c r="D1686" t="inlineStr">
        <is>
          <t>€/MWh</t>
        </is>
      </c>
      <c r="E1686" s="54" t="n">
        <v>0.102319</v>
      </c>
      <c r="F1686" s="54" t="n"/>
      <c r="G1686" t="inlineStr">
        <is>
          <t>no aplica (precio mayorista)</t>
        </is>
      </c>
      <c r="J1686" t="inlineStr">
        <is>
          <t>2024-08-08</t>
        </is>
      </c>
      <c r="K1686" t="inlineStr">
        <is>
          <t>marginalpdbc_20240809.1</t>
        </is>
      </c>
      <c r="L1686" t="inlineStr">
        <is>
          <t>24 periodos; mín 80.00, máx 127.71 €/MWh</t>
        </is>
      </c>
    </row>
    <row r="1687">
      <c r="A1687" s="53" t="n">
        <v>45514</v>
      </c>
      <c r="B1687" t="inlineStr">
        <is>
          <t>2024-08-10</t>
        </is>
      </c>
      <c r="C1687" s="45" t="n">
        <v>71.3579</v>
      </c>
      <c r="D1687" t="inlineStr">
        <is>
          <t>€/MWh</t>
        </is>
      </c>
      <c r="E1687" s="54" t="n">
        <v>0.071358</v>
      </c>
      <c r="F1687" s="54" t="n"/>
      <c r="G1687" t="inlineStr">
        <is>
          <t>no aplica (precio mayorista)</t>
        </is>
      </c>
      <c r="J1687" t="inlineStr">
        <is>
          <t>2024-08-09</t>
        </is>
      </c>
      <c r="K1687" t="inlineStr">
        <is>
          <t>marginalpdbc_20240810.1</t>
        </is>
      </c>
      <c r="L1687" t="inlineStr">
        <is>
          <t>24 periodos; mín 0.44, máx 127.57 €/MWh</t>
        </is>
      </c>
    </row>
    <row r="1688">
      <c r="A1688" s="53" t="n">
        <v>45515</v>
      </c>
      <c r="B1688" t="inlineStr">
        <is>
          <t>2024-08-11</t>
        </is>
      </c>
      <c r="C1688" s="45" t="n">
        <v>69.2225</v>
      </c>
      <c r="D1688" t="inlineStr">
        <is>
          <t>€/MWh</t>
        </is>
      </c>
      <c r="E1688" s="54" t="n">
        <v>0.06922200000000001</v>
      </c>
      <c r="F1688" s="54" t="n"/>
      <c r="G1688" t="inlineStr">
        <is>
          <t>no aplica (precio mayorista)</t>
        </is>
      </c>
      <c r="J1688" t="inlineStr">
        <is>
          <t>2024-08-10</t>
        </is>
      </c>
      <c r="K1688" t="inlineStr">
        <is>
          <t>marginalpdbc_20240811.1</t>
        </is>
      </c>
      <c r="L1688" t="inlineStr">
        <is>
          <t>24 periodos; mín 0.00, máx 136.29 €/MWh</t>
        </is>
      </c>
    </row>
    <row r="1689">
      <c r="A1689" s="53" t="n">
        <v>45516</v>
      </c>
      <c r="B1689" t="inlineStr">
        <is>
          <t>2024-08-12</t>
        </is>
      </c>
      <c r="C1689" s="45" t="n">
        <v>105.8092</v>
      </c>
      <c r="D1689" t="inlineStr">
        <is>
          <t>€/MWh</t>
        </is>
      </c>
      <c r="E1689" s="54" t="n">
        <v>0.105809</v>
      </c>
      <c r="F1689" s="54" t="n"/>
      <c r="G1689" t="inlineStr">
        <is>
          <t>no aplica (precio mayorista)</t>
        </is>
      </c>
      <c r="J1689" t="inlineStr">
        <is>
          <t>2024-08-11</t>
        </is>
      </c>
      <c r="K1689" t="inlineStr">
        <is>
          <t>marginalpdbc_20240812.1</t>
        </is>
      </c>
      <c r="L1689" t="inlineStr">
        <is>
          <t>24 periodos; mín 80.10, máx 136.13 €/MWh</t>
        </is>
      </c>
    </row>
    <row r="1690">
      <c r="A1690" s="53" t="n">
        <v>45517</v>
      </c>
      <c r="B1690" t="inlineStr">
        <is>
          <t>2024-08-13</t>
        </is>
      </c>
      <c r="C1690" s="45" t="n">
        <v>106.3717</v>
      </c>
      <c r="D1690" t="inlineStr">
        <is>
          <t>€/MWh</t>
        </is>
      </c>
      <c r="E1690" s="54" t="n">
        <v>0.106372</v>
      </c>
      <c r="F1690" s="54" t="n"/>
      <c r="G1690" t="inlineStr">
        <is>
          <t>no aplica (precio mayorista)</t>
        </is>
      </c>
      <c r="J1690" t="inlineStr">
        <is>
          <t>2024-08-12</t>
        </is>
      </c>
      <c r="K1690" t="inlineStr">
        <is>
          <t>marginalpdbc_20240813.1</t>
        </is>
      </c>
      <c r="L1690" t="inlineStr">
        <is>
          <t>24 periodos; mín 80.05, máx 130.48 €/MWh</t>
        </is>
      </c>
    </row>
    <row r="1691">
      <c r="A1691" s="53" t="n">
        <v>45518</v>
      </c>
      <c r="B1691" t="inlineStr">
        <is>
          <t>2024-08-14</t>
        </is>
      </c>
      <c r="C1691" s="45" t="n">
        <v>89.05249999999999</v>
      </c>
      <c r="D1691" t="inlineStr">
        <is>
          <t>€/MWh</t>
        </is>
      </c>
      <c r="E1691" s="54" t="n">
        <v>0.08905200000000001</v>
      </c>
      <c r="F1691" s="54" t="n"/>
      <c r="G1691" t="inlineStr">
        <is>
          <t>no aplica (precio mayorista)</t>
        </is>
      </c>
      <c r="J1691" t="inlineStr">
        <is>
          <t>2024-08-13</t>
        </is>
      </c>
      <c r="K1691" t="inlineStr">
        <is>
          <t>marginalpdbc_20240814.1</t>
        </is>
      </c>
      <c r="L1691" t="inlineStr">
        <is>
          <t>24 periodos; mín 60.00, máx 115.02 €/MWh</t>
        </is>
      </c>
    </row>
    <row r="1692">
      <c r="A1692" s="53" t="n">
        <v>45519</v>
      </c>
      <c r="B1692" t="inlineStr">
        <is>
          <t>2024-08-15</t>
        </is>
      </c>
      <c r="C1692" s="45" t="n">
        <v>44.2904</v>
      </c>
      <c r="D1692" t="inlineStr">
        <is>
          <t>€/MWh</t>
        </is>
      </c>
      <c r="E1692" s="54" t="n">
        <v>0.04429</v>
      </c>
      <c r="F1692" s="54" t="n"/>
      <c r="G1692" t="inlineStr">
        <is>
          <t>no aplica (precio mayorista)</t>
        </is>
      </c>
      <c r="J1692" t="inlineStr">
        <is>
          <t>2024-08-14</t>
        </is>
      </c>
      <c r="K1692" t="inlineStr">
        <is>
          <t>marginalpdbc_20240815.1</t>
        </is>
      </c>
      <c r="L1692" t="inlineStr">
        <is>
          <t>24 periodos; mín 0.00, máx 117.13 €/MWh</t>
        </is>
      </c>
    </row>
    <row r="1693">
      <c r="A1693" s="53" t="n">
        <v>45520</v>
      </c>
      <c r="B1693" t="inlineStr">
        <is>
          <t>2024-08-16</t>
        </is>
      </c>
      <c r="C1693" s="45" t="n">
        <v>88.22750000000001</v>
      </c>
      <c r="D1693" t="inlineStr">
        <is>
          <t>€/MWh</t>
        </is>
      </c>
      <c r="E1693" s="54" t="n">
        <v>0.088228</v>
      </c>
      <c r="F1693" s="54" t="n"/>
      <c r="G1693" t="inlineStr">
        <is>
          <t>no aplica (precio mayorista)</t>
        </is>
      </c>
      <c r="J1693" t="inlineStr">
        <is>
          <t>2024-08-15</t>
        </is>
      </c>
      <c r="K1693" t="inlineStr">
        <is>
          <t>marginalpdbc_20240816.1</t>
        </is>
      </c>
      <c r="L1693" t="inlineStr">
        <is>
          <t>24 periodos; mín 50.72, máx 129.78 €/MWh</t>
        </is>
      </c>
    </row>
    <row r="1694">
      <c r="A1694" s="53" t="n">
        <v>45521</v>
      </c>
      <c r="B1694" t="inlineStr">
        <is>
          <t>2024-08-17</t>
        </is>
      </c>
      <c r="C1694" s="45" t="n">
        <v>83.21380000000001</v>
      </c>
      <c r="D1694" t="inlineStr">
        <is>
          <t>€/MWh</t>
        </is>
      </c>
      <c r="E1694" s="54" t="n">
        <v>0.083214</v>
      </c>
      <c r="F1694" s="54" t="n"/>
      <c r="G1694" t="inlineStr">
        <is>
          <t>no aplica (precio mayorista)</t>
        </is>
      </c>
      <c r="J1694" t="inlineStr">
        <is>
          <t>2024-08-16</t>
        </is>
      </c>
      <c r="K1694" t="inlineStr">
        <is>
          <t>marginalpdbc_20240817.1</t>
        </is>
      </c>
      <c r="L1694" t="inlineStr">
        <is>
          <t>24 periodos; mín 34.72, máx 120.00 €/MWh</t>
        </is>
      </c>
    </row>
    <row r="1695">
      <c r="A1695" s="53" t="n">
        <v>45522</v>
      </c>
      <c r="B1695" t="inlineStr">
        <is>
          <t>2024-08-18</t>
        </is>
      </c>
      <c r="C1695" s="45" t="n">
        <v>55.5958</v>
      </c>
      <c r="D1695" t="inlineStr">
        <is>
          <t>€/MWh</t>
        </is>
      </c>
      <c r="E1695" s="54" t="n">
        <v>0.055596</v>
      </c>
      <c r="F1695" s="54" t="n"/>
      <c r="G1695" t="inlineStr">
        <is>
          <t>no aplica (precio mayorista)</t>
        </is>
      </c>
      <c r="J1695" t="inlineStr">
        <is>
          <t>2024-08-17</t>
        </is>
      </c>
      <c r="K1695" t="inlineStr">
        <is>
          <t>marginalpdbc_20240818.1</t>
        </is>
      </c>
      <c r="L1695" t="inlineStr">
        <is>
          <t>24 periodos; mín 0.00, máx 119.50 €/MWh</t>
        </is>
      </c>
    </row>
    <row r="1696">
      <c r="A1696" s="53" t="n">
        <v>45523</v>
      </c>
      <c r="B1696" t="inlineStr">
        <is>
          <t>2024-08-19</t>
        </is>
      </c>
      <c r="C1696" s="45" t="n">
        <v>93.7163</v>
      </c>
      <c r="D1696" t="inlineStr">
        <is>
          <t>€/MWh</t>
        </is>
      </c>
      <c r="E1696" s="54" t="n">
        <v>0.09371599999999999</v>
      </c>
      <c r="F1696" s="54" t="n"/>
      <c r="G1696" t="inlineStr">
        <is>
          <t>no aplica (precio mayorista)</t>
        </is>
      </c>
      <c r="J1696" t="inlineStr">
        <is>
          <t>2024-08-18</t>
        </is>
      </c>
      <c r="K1696" t="inlineStr">
        <is>
          <t>marginalpdbc_20240819.1</t>
        </is>
      </c>
      <c r="L1696" t="inlineStr">
        <is>
          <t>24 periodos; mín 67.10, máx 157.48 €/MWh</t>
        </is>
      </c>
    </row>
    <row r="1697">
      <c r="A1697" s="53" t="n">
        <v>45524</v>
      </c>
      <c r="B1697" t="inlineStr">
        <is>
          <t>2024-08-20</t>
        </is>
      </c>
      <c r="C1697" s="45" t="n">
        <v>95.6225</v>
      </c>
      <c r="D1697" t="inlineStr">
        <is>
          <t>€/MWh</t>
        </is>
      </c>
      <c r="E1697" s="54" t="n">
        <v>0.095622</v>
      </c>
      <c r="F1697" s="54" t="n"/>
      <c r="G1697" t="inlineStr">
        <is>
          <t>no aplica (precio mayorista)</t>
        </is>
      </c>
      <c r="J1697" t="inlineStr">
        <is>
          <t>2024-08-19</t>
        </is>
      </c>
      <c r="K1697" t="inlineStr">
        <is>
          <t>marginalpdbc_20240820.1</t>
        </is>
      </c>
      <c r="L1697" t="inlineStr">
        <is>
          <t>24 periodos; mín 60.00, máx 125.08 €/MWh</t>
        </is>
      </c>
    </row>
    <row r="1698">
      <c r="A1698" s="53" t="n">
        <v>45525</v>
      </c>
      <c r="B1698" t="inlineStr">
        <is>
          <t>2024-08-21</t>
        </is>
      </c>
      <c r="C1698" s="45" t="n">
        <v>79.0583</v>
      </c>
      <c r="D1698" t="inlineStr">
        <is>
          <t>€/MWh</t>
        </is>
      </c>
      <c r="E1698" s="54" t="n">
        <v>0.079058</v>
      </c>
      <c r="F1698" s="54" t="n"/>
      <c r="G1698" t="inlineStr">
        <is>
          <t>no aplica (precio mayorista)</t>
        </is>
      </c>
      <c r="J1698" t="inlineStr">
        <is>
          <t>2024-08-20</t>
        </is>
      </c>
      <c r="K1698" t="inlineStr">
        <is>
          <t>marginalpdbc_20240821.1</t>
        </is>
      </c>
      <c r="L1698" t="inlineStr">
        <is>
          <t>24 periodos; mín 5.22, máx 165.01 €/MWh</t>
        </is>
      </c>
    </row>
    <row r="1699">
      <c r="A1699" s="53" t="n">
        <v>45526</v>
      </c>
      <c r="B1699" t="inlineStr">
        <is>
          <t>2024-08-22</t>
        </is>
      </c>
      <c r="C1699" s="45" t="n">
        <v>109.3971</v>
      </c>
      <c r="D1699" t="inlineStr">
        <is>
          <t>€/MWh</t>
        </is>
      </c>
      <c r="E1699" s="54" t="n">
        <v>0.109397</v>
      </c>
      <c r="F1699" s="54" t="n"/>
      <c r="G1699" t="inlineStr">
        <is>
          <t>no aplica (precio mayorista)</t>
        </is>
      </c>
      <c r="J1699" t="inlineStr">
        <is>
          <t>2024-08-21</t>
        </is>
      </c>
      <c r="K1699" t="inlineStr">
        <is>
          <t>marginalpdbc_20240822.1</t>
        </is>
      </c>
      <c r="L1699" t="inlineStr">
        <is>
          <t>24 periodos; mín 78.18, máx 164.50 €/MWh</t>
        </is>
      </c>
    </row>
    <row r="1700">
      <c r="A1700" s="53" t="n">
        <v>45527</v>
      </c>
      <c r="B1700" t="inlineStr">
        <is>
          <t>2024-08-23</t>
        </is>
      </c>
      <c r="C1700" s="45" t="n">
        <v>107.0871</v>
      </c>
      <c r="D1700" t="inlineStr">
        <is>
          <t>€/MWh</t>
        </is>
      </c>
      <c r="E1700" s="54" t="n">
        <v>0.107087</v>
      </c>
      <c r="F1700" s="54" t="n"/>
      <c r="G1700" t="inlineStr">
        <is>
          <t>no aplica (precio mayorista)</t>
        </is>
      </c>
      <c r="J1700" t="inlineStr">
        <is>
          <t>2024-08-22</t>
        </is>
      </c>
      <c r="K1700" t="inlineStr">
        <is>
          <t>marginalpdbc_20240823.1</t>
        </is>
      </c>
      <c r="L1700" t="inlineStr">
        <is>
          <t>24 periodos; mín 77.00, máx 141.20 €/MWh</t>
        </is>
      </c>
    </row>
    <row r="1701">
      <c r="A1701" s="53" t="n">
        <v>45528</v>
      </c>
      <c r="B1701" t="inlineStr">
        <is>
          <t>2024-08-24</t>
        </is>
      </c>
      <c r="C1701" s="45" t="n">
        <v>60.3242</v>
      </c>
      <c r="D1701" t="inlineStr">
        <is>
          <t>€/MWh</t>
        </is>
      </c>
      <c r="E1701" s="54" t="n">
        <v>0.060324</v>
      </c>
      <c r="F1701" s="54" t="n"/>
      <c r="G1701" t="inlineStr">
        <is>
          <t>no aplica (precio mayorista)</t>
        </is>
      </c>
      <c r="J1701" t="inlineStr">
        <is>
          <t>2024-08-23</t>
        </is>
      </c>
      <c r="K1701" t="inlineStr">
        <is>
          <t>marginalpdbc_20240824.1</t>
        </is>
      </c>
      <c r="L1701" t="inlineStr">
        <is>
          <t>24 periodos; mín 0.00, máx 116.62 €/MWh</t>
        </is>
      </c>
    </row>
    <row r="1702">
      <c r="A1702" s="53" t="n">
        <v>45529</v>
      </c>
      <c r="B1702" t="inlineStr">
        <is>
          <t>2024-08-25</t>
        </is>
      </c>
      <c r="C1702" s="45" t="n">
        <v>31.2008</v>
      </c>
      <c r="D1702" t="inlineStr">
        <is>
          <t>€/MWh</t>
        </is>
      </c>
      <c r="E1702" s="54" t="n">
        <v>0.031201</v>
      </c>
      <c r="F1702" s="54" t="n"/>
      <c r="G1702" t="inlineStr">
        <is>
          <t>no aplica (precio mayorista)</t>
        </is>
      </c>
      <c r="J1702" t="inlineStr">
        <is>
          <t>2024-08-24</t>
        </is>
      </c>
      <c r="K1702" t="inlineStr">
        <is>
          <t>marginalpdbc_20240825.1</t>
        </is>
      </c>
      <c r="L1702" t="inlineStr">
        <is>
          <t>24 periodos; mín -0.95, máx 109.91 €/MWh</t>
        </is>
      </c>
    </row>
    <row r="1703">
      <c r="A1703" s="53" t="n">
        <v>45530</v>
      </c>
      <c r="B1703" t="inlineStr">
        <is>
          <t>2024-08-26</t>
        </is>
      </c>
      <c r="C1703" s="45" t="n">
        <v>94.1925</v>
      </c>
      <c r="D1703" t="inlineStr">
        <is>
          <t>€/MWh</t>
        </is>
      </c>
      <c r="E1703" s="54" t="n">
        <v>0.094192</v>
      </c>
      <c r="F1703" s="54" t="n"/>
      <c r="G1703" t="inlineStr">
        <is>
          <t>no aplica (precio mayorista)</t>
        </is>
      </c>
      <c r="J1703" t="inlineStr">
        <is>
          <t>2024-08-25</t>
        </is>
      </c>
      <c r="K1703" t="inlineStr">
        <is>
          <t>marginalpdbc_20240826.1</t>
        </is>
      </c>
      <c r="L1703" t="inlineStr">
        <is>
          <t>24 periodos; mín 63.37, máx 160.00 €/MWh</t>
        </is>
      </c>
    </row>
    <row r="1704">
      <c r="A1704" s="53" t="n">
        <v>45531</v>
      </c>
      <c r="B1704" t="inlineStr">
        <is>
          <t>2024-08-27</t>
        </is>
      </c>
      <c r="C1704" s="45" t="n">
        <v>107.7125</v>
      </c>
      <c r="D1704" t="inlineStr">
        <is>
          <t>€/MWh</t>
        </is>
      </c>
      <c r="E1704" s="54" t="n">
        <v>0.107712</v>
      </c>
      <c r="F1704" s="54" t="n"/>
      <c r="G1704" t="inlineStr">
        <is>
          <t>no aplica (precio mayorista)</t>
        </is>
      </c>
      <c r="J1704" t="inlineStr">
        <is>
          <t>2024-08-26</t>
        </is>
      </c>
      <c r="K1704" t="inlineStr">
        <is>
          <t>marginalpdbc_20240827.1</t>
        </is>
      </c>
      <c r="L1704" t="inlineStr">
        <is>
          <t>24 periodos; mín 75.00, máx 153.20 €/MWh</t>
        </is>
      </c>
    </row>
    <row r="1705">
      <c r="A1705" s="53" t="n">
        <v>45532</v>
      </c>
      <c r="B1705" t="inlineStr">
        <is>
          <t>2024-08-28</t>
        </is>
      </c>
      <c r="C1705" s="45" t="n">
        <v>108.4317</v>
      </c>
      <c r="D1705" t="inlineStr">
        <is>
          <t>€/MWh</t>
        </is>
      </c>
      <c r="E1705" s="54" t="n">
        <v>0.108432</v>
      </c>
      <c r="F1705" s="54" t="n"/>
      <c r="G1705" t="inlineStr">
        <is>
          <t>no aplica (precio mayorista)</t>
        </is>
      </c>
      <c r="J1705" t="inlineStr">
        <is>
          <t>2024-08-27</t>
        </is>
      </c>
      <c r="K1705" t="inlineStr">
        <is>
          <t>marginalpdbc_20240828.1</t>
        </is>
      </c>
      <c r="L1705" t="inlineStr">
        <is>
          <t>24 periodos; mín 75.00, máx 138.58 €/MWh</t>
        </is>
      </c>
    </row>
    <row r="1706">
      <c r="A1706" s="53" t="n">
        <v>45533</v>
      </c>
      <c r="B1706" t="inlineStr">
        <is>
          <t>2024-08-29</t>
        </is>
      </c>
      <c r="C1706" s="45" t="n">
        <v>120.3662</v>
      </c>
      <c r="D1706" t="inlineStr">
        <is>
          <t>€/MWh</t>
        </is>
      </c>
      <c r="E1706" s="54" t="n">
        <v>0.120366</v>
      </c>
      <c r="F1706" s="54" t="n"/>
      <c r="G1706" t="inlineStr">
        <is>
          <t>no aplica (precio mayorista)</t>
        </is>
      </c>
      <c r="J1706" t="inlineStr">
        <is>
          <t>2024-08-28</t>
        </is>
      </c>
      <c r="K1706" t="inlineStr">
        <is>
          <t>marginalpdbc_20240829.1</t>
        </is>
      </c>
      <c r="L1706" t="inlineStr">
        <is>
          <t>24 periodos; mín 107.42, máx 138.00 €/MWh</t>
        </is>
      </c>
    </row>
    <row r="1707">
      <c r="A1707" s="53" t="n">
        <v>45534</v>
      </c>
      <c r="B1707" t="inlineStr">
        <is>
          <t>2024-08-30</t>
        </is>
      </c>
      <c r="C1707" s="45" t="n">
        <v>115.5688</v>
      </c>
      <c r="D1707" t="inlineStr">
        <is>
          <t>€/MWh</t>
        </is>
      </c>
      <c r="E1707" s="54" t="n">
        <v>0.115569</v>
      </c>
      <c r="F1707" s="54" t="n"/>
      <c r="G1707" t="inlineStr">
        <is>
          <t>no aplica (precio mayorista)</t>
        </is>
      </c>
      <c r="J1707" t="inlineStr">
        <is>
          <t>2024-08-29</t>
        </is>
      </c>
      <c r="K1707" t="inlineStr">
        <is>
          <t>marginalpdbc_20240830.1</t>
        </is>
      </c>
      <c r="L1707" t="inlineStr">
        <is>
          <t>24 periodos; mín 91.81, máx 140.01 €/MWh</t>
        </is>
      </c>
    </row>
    <row r="1708">
      <c r="A1708" s="53" t="n">
        <v>45535</v>
      </c>
      <c r="B1708" t="inlineStr">
        <is>
          <t>2024-08-31</t>
        </is>
      </c>
      <c r="C1708" s="45" t="n">
        <v>116.6137</v>
      </c>
      <c r="D1708" t="inlineStr">
        <is>
          <t>€/MWh</t>
        </is>
      </c>
      <c r="E1708" s="54" t="n">
        <v>0.116614</v>
      </c>
      <c r="F1708" s="54" t="n"/>
      <c r="G1708" t="inlineStr">
        <is>
          <t>no aplica (precio mayorista)</t>
        </is>
      </c>
      <c r="J1708" t="inlineStr">
        <is>
          <t>2024-08-30</t>
        </is>
      </c>
      <c r="K1708" t="inlineStr">
        <is>
          <t>marginalpdbc_20240831.1</t>
        </is>
      </c>
      <c r="L1708" t="inlineStr">
        <is>
          <t>24 periodos; mín 85.23, máx 154.15 €/MWh</t>
        </is>
      </c>
    </row>
    <row r="1709">
      <c r="A1709" s="53" t="n">
        <v>45536</v>
      </c>
      <c r="B1709" t="inlineStr">
        <is>
          <t>2024-09-01</t>
        </is>
      </c>
      <c r="C1709" s="45" t="n">
        <v>99.6446</v>
      </c>
      <c r="D1709" t="inlineStr">
        <is>
          <t>€/MWh</t>
        </is>
      </c>
      <c r="E1709" s="54" t="n">
        <v>0.099645</v>
      </c>
      <c r="F1709" s="54" t="n"/>
      <c r="G1709" t="inlineStr">
        <is>
          <t>no aplica (precio mayorista)</t>
        </is>
      </c>
      <c r="J1709" t="inlineStr">
        <is>
          <t>2024-08-31</t>
        </is>
      </c>
      <c r="K1709" t="inlineStr">
        <is>
          <t>marginalpdbc_20240901.1</t>
        </is>
      </c>
      <c r="L1709" t="inlineStr">
        <is>
          <t>24 periodos; mín 28.98, máx 141.74 €/MWh</t>
        </is>
      </c>
    </row>
    <row r="1710">
      <c r="A1710" s="53" t="n">
        <v>45537</v>
      </c>
      <c r="B1710" t="inlineStr">
        <is>
          <t>2024-09-02</t>
        </is>
      </c>
      <c r="C1710" s="45" t="n">
        <v>116.6608</v>
      </c>
      <c r="D1710" t="inlineStr">
        <is>
          <t>€/MWh</t>
        </is>
      </c>
      <c r="E1710" s="54" t="n">
        <v>0.116661</v>
      </c>
      <c r="F1710" s="54" t="n"/>
      <c r="G1710" t="inlineStr">
        <is>
          <t>no aplica (precio mayorista)</t>
        </is>
      </c>
      <c r="J1710" t="inlineStr">
        <is>
          <t>2024-09-01</t>
        </is>
      </c>
      <c r="K1710" t="inlineStr">
        <is>
          <t>marginalpdbc_20240902.1</t>
        </is>
      </c>
      <c r="L1710" t="inlineStr">
        <is>
          <t>24 periodos; mín 89.87, máx 138.00 €/MWh</t>
        </is>
      </c>
    </row>
    <row r="1711">
      <c r="A1711" s="53" t="n">
        <v>45538</v>
      </c>
      <c r="B1711" t="inlineStr">
        <is>
          <t>2024-09-03</t>
        </is>
      </c>
      <c r="C1711" s="45" t="n">
        <v>108.4433</v>
      </c>
      <c r="D1711" t="inlineStr">
        <is>
          <t>€/MWh</t>
        </is>
      </c>
      <c r="E1711" s="54" t="n">
        <v>0.108443</v>
      </c>
      <c r="F1711" s="54" t="n"/>
      <c r="G1711" t="inlineStr">
        <is>
          <t>no aplica (precio mayorista)</t>
        </is>
      </c>
      <c r="J1711" t="inlineStr">
        <is>
          <t>2024-09-02</t>
        </is>
      </c>
      <c r="K1711" t="inlineStr">
        <is>
          <t>marginalpdbc_20240903.1</t>
        </is>
      </c>
      <c r="L1711" t="inlineStr">
        <is>
          <t>24 periodos; mín 83.08, máx 133.95 €/MWh</t>
        </is>
      </c>
    </row>
    <row r="1712">
      <c r="A1712" s="53" t="n">
        <v>45539</v>
      </c>
      <c r="B1712" t="inlineStr">
        <is>
          <t>2024-09-04</t>
        </is>
      </c>
      <c r="C1712" s="45" t="n">
        <v>95.41249999999999</v>
      </c>
      <c r="D1712" t="inlineStr">
        <is>
          <t>€/MWh</t>
        </is>
      </c>
      <c r="E1712" s="54" t="n">
        <v>0.095413</v>
      </c>
      <c r="F1712" s="54" t="n"/>
      <c r="G1712" t="inlineStr">
        <is>
          <t>no aplica (precio mayorista)</t>
        </is>
      </c>
      <c r="J1712" t="inlineStr">
        <is>
          <t>2024-09-03</t>
        </is>
      </c>
      <c r="K1712" t="inlineStr">
        <is>
          <t>marginalpdbc_20240904.1</t>
        </is>
      </c>
      <c r="L1712" t="inlineStr">
        <is>
          <t>24 periodos; mín 51.99, máx 127.42 €/MWh</t>
        </is>
      </c>
    </row>
    <row r="1713">
      <c r="A1713" s="53" t="n">
        <v>45540</v>
      </c>
      <c r="B1713" t="inlineStr">
        <is>
          <t>2024-09-05</t>
        </is>
      </c>
      <c r="C1713" s="45" t="n">
        <v>104.2829</v>
      </c>
      <c r="D1713" t="inlineStr">
        <is>
          <t>€/MWh</t>
        </is>
      </c>
      <c r="E1713" s="54" t="n">
        <v>0.104283</v>
      </c>
      <c r="F1713" s="54" t="n"/>
      <c r="G1713" t="inlineStr">
        <is>
          <t>no aplica (precio mayorista)</t>
        </is>
      </c>
      <c r="J1713" t="inlineStr">
        <is>
          <t>2024-09-04</t>
        </is>
      </c>
      <c r="K1713" t="inlineStr">
        <is>
          <t>marginalpdbc_20240905.1</t>
        </is>
      </c>
      <c r="L1713" t="inlineStr">
        <is>
          <t>24 periodos; mín 81.18, máx 134.00 €/MWh</t>
        </is>
      </c>
    </row>
    <row r="1714">
      <c r="A1714" s="53" t="n">
        <v>45541</v>
      </c>
      <c r="B1714" t="inlineStr">
        <is>
          <t>2024-09-06</t>
        </is>
      </c>
      <c r="C1714" s="45" t="n">
        <v>86.72369999999999</v>
      </c>
      <c r="D1714" t="inlineStr">
        <is>
          <t>€/MWh</t>
        </is>
      </c>
      <c r="E1714" s="54" t="n">
        <v>0.086724</v>
      </c>
      <c r="F1714" s="54" t="n"/>
      <c r="G1714" t="inlineStr">
        <is>
          <t>no aplica (precio mayorista)</t>
        </is>
      </c>
      <c r="J1714" t="inlineStr">
        <is>
          <t>2024-09-05</t>
        </is>
      </c>
      <c r="K1714" t="inlineStr">
        <is>
          <t>marginalpdbc_20240906.1</t>
        </is>
      </c>
      <c r="L1714" t="inlineStr">
        <is>
          <t>24 periodos; mín 19.56, máx 118.20 €/MWh</t>
        </is>
      </c>
    </row>
    <row r="1715">
      <c r="A1715" s="53" t="n">
        <v>45542</v>
      </c>
      <c r="B1715" t="inlineStr">
        <is>
          <t>2024-09-07</t>
        </is>
      </c>
      <c r="C1715" s="45" t="n">
        <v>79.0125</v>
      </c>
      <c r="D1715" t="inlineStr">
        <is>
          <t>€/MWh</t>
        </is>
      </c>
      <c r="E1715" s="54" t="n">
        <v>0.079012</v>
      </c>
      <c r="F1715" s="54" t="n"/>
      <c r="G1715" t="inlineStr">
        <is>
          <t>no aplica (precio mayorista)</t>
        </is>
      </c>
      <c r="J1715" t="inlineStr">
        <is>
          <t>2024-09-06</t>
        </is>
      </c>
      <c r="K1715" t="inlineStr">
        <is>
          <t>marginalpdbc_20240907.1</t>
        </is>
      </c>
      <c r="L1715" t="inlineStr">
        <is>
          <t>24 periodos; mín 0.44, máx 148.56 €/MWh</t>
        </is>
      </c>
    </row>
    <row r="1716">
      <c r="A1716" s="53" t="n">
        <v>45543</v>
      </c>
      <c r="B1716" t="inlineStr">
        <is>
          <t>2024-09-08</t>
        </is>
      </c>
      <c r="C1716" s="45" t="n">
        <v>67.75749999999999</v>
      </c>
      <c r="D1716" t="inlineStr">
        <is>
          <t>€/MWh</t>
        </is>
      </c>
      <c r="E1716" s="54" t="n">
        <v>0.067758</v>
      </c>
      <c r="F1716" s="54" t="n"/>
      <c r="G1716" t="inlineStr">
        <is>
          <t>no aplica (precio mayorista)</t>
        </is>
      </c>
      <c r="J1716" t="inlineStr">
        <is>
          <t>2024-09-07</t>
        </is>
      </c>
      <c r="K1716" t="inlineStr">
        <is>
          <t>marginalpdbc_20240908.1</t>
        </is>
      </c>
      <c r="L1716" t="inlineStr">
        <is>
          <t>24 periodos; mín 0.00, máx 120.86 €/MWh</t>
        </is>
      </c>
    </row>
    <row r="1717">
      <c r="A1717" s="53" t="n">
        <v>45544</v>
      </c>
      <c r="B1717" t="inlineStr">
        <is>
          <t>2024-09-09</t>
        </is>
      </c>
      <c r="C1717" s="45" t="n">
        <v>86.53579999999999</v>
      </c>
      <c r="D1717" t="inlineStr">
        <is>
          <t>€/MWh</t>
        </is>
      </c>
      <c r="E1717" s="54" t="n">
        <v>0.086536</v>
      </c>
      <c r="F1717" s="54" t="n"/>
      <c r="G1717" t="inlineStr">
        <is>
          <t>no aplica (precio mayorista)</t>
        </is>
      </c>
      <c r="J1717" t="inlineStr">
        <is>
          <t>2024-09-08</t>
        </is>
      </c>
      <c r="K1717" t="inlineStr">
        <is>
          <t>marginalpdbc_20240909.1</t>
        </is>
      </c>
      <c r="L1717" t="inlineStr">
        <is>
          <t>24 periodos; mín 6.12, máx 132.00 €/MWh</t>
        </is>
      </c>
    </row>
    <row r="1718">
      <c r="A1718" s="53" t="n">
        <v>45545</v>
      </c>
      <c r="B1718" t="inlineStr">
        <is>
          <t>2024-09-10</t>
        </is>
      </c>
      <c r="C1718" s="45" t="n">
        <v>75.21380000000001</v>
      </c>
      <c r="D1718" t="inlineStr">
        <is>
          <t>€/MWh</t>
        </is>
      </c>
      <c r="E1718" s="54" t="n">
        <v>0.075214</v>
      </c>
      <c r="F1718" s="54" t="n"/>
      <c r="G1718" t="inlineStr">
        <is>
          <t>no aplica (precio mayorista)</t>
        </is>
      </c>
      <c r="J1718" t="inlineStr">
        <is>
          <t>2024-09-09</t>
        </is>
      </c>
      <c r="K1718" t="inlineStr">
        <is>
          <t>marginalpdbc_20240910.1</t>
        </is>
      </c>
      <c r="L1718" t="inlineStr">
        <is>
          <t>24 periodos; mín 3.04, máx 114.59 €/MWh</t>
        </is>
      </c>
    </row>
    <row r="1719">
      <c r="A1719" s="53" t="n">
        <v>45546</v>
      </c>
      <c r="B1719" t="inlineStr">
        <is>
          <t>2024-09-11</t>
        </is>
      </c>
      <c r="C1719" s="45" t="n">
        <v>76.73869999999999</v>
      </c>
      <c r="D1719" t="inlineStr">
        <is>
          <t>€/MWh</t>
        </is>
      </c>
      <c r="E1719" s="54" t="n">
        <v>0.076739</v>
      </c>
      <c r="F1719" s="54" t="n"/>
      <c r="G1719" t="inlineStr">
        <is>
          <t>no aplica (precio mayorista)</t>
        </is>
      </c>
      <c r="J1719" t="inlineStr">
        <is>
          <t>2024-09-10</t>
        </is>
      </c>
      <c r="K1719" t="inlineStr">
        <is>
          <t>marginalpdbc_20240911.1</t>
        </is>
      </c>
      <c r="L1719" t="inlineStr">
        <is>
          <t>24 periodos; mín 15.00, máx 113.00 €/MWh</t>
        </is>
      </c>
    </row>
    <row r="1720">
      <c r="A1720" s="53" t="n">
        <v>45547</v>
      </c>
      <c r="B1720" t="inlineStr">
        <is>
          <t>2024-09-12</t>
        </is>
      </c>
      <c r="C1720" s="45" t="n">
        <v>72.21080000000001</v>
      </c>
      <c r="D1720" t="inlineStr">
        <is>
          <t>€/MWh</t>
        </is>
      </c>
      <c r="E1720" s="54" t="n">
        <v>0.072211</v>
      </c>
      <c r="F1720" s="54" t="n"/>
      <c r="G1720" t="inlineStr">
        <is>
          <t>no aplica (precio mayorista)</t>
        </is>
      </c>
      <c r="J1720" t="inlineStr">
        <is>
          <t>2024-09-11</t>
        </is>
      </c>
      <c r="K1720" t="inlineStr">
        <is>
          <t>marginalpdbc_20240912.1</t>
        </is>
      </c>
      <c r="L1720" t="inlineStr">
        <is>
          <t>24 periodos; mín 3.32, máx 116.37 €/MWh</t>
        </is>
      </c>
    </row>
    <row r="1721">
      <c r="A1721" s="53" t="n">
        <v>45548</v>
      </c>
      <c r="B1721" t="inlineStr">
        <is>
          <t>2024-09-13</t>
        </is>
      </c>
      <c r="C1721" s="45" t="n">
        <v>47.105</v>
      </c>
      <c r="D1721" t="inlineStr">
        <is>
          <t>€/MWh</t>
        </is>
      </c>
      <c r="E1721" s="54" t="n">
        <v>0.047105</v>
      </c>
      <c r="F1721" s="54" t="n"/>
      <c r="G1721" t="inlineStr">
        <is>
          <t>no aplica (precio mayorista)</t>
        </is>
      </c>
      <c r="J1721" t="inlineStr">
        <is>
          <t>2024-09-12</t>
        </is>
      </c>
      <c r="K1721" t="inlineStr">
        <is>
          <t>marginalpdbc_20240913.1</t>
        </is>
      </c>
      <c r="L1721" t="inlineStr">
        <is>
          <t>24 periodos; mín 0.00, máx 89.98 €/MWh</t>
        </is>
      </c>
    </row>
    <row r="1722">
      <c r="A1722" s="53" t="n">
        <v>45549</v>
      </c>
      <c r="B1722" t="inlineStr">
        <is>
          <t>2024-09-14</t>
        </is>
      </c>
      <c r="C1722" s="45" t="n">
        <v>45.61</v>
      </c>
      <c r="D1722" t="inlineStr">
        <is>
          <t>€/MWh</t>
        </is>
      </c>
      <c r="E1722" s="54" t="n">
        <v>0.04561</v>
      </c>
      <c r="F1722" s="54" t="n"/>
      <c r="G1722" t="inlineStr">
        <is>
          <t>no aplica (precio mayorista)</t>
        </is>
      </c>
      <c r="J1722" t="inlineStr">
        <is>
          <t>2024-09-13</t>
        </is>
      </c>
      <c r="K1722" t="inlineStr">
        <is>
          <t>marginalpdbc_20240914.1</t>
        </is>
      </c>
      <c r="L1722" t="inlineStr">
        <is>
          <t>24 periodos; mín 0.44, máx 106.85 €/MWh</t>
        </is>
      </c>
    </row>
    <row r="1723">
      <c r="A1723" s="53" t="n">
        <v>45550</v>
      </c>
      <c r="B1723" t="inlineStr">
        <is>
          <t>2024-09-15</t>
        </is>
      </c>
      <c r="C1723" s="45" t="n">
        <v>32.5162</v>
      </c>
      <c r="D1723" t="inlineStr">
        <is>
          <t>€/MWh</t>
        </is>
      </c>
      <c r="E1723" s="54" t="n">
        <v>0.032516</v>
      </c>
      <c r="F1723" s="54" t="n"/>
      <c r="G1723" t="inlineStr">
        <is>
          <t>no aplica (precio mayorista)</t>
        </is>
      </c>
      <c r="J1723" t="inlineStr">
        <is>
          <t>2024-09-14</t>
        </is>
      </c>
      <c r="K1723" t="inlineStr">
        <is>
          <t>marginalpdbc_20240915.1</t>
        </is>
      </c>
      <c r="L1723" t="inlineStr">
        <is>
          <t>24 periodos; mín -0.36, máx 65.08 €/MWh</t>
        </is>
      </c>
    </row>
    <row r="1724">
      <c r="A1724" s="53" t="n">
        <v>45551</v>
      </c>
      <c r="B1724" t="inlineStr">
        <is>
          <t>2024-09-16</t>
        </is>
      </c>
      <c r="C1724" s="45" t="n">
        <v>27.1863</v>
      </c>
      <c r="D1724" t="inlineStr">
        <is>
          <t>€/MWh</t>
        </is>
      </c>
      <c r="E1724" s="54" t="n">
        <v>0.027186</v>
      </c>
      <c r="F1724" s="54" t="n"/>
      <c r="G1724" t="inlineStr">
        <is>
          <t>no aplica (precio mayorista)</t>
        </is>
      </c>
      <c r="J1724" t="inlineStr">
        <is>
          <t>2024-09-15</t>
        </is>
      </c>
      <c r="K1724" t="inlineStr">
        <is>
          <t>marginalpdbc_20240916.1</t>
        </is>
      </c>
      <c r="L1724" t="inlineStr">
        <is>
          <t>24 periodos; mín 0.00, máx 88.40 €/MWh</t>
        </is>
      </c>
    </row>
    <row r="1725">
      <c r="A1725" s="53" t="n">
        <v>45552</v>
      </c>
      <c r="B1725" t="inlineStr">
        <is>
          <t>2024-09-17</t>
        </is>
      </c>
      <c r="C1725" s="45" t="n">
        <v>25.6971</v>
      </c>
      <c r="D1725" t="inlineStr">
        <is>
          <t>€/MWh</t>
        </is>
      </c>
      <c r="E1725" s="54" t="n">
        <v>0.025697</v>
      </c>
      <c r="F1725" s="54" t="n"/>
      <c r="G1725" t="inlineStr">
        <is>
          <t>no aplica (precio mayorista)</t>
        </is>
      </c>
      <c r="J1725" t="inlineStr">
        <is>
          <t>2024-09-16</t>
        </is>
      </c>
      <c r="K1725" t="inlineStr">
        <is>
          <t>marginalpdbc_20240917.1</t>
        </is>
      </c>
      <c r="L1725" t="inlineStr">
        <is>
          <t>24 periodos; mín 0.00, máx 93.52 €/MWh</t>
        </is>
      </c>
    </row>
    <row r="1726">
      <c r="A1726" s="53" t="n">
        <v>45553</v>
      </c>
      <c r="B1726" t="inlineStr">
        <is>
          <t>2024-09-18</t>
        </is>
      </c>
      <c r="C1726" s="45" t="n">
        <v>90.9204</v>
      </c>
      <c r="D1726" t="inlineStr">
        <is>
          <t>€/MWh</t>
        </is>
      </c>
      <c r="E1726" s="54" t="n">
        <v>0.09092</v>
      </c>
      <c r="F1726" s="54" t="n"/>
      <c r="G1726" t="inlineStr">
        <is>
          <t>no aplica (precio mayorista)</t>
        </is>
      </c>
      <c r="J1726" t="inlineStr">
        <is>
          <t>2024-09-17</t>
        </is>
      </c>
      <c r="K1726" t="inlineStr">
        <is>
          <t>marginalpdbc_20240918.1</t>
        </is>
      </c>
      <c r="L1726" t="inlineStr">
        <is>
          <t>24 periodos; mín 56.47, máx 148.26 €/MWh</t>
        </is>
      </c>
    </row>
    <row r="1727">
      <c r="A1727" s="53" t="n">
        <v>45554</v>
      </c>
      <c r="B1727" t="inlineStr">
        <is>
          <t>2024-09-19</t>
        </is>
      </c>
      <c r="C1727" s="45" t="n">
        <v>106.9804</v>
      </c>
      <c r="D1727" t="inlineStr">
        <is>
          <t>€/MWh</t>
        </is>
      </c>
      <c r="E1727" s="54" t="n">
        <v>0.10698</v>
      </c>
      <c r="F1727" s="54" t="n"/>
      <c r="G1727" t="inlineStr">
        <is>
          <t>no aplica (precio mayorista)</t>
        </is>
      </c>
      <c r="J1727" t="inlineStr">
        <is>
          <t>2024-09-18</t>
        </is>
      </c>
      <c r="K1727" t="inlineStr">
        <is>
          <t>marginalpdbc_20240919.1</t>
        </is>
      </c>
      <c r="L1727" t="inlineStr">
        <is>
          <t>24 periodos; mín 88.00, máx 155.01 €/MWh</t>
        </is>
      </c>
    </row>
    <row r="1728">
      <c r="A1728" s="53" t="n">
        <v>45555</v>
      </c>
      <c r="B1728" t="inlineStr">
        <is>
          <t>2024-09-20</t>
        </is>
      </c>
      <c r="C1728" s="45" t="n">
        <v>107.6892</v>
      </c>
      <c r="D1728" t="inlineStr">
        <is>
          <t>€/MWh</t>
        </is>
      </c>
      <c r="E1728" s="54" t="n">
        <v>0.107689</v>
      </c>
      <c r="F1728" s="54" t="n"/>
      <c r="G1728" t="inlineStr">
        <is>
          <t>no aplica (precio mayorista)</t>
        </is>
      </c>
      <c r="J1728" t="inlineStr">
        <is>
          <t>2024-09-19</t>
        </is>
      </c>
      <c r="K1728" t="inlineStr">
        <is>
          <t>marginalpdbc_20240920.1</t>
        </is>
      </c>
      <c r="L1728" t="inlineStr">
        <is>
          <t>24 periodos; mín 72.85, máx 146.97 €/MWh</t>
        </is>
      </c>
    </row>
    <row r="1729">
      <c r="A1729" s="53" t="n">
        <v>45556</v>
      </c>
      <c r="B1729" t="inlineStr">
        <is>
          <t>2024-09-21</t>
        </is>
      </c>
      <c r="C1729" s="45" t="n">
        <v>85.38630000000001</v>
      </c>
      <c r="D1729" t="inlineStr">
        <is>
          <t>€/MWh</t>
        </is>
      </c>
      <c r="E1729" s="54" t="n">
        <v>0.085386</v>
      </c>
      <c r="F1729" s="54" t="n"/>
      <c r="G1729" t="inlineStr">
        <is>
          <t>no aplica (precio mayorista)</t>
        </is>
      </c>
      <c r="J1729" t="inlineStr">
        <is>
          <t>2024-09-20</t>
        </is>
      </c>
      <c r="K1729" t="inlineStr">
        <is>
          <t>marginalpdbc_20240921.1</t>
        </is>
      </c>
      <c r="L1729" t="inlineStr">
        <is>
          <t>24 periodos; mín 3.32, máx 133.02 €/MWh</t>
        </is>
      </c>
    </row>
    <row r="1730">
      <c r="A1730" s="53" t="n">
        <v>45557</v>
      </c>
      <c r="B1730" t="inlineStr">
        <is>
          <t>2024-09-22</t>
        </is>
      </c>
      <c r="C1730" s="45" t="n">
        <v>69.9054</v>
      </c>
      <c r="D1730" t="inlineStr">
        <is>
          <t>€/MWh</t>
        </is>
      </c>
      <c r="E1730" s="54" t="n">
        <v>0.06990499999999999</v>
      </c>
      <c r="F1730" s="54" t="n"/>
      <c r="G1730" t="inlineStr">
        <is>
          <t>no aplica (precio mayorista)</t>
        </is>
      </c>
      <c r="J1730" t="inlineStr">
        <is>
          <t>2024-09-21</t>
        </is>
      </c>
      <c r="K1730" t="inlineStr">
        <is>
          <t>marginalpdbc_20240922.1</t>
        </is>
      </c>
      <c r="L1730" t="inlineStr">
        <is>
          <t>24 periodos; mín 0.01, máx 114.53 €/MWh</t>
        </is>
      </c>
    </row>
    <row r="1731">
      <c r="A1731" s="53" t="n">
        <v>45558</v>
      </c>
      <c r="B1731" t="inlineStr">
        <is>
          <t>2024-09-23</t>
        </is>
      </c>
      <c r="C1731" s="45" t="n">
        <v>90.0333</v>
      </c>
      <c r="D1731" t="inlineStr">
        <is>
          <t>€/MWh</t>
        </is>
      </c>
      <c r="E1731" s="54" t="n">
        <v>0.090033</v>
      </c>
      <c r="F1731" s="54" t="n"/>
      <c r="G1731" t="inlineStr">
        <is>
          <t>no aplica (precio mayorista)</t>
        </is>
      </c>
      <c r="J1731" t="inlineStr">
        <is>
          <t>2024-09-22</t>
        </is>
      </c>
      <c r="K1731" t="inlineStr">
        <is>
          <t>marginalpdbc_20240923.1</t>
        </is>
      </c>
      <c r="L1731" t="inlineStr">
        <is>
          <t>24 periodos; mín 20.50, máx 157.66 €/MWh</t>
        </is>
      </c>
    </row>
    <row r="1732">
      <c r="A1732" s="53" t="n">
        <v>45559</v>
      </c>
      <c r="B1732" t="inlineStr">
        <is>
          <t>2024-09-24</t>
        </is>
      </c>
      <c r="C1732" s="45" t="n">
        <v>95.8121</v>
      </c>
      <c r="D1732" t="inlineStr">
        <is>
          <t>€/MWh</t>
        </is>
      </c>
      <c r="E1732" s="54" t="n">
        <v>0.09581199999999999</v>
      </c>
      <c r="F1732" s="54" t="n"/>
      <c r="G1732" t="inlineStr">
        <is>
          <t>no aplica (precio mayorista)</t>
        </is>
      </c>
      <c r="J1732" t="inlineStr">
        <is>
          <t>2024-09-23</t>
        </is>
      </c>
      <c r="K1732" t="inlineStr">
        <is>
          <t>marginalpdbc_20240924.1</t>
        </is>
      </c>
      <c r="L1732" t="inlineStr">
        <is>
          <t>24 periodos; mín 57.31, máx 140.00 €/MWh</t>
        </is>
      </c>
    </row>
    <row r="1733">
      <c r="A1733" s="53" t="n">
        <v>45560</v>
      </c>
      <c r="B1733" t="inlineStr">
        <is>
          <t>2024-09-25</t>
        </is>
      </c>
      <c r="C1733" s="45" t="n">
        <v>57.225</v>
      </c>
      <c r="D1733" t="inlineStr">
        <is>
          <t>€/MWh</t>
        </is>
      </c>
      <c r="E1733" s="54" t="n">
        <v>0.057225</v>
      </c>
      <c r="F1733" s="54" t="n"/>
      <c r="G1733" t="inlineStr">
        <is>
          <t>no aplica (precio mayorista)</t>
        </is>
      </c>
      <c r="J1733" t="inlineStr">
        <is>
          <t>2024-09-24</t>
        </is>
      </c>
      <c r="K1733" t="inlineStr">
        <is>
          <t>marginalpdbc_20240925.1</t>
        </is>
      </c>
      <c r="L1733" t="inlineStr">
        <is>
          <t>24 periodos; mín 14.00, máx 92.40 €/MWh</t>
        </is>
      </c>
    </row>
    <row r="1734">
      <c r="A1734" s="53" t="n">
        <v>45561</v>
      </c>
      <c r="B1734" t="inlineStr">
        <is>
          <t>2024-09-26</t>
        </is>
      </c>
      <c r="C1734" s="45" t="n">
        <v>24.1771</v>
      </c>
      <c r="D1734" t="inlineStr">
        <is>
          <t>€/MWh</t>
        </is>
      </c>
      <c r="E1734" s="54" t="n">
        <v>0.024177</v>
      </c>
      <c r="F1734" s="54" t="n"/>
      <c r="G1734" t="inlineStr">
        <is>
          <t>no aplica (precio mayorista)</t>
        </is>
      </c>
      <c r="J1734" t="inlineStr">
        <is>
          <t>2024-09-25</t>
        </is>
      </c>
      <c r="K1734" t="inlineStr">
        <is>
          <t>marginalpdbc_20240926.1</t>
        </is>
      </c>
      <c r="L1734" t="inlineStr">
        <is>
          <t>24 periodos; mín 0.00, máx 72.50 €/MWh</t>
        </is>
      </c>
    </row>
    <row r="1735">
      <c r="A1735" s="53" t="n">
        <v>45562</v>
      </c>
      <c r="B1735" t="inlineStr">
        <is>
          <t>2024-09-27</t>
        </is>
      </c>
      <c r="C1735" s="45" t="n">
        <v>25.6062</v>
      </c>
      <c r="D1735" t="inlineStr">
        <is>
          <t>€/MWh</t>
        </is>
      </c>
      <c r="E1735" s="54" t="n">
        <v>0.025606</v>
      </c>
      <c r="F1735" s="54" t="n"/>
      <c r="G1735" t="inlineStr">
        <is>
          <t>no aplica (precio mayorista)</t>
        </is>
      </c>
      <c r="J1735" t="inlineStr">
        <is>
          <t>2024-09-26</t>
        </is>
      </c>
      <c r="K1735" t="inlineStr">
        <is>
          <t>marginalpdbc_20240927.1</t>
        </is>
      </c>
      <c r="L1735" t="inlineStr">
        <is>
          <t>24 periodos; mín -0.15, máx 109.83 €/MWh</t>
        </is>
      </c>
    </row>
    <row r="1736">
      <c r="A1736" s="53" t="n">
        <v>45563</v>
      </c>
      <c r="B1736" t="inlineStr">
        <is>
          <t>2024-09-28</t>
        </is>
      </c>
      <c r="C1736" s="45" t="n">
        <v>46.8092</v>
      </c>
      <c r="D1736" t="inlineStr">
        <is>
          <t>€/MWh</t>
        </is>
      </c>
      <c r="E1736" s="54" t="n">
        <v>0.046809</v>
      </c>
      <c r="F1736" s="54" t="n"/>
      <c r="G1736" t="inlineStr">
        <is>
          <t>no aplica (precio mayorista)</t>
        </is>
      </c>
      <c r="J1736" t="inlineStr">
        <is>
          <t>2024-09-27</t>
        </is>
      </c>
      <c r="K1736" t="inlineStr">
        <is>
          <t>marginalpdbc_20240928.1</t>
        </is>
      </c>
      <c r="L1736" t="inlineStr">
        <is>
          <t>24 periodos; mín 0.00, máx 120.11 €/MWh</t>
        </is>
      </c>
    </row>
    <row r="1737">
      <c r="A1737" s="53" t="n">
        <v>45564</v>
      </c>
      <c r="B1737" t="inlineStr">
        <is>
          <t>2024-09-29</t>
        </is>
      </c>
      <c r="C1737" s="45" t="n">
        <v>43.5579</v>
      </c>
      <c r="D1737" t="inlineStr">
        <is>
          <t>€/MWh</t>
        </is>
      </c>
      <c r="E1737" s="54" t="n">
        <v>0.043558</v>
      </c>
      <c r="F1737" s="54" t="n"/>
      <c r="G1737" t="inlineStr">
        <is>
          <t>no aplica (precio mayorista)</t>
        </is>
      </c>
      <c r="J1737" t="inlineStr">
        <is>
          <t>2024-09-28</t>
        </is>
      </c>
      <c r="K1737" t="inlineStr">
        <is>
          <t>marginalpdbc_20240929.1</t>
        </is>
      </c>
      <c r="L1737" t="inlineStr">
        <is>
          <t>24 periodos; mín -0.79, máx 101.89 €/MWh</t>
        </is>
      </c>
    </row>
    <row r="1738">
      <c r="A1738" s="53" t="n">
        <v>45565</v>
      </c>
      <c r="B1738" t="inlineStr">
        <is>
          <t>2024-09-30</t>
        </is>
      </c>
      <c r="C1738" s="45" t="n">
        <v>87.8454</v>
      </c>
      <c r="D1738" t="inlineStr">
        <is>
          <t>€/MWh</t>
        </is>
      </c>
      <c r="E1738" s="54" t="n">
        <v>0.08784500000000001</v>
      </c>
      <c r="F1738" s="54" t="n"/>
      <c r="G1738" t="inlineStr">
        <is>
          <t>no aplica (precio mayorista)</t>
        </is>
      </c>
      <c r="J1738" t="inlineStr">
        <is>
          <t>2024-09-29</t>
        </is>
      </c>
      <c r="K1738" t="inlineStr">
        <is>
          <t>marginalpdbc_20240930.1</t>
        </is>
      </c>
      <c r="L1738" t="inlineStr">
        <is>
          <t>24 periodos; mín 2.40, máx 176.21 €/MWh</t>
        </is>
      </c>
    </row>
    <row r="1739">
      <c r="A1739" s="53" t="n">
        <v>45566</v>
      </c>
      <c r="B1739" t="inlineStr">
        <is>
          <t>2024-10-01</t>
        </is>
      </c>
      <c r="C1739" s="45" t="n">
        <v>97.90130000000001</v>
      </c>
      <c r="D1739" t="inlineStr">
        <is>
          <t>€/MWh</t>
        </is>
      </c>
      <c r="E1739" s="54" t="n">
        <v>0.097901</v>
      </c>
      <c r="F1739" s="54" t="n"/>
      <c r="G1739" t="inlineStr">
        <is>
          <t>no aplica (precio mayorista)</t>
        </is>
      </c>
      <c r="J1739" t="inlineStr">
        <is>
          <t>2024-09-30</t>
        </is>
      </c>
      <c r="K1739" t="inlineStr">
        <is>
          <t>marginalpdbc_20241001.1</t>
        </is>
      </c>
      <c r="L1739" t="inlineStr">
        <is>
          <t>24 periodos; mín 55.41, máx 173.81 €/MWh</t>
        </is>
      </c>
    </row>
    <row r="1740">
      <c r="A1740" s="53" t="n">
        <v>45567</v>
      </c>
      <c r="B1740" t="inlineStr">
        <is>
          <t>2024-10-02</t>
        </is>
      </c>
      <c r="C1740" s="45" t="n">
        <v>93.5938</v>
      </c>
      <c r="D1740" t="inlineStr">
        <is>
          <t>€/MWh</t>
        </is>
      </c>
      <c r="E1740" s="54" t="n">
        <v>0.093594</v>
      </c>
      <c r="F1740" s="54" t="n"/>
      <c r="G1740" t="inlineStr">
        <is>
          <t>no aplica (precio mayorista)</t>
        </is>
      </c>
      <c r="J1740" t="inlineStr">
        <is>
          <t>2024-10-01</t>
        </is>
      </c>
      <c r="K1740" t="inlineStr">
        <is>
          <t>marginalpdbc_20241002.1</t>
        </is>
      </c>
      <c r="L1740" t="inlineStr">
        <is>
          <t>24 periodos; mín 65.00, máx 124.24 €/MWh</t>
        </is>
      </c>
    </row>
    <row r="1741">
      <c r="A1741" s="53" t="n">
        <v>45568</v>
      </c>
      <c r="B1741" t="inlineStr">
        <is>
          <t>2024-10-03</t>
        </is>
      </c>
      <c r="C1741" s="45" t="n">
        <v>57.92</v>
      </c>
      <c r="D1741" t="inlineStr">
        <is>
          <t>€/MWh</t>
        </is>
      </c>
      <c r="E1741" s="54" t="n">
        <v>0.05792</v>
      </c>
      <c r="F1741" s="54" t="n"/>
      <c r="G1741" t="inlineStr">
        <is>
          <t>no aplica (precio mayorista)</t>
        </is>
      </c>
      <c r="J1741" t="inlineStr">
        <is>
          <t>2024-10-02</t>
        </is>
      </c>
      <c r="K1741" t="inlineStr">
        <is>
          <t>marginalpdbc_20241003.1</t>
        </is>
      </c>
      <c r="L1741" t="inlineStr">
        <is>
          <t>24 periodos; mín 8.00, máx 126.98 €/MWh</t>
        </is>
      </c>
    </row>
    <row r="1742">
      <c r="A1742" s="53" t="n">
        <v>45569</v>
      </c>
      <c r="B1742" t="inlineStr">
        <is>
          <t>2024-10-04</t>
        </is>
      </c>
      <c r="C1742" s="45" t="n">
        <v>98.97580000000001</v>
      </c>
      <c r="D1742" t="inlineStr">
        <is>
          <t>€/MWh</t>
        </is>
      </c>
      <c r="E1742" s="54" t="n">
        <v>0.09897599999999999</v>
      </c>
      <c r="F1742" s="54" t="n"/>
      <c r="G1742" t="inlineStr">
        <is>
          <t>no aplica (precio mayorista)</t>
        </is>
      </c>
      <c r="J1742" t="inlineStr">
        <is>
          <t>2024-10-03</t>
        </is>
      </c>
      <c r="K1742" t="inlineStr">
        <is>
          <t>marginalpdbc_20241004.1</t>
        </is>
      </c>
      <c r="L1742" t="inlineStr">
        <is>
          <t>24 periodos; mín 49.10, máx 146.41 €/MWh</t>
        </is>
      </c>
    </row>
    <row r="1743">
      <c r="A1743" s="53" t="n">
        <v>45570</v>
      </c>
      <c r="B1743" t="inlineStr">
        <is>
          <t>2024-10-05</t>
        </is>
      </c>
      <c r="C1743" s="45" t="n">
        <v>60.3954</v>
      </c>
      <c r="D1743" t="inlineStr">
        <is>
          <t>€/MWh</t>
        </is>
      </c>
      <c r="E1743" s="54" t="n">
        <v>0.060395</v>
      </c>
      <c r="F1743" s="54" t="n"/>
      <c r="G1743" t="inlineStr">
        <is>
          <t>no aplica (precio mayorista)</t>
        </is>
      </c>
      <c r="J1743" t="inlineStr">
        <is>
          <t>2024-10-04</t>
        </is>
      </c>
      <c r="K1743" t="inlineStr">
        <is>
          <t>marginalpdbc_20241005.1</t>
        </is>
      </c>
      <c r="L1743" t="inlineStr">
        <is>
          <t>24 periodos; mín 0.00, máx 109.38 €/MWh</t>
        </is>
      </c>
    </row>
    <row r="1744">
      <c r="A1744" s="53" t="n">
        <v>45571</v>
      </c>
      <c r="B1744" t="inlineStr">
        <is>
          <t>2024-10-06</t>
        </is>
      </c>
      <c r="C1744" s="45" t="n">
        <v>21.9617</v>
      </c>
      <c r="D1744" t="inlineStr">
        <is>
          <t>€/MWh</t>
        </is>
      </c>
      <c r="E1744" s="54" t="n">
        <v>0.021962</v>
      </c>
      <c r="F1744" s="54" t="n"/>
      <c r="G1744" t="inlineStr">
        <is>
          <t>no aplica (precio mayorista)</t>
        </is>
      </c>
      <c r="J1744" t="inlineStr">
        <is>
          <t>2024-10-05</t>
        </is>
      </c>
      <c r="K1744" t="inlineStr">
        <is>
          <t>marginalpdbc_20241006.1</t>
        </is>
      </c>
      <c r="L1744" t="inlineStr">
        <is>
          <t>24 periodos; mín -0.01, máx 85.23 €/MWh</t>
        </is>
      </c>
    </row>
    <row r="1745">
      <c r="A1745" s="53" t="n">
        <v>45572</v>
      </c>
      <c r="B1745" t="inlineStr">
        <is>
          <t>2024-10-07</t>
        </is>
      </c>
      <c r="C1745" s="45" t="n">
        <v>55.455</v>
      </c>
      <c r="D1745" t="inlineStr">
        <is>
          <t>€/MWh</t>
        </is>
      </c>
      <c r="E1745" s="54" t="n">
        <v>0.055455</v>
      </c>
      <c r="F1745" s="54" t="n"/>
      <c r="G1745" t="inlineStr">
        <is>
          <t>no aplica (precio mayorista)</t>
        </is>
      </c>
      <c r="J1745" t="inlineStr">
        <is>
          <t>2024-10-06</t>
        </is>
      </c>
      <c r="K1745" t="inlineStr">
        <is>
          <t>marginalpdbc_20241007.1</t>
        </is>
      </c>
      <c r="L1745" t="inlineStr">
        <is>
          <t>24 periodos; mín 26.83, máx 108.32 €/MWh</t>
        </is>
      </c>
    </row>
    <row r="1746">
      <c r="A1746" s="53" t="n">
        <v>45573</v>
      </c>
      <c r="B1746" t="inlineStr">
        <is>
          <t>2024-10-08</t>
        </is>
      </c>
      <c r="C1746" s="45" t="n">
        <v>31.3746</v>
      </c>
      <c r="D1746" t="inlineStr">
        <is>
          <t>€/MWh</t>
        </is>
      </c>
      <c r="E1746" s="54" t="n">
        <v>0.031375</v>
      </c>
      <c r="F1746" s="54" t="n"/>
      <c r="G1746" t="inlineStr">
        <is>
          <t>no aplica (precio mayorista)</t>
        </is>
      </c>
      <c r="J1746" t="inlineStr">
        <is>
          <t>2024-10-07</t>
        </is>
      </c>
      <c r="K1746" t="inlineStr">
        <is>
          <t>marginalpdbc_20241008.1</t>
        </is>
      </c>
      <c r="L1746" t="inlineStr">
        <is>
          <t>24 periodos; mín 0.00, máx 90.00 €/MWh</t>
        </is>
      </c>
    </row>
    <row r="1747">
      <c r="A1747" s="53" t="n">
        <v>45574</v>
      </c>
      <c r="B1747" t="inlineStr">
        <is>
          <t>2024-10-09</t>
        </is>
      </c>
      <c r="C1747" s="45" t="n">
        <v>24.5154</v>
      </c>
      <c r="D1747" t="inlineStr">
        <is>
          <t>€/MWh</t>
        </is>
      </c>
      <c r="E1747" s="54" t="n">
        <v>0.024515</v>
      </c>
      <c r="F1747" s="54" t="n"/>
      <c r="G1747" t="inlineStr">
        <is>
          <t>no aplica (precio mayorista)</t>
        </is>
      </c>
      <c r="J1747" t="inlineStr">
        <is>
          <t>2024-10-08</t>
        </is>
      </c>
      <c r="K1747" t="inlineStr">
        <is>
          <t>marginalpdbc_20241009.1</t>
        </is>
      </c>
      <c r="L1747" t="inlineStr">
        <is>
          <t>24 periodos; mín 0.98, máx 60.80 €/MWh</t>
        </is>
      </c>
    </row>
    <row r="1748">
      <c r="A1748" s="53" t="n">
        <v>45575</v>
      </c>
      <c r="B1748" t="inlineStr">
        <is>
          <t>2024-10-10</t>
        </is>
      </c>
      <c r="C1748" s="45" t="n">
        <v>76.18170000000001</v>
      </c>
      <c r="D1748" t="inlineStr">
        <is>
          <t>€/MWh</t>
        </is>
      </c>
      <c r="E1748" s="54" t="n">
        <v>0.076182</v>
      </c>
      <c r="F1748" s="54" t="n"/>
      <c r="G1748" t="inlineStr">
        <is>
          <t>no aplica (precio mayorista)</t>
        </is>
      </c>
      <c r="J1748" t="inlineStr">
        <is>
          <t>2024-10-09</t>
        </is>
      </c>
      <c r="K1748" t="inlineStr">
        <is>
          <t>marginalpdbc_20241010.1</t>
        </is>
      </c>
      <c r="L1748" t="inlineStr">
        <is>
          <t>24 periodos; mín 39.83, máx 180.00 €/MWh</t>
        </is>
      </c>
    </row>
    <row r="1749">
      <c r="A1749" s="53" t="n">
        <v>45576</v>
      </c>
      <c r="B1749" t="inlineStr">
        <is>
          <t>2024-10-11</t>
        </is>
      </c>
      <c r="C1749" s="45" t="n">
        <v>90.66370000000001</v>
      </c>
      <c r="D1749" t="inlineStr">
        <is>
          <t>€/MWh</t>
        </is>
      </c>
      <c r="E1749" s="54" t="n">
        <v>0.09066399999999999</v>
      </c>
      <c r="F1749" s="54" t="n"/>
      <c r="G1749" t="inlineStr">
        <is>
          <t>no aplica (precio mayorista)</t>
        </is>
      </c>
      <c r="J1749" t="inlineStr">
        <is>
          <t>2024-10-10</t>
        </is>
      </c>
      <c r="K1749" t="inlineStr">
        <is>
          <t>marginalpdbc_20241011.1</t>
        </is>
      </c>
      <c r="L1749" t="inlineStr">
        <is>
          <t>24 periodos; mín 58.11, máx 155.49 €/MWh</t>
        </is>
      </c>
    </row>
    <row r="1750">
      <c r="A1750" s="53" t="n">
        <v>45577</v>
      </c>
      <c r="B1750" t="inlineStr">
        <is>
          <t>2024-10-12</t>
        </is>
      </c>
      <c r="C1750" s="45" t="n">
        <v>69.8563</v>
      </c>
      <c r="D1750" t="inlineStr">
        <is>
          <t>€/MWh</t>
        </is>
      </c>
      <c r="E1750" s="54" t="n">
        <v>0.069856</v>
      </c>
      <c r="F1750" s="54" t="n"/>
      <c r="G1750" t="inlineStr">
        <is>
          <t>no aplica (precio mayorista)</t>
        </is>
      </c>
      <c r="J1750" t="inlineStr">
        <is>
          <t>2024-10-11</t>
        </is>
      </c>
      <c r="K1750" t="inlineStr">
        <is>
          <t>marginalpdbc_20241012.1</t>
        </is>
      </c>
      <c r="L1750" t="inlineStr">
        <is>
          <t>24 periodos; mín 38.91, máx 119.93 €/MWh</t>
        </is>
      </c>
    </row>
    <row r="1751">
      <c r="A1751" s="53" t="n">
        <v>45578</v>
      </c>
      <c r="B1751" t="inlineStr">
        <is>
          <t>2024-10-13</t>
        </is>
      </c>
      <c r="C1751" s="45" t="n">
        <v>52.7504</v>
      </c>
      <c r="D1751" t="inlineStr">
        <is>
          <t>€/MWh</t>
        </is>
      </c>
      <c r="E1751" s="54" t="n">
        <v>0.05275</v>
      </c>
      <c r="F1751" s="54" t="n"/>
      <c r="G1751" t="inlineStr">
        <is>
          <t>no aplica (precio mayorista)</t>
        </is>
      </c>
      <c r="J1751" t="inlineStr">
        <is>
          <t>2024-10-12</t>
        </is>
      </c>
      <c r="K1751" t="inlineStr">
        <is>
          <t>marginalpdbc_20241013.1</t>
        </is>
      </c>
      <c r="L1751" t="inlineStr">
        <is>
          <t>24 periodos; mín 0.00, máx 121.28 €/MWh</t>
        </is>
      </c>
    </row>
    <row r="1752">
      <c r="A1752" s="53" t="n">
        <v>45579</v>
      </c>
      <c r="B1752" t="inlineStr">
        <is>
          <t>2024-10-14</t>
        </is>
      </c>
      <c r="C1752" s="45" t="n">
        <v>104.1671</v>
      </c>
      <c r="D1752" t="inlineStr">
        <is>
          <t>€/MWh</t>
        </is>
      </c>
      <c r="E1752" s="54" t="n">
        <v>0.104167</v>
      </c>
      <c r="F1752" s="54" t="n"/>
      <c r="G1752" t="inlineStr">
        <is>
          <t>no aplica (precio mayorista)</t>
        </is>
      </c>
      <c r="J1752" t="inlineStr">
        <is>
          <t>2024-10-13</t>
        </is>
      </c>
      <c r="K1752" t="inlineStr">
        <is>
          <t>marginalpdbc_20241014.1</t>
        </is>
      </c>
      <c r="L1752" t="inlineStr">
        <is>
          <t>24 periodos; mín 71.20, máx 178.61 €/MWh</t>
        </is>
      </c>
    </row>
    <row r="1753">
      <c r="A1753" s="53" t="n">
        <v>45580</v>
      </c>
      <c r="B1753" t="inlineStr">
        <is>
          <t>2024-10-15</t>
        </is>
      </c>
      <c r="C1753" s="45" t="n">
        <v>87.22539999999999</v>
      </c>
      <c r="D1753" t="inlineStr">
        <is>
          <t>€/MWh</t>
        </is>
      </c>
      <c r="E1753" s="54" t="n">
        <v>0.087225</v>
      </c>
      <c r="F1753" s="54" t="n"/>
      <c r="G1753" t="inlineStr">
        <is>
          <t>no aplica (precio mayorista)</t>
        </is>
      </c>
      <c r="J1753" t="inlineStr">
        <is>
          <t>2024-10-14</t>
        </is>
      </c>
      <c r="K1753" t="inlineStr">
        <is>
          <t>marginalpdbc_20241015.1</t>
        </is>
      </c>
      <c r="L1753" t="inlineStr">
        <is>
          <t>24 periodos; mín 69.78, máx 125.89 €/MWh</t>
        </is>
      </c>
    </row>
    <row r="1754">
      <c r="A1754" s="53" t="n">
        <v>45581</v>
      </c>
      <c r="B1754" t="inlineStr">
        <is>
          <t>2024-10-16</t>
        </is>
      </c>
      <c r="C1754" s="45" t="n">
        <v>48.8371</v>
      </c>
      <c r="D1754" t="inlineStr">
        <is>
          <t>€/MWh</t>
        </is>
      </c>
      <c r="E1754" s="54" t="n">
        <v>0.048837</v>
      </c>
      <c r="F1754" s="54" t="n"/>
      <c r="G1754" t="inlineStr">
        <is>
          <t>no aplica (precio mayorista)</t>
        </is>
      </c>
      <c r="J1754" t="inlineStr">
        <is>
          <t>2024-10-15</t>
        </is>
      </c>
      <c r="K1754" t="inlineStr">
        <is>
          <t>marginalpdbc_20241016.1</t>
        </is>
      </c>
      <c r="L1754" t="inlineStr">
        <is>
          <t>24 periodos; mín 3.32, máx 112.08 €/MWh</t>
        </is>
      </c>
    </row>
    <row r="1755">
      <c r="A1755" s="53" t="n">
        <v>45582</v>
      </c>
      <c r="B1755" t="inlineStr">
        <is>
          <t>2024-10-17</t>
        </is>
      </c>
      <c r="C1755" s="45" t="n">
        <v>51.2504</v>
      </c>
      <c r="D1755" t="inlineStr">
        <is>
          <t>€/MWh</t>
        </is>
      </c>
      <c r="E1755" s="54" t="n">
        <v>0.05125</v>
      </c>
      <c r="F1755" s="54" t="n"/>
      <c r="G1755" t="inlineStr">
        <is>
          <t>no aplica (precio mayorista)</t>
        </is>
      </c>
      <c r="J1755" t="inlineStr">
        <is>
          <t>2024-10-16</t>
        </is>
      </c>
      <c r="K1755" t="inlineStr">
        <is>
          <t>marginalpdbc_20241017.1</t>
        </is>
      </c>
      <c r="L1755" t="inlineStr">
        <is>
          <t>24 periodos; mín 0.44, máx 84.80 €/MWh</t>
        </is>
      </c>
    </row>
    <row r="1756">
      <c r="A1756" s="53" t="n">
        <v>45583</v>
      </c>
      <c r="B1756" t="inlineStr">
        <is>
          <t>2024-10-18</t>
        </is>
      </c>
      <c r="C1756" s="45" t="n">
        <v>51.9875</v>
      </c>
      <c r="D1756" t="inlineStr">
        <is>
          <t>€/MWh</t>
        </is>
      </c>
      <c r="E1756" s="54" t="n">
        <v>0.051988</v>
      </c>
      <c r="F1756" s="54" t="n"/>
      <c r="G1756" t="inlineStr">
        <is>
          <t>no aplica (precio mayorista)</t>
        </is>
      </c>
      <c r="J1756" t="inlineStr">
        <is>
          <t>2024-10-17</t>
        </is>
      </c>
      <c r="K1756" t="inlineStr">
        <is>
          <t>marginalpdbc_20241018.1</t>
        </is>
      </c>
      <c r="L1756" t="inlineStr">
        <is>
          <t>24 periodos; mín 3.32, máx 109.56 €/MWh</t>
        </is>
      </c>
    </row>
    <row r="1757">
      <c r="A1757" s="53" t="n">
        <v>45584</v>
      </c>
      <c r="B1757" t="inlineStr">
        <is>
          <t>2024-10-19</t>
        </is>
      </c>
      <c r="C1757" s="45" t="n">
        <v>48.7079</v>
      </c>
      <c r="D1757" t="inlineStr">
        <is>
          <t>€/MWh</t>
        </is>
      </c>
      <c r="E1757" s="54" t="n">
        <v>0.048708</v>
      </c>
      <c r="F1757" s="54" t="n"/>
      <c r="G1757" t="inlineStr">
        <is>
          <t>no aplica (precio mayorista)</t>
        </is>
      </c>
      <c r="J1757" t="inlineStr">
        <is>
          <t>2024-10-18</t>
        </is>
      </c>
      <c r="K1757" t="inlineStr">
        <is>
          <t>marginalpdbc_20241019.1</t>
        </is>
      </c>
      <c r="L1757" t="inlineStr">
        <is>
          <t>24 periodos; mín 5.05, máx 91.50 €/MWh</t>
        </is>
      </c>
    </row>
    <row r="1758">
      <c r="A1758" s="53" t="n">
        <v>45585</v>
      </c>
      <c r="B1758" t="inlineStr">
        <is>
          <t>2024-10-20</t>
        </is>
      </c>
      <c r="C1758" s="45" t="n">
        <v>44.6629</v>
      </c>
      <c r="D1758" t="inlineStr">
        <is>
          <t>€/MWh</t>
        </is>
      </c>
      <c r="E1758" s="54" t="n">
        <v>0.044663</v>
      </c>
      <c r="F1758" s="54" t="n"/>
      <c r="G1758" t="inlineStr">
        <is>
          <t>no aplica (precio mayorista)</t>
        </is>
      </c>
      <c r="J1758" t="inlineStr">
        <is>
          <t>2024-10-19</t>
        </is>
      </c>
      <c r="K1758" t="inlineStr">
        <is>
          <t>marginalpdbc_20241020.1</t>
        </is>
      </c>
      <c r="L1758" t="inlineStr">
        <is>
          <t>24 periodos; mín -0.01, máx 125.89 €/MWh</t>
        </is>
      </c>
    </row>
    <row r="1759">
      <c r="A1759" s="53" t="n">
        <v>45586</v>
      </c>
      <c r="B1759" t="inlineStr">
        <is>
          <t>2024-10-21</t>
        </is>
      </c>
      <c r="C1759" s="45" t="n">
        <v>93.6267</v>
      </c>
      <c r="D1759" t="inlineStr">
        <is>
          <t>€/MWh</t>
        </is>
      </c>
      <c r="E1759" s="54" t="n">
        <v>0.093627</v>
      </c>
      <c r="F1759" s="54" t="n"/>
      <c r="G1759" t="inlineStr">
        <is>
          <t>no aplica (precio mayorista)</t>
        </is>
      </c>
      <c r="J1759" t="inlineStr">
        <is>
          <t>2024-10-20</t>
        </is>
      </c>
      <c r="K1759" t="inlineStr">
        <is>
          <t>marginalpdbc_20241021.1</t>
        </is>
      </c>
      <c r="L1759" t="inlineStr">
        <is>
          <t>24 periodos; mín 64.00, máx 181.00 €/MWh</t>
        </is>
      </c>
    </row>
    <row r="1760">
      <c r="A1760" s="53" t="n">
        <v>45587</v>
      </c>
      <c r="B1760" t="inlineStr">
        <is>
          <t>2024-10-22</t>
        </is>
      </c>
      <c r="C1760" s="45" t="n">
        <v>80.1767</v>
      </c>
      <c r="D1760" t="inlineStr">
        <is>
          <t>€/MWh</t>
        </is>
      </c>
      <c r="E1760" s="54" t="n">
        <v>0.080177</v>
      </c>
      <c r="F1760" s="54" t="n"/>
      <c r="G1760" t="inlineStr">
        <is>
          <t>no aplica (precio mayorista)</t>
        </is>
      </c>
      <c r="J1760" t="inlineStr">
        <is>
          <t>2024-10-21</t>
        </is>
      </c>
      <c r="K1760" t="inlineStr">
        <is>
          <t>marginalpdbc_20241022.1</t>
        </is>
      </c>
      <c r="L1760" t="inlineStr">
        <is>
          <t>24 periodos; mín 50.24, máx 124.71 €/MWh</t>
        </is>
      </c>
    </row>
    <row r="1761">
      <c r="A1761" s="53" t="n">
        <v>45588</v>
      </c>
      <c r="B1761" t="inlineStr">
        <is>
          <t>2024-10-23</t>
        </is>
      </c>
      <c r="C1761" s="45" t="n">
        <v>87.2287</v>
      </c>
      <c r="D1761" t="inlineStr">
        <is>
          <t>€/MWh</t>
        </is>
      </c>
      <c r="E1761" s="54" t="n">
        <v>0.087229</v>
      </c>
      <c r="F1761" s="54" t="n"/>
      <c r="G1761" t="inlineStr">
        <is>
          <t>no aplica (precio mayorista)</t>
        </is>
      </c>
      <c r="J1761" t="inlineStr">
        <is>
          <t>2024-10-22</t>
        </is>
      </c>
      <c r="K1761" t="inlineStr">
        <is>
          <t>marginalpdbc_20241023.1</t>
        </is>
      </c>
      <c r="L1761" t="inlineStr">
        <is>
          <t>24 periodos; mín 56.08, máx 155.80 €/MWh</t>
        </is>
      </c>
    </row>
    <row r="1762">
      <c r="A1762" s="53" t="n">
        <v>45589</v>
      </c>
      <c r="B1762" t="inlineStr">
        <is>
          <t>2024-10-24</t>
        </is>
      </c>
      <c r="C1762" s="45" t="n">
        <v>70.1938</v>
      </c>
      <c r="D1762" t="inlineStr">
        <is>
          <t>€/MWh</t>
        </is>
      </c>
      <c r="E1762" s="54" t="n">
        <v>0.07019400000000001</v>
      </c>
      <c r="F1762" s="54" t="n"/>
      <c r="G1762" t="inlineStr">
        <is>
          <t>no aplica (precio mayorista)</t>
        </is>
      </c>
      <c r="J1762" t="inlineStr">
        <is>
          <t>2024-10-23</t>
        </is>
      </c>
      <c r="K1762" t="inlineStr">
        <is>
          <t>marginalpdbc_20241024.1</t>
        </is>
      </c>
      <c r="L1762" t="inlineStr">
        <is>
          <t>24 periodos; mín 24.55, máx 120.01 €/MWh</t>
        </is>
      </c>
    </row>
    <row r="1763">
      <c r="A1763" s="53" t="n">
        <v>45590</v>
      </c>
      <c r="B1763" t="inlineStr">
        <is>
          <t>2024-10-25</t>
        </is>
      </c>
      <c r="C1763" s="45" t="n">
        <v>63.7958</v>
      </c>
      <c r="D1763" t="inlineStr">
        <is>
          <t>€/MWh</t>
        </is>
      </c>
      <c r="E1763" s="54" t="n">
        <v>0.06379600000000001</v>
      </c>
      <c r="F1763" s="54" t="n"/>
      <c r="G1763" t="inlineStr">
        <is>
          <t>no aplica (precio mayorista)</t>
        </is>
      </c>
      <c r="J1763" t="inlineStr">
        <is>
          <t>2024-10-24</t>
        </is>
      </c>
      <c r="K1763" t="inlineStr">
        <is>
          <t>marginalpdbc_20241025.1</t>
        </is>
      </c>
      <c r="L1763" t="inlineStr">
        <is>
          <t>24 periodos; mín 40.00, máx 103.06 €/MWh</t>
        </is>
      </c>
    </row>
    <row r="1764">
      <c r="A1764" s="53" t="n">
        <v>45591</v>
      </c>
      <c r="B1764" t="inlineStr">
        <is>
          <t>2024-10-26</t>
        </is>
      </c>
      <c r="C1764" s="45" t="n">
        <v>49.6058</v>
      </c>
      <c r="D1764" t="inlineStr">
        <is>
          <t>€/MWh</t>
        </is>
      </c>
      <c r="E1764" s="54" t="n">
        <v>0.049606</v>
      </c>
      <c r="F1764" s="54" t="n"/>
      <c r="G1764" t="inlineStr">
        <is>
          <t>no aplica (precio mayorista)</t>
        </is>
      </c>
      <c r="J1764" t="inlineStr">
        <is>
          <t>2024-10-25</t>
        </is>
      </c>
      <c r="K1764" t="inlineStr">
        <is>
          <t>marginalpdbc_20241026.1</t>
        </is>
      </c>
      <c r="L1764" t="inlineStr">
        <is>
          <t>24 periodos; mín 5.01, máx 90.98 €/MWh</t>
        </is>
      </c>
    </row>
    <row r="1765">
      <c r="A1765" s="53" t="n">
        <v>45592</v>
      </c>
      <c r="B1765" t="inlineStr">
        <is>
          <t>2024-10-27</t>
        </is>
      </c>
      <c r="C1765" s="45" t="n">
        <v>77.67319999999999</v>
      </c>
      <c r="D1765" t="inlineStr">
        <is>
          <t>€/MWh</t>
        </is>
      </c>
      <c r="E1765" s="54" t="n">
        <v>0.07767300000000001</v>
      </c>
      <c r="F1765" s="54" t="n"/>
      <c r="G1765" t="inlineStr">
        <is>
          <t>no aplica (precio mayorista)</t>
        </is>
      </c>
      <c r="J1765" t="inlineStr">
        <is>
          <t>2024-10-26</t>
        </is>
      </c>
      <c r="K1765" t="inlineStr">
        <is>
          <t>marginalpdbc_20241027.1</t>
        </is>
      </c>
      <c r="L1765" t="inlineStr">
        <is>
          <t>25 periodos; mín 39.99, máx 128.70 €/MWh</t>
        </is>
      </c>
    </row>
    <row r="1766">
      <c r="A1766" s="53" t="n">
        <v>45593</v>
      </c>
      <c r="B1766" t="inlineStr">
        <is>
          <t>2024-10-28</t>
        </is>
      </c>
      <c r="C1766" s="45" t="n">
        <v>76.04000000000001</v>
      </c>
      <c r="D1766" t="inlineStr">
        <is>
          <t>€/MWh</t>
        </is>
      </c>
      <c r="E1766" s="54" t="n">
        <v>0.07604</v>
      </c>
      <c r="F1766" s="54" t="n"/>
      <c r="G1766" t="inlineStr">
        <is>
          <t>no aplica (precio mayorista)</t>
        </is>
      </c>
      <c r="J1766" t="inlineStr">
        <is>
          <t>2024-10-27</t>
        </is>
      </c>
      <c r="K1766" t="inlineStr">
        <is>
          <t>marginalpdbc_20241028.1</t>
        </is>
      </c>
      <c r="L1766" t="inlineStr">
        <is>
          <t>24 periodos; mín 43.10, máx 149.48 €/MWh</t>
        </is>
      </c>
    </row>
    <row r="1767">
      <c r="A1767" s="53" t="n">
        <v>45594</v>
      </c>
      <c r="B1767" t="inlineStr">
        <is>
          <t>2024-10-29</t>
        </is>
      </c>
      <c r="C1767" s="45" t="n">
        <v>73.4038</v>
      </c>
      <c r="D1767" t="inlineStr">
        <is>
          <t>€/MWh</t>
        </is>
      </c>
      <c r="E1767" s="54" t="n">
        <v>0.073404</v>
      </c>
      <c r="F1767" s="54" t="n"/>
      <c r="G1767" t="inlineStr">
        <is>
          <t>no aplica (precio mayorista)</t>
        </is>
      </c>
      <c r="J1767" t="inlineStr">
        <is>
          <t>2024-10-28</t>
        </is>
      </c>
      <c r="K1767" t="inlineStr">
        <is>
          <t>marginalpdbc_20241029.1</t>
        </is>
      </c>
      <c r="L1767" t="inlineStr">
        <is>
          <t>24 periodos; mín 49.04, máx 98.61 €/MWh</t>
        </is>
      </c>
    </row>
    <row r="1768">
      <c r="A1768" s="53" t="n">
        <v>45595</v>
      </c>
      <c r="B1768" t="inlineStr">
        <is>
          <t>2024-10-30</t>
        </is>
      </c>
      <c r="C1768" s="45" t="n">
        <v>83.49120000000001</v>
      </c>
      <c r="D1768" t="inlineStr">
        <is>
          <t>€/MWh</t>
        </is>
      </c>
      <c r="E1768" s="54" t="n">
        <v>0.083491</v>
      </c>
      <c r="F1768" s="54" t="n"/>
      <c r="G1768" t="inlineStr">
        <is>
          <t>no aplica (precio mayorista)</t>
        </is>
      </c>
      <c r="J1768" t="inlineStr">
        <is>
          <t>2024-10-29</t>
        </is>
      </c>
      <c r="K1768" t="inlineStr">
        <is>
          <t>marginalpdbc_20241030.1</t>
        </is>
      </c>
      <c r="L1768" t="inlineStr">
        <is>
          <t>24 periodos; mín 40.00, máx 145.00 €/MWh</t>
        </is>
      </c>
    </row>
    <row r="1769">
      <c r="A1769" s="53" t="n">
        <v>45596</v>
      </c>
      <c r="B1769" t="inlineStr">
        <is>
          <t>2024-10-31</t>
        </is>
      </c>
      <c r="C1769" s="45" t="n">
        <v>101.1696</v>
      </c>
      <c r="D1769" t="inlineStr">
        <is>
          <t>€/MWh</t>
        </is>
      </c>
      <c r="E1769" s="54" t="n">
        <v>0.10117</v>
      </c>
      <c r="F1769" s="54" t="n"/>
      <c r="G1769" t="inlineStr">
        <is>
          <t>no aplica (precio mayorista)</t>
        </is>
      </c>
      <c r="J1769" t="inlineStr">
        <is>
          <t>2024-10-30</t>
        </is>
      </c>
      <c r="K1769" t="inlineStr">
        <is>
          <t>marginalpdbc_20241031.1</t>
        </is>
      </c>
      <c r="L1769" t="inlineStr">
        <is>
          <t>24 periodos; mín 70.99, máx 148.72 €/MWh</t>
        </is>
      </c>
    </row>
    <row r="1770">
      <c r="A1770" s="53" t="n">
        <v>45597</v>
      </c>
      <c r="B1770" t="inlineStr">
        <is>
          <t>2024-11-01</t>
        </is>
      </c>
      <c r="C1770" s="45" t="n">
        <v>81.6104</v>
      </c>
      <c r="D1770" t="inlineStr">
        <is>
          <t>€/MWh</t>
        </is>
      </c>
      <c r="E1770" s="54" t="n">
        <v>0.08161</v>
      </c>
      <c r="F1770" s="54" t="n"/>
      <c r="G1770" t="inlineStr">
        <is>
          <t>no aplica (precio mayorista)</t>
        </is>
      </c>
      <c r="J1770" t="inlineStr">
        <is>
          <t>2024-10-31</t>
        </is>
      </c>
      <c r="K1770" t="inlineStr">
        <is>
          <t>marginalpdbc_20241101.1</t>
        </is>
      </c>
      <c r="L1770" t="inlineStr">
        <is>
          <t>24 periodos; mín 47.80, máx 125.88 €/MWh</t>
        </is>
      </c>
    </row>
    <row r="1771">
      <c r="A1771" s="53" t="n">
        <v>45598</v>
      </c>
      <c r="B1771" t="inlineStr">
        <is>
          <t>2024-11-02</t>
        </is>
      </c>
      <c r="C1771" s="45" t="n">
        <v>91.94459999999999</v>
      </c>
      <c r="D1771" t="inlineStr">
        <is>
          <t>€/MWh</t>
        </is>
      </c>
      <c r="E1771" s="54" t="n">
        <v>0.091945</v>
      </c>
      <c r="F1771" s="54" t="n"/>
      <c r="G1771" t="inlineStr">
        <is>
          <t>no aplica (precio mayorista)</t>
        </is>
      </c>
      <c r="J1771" t="inlineStr">
        <is>
          <t>2024-11-01</t>
        </is>
      </c>
      <c r="K1771" t="inlineStr">
        <is>
          <t>marginalpdbc_20241102.1</t>
        </is>
      </c>
      <c r="L1771" t="inlineStr">
        <is>
          <t>24 periodos; mín 69.84, máx 114.64 €/MWh</t>
        </is>
      </c>
    </row>
    <row r="1772">
      <c r="A1772" s="53" t="n">
        <v>45599</v>
      </c>
      <c r="B1772" t="inlineStr">
        <is>
          <t>2024-11-03</t>
        </is>
      </c>
      <c r="C1772" s="45" t="n">
        <v>72.57080000000001</v>
      </c>
      <c r="D1772" t="inlineStr">
        <is>
          <t>€/MWh</t>
        </is>
      </c>
      <c r="E1772" s="54" t="n">
        <v>0.072571</v>
      </c>
      <c r="F1772" s="54" t="n"/>
      <c r="G1772" t="inlineStr">
        <is>
          <t>no aplica (precio mayorista)</t>
        </is>
      </c>
      <c r="J1772" t="inlineStr">
        <is>
          <t>2024-11-02</t>
        </is>
      </c>
      <c r="K1772" t="inlineStr">
        <is>
          <t>marginalpdbc_20241103.1</t>
        </is>
      </c>
      <c r="L1772" t="inlineStr">
        <is>
          <t>24 periodos; mín 7.40, máx 116.67 €/MWh</t>
        </is>
      </c>
    </row>
    <row r="1773">
      <c r="A1773" s="53" t="n">
        <v>45600</v>
      </c>
      <c r="B1773" t="inlineStr">
        <is>
          <t>2024-11-04</t>
        </is>
      </c>
      <c r="C1773" s="45" t="n">
        <v>108.8796</v>
      </c>
      <c r="D1773" t="inlineStr">
        <is>
          <t>€/MWh</t>
        </is>
      </c>
      <c r="E1773" s="54" t="n">
        <v>0.10888</v>
      </c>
      <c r="F1773" s="54" t="n"/>
      <c r="G1773" t="inlineStr">
        <is>
          <t>no aplica (precio mayorista)</t>
        </is>
      </c>
      <c r="J1773" t="inlineStr">
        <is>
          <t>2024-11-03</t>
        </is>
      </c>
      <c r="K1773" t="inlineStr">
        <is>
          <t>marginalpdbc_20241104.1</t>
        </is>
      </c>
      <c r="L1773" t="inlineStr">
        <is>
          <t>24 periodos; mín 83.82, máx 160.54 €/MWh</t>
        </is>
      </c>
    </row>
    <row r="1774">
      <c r="A1774" s="53" t="n">
        <v>45601</v>
      </c>
      <c r="B1774" t="inlineStr">
        <is>
          <t>2024-11-05</t>
        </is>
      </c>
      <c r="C1774" s="45" t="n">
        <v>117.0454</v>
      </c>
      <c r="D1774" t="inlineStr">
        <is>
          <t>€/MWh</t>
        </is>
      </c>
      <c r="E1774" s="54" t="n">
        <v>0.117045</v>
      </c>
      <c r="F1774" s="54" t="n"/>
      <c r="G1774" t="inlineStr">
        <is>
          <t>no aplica (precio mayorista)</t>
        </is>
      </c>
      <c r="J1774" t="inlineStr">
        <is>
          <t>2024-11-04</t>
        </is>
      </c>
      <c r="K1774" t="inlineStr">
        <is>
          <t>marginalpdbc_20241105.1</t>
        </is>
      </c>
      <c r="L1774" t="inlineStr">
        <is>
          <t>24 periodos; mín 90.43, máx 193.00 €/MWh</t>
        </is>
      </c>
    </row>
    <row r="1775">
      <c r="A1775" s="53" t="n">
        <v>45602</v>
      </c>
      <c r="B1775" t="inlineStr">
        <is>
          <t>2024-11-06</t>
        </is>
      </c>
      <c r="C1775" s="45" t="n">
        <v>116.8308</v>
      </c>
      <c r="D1775" t="inlineStr">
        <is>
          <t>€/MWh</t>
        </is>
      </c>
      <c r="E1775" s="54" t="n">
        <v>0.116831</v>
      </c>
      <c r="F1775" s="54" t="n"/>
      <c r="G1775" t="inlineStr">
        <is>
          <t>no aplica (precio mayorista)</t>
        </is>
      </c>
      <c r="J1775" t="inlineStr">
        <is>
          <t>2024-11-05</t>
        </is>
      </c>
      <c r="K1775" t="inlineStr">
        <is>
          <t>marginalpdbc_20241106.1</t>
        </is>
      </c>
      <c r="L1775" t="inlineStr">
        <is>
          <t>24 periodos; mín 86.00, máx 171.89 €/MWh</t>
        </is>
      </c>
    </row>
    <row r="1776">
      <c r="A1776" s="53" t="n">
        <v>45603</v>
      </c>
      <c r="B1776" t="inlineStr">
        <is>
          <t>2024-11-07</t>
        </is>
      </c>
      <c r="C1776" s="45" t="n">
        <v>111.8283</v>
      </c>
      <c r="D1776" t="inlineStr">
        <is>
          <t>€/MWh</t>
        </is>
      </c>
      <c r="E1776" s="54" t="n">
        <v>0.111828</v>
      </c>
      <c r="F1776" s="54" t="n"/>
      <c r="G1776" t="inlineStr">
        <is>
          <t>no aplica (precio mayorista)</t>
        </is>
      </c>
      <c r="J1776" t="inlineStr">
        <is>
          <t>2024-11-06</t>
        </is>
      </c>
      <c r="K1776" t="inlineStr">
        <is>
          <t>marginalpdbc_20241107.1</t>
        </is>
      </c>
      <c r="L1776" t="inlineStr">
        <is>
          <t>24 periodos; mín 90.00, máx 151.49 €/MWh</t>
        </is>
      </c>
    </row>
    <row r="1777">
      <c r="A1777" s="53" t="n">
        <v>45604</v>
      </c>
      <c r="B1777" t="inlineStr">
        <is>
          <t>2024-11-08</t>
        </is>
      </c>
      <c r="C1777" s="45" t="n">
        <v>117.4892</v>
      </c>
      <c r="D1777" t="inlineStr">
        <is>
          <t>€/MWh</t>
        </is>
      </c>
      <c r="E1777" s="54" t="n">
        <v>0.117489</v>
      </c>
      <c r="F1777" s="54" t="n"/>
      <c r="G1777" t="inlineStr">
        <is>
          <t>no aplica (precio mayorista)</t>
        </is>
      </c>
      <c r="J1777" t="inlineStr">
        <is>
          <t>2024-11-07</t>
        </is>
      </c>
      <c r="K1777" t="inlineStr">
        <is>
          <t>marginalpdbc_20241108.1</t>
        </is>
      </c>
      <c r="L1777" t="inlineStr">
        <is>
          <t>24 periodos; mín 98.78, máx 134.28 €/MWh</t>
        </is>
      </c>
    </row>
    <row r="1778">
      <c r="A1778" s="53" t="n">
        <v>45605</v>
      </c>
      <c r="B1778" t="inlineStr">
        <is>
          <t>2024-11-09</t>
        </is>
      </c>
      <c r="C1778" s="45" t="n">
        <v>110.4575</v>
      </c>
      <c r="D1778" t="inlineStr">
        <is>
          <t>€/MWh</t>
        </is>
      </c>
      <c r="E1778" s="54" t="n">
        <v>0.110458</v>
      </c>
      <c r="F1778" s="54" t="n"/>
      <c r="G1778" t="inlineStr">
        <is>
          <t>no aplica (precio mayorista)</t>
        </is>
      </c>
      <c r="J1778" t="inlineStr">
        <is>
          <t>2024-11-08</t>
        </is>
      </c>
      <c r="K1778" t="inlineStr">
        <is>
          <t>marginalpdbc_20241109.1</t>
        </is>
      </c>
      <c r="L1778" t="inlineStr">
        <is>
          <t>24 periodos; mín 90.20, máx 134.86 €/MWh</t>
        </is>
      </c>
    </row>
    <row r="1779">
      <c r="A1779" s="53" t="n">
        <v>45606</v>
      </c>
      <c r="B1779" t="inlineStr">
        <is>
          <t>2024-11-10</t>
        </is>
      </c>
      <c r="C1779" s="45" t="n">
        <v>90.9046</v>
      </c>
      <c r="D1779" t="inlineStr">
        <is>
          <t>€/MWh</t>
        </is>
      </c>
      <c r="E1779" s="54" t="n">
        <v>0.090905</v>
      </c>
      <c r="F1779" s="54" t="n"/>
      <c r="G1779" t="inlineStr">
        <is>
          <t>no aplica (precio mayorista)</t>
        </is>
      </c>
      <c r="J1779" t="inlineStr">
        <is>
          <t>2024-11-09</t>
        </is>
      </c>
      <c r="K1779" t="inlineStr">
        <is>
          <t>marginalpdbc_20241110.1</t>
        </is>
      </c>
      <c r="L1779" t="inlineStr">
        <is>
          <t>24 periodos; mín 48.40, máx 128.02 €/MWh</t>
        </is>
      </c>
    </row>
    <row r="1780">
      <c r="A1780" s="53" t="n">
        <v>45607</v>
      </c>
      <c r="B1780" t="inlineStr">
        <is>
          <t>2024-11-11</t>
        </is>
      </c>
      <c r="C1780" s="45" t="n">
        <v>77.9087</v>
      </c>
      <c r="D1780" t="inlineStr">
        <is>
          <t>€/MWh</t>
        </is>
      </c>
      <c r="E1780" s="54" t="n">
        <v>0.07790900000000001</v>
      </c>
      <c r="F1780" s="54" t="n"/>
      <c r="G1780" t="inlineStr">
        <is>
          <t>no aplica (precio mayorista)</t>
        </is>
      </c>
      <c r="J1780" t="inlineStr">
        <is>
          <t>2024-11-10</t>
        </is>
      </c>
      <c r="K1780" t="inlineStr">
        <is>
          <t>marginalpdbc_20241111.1</t>
        </is>
      </c>
      <c r="L1780" t="inlineStr">
        <is>
          <t>24 periodos; mín 5.00, máx 116.86 €/MWh</t>
        </is>
      </c>
    </row>
    <row r="1781">
      <c r="A1781" s="53" t="n">
        <v>45608</v>
      </c>
      <c r="B1781" t="inlineStr">
        <is>
          <t>2024-11-12</t>
        </is>
      </c>
      <c r="C1781" s="45" t="n">
        <v>63.7038</v>
      </c>
      <c r="D1781" t="inlineStr">
        <is>
          <t>€/MWh</t>
        </is>
      </c>
      <c r="E1781" s="54" t="n">
        <v>0.063704</v>
      </c>
      <c r="F1781" s="54" t="n"/>
      <c r="G1781" t="inlineStr">
        <is>
          <t>no aplica (precio mayorista)</t>
        </is>
      </c>
      <c r="J1781" t="inlineStr">
        <is>
          <t>2024-11-11</t>
        </is>
      </c>
      <c r="K1781" t="inlineStr">
        <is>
          <t>marginalpdbc_20241112.1</t>
        </is>
      </c>
      <c r="L1781" t="inlineStr">
        <is>
          <t>24 periodos; mín 3.32, máx 128.86 €/MWh</t>
        </is>
      </c>
    </row>
    <row r="1782">
      <c r="A1782" s="53" t="n">
        <v>45609</v>
      </c>
      <c r="B1782" t="inlineStr">
        <is>
          <t>2024-11-13</t>
        </is>
      </c>
      <c r="C1782" s="45" t="n">
        <v>105.6212</v>
      </c>
      <c r="D1782" t="inlineStr">
        <is>
          <t>€/MWh</t>
        </is>
      </c>
      <c r="E1782" s="54" t="n">
        <v>0.105621</v>
      </c>
      <c r="F1782" s="54" t="n"/>
      <c r="G1782" t="inlineStr">
        <is>
          <t>no aplica (precio mayorista)</t>
        </is>
      </c>
      <c r="J1782" t="inlineStr">
        <is>
          <t>2024-11-12</t>
        </is>
      </c>
      <c r="K1782" t="inlineStr">
        <is>
          <t>marginalpdbc_20241113.1</t>
        </is>
      </c>
      <c r="L1782" t="inlineStr">
        <is>
          <t>24 periodos; mín 82.99, máx 133.61 €/MWh</t>
        </is>
      </c>
    </row>
    <row r="1783">
      <c r="A1783" s="53" t="n">
        <v>45610</v>
      </c>
      <c r="B1783" t="inlineStr">
        <is>
          <t>2024-11-14</t>
        </is>
      </c>
      <c r="C1783" s="45" t="n">
        <v>118.6162</v>
      </c>
      <c r="D1783" t="inlineStr">
        <is>
          <t>€/MWh</t>
        </is>
      </c>
      <c r="E1783" s="54" t="n">
        <v>0.118616</v>
      </c>
      <c r="F1783" s="54" t="n"/>
      <c r="G1783" t="inlineStr">
        <is>
          <t>no aplica (precio mayorista)</t>
        </is>
      </c>
      <c r="J1783" t="inlineStr">
        <is>
          <t>2024-11-13</t>
        </is>
      </c>
      <c r="K1783" t="inlineStr">
        <is>
          <t>marginalpdbc_20241114.1</t>
        </is>
      </c>
      <c r="L1783" t="inlineStr">
        <is>
          <t>24 periodos; mín 89.53, máx 151.63 €/MWh</t>
        </is>
      </c>
    </row>
    <row r="1784">
      <c r="A1784" s="53" t="n">
        <v>45611</v>
      </c>
      <c r="B1784" t="inlineStr">
        <is>
          <t>2024-11-15</t>
        </is>
      </c>
      <c r="C1784" s="45" t="n">
        <v>124.5533</v>
      </c>
      <c r="D1784" t="inlineStr">
        <is>
          <t>€/MWh</t>
        </is>
      </c>
      <c r="E1784" s="54" t="n">
        <v>0.124553</v>
      </c>
      <c r="F1784" s="54" t="n"/>
      <c r="G1784" t="inlineStr">
        <is>
          <t>no aplica (precio mayorista)</t>
        </is>
      </c>
      <c r="J1784" t="inlineStr">
        <is>
          <t>2024-11-14</t>
        </is>
      </c>
      <c r="K1784" t="inlineStr">
        <is>
          <t>marginalpdbc_20241115.1</t>
        </is>
      </c>
      <c r="L1784" t="inlineStr">
        <is>
          <t>24 periodos; mín 104.05, máx 147.22 €/MWh</t>
        </is>
      </c>
    </row>
    <row r="1785">
      <c r="A1785" s="53" t="n">
        <v>45612</v>
      </c>
      <c r="B1785" t="inlineStr">
        <is>
          <t>2024-11-16</t>
        </is>
      </c>
      <c r="C1785" s="45" t="n">
        <v>112.1637</v>
      </c>
      <c r="D1785" t="inlineStr">
        <is>
          <t>€/MWh</t>
        </is>
      </c>
      <c r="E1785" s="54" t="n">
        <v>0.112164</v>
      </c>
      <c r="F1785" s="54" t="n"/>
      <c r="G1785" t="inlineStr">
        <is>
          <t>no aplica (precio mayorista)</t>
        </is>
      </c>
      <c r="J1785" t="inlineStr">
        <is>
          <t>2024-11-15</t>
        </is>
      </c>
      <c r="K1785" t="inlineStr">
        <is>
          <t>marginalpdbc_20241116.1</t>
        </is>
      </c>
      <c r="L1785" t="inlineStr">
        <is>
          <t>24 periodos; mín 91.98, máx 139.00 €/MWh</t>
        </is>
      </c>
    </row>
    <row r="1786">
      <c r="A1786" s="53" t="n">
        <v>45613</v>
      </c>
      <c r="B1786" t="inlineStr">
        <is>
          <t>2024-11-17</t>
        </is>
      </c>
      <c r="C1786" s="45" t="n">
        <v>114.0213</v>
      </c>
      <c r="D1786" t="inlineStr">
        <is>
          <t>€/MWh</t>
        </is>
      </c>
      <c r="E1786" s="54" t="n">
        <v>0.114021</v>
      </c>
      <c r="F1786" s="54" t="n"/>
      <c r="G1786" t="inlineStr">
        <is>
          <t>no aplica (precio mayorista)</t>
        </is>
      </c>
      <c r="J1786" t="inlineStr">
        <is>
          <t>2024-11-16</t>
        </is>
      </c>
      <c r="K1786" t="inlineStr">
        <is>
          <t>marginalpdbc_20241117.1</t>
        </is>
      </c>
      <c r="L1786" t="inlineStr">
        <is>
          <t>24 periodos; mín 87.79, máx 154.43 €/MWh</t>
        </is>
      </c>
    </row>
    <row r="1787">
      <c r="A1787" s="53" t="n">
        <v>45614</v>
      </c>
      <c r="B1787" t="inlineStr">
        <is>
          <t>2024-11-18</t>
        </is>
      </c>
      <c r="C1787" s="45" t="n">
        <v>136.3746</v>
      </c>
      <c r="D1787" t="inlineStr">
        <is>
          <t>€/MWh</t>
        </is>
      </c>
      <c r="E1787" s="54" t="n">
        <v>0.136375</v>
      </c>
      <c r="F1787" s="54" t="n"/>
      <c r="G1787" t="inlineStr">
        <is>
          <t>no aplica (precio mayorista)</t>
        </is>
      </c>
      <c r="J1787" t="inlineStr">
        <is>
          <t>2024-11-17</t>
        </is>
      </c>
      <c r="K1787" t="inlineStr">
        <is>
          <t>marginalpdbc_20241118.1</t>
        </is>
      </c>
      <c r="L1787" t="inlineStr">
        <is>
          <t>24 periodos; mín 117.27, máx 168.20 €/MWh</t>
        </is>
      </c>
    </row>
    <row r="1788">
      <c r="A1788" s="53" t="n">
        <v>45615</v>
      </c>
      <c r="B1788" t="inlineStr">
        <is>
          <t>2024-11-19</t>
        </is>
      </c>
      <c r="C1788" s="45" t="n">
        <v>133.4904</v>
      </c>
      <c r="D1788" t="inlineStr">
        <is>
          <t>€/MWh</t>
        </is>
      </c>
      <c r="E1788" s="54" t="n">
        <v>0.13349</v>
      </c>
      <c r="F1788" s="54" t="n"/>
      <c r="G1788" t="inlineStr">
        <is>
          <t>no aplica (precio mayorista)</t>
        </is>
      </c>
      <c r="J1788" t="inlineStr">
        <is>
          <t>2024-11-18</t>
        </is>
      </c>
      <c r="K1788" t="inlineStr">
        <is>
          <t>marginalpdbc_20241119.1</t>
        </is>
      </c>
      <c r="L1788" t="inlineStr">
        <is>
          <t>24 periodos; mín 96.63, máx 147.48 €/MWh</t>
        </is>
      </c>
    </row>
    <row r="1789">
      <c r="A1789" s="53" t="n">
        <v>45616</v>
      </c>
      <c r="B1789" t="inlineStr">
        <is>
          <t>2024-11-20</t>
        </is>
      </c>
      <c r="C1789" s="45" t="n">
        <v>95.7854</v>
      </c>
      <c r="D1789" t="inlineStr">
        <is>
          <t>€/MWh</t>
        </is>
      </c>
      <c r="E1789" s="54" t="n">
        <v>0.095785</v>
      </c>
      <c r="F1789" s="54" t="n"/>
      <c r="G1789" t="inlineStr">
        <is>
          <t>no aplica (precio mayorista)</t>
        </is>
      </c>
      <c r="J1789" t="inlineStr">
        <is>
          <t>2024-11-19</t>
        </is>
      </c>
      <c r="K1789" t="inlineStr">
        <is>
          <t>marginalpdbc_20241120.1</t>
        </is>
      </c>
      <c r="L1789" t="inlineStr">
        <is>
          <t>24 periodos; mín 29.12, máx 143.18 €/MWh</t>
        </is>
      </c>
    </row>
    <row r="1790">
      <c r="A1790" s="53" t="n">
        <v>45617</v>
      </c>
      <c r="B1790" t="inlineStr">
        <is>
          <t>2024-11-21</t>
        </is>
      </c>
      <c r="C1790" s="45" t="n">
        <v>77.91500000000001</v>
      </c>
      <c r="D1790" t="inlineStr">
        <is>
          <t>€/MWh</t>
        </is>
      </c>
      <c r="E1790" s="54" t="n">
        <v>0.077915</v>
      </c>
      <c r="F1790" s="54" t="n"/>
      <c r="G1790" t="inlineStr">
        <is>
          <t>no aplica (precio mayorista)</t>
        </is>
      </c>
      <c r="J1790" t="inlineStr">
        <is>
          <t>2024-11-20</t>
        </is>
      </c>
      <c r="K1790" t="inlineStr">
        <is>
          <t>marginalpdbc_20241121.1</t>
        </is>
      </c>
      <c r="L1790" t="inlineStr">
        <is>
          <t>24 periodos; mín 14.00, máx 125.01 €/MWh</t>
        </is>
      </c>
    </row>
    <row r="1791">
      <c r="A1791" s="53" t="n">
        <v>45618</v>
      </c>
      <c r="B1791" t="inlineStr">
        <is>
          <t>2024-11-22</t>
        </is>
      </c>
      <c r="C1791" s="45" t="n">
        <v>119.5158</v>
      </c>
      <c r="D1791" t="inlineStr">
        <is>
          <t>€/MWh</t>
        </is>
      </c>
      <c r="E1791" s="54" t="n">
        <v>0.119516</v>
      </c>
      <c r="F1791" s="54" t="n"/>
      <c r="G1791" t="inlineStr">
        <is>
          <t>no aplica (precio mayorista)</t>
        </is>
      </c>
      <c r="J1791" t="inlineStr">
        <is>
          <t>2024-11-21</t>
        </is>
      </c>
      <c r="K1791" t="inlineStr">
        <is>
          <t>marginalpdbc_20241122.1</t>
        </is>
      </c>
      <c r="L1791" t="inlineStr">
        <is>
          <t>24 periodos; mín 77.13, máx 161.26 €/MWh</t>
        </is>
      </c>
    </row>
    <row r="1792">
      <c r="A1792" s="53" t="n">
        <v>45619</v>
      </c>
      <c r="B1792" t="inlineStr">
        <is>
          <t>2024-11-23</t>
        </is>
      </c>
      <c r="C1792" s="45" t="n">
        <v>78.1854</v>
      </c>
      <c r="D1792" t="inlineStr">
        <is>
          <t>€/MWh</t>
        </is>
      </c>
      <c r="E1792" s="54" t="n">
        <v>0.078185</v>
      </c>
      <c r="F1792" s="54" t="n"/>
      <c r="G1792" t="inlineStr">
        <is>
          <t>no aplica (precio mayorista)</t>
        </is>
      </c>
      <c r="J1792" t="inlineStr">
        <is>
          <t>2024-11-22</t>
        </is>
      </c>
      <c r="K1792" t="inlineStr">
        <is>
          <t>marginalpdbc_20241123.1</t>
        </is>
      </c>
      <c r="L1792" t="inlineStr">
        <is>
          <t>24 periodos; mín 30.52, máx 131.63 €/MWh</t>
        </is>
      </c>
    </row>
    <row r="1793">
      <c r="A1793" s="53" t="n">
        <v>45620</v>
      </c>
      <c r="B1793" t="inlineStr">
        <is>
          <t>2024-11-24</t>
        </is>
      </c>
      <c r="C1793" s="45" t="n">
        <v>10.7104</v>
      </c>
      <c r="D1793" t="inlineStr">
        <is>
          <t>€/MWh</t>
        </is>
      </c>
      <c r="E1793" s="54" t="n">
        <v>0.01071</v>
      </c>
      <c r="F1793" s="54" t="n"/>
      <c r="G1793" t="inlineStr">
        <is>
          <t>no aplica (precio mayorista)</t>
        </is>
      </c>
      <c r="J1793" t="inlineStr">
        <is>
          <t>2024-11-23</t>
        </is>
      </c>
      <c r="K1793" t="inlineStr">
        <is>
          <t>marginalpdbc_20241124.1</t>
        </is>
      </c>
      <c r="L1793" t="inlineStr">
        <is>
          <t>24 periodos; mín 3.32, máx 41.54 €/MWh</t>
        </is>
      </c>
    </row>
    <row r="1794">
      <c r="A1794" s="53" t="n">
        <v>45621</v>
      </c>
      <c r="B1794" t="inlineStr">
        <is>
          <t>2024-11-25</t>
        </is>
      </c>
      <c r="C1794" s="45" t="n">
        <v>81.72790000000001</v>
      </c>
      <c r="D1794" t="inlineStr">
        <is>
          <t>€/MWh</t>
        </is>
      </c>
      <c r="E1794" s="54" t="n">
        <v>0.081728</v>
      </c>
      <c r="F1794" s="54" t="n"/>
      <c r="G1794" t="inlineStr">
        <is>
          <t>no aplica (precio mayorista)</t>
        </is>
      </c>
      <c r="J1794" t="inlineStr">
        <is>
          <t>2024-11-24</t>
        </is>
      </c>
      <c r="K1794" t="inlineStr">
        <is>
          <t>marginalpdbc_20241125.1</t>
        </is>
      </c>
      <c r="L1794" t="inlineStr">
        <is>
          <t>24 periodos; mín 3.32, máx 159.82 €/MWh</t>
        </is>
      </c>
    </row>
    <row r="1795">
      <c r="A1795" s="53" t="n">
        <v>45622</v>
      </c>
      <c r="B1795" t="inlineStr">
        <is>
          <t>2024-11-26</t>
        </is>
      </c>
      <c r="C1795" s="45" t="n">
        <v>143.2454</v>
      </c>
      <c r="D1795" t="inlineStr">
        <is>
          <t>€/MWh</t>
        </is>
      </c>
      <c r="E1795" s="54" t="n">
        <v>0.143245</v>
      </c>
      <c r="F1795" s="54" t="n"/>
      <c r="G1795" t="inlineStr">
        <is>
          <t>no aplica (precio mayorista)</t>
        </is>
      </c>
      <c r="J1795" t="inlineStr">
        <is>
          <t>2024-11-25</t>
        </is>
      </c>
      <c r="K1795" t="inlineStr">
        <is>
          <t>marginalpdbc_20241126.1</t>
        </is>
      </c>
      <c r="L1795" t="inlineStr">
        <is>
          <t>24 periodos; mín 130.38, máx 162.07 €/MWh</t>
        </is>
      </c>
    </row>
    <row r="1796">
      <c r="A1796" s="53" t="n">
        <v>45623</v>
      </c>
      <c r="B1796" t="inlineStr">
        <is>
          <t>2024-11-27</t>
        </is>
      </c>
      <c r="C1796" s="45" t="n">
        <v>136.4537</v>
      </c>
      <c r="D1796" t="inlineStr">
        <is>
          <t>€/MWh</t>
        </is>
      </c>
      <c r="E1796" s="54" t="n">
        <v>0.136454</v>
      </c>
      <c r="F1796" s="54" t="n"/>
      <c r="G1796" t="inlineStr">
        <is>
          <t>no aplica (precio mayorista)</t>
        </is>
      </c>
      <c r="J1796" t="inlineStr">
        <is>
          <t>2024-11-26</t>
        </is>
      </c>
      <c r="K1796" t="inlineStr">
        <is>
          <t>marginalpdbc_20241127.1</t>
        </is>
      </c>
      <c r="L1796" t="inlineStr">
        <is>
          <t>24 periodos; mín 105.44, máx 165.08 €/MWh</t>
        </is>
      </c>
    </row>
    <row r="1797">
      <c r="A1797" s="53" t="n">
        <v>45624</v>
      </c>
      <c r="B1797" t="inlineStr">
        <is>
          <t>2024-11-28</t>
        </is>
      </c>
      <c r="C1797" s="45" t="n">
        <v>132.1887</v>
      </c>
      <c r="D1797" t="inlineStr">
        <is>
          <t>€/MWh</t>
        </is>
      </c>
      <c r="E1797" s="54" t="n">
        <v>0.132189</v>
      </c>
      <c r="F1797" s="54" t="n"/>
      <c r="G1797" t="inlineStr">
        <is>
          <t>no aplica (precio mayorista)</t>
        </is>
      </c>
      <c r="J1797" t="inlineStr">
        <is>
          <t>2024-11-27</t>
        </is>
      </c>
      <c r="K1797" t="inlineStr">
        <is>
          <t>marginalpdbc_20241128.1</t>
        </is>
      </c>
      <c r="L1797" t="inlineStr">
        <is>
          <t>24 periodos; mín 103.19, máx 158.24 €/MWh</t>
        </is>
      </c>
    </row>
    <row r="1798">
      <c r="A1798" s="53" t="n">
        <v>45625</v>
      </c>
      <c r="B1798" t="inlineStr">
        <is>
          <t>2024-11-29</t>
        </is>
      </c>
      <c r="C1798" s="45" t="n">
        <v>127.1567</v>
      </c>
      <c r="D1798" t="inlineStr">
        <is>
          <t>€/MWh</t>
        </is>
      </c>
      <c r="E1798" s="54" t="n">
        <v>0.127157</v>
      </c>
      <c r="F1798" s="54" t="n"/>
      <c r="G1798" t="inlineStr">
        <is>
          <t>no aplica (precio mayorista)</t>
        </is>
      </c>
      <c r="J1798" t="inlineStr">
        <is>
          <t>2024-11-28</t>
        </is>
      </c>
      <c r="K1798" t="inlineStr">
        <is>
          <t>marginalpdbc_20241129.1</t>
        </is>
      </c>
      <c r="L1798" t="inlineStr">
        <is>
          <t>24 periodos; mín 102.00, máx 155.95 €/MWh</t>
        </is>
      </c>
    </row>
    <row r="1799">
      <c r="A1799" s="53" t="n">
        <v>45626</v>
      </c>
      <c r="B1799" t="inlineStr">
        <is>
          <t>2024-11-30</t>
        </is>
      </c>
      <c r="C1799" s="45" t="n">
        <v>124.0083</v>
      </c>
      <c r="D1799" t="inlineStr">
        <is>
          <t>€/MWh</t>
        </is>
      </c>
      <c r="E1799" s="54" t="n">
        <v>0.124008</v>
      </c>
      <c r="F1799" s="54" t="n"/>
      <c r="G1799" t="inlineStr">
        <is>
          <t>no aplica (precio mayorista)</t>
        </is>
      </c>
      <c r="J1799" t="inlineStr">
        <is>
          <t>2024-11-29</t>
        </is>
      </c>
      <c r="K1799" t="inlineStr">
        <is>
          <t>marginalpdbc_20241130.1</t>
        </is>
      </c>
      <c r="L1799" t="inlineStr">
        <is>
          <t>24 periodos; mín 88.67, máx 142.50 €/MWh</t>
        </is>
      </c>
    </row>
    <row r="1800">
      <c r="A1800" s="53" t="n">
        <v>45627</v>
      </c>
      <c r="B1800" t="inlineStr">
        <is>
          <t>2024-12-01</t>
        </is>
      </c>
      <c r="C1800" s="45" t="n">
        <v>126.5154</v>
      </c>
      <c r="D1800" t="inlineStr">
        <is>
          <t>€/MWh</t>
        </is>
      </c>
      <c r="E1800" s="54" t="n">
        <v>0.126515</v>
      </c>
      <c r="F1800" s="54" t="n"/>
      <c r="G1800" t="inlineStr">
        <is>
          <t>no aplica (precio mayorista)</t>
        </is>
      </c>
      <c r="J1800" t="inlineStr">
        <is>
          <t>2024-11-30</t>
        </is>
      </c>
      <c r="K1800" t="inlineStr">
        <is>
          <t>marginalpdbc_20241201.1</t>
        </is>
      </c>
      <c r="L1800" t="inlineStr">
        <is>
          <t>24 periodos; mín 105.53, máx 175.20 €/MWh</t>
        </is>
      </c>
    </row>
    <row r="1801">
      <c r="A1801" s="53" t="n">
        <v>45628</v>
      </c>
      <c r="B1801" t="inlineStr">
        <is>
          <t>2024-12-02</t>
        </is>
      </c>
      <c r="C1801" s="45" t="n">
        <v>143.2113</v>
      </c>
      <c r="D1801" t="inlineStr">
        <is>
          <t>€/MWh</t>
        </is>
      </c>
      <c r="E1801" s="54" t="n">
        <v>0.143211</v>
      </c>
      <c r="F1801" s="54" t="n"/>
      <c r="G1801" t="inlineStr">
        <is>
          <t>no aplica (precio mayorista)</t>
        </is>
      </c>
      <c r="J1801" t="inlineStr">
        <is>
          <t>2024-12-01</t>
        </is>
      </c>
      <c r="K1801" t="inlineStr">
        <is>
          <t>marginalpdbc_20241202.1</t>
        </is>
      </c>
      <c r="L1801" t="inlineStr">
        <is>
          <t>24 periodos; mín 126.56, máx 157.20 €/MWh</t>
        </is>
      </c>
    </row>
    <row r="1802">
      <c r="A1802" s="53" t="n">
        <v>45629</v>
      </c>
      <c r="B1802" t="inlineStr">
        <is>
          <t>2024-12-03</t>
        </is>
      </c>
      <c r="C1802" s="45" t="n">
        <v>140.4275</v>
      </c>
      <c r="D1802" t="inlineStr">
        <is>
          <t>€/MWh</t>
        </is>
      </c>
      <c r="E1802" s="54" t="n">
        <v>0.140428</v>
      </c>
      <c r="F1802" s="54" t="n"/>
      <c r="G1802" t="inlineStr">
        <is>
          <t>no aplica (precio mayorista)</t>
        </is>
      </c>
      <c r="J1802" t="inlineStr">
        <is>
          <t>2024-12-02</t>
        </is>
      </c>
      <c r="K1802" t="inlineStr">
        <is>
          <t>marginalpdbc_20241203.1</t>
        </is>
      </c>
      <c r="L1802" t="inlineStr">
        <is>
          <t>24 periodos; mín 121.18, máx 160.02 €/MWh</t>
        </is>
      </c>
    </row>
    <row r="1803">
      <c r="A1803" s="53" t="n">
        <v>45630</v>
      </c>
      <c r="B1803" t="inlineStr">
        <is>
          <t>2024-12-04</t>
        </is>
      </c>
      <c r="C1803" s="45" t="n">
        <v>133.3663</v>
      </c>
      <c r="D1803" t="inlineStr">
        <is>
          <t>€/MWh</t>
        </is>
      </c>
      <c r="E1803" s="54" t="n">
        <v>0.133366</v>
      </c>
      <c r="F1803" s="54" t="n"/>
      <c r="G1803" t="inlineStr">
        <is>
          <t>no aplica (precio mayorista)</t>
        </is>
      </c>
      <c r="J1803" t="inlineStr">
        <is>
          <t>2024-12-03</t>
        </is>
      </c>
      <c r="K1803" t="inlineStr">
        <is>
          <t>marginalpdbc_20241204.1</t>
        </is>
      </c>
      <c r="L1803" t="inlineStr">
        <is>
          <t>24 periodos; mín 106.98, máx 174.99 €/MWh</t>
        </is>
      </c>
    </row>
    <row r="1804">
      <c r="A1804" s="53" t="n">
        <v>45631</v>
      </c>
      <c r="B1804" t="inlineStr">
        <is>
          <t>2024-12-05</t>
        </is>
      </c>
      <c r="C1804" s="45" t="n">
        <v>135.2617</v>
      </c>
      <c r="D1804" t="inlineStr">
        <is>
          <t>€/MWh</t>
        </is>
      </c>
      <c r="E1804" s="54" t="n">
        <v>0.135262</v>
      </c>
      <c r="F1804" s="54" t="n"/>
      <c r="G1804" t="inlineStr">
        <is>
          <t>no aplica (precio mayorista)</t>
        </is>
      </c>
      <c r="J1804" t="inlineStr">
        <is>
          <t>2024-12-04</t>
        </is>
      </c>
      <c r="K1804" t="inlineStr">
        <is>
          <t>marginalpdbc_20241205.1</t>
        </is>
      </c>
      <c r="L1804" t="inlineStr">
        <is>
          <t>24 periodos; mín 107.56, máx 156.22 €/MWh</t>
        </is>
      </c>
    </row>
    <row r="1805">
      <c r="A1805" s="53" t="n">
        <v>45632</v>
      </c>
      <c r="B1805" t="inlineStr">
        <is>
          <t>2024-12-06</t>
        </is>
      </c>
      <c r="C1805" s="45" t="n">
        <v>117.5871</v>
      </c>
      <c r="D1805" t="inlineStr">
        <is>
          <t>€/MWh</t>
        </is>
      </c>
      <c r="E1805" s="54" t="n">
        <v>0.117587</v>
      </c>
      <c r="F1805" s="54" t="n"/>
      <c r="G1805" t="inlineStr">
        <is>
          <t>no aplica (precio mayorista)</t>
        </is>
      </c>
      <c r="J1805" t="inlineStr">
        <is>
          <t>2024-12-05</t>
        </is>
      </c>
      <c r="K1805" t="inlineStr">
        <is>
          <t>marginalpdbc_20241206.1</t>
        </is>
      </c>
      <c r="L1805" t="inlineStr">
        <is>
          <t>24 periodos; mín 91.21, máx 146.85 €/MWh</t>
        </is>
      </c>
    </row>
    <row r="1806">
      <c r="A1806" s="53" t="n">
        <v>45633</v>
      </c>
      <c r="B1806" t="inlineStr">
        <is>
          <t>2024-12-07</t>
        </is>
      </c>
      <c r="C1806" s="45" t="n">
        <v>36.6683</v>
      </c>
      <c r="D1806" t="inlineStr">
        <is>
          <t>€/MWh</t>
        </is>
      </c>
      <c r="E1806" s="54" t="n">
        <v>0.036668</v>
      </c>
      <c r="F1806" s="54" t="n"/>
      <c r="G1806" t="inlineStr">
        <is>
          <t>no aplica (precio mayorista)</t>
        </is>
      </c>
      <c r="J1806" t="inlineStr">
        <is>
          <t>2024-12-06</t>
        </is>
      </c>
      <c r="K1806" t="inlineStr">
        <is>
          <t>marginalpdbc_20241207.1</t>
        </is>
      </c>
      <c r="L1806" t="inlineStr">
        <is>
          <t>24 periodos; mín 2.00, máx 73.45 €/MWh</t>
        </is>
      </c>
    </row>
    <row r="1807">
      <c r="A1807" s="53" t="n">
        <v>45634</v>
      </c>
      <c r="B1807" t="inlineStr">
        <is>
          <t>2024-12-08</t>
        </is>
      </c>
      <c r="C1807" s="45" t="n">
        <v>22.1883</v>
      </c>
      <c r="D1807" t="inlineStr">
        <is>
          <t>€/MWh</t>
        </is>
      </c>
      <c r="E1807" s="54" t="n">
        <v>0.022188</v>
      </c>
      <c r="F1807" s="54" t="n"/>
      <c r="G1807" t="inlineStr">
        <is>
          <t>no aplica (precio mayorista)</t>
        </is>
      </c>
      <c r="J1807" t="inlineStr">
        <is>
          <t>2024-12-07</t>
        </is>
      </c>
      <c r="K1807" t="inlineStr">
        <is>
          <t>marginalpdbc_20241208.1</t>
        </is>
      </c>
      <c r="L1807" t="inlineStr">
        <is>
          <t>24 periodos; mín 0.44, máx 74.97 €/MWh</t>
        </is>
      </c>
    </row>
    <row r="1808">
      <c r="A1808" s="53" t="n">
        <v>45635</v>
      </c>
      <c r="B1808" t="inlineStr">
        <is>
          <t>2024-12-09</t>
        </is>
      </c>
      <c r="C1808" s="45" t="n">
        <v>67.1887</v>
      </c>
      <c r="D1808" t="inlineStr">
        <is>
          <t>€/MWh</t>
        </is>
      </c>
      <c r="E1808" s="54" t="n">
        <v>0.067189</v>
      </c>
      <c r="F1808" s="54" t="n"/>
      <c r="G1808" t="inlineStr">
        <is>
          <t>no aplica (precio mayorista)</t>
        </is>
      </c>
      <c r="J1808" t="inlineStr">
        <is>
          <t>2024-12-08</t>
        </is>
      </c>
      <c r="K1808" t="inlineStr">
        <is>
          <t>marginalpdbc_20241209.1</t>
        </is>
      </c>
      <c r="L1808" t="inlineStr">
        <is>
          <t>24 periodos; mín 3.85, máx 137.21 €/MWh</t>
        </is>
      </c>
    </row>
    <row r="1809">
      <c r="A1809" s="53" t="n">
        <v>45636</v>
      </c>
      <c r="B1809" t="inlineStr">
        <is>
          <t>2024-12-10</t>
        </is>
      </c>
      <c r="C1809" s="45" t="n">
        <v>134.2242</v>
      </c>
      <c r="D1809" t="inlineStr">
        <is>
          <t>€/MWh</t>
        </is>
      </c>
      <c r="E1809" s="54" t="n">
        <v>0.134224</v>
      </c>
      <c r="F1809" s="54" t="n"/>
      <c r="G1809" t="inlineStr">
        <is>
          <t>no aplica (precio mayorista)</t>
        </is>
      </c>
      <c r="J1809" t="inlineStr">
        <is>
          <t>2024-12-09</t>
        </is>
      </c>
      <c r="K1809" t="inlineStr">
        <is>
          <t>marginalpdbc_20241210.1</t>
        </is>
      </c>
      <c r="L1809" t="inlineStr">
        <is>
          <t>24 periodos; mín 100.70, máx 181.00 €/MWh</t>
        </is>
      </c>
    </row>
    <row r="1810">
      <c r="A1810" s="53" t="n">
        <v>45637</v>
      </c>
      <c r="B1810" t="inlineStr">
        <is>
          <t>2024-12-11</t>
        </is>
      </c>
      <c r="C1810" s="45" t="n">
        <v>139.0925</v>
      </c>
      <c r="D1810" t="inlineStr">
        <is>
          <t>€/MWh</t>
        </is>
      </c>
      <c r="E1810" s="54" t="n">
        <v>0.139093</v>
      </c>
      <c r="F1810" s="54" t="n"/>
      <c r="G1810" t="inlineStr">
        <is>
          <t>no aplica (precio mayorista)</t>
        </is>
      </c>
      <c r="J1810" t="inlineStr">
        <is>
          <t>2024-12-10</t>
        </is>
      </c>
      <c r="K1810" t="inlineStr">
        <is>
          <t>marginalpdbc_20241211.1</t>
        </is>
      </c>
      <c r="L1810" t="inlineStr">
        <is>
          <t>24 periodos; mín 113.05, máx 179.07 €/MWh</t>
        </is>
      </c>
    </row>
    <row r="1811">
      <c r="A1811" s="53" t="n">
        <v>45638</v>
      </c>
      <c r="B1811" t="inlineStr">
        <is>
          <t>2024-12-12</t>
        </is>
      </c>
      <c r="C1811" s="45" t="n">
        <v>146.6729</v>
      </c>
      <c r="D1811" t="inlineStr">
        <is>
          <t>€/MWh</t>
        </is>
      </c>
      <c r="E1811" s="54" t="n">
        <v>0.146673</v>
      </c>
      <c r="F1811" s="54" t="n"/>
      <c r="G1811" t="inlineStr">
        <is>
          <t>no aplica (precio mayorista)</t>
        </is>
      </c>
      <c r="J1811" t="inlineStr">
        <is>
          <t>2024-12-11</t>
        </is>
      </c>
      <c r="K1811" t="inlineStr">
        <is>
          <t>marginalpdbc_20241212.1</t>
        </is>
      </c>
      <c r="L1811" t="inlineStr">
        <is>
          <t>24 periodos; mín 112.60, máx 177.38 €/MWh</t>
        </is>
      </c>
    </row>
    <row r="1812">
      <c r="A1812" s="53" t="n">
        <v>45639</v>
      </c>
      <c r="B1812" t="inlineStr">
        <is>
          <t>2024-12-13</t>
        </is>
      </c>
      <c r="C1812" s="45" t="n">
        <v>143.7275</v>
      </c>
      <c r="D1812" t="inlineStr">
        <is>
          <t>€/MWh</t>
        </is>
      </c>
      <c r="E1812" s="54" t="n">
        <v>0.143727</v>
      </c>
      <c r="F1812" s="54" t="n"/>
      <c r="G1812" t="inlineStr">
        <is>
          <t>no aplica (precio mayorista)</t>
        </is>
      </c>
      <c r="J1812" t="inlineStr">
        <is>
          <t>2024-12-12</t>
        </is>
      </c>
      <c r="K1812" t="inlineStr">
        <is>
          <t>marginalpdbc_20241213.1</t>
        </is>
      </c>
      <c r="L1812" t="inlineStr">
        <is>
          <t>24 periodos; mín 114.95, máx 172.35 €/MWh</t>
        </is>
      </c>
    </row>
    <row r="1813">
      <c r="A1813" s="53" t="n">
        <v>45640</v>
      </c>
      <c r="B1813" t="inlineStr">
        <is>
          <t>2024-12-14</t>
        </is>
      </c>
      <c r="C1813" s="45" t="n">
        <v>128.845</v>
      </c>
      <c r="D1813" t="inlineStr">
        <is>
          <t>€/MWh</t>
        </is>
      </c>
      <c r="E1813" s="54" t="n">
        <v>0.128845</v>
      </c>
      <c r="F1813" s="54" t="n"/>
      <c r="G1813" t="inlineStr">
        <is>
          <t>no aplica (precio mayorista)</t>
        </is>
      </c>
      <c r="J1813" t="inlineStr">
        <is>
          <t>2024-12-13</t>
        </is>
      </c>
      <c r="K1813" t="inlineStr">
        <is>
          <t>marginalpdbc_20241214.1</t>
        </is>
      </c>
      <c r="L1813" t="inlineStr">
        <is>
          <t>24 periodos; mín 104.07, máx 151.32 €/MWh</t>
        </is>
      </c>
    </row>
    <row r="1814">
      <c r="A1814" s="53" t="n">
        <v>45641</v>
      </c>
      <c r="B1814" t="inlineStr">
        <is>
          <t>2024-12-15</t>
        </is>
      </c>
      <c r="C1814" s="45" t="n">
        <v>102.9946</v>
      </c>
      <c r="D1814" t="inlineStr">
        <is>
          <t>€/MWh</t>
        </is>
      </c>
      <c r="E1814" s="54" t="n">
        <v>0.102995</v>
      </c>
      <c r="F1814" s="54" t="n"/>
      <c r="G1814" t="inlineStr">
        <is>
          <t>no aplica (precio mayorista)</t>
        </is>
      </c>
      <c r="J1814" t="inlineStr">
        <is>
          <t>2024-12-14</t>
        </is>
      </c>
      <c r="K1814" t="inlineStr">
        <is>
          <t>marginalpdbc_20241215.1</t>
        </is>
      </c>
      <c r="L1814" t="inlineStr">
        <is>
          <t>24 periodos; mín 70.47, máx 138.84 €/MWh</t>
        </is>
      </c>
    </row>
    <row r="1815">
      <c r="A1815" s="53" t="n">
        <v>45642</v>
      </c>
      <c r="B1815" t="inlineStr">
        <is>
          <t>2024-12-16</t>
        </is>
      </c>
      <c r="C1815" s="45" t="n">
        <v>120.8617</v>
      </c>
      <c r="D1815" t="inlineStr">
        <is>
          <t>€/MWh</t>
        </is>
      </c>
      <c r="E1815" s="54" t="n">
        <v>0.120862</v>
      </c>
      <c r="F1815" s="54" t="n"/>
      <c r="G1815" t="inlineStr">
        <is>
          <t>no aplica (precio mayorista)</t>
        </is>
      </c>
      <c r="J1815" t="inlineStr">
        <is>
          <t>2024-12-15</t>
        </is>
      </c>
      <c r="K1815" t="inlineStr">
        <is>
          <t>marginalpdbc_20241216.1</t>
        </is>
      </c>
      <c r="L1815" t="inlineStr">
        <is>
          <t>24 periodos; mín 95.19, máx 166.89 €/MWh</t>
        </is>
      </c>
    </row>
    <row r="1816">
      <c r="A1816" s="53" t="n">
        <v>45643</v>
      </c>
      <c r="B1816" t="inlineStr">
        <is>
          <t>2024-12-17</t>
        </is>
      </c>
      <c r="C1816" s="45" t="n">
        <v>121.8542</v>
      </c>
      <c r="D1816" t="inlineStr">
        <is>
          <t>€/MWh</t>
        </is>
      </c>
      <c r="E1816" s="54" t="n">
        <v>0.121854</v>
      </c>
      <c r="F1816" s="54" t="n"/>
      <c r="G1816" t="inlineStr">
        <is>
          <t>no aplica (precio mayorista)</t>
        </is>
      </c>
      <c r="J1816" t="inlineStr">
        <is>
          <t>2024-12-16</t>
        </is>
      </c>
      <c r="K1816" t="inlineStr">
        <is>
          <t>marginalpdbc_20241217.1</t>
        </is>
      </c>
      <c r="L1816" t="inlineStr">
        <is>
          <t>24 periodos; mín 101.24, máx 146.24 €/MWh</t>
        </is>
      </c>
    </row>
    <row r="1817">
      <c r="A1817" s="53" t="n">
        <v>45644</v>
      </c>
      <c r="B1817" t="inlineStr">
        <is>
          <t>2024-12-18</t>
        </is>
      </c>
      <c r="C1817" s="45" t="n">
        <v>113.445</v>
      </c>
      <c r="D1817" t="inlineStr">
        <is>
          <t>€/MWh</t>
        </is>
      </c>
      <c r="E1817" s="54" t="n">
        <v>0.113445</v>
      </c>
      <c r="F1817" s="54" t="n"/>
      <c r="G1817" t="inlineStr">
        <is>
          <t>no aplica (precio mayorista)</t>
        </is>
      </c>
      <c r="J1817" t="inlineStr">
        <is>
          <t>2024-12-17</t>
        </is>
      </c>
      <c r="K1817" t="inlineStr">
        <is>
          <t>marginalpdbc_20241218.1</t>
        </is>
      </c>
      <c r="L1817" t="inlineStr">
        <is>
          <t>24 periodos; mín 90.00, máx 146.54 €/MWh</t>
        </is>
      </c>
    </row>
    <row r="1818">
      <c r="A1818" s="53" t="n">
        <v>45645</v>
      </c>
      <c r="B1818" t="inlineStr">
        <is>
          <t>2024-12-19</t>
        </is>
      </c>
      <c r="C1818" s="45" t="n">
        <v>75.9196</v>
      </c>
      <c r="D1818" t="inlineStr">
        <is>
          <t>€/MWh</t>
        </is>
      </c>
      <c r="E1818" s="54" t="n">
        <v>0.07592</v>
      </c>
      <c r="F1818" s="54" t="n"/>
      <c r="G1818" t="inlineStr">
        <is>
          <t>no aplica (precio mayorista)</t>
        </is>
      </c>
      <c r="J1818" t="inlineStr">
        <is>
          <t>2024-12-18</t>
        </is>
      </c>
      <c r="K1818" t="inlineStr">
        <is>
          <t>marginalpdbc_20241219.1</t>
        </is>
      </c>
      <c r="L1818" t="inlineStr">
        <is>
          <t>24 periodos; mín 5.00, máx 122.78 €/MWh</t>
        </is>
      </c>
    </row>
    <row r="1819">
      <c r="A1819" s="53" t="n">
        <v>45646</v>
      </c>
      <c r="B1819" t="inlineStr">
        <is>
          <t>2024-12-20</t>
        </is>
      </c>
      <c r="C1819" s="45" t="n">
        <v>114.6717</v>
      </c>
      <c r="D1819" t="inlineStr">
        <is>
          <t>€/MWh</t>
        </is>
      </c>
      <c r="E1819" s="54" t="n">
        <v>0.114672</v>
      </c>
      <c r="F1819" s="54" t="n"/>
      <c r="G1819" t="inlineStr">
        <is>
          <t>no aplica (precio mayorista)</t>
        </is>
      </c>
      <c r="J1819" t="inlineStr">
        <is>
          <t>2024-12-19</t>
        </is>
      </c>
      <c r="K1819" t="inlineStr">
        <is>
          <t>marginalpdbc_20241220.1</t>
        </is>
      </c>
      <c r="L1819" t="inlineStr">
        <is>
          <t>24 periodos; mín 85.81, máx 145.39 €/MWh</t>
        </is>
      </c>
    </row>
    <row r="1820">
      <c r="A1820" s="53" t="n">
        <v>45647</v>
      </c>
      <c r="B1820" t="inlineStr">
        <is>
          <t>2024-12-21</t>
        </is>
      </c>
      <c r="C1820" s="45" t="n">
        <v>94.72620000000001</v>
      </c>
      <c r="D1820" t="inlineStr">
        <is>
          <t>€/MWh</t>
        </is>
      </c>
      <c r="E1820" s="54" t="n">
        <v>0.094726</v>
      </c>
      <c r="F1820" s="54" t="n"/>
      <c r="G1820" t="inlineStr">
        <is>
          <t>no aplica (precio mayorista)</t>
        </is>
      </c>
      <c r="J1820" t="inlineStr">
        <is>
          <t>2024-12-20</t>
        </is>
      </c>
      <c r="K1820" t="inlineStr">
        <is>
          <t>marginalpdbc_20241221.1</t>
        </is>
      </c>
      <c r="L1820" t="inlineStr">
        <is>
          <t>24 periodos; mín 35.07, máx 133.48 €/MWh</t>
        </is>
      </c>
    </row>
    <row r="1821">
      <c r="A1821" s="53" t="n">
        <v>45648</v>
      </c>
      <c r="B1821" t="inlineStr">
        <is>
          <t>2024-12-22</t>
        </is>
      </c>
      <c r="C1821" s="45" t="n">
        <v>53.9288</v>
      </c>
      <c r="D1821" t="inlineStr">
        <is>
          <t>€/MWh</t>
        </is>
      </c>
      <c r="E1821" s="54" t="n">
        <v>0.053929</v>
      </c>
      <c r="F1821" s="54" t="n"/>
      <c r="G1821" t="inlineStr">
        <is>
          <t>no aplica (precio mayorista)</t>
        </is>
      </c>
      <c r="J1821" t="inlineStr">
        <is>
          <t>2024-12-21</t>
        </is>
      </c>
      <c r="K1821" t="inlineStr">
        <is>
          <t>marginalpdbc_20241222.1</t>
        </is>
      </c>
      <c r="L1821" t="inlineStr">
        <is>
          <t>24 periodos; mín 5.00, máx 100.50 €/MWh</t>
        </is>
      </c>
    </row>
    <row r="1822">
      <c r="A1822" s="53" t="n">
        <v>45649</v>
      </c>
      <c r="B1822" t="inlineStr">
        <is>
          <t>2024-12-23</t>
        </is>
      </c>
      <c r="C1822" s="45" t="n">
        <v>46.5721</v>
      </c>
      <c r="D1822" t="inlineStr">
        <is>
          <t>€/MWh</t>
        </is>
      </c>
      <c r="E1822" s="54" t="n">
        <v>0.046572</v>
      </c>
      <c r="F1822" s="54" t="n"/>
      <c r="G1822" t="inlineStr">
        <is>
          <t>no aplica (precio mayorista)</t>
        </is>
      </c>
      <c r="J1822" t="inlineStr">
        <is>
          <t>2024-12-22</t>
        </is>
      </c>
      <c r="K1822" t="inlineStr">
        <is>
          <t>marginalpdbc_20241223.1</t>
        </is>
      </c>
      <c r="L1822" t="inlineStr">
        <is>
          <t>24 periodos; mín 3.32, máx 124.89 €/MWh</t>
        </is>
      </c>
    </row>
    <row r="1823">
      <c r="A1823" s="53" t="n">
        <v>45650</v>
      </c>
      <c r="B1823" t="inlineStr">
        <is>
          <t>2024-12-24</t>
        </is>
      </c>
      <c r="C1823" s="45" t="n">
        <v>73.8546</v>
      </c>
      <c r="D1823" t="inlineStr">
        <is>
          <t>€/MWh</t>
        </is>
      </c>
      <c r="E1823" s="54" t="n">
        <v>0.073855</v>
      </c>
      <c r="F1823" s="54" t="n"/>
      <c r="G1823" t="inlineStr">
        <is>
          <t>no aplica (precio mayorista)</t>
        </is>
      </c>
      <c r="J1823" t="inlineStr">
        <is>
          <t>2024-12-23</t>
        </is>
      </c>
      <c r="K1823" t="inlineStr">
        <is>
          <t>marginalpdbc_20241224.1</t>
        </is>
      </c>
      <c r="L1823" t="inlineStr">
        <is>
          <t>24 periodos; mín 35.00, máx 112.21 €/MWh</t>
        </is>
      </c>
    </row>
    <row r="1824">
      <c r="A1824" s="53" t="n">
        <v>45651</v>
      </c>
      <c r="B1824" t="inlineStr">
        <is>
          <t>2024-12-25</t>
        </is>
      </c>
      <c r="C1824" s="45" t="n">
        <v>100.9433</v>
      </c>
      <c r="D1824" t="inlineStr">
        <is>
          <t>€/MWh</t>
        </is>
      </c>
      <c r="E1824" s="54" t="n">
        <v>0.100943</v>
      </c>
      <c r="F1824" s="54" t="n"/>
      <c r="G1824" t="inlineStr">
        <is>
          <t>no aplica (precio mayorista)</t>
        </is>
      </c>
      <c r="J1824" t="inlineStr">
        <is>
          <t>2024-12-24</t>
        </is>
      </c>
      <c r="K1824" t="inlineStr">
        <is>
          <t>marginalpdbc_20241225.1</t>
        </is>
      </c>
      <c r="L1824" t="inlineStr">
        <is>
          <t>24 periodos; mín 75.99, máx 141.08 €/MWh</t>
        </is>
      </c>
    </row>
    <row r="1825">
      <c r="A1825" s="53" t="n">
        <v>45652</v>
      </c>
      <c r="B1825" t="inlineStr">
        <is>
          <t>2024-12-26</t>
        </is>
      </c>
      <c r="C1825" s="45" t="n">
        <v>133.9446</v>
      </c>
      <c r="D1825" t="inlineStr">
        <is>
          <t>€/MWh</t>
        </is>
      </c>
      <c r="E1825" s="54" t="n">
        <v>0.133945</v>
      </c>
      <c r="F1825" s="54" t="n"/>
      <c r="G1825" t="inlineStr">
        <is>
          <t>no aplica (precio mayorista)</t>
        </is>
      </c>
      <c r="J1825" t="inlineStr">
        <is>
          <t>2024-12-25</t>
        </is>
      </c>
      <c r="K1825" t="inlineStr">
        <is>
          <t>marginalpdbc_20241226.1</t>
        </is>
      </c>
      <c r="L1825" t="inlineStr">
        <is>
          <t>24 periodos; mín 105.30, máx 166.80 €/MWh</t>
        </is>
      </c>
    </row>
    <row r="1826">
      <c r="A1826" s="53" t="n">
        <v>45653</v>
      </c>
      <c r="B1826" t="inlineStr">
        <is>
          <t>2024-12-27</t>
        </is>
      </c>
      <c r="C1826" s="45" t="n">
        <v>133.6042</v>
      </c>
      <c r="D1826" t="inlineStr">
        <is>
          <t>€/MWh</t>
        </is>
      </c>
      <c r="E1826" s="54" t="n">
        <v>0.133604</v>
      </c>
      <c r="F1826" s="54" t="n"/>
      <c r="G1826" t="inlineStr">
        <is>
          <t>no aplica (precio mayorista)</t>
        </is>
      </c>
      <c r="J1826" t="inlineStr">
        <is>
          <t>2024-12-26</t>
        </is>
      </c>
      <c r="K1826" t="inlineStr">
        <is>
          <t>marginalpdbc_20241227.1</t>
        </is>
      </c>
      <c r="L1826" t="inlineStr">
        <is>
          <t>24 periodos; mín 107.81, máx 161.50 €/MWh</t>
        </is>
      </c>
    </row>
    <row r="1827">
      <c r="A1827" s="53" t="n">
        <v>45654</v>
      </c>
      <c r="B1827" t="inlineStr">
        <is>
          <t>2024-12-28</t>
        </is>
      </c>
      <c r="C1827" s="45" t="n">
        <v>133.13</v>
      </c>
      <c r="D1827" t="inlineStr">
        <is>
          <t>€/MWh</t>
        </is>
      </c>
      <c r="E1827" s="54" t="n">
        <v>0.13313</v>
      </c>
      <c r="F1827" s="54" t="n"/>
      <c r="G1827" t="inlineStr">
        <is>
          <t>no aplica (precio mayorista)</t>
        </is>
      </c>
      <c r="J1827" t="inlineStr">
        <is>
          <t>2024-12-27</t>
        </is>
      </c>
      <c r="K1827" t="inlineStr">
        <is>
          <t>marginalpdbc_20241228.1</t>
        </is>
      </c>
      <c r="L1827" t="inlineStr">
        <is>
          <t>24 periodos; mín 108.97, máx 160.78 €/MWh</t>
        </is>
      </c>
    </row>
    <row r="1828">
      <c r="A1828" s="53" t="n">
        <v>45655</v>
      </c>
      <c r="B1828" t="inlineStr">
        <is>
          <t>2024-12-29</t>
        </is>
      </c>
      <c r="C1828" s="45" t="n">
        <v>136.1471</v>
      </c>
      <c r="D1828" t="inlineStr">
        <is>
          <t>€/MWh</t>
        </is>
      </c>
      <c r="E1828" s="54" t="n">
        <v>0.136147</v>
      </c>
      <c r="F1828" s="54" t="n"/>
      <c r="G1828" t="inlineStr">
        <is>
          <t>no aplica (precio mayorista)</t>
        </is>
      </c>
      <c r="J1828" t="inlineStr">
        <is>
          <t>2024-12-28</t>
        </is>
      </c>
      <c r="K1828" t="inlineStr">
        <is>
          <t>marginalpdbc_20241229.1</t>
        </is>
      </c>
      <c r="L1828" t="inlineStr">
        <is>
          <t>24 periodos; mín 108.88, máx 162.00 €/MWh</t>
        </is>
      </c>
    </row>
    <row r="1829">
      <c r="A1829" s="53" t="n">
        <v>45656</v>
      </c>
      <c r="B1829" t="inlineStr">
        <is>
          <t>2024-12-30</t>
        </is>
      </c>
      <c r="C1829" s="45" t="n">
        <v>140.9375</v>
      </c>
      <c r="D1829" t="inlineStr">
        <is>
          <t>€/MWh</t>
        </is>
      </c>
      <c r="E1829" s="54" t="n">
        <v>0.140937</v>
      </c>
      <c r="F1829" s="54" t="n"/>
      <c r="G1829" t="inlineStr">
        <is>
          <t>no aplica (precio mayorista)</t>
        </is>
      </c>
      <c r="J1829" t="inlineStr">
        <is>
          <t>2024-12-29</t>
        </is>
      </c>
      <c r="K1829" t="inlineStr">
        <is>
          <t>marginalpdbc_20241230.1</t>
        </is>
      </c>
      <c r="L1829" t="inlineStr">
        <is>
          <t>24 periodos; mín 116.02, máx 172.72 €/MWh</t>
        </is>
      </c>
    </row>
    <row r="1830">
      <c r="A1830" s="53" t="n">
        <v>45657</v>
      </c>
      <c r="B1830" t="inlineStr">
        <is>
          <t>2024-12-31</t>
        </is>
      </c>
      <c r="C1830" s="45" t="n">
        <v>135.8596</v>
      </c>
      <c r="D1830" t="inlineStr">
        <is>
          <t>€/MWh</t>
        </is>
      </c>
      <c r="E1830" s="54" t="n">
        <v>0.13586</v>
      </c>
      <c r="F1830" s="54" t="n"/>
      <c r="G1830" t="inlineStr">
        <is>
          <t>no aplica (precio mayorista)</t>
        </is>
      </c>
      <c r="J1830" t="inlineStr">
        <is>
          <t>2024-12-30</t>
        </is>
      </c>
      <c r="K1830" t="inlineStr">
        <is>
          <t>marginalpdbc_20241231.1</t>
        </is>
      </c>
      <c r="L1830" t="inlineStr">
        <is>
          <t>24 periodos; mín 111.75, máx 159.44 €/MWh</t>
        </is>
      </c>
    </row>
    <row r="1831">
      <c r="A1831" s="53" t="n">
        <v>45658</v>
      </c>
      <c r="B1831" t="inlineStr">
        <is>
          <t>2025-01-01</t>
        </is>
      </c>
      <c r="C1831" s="45" t="n">
        <v>100.9287</v>
      </c>
      <c r="D1831" t="inlineStr">
        <is>
          <t>€/MWh</t>
        </is>
      </c>
      <c r="E1831" s="54" t="n">
        <v>0.100929</v>
      </c>
      <c r="F1831" s="54" t="n"/>
      <c r="G1831" t="inlineStr">
        <is>
          <t>no aplica (precio mayorista)</t>
        </is>
      </c>
      <c r="J1831" t="inlineStr">
        <is>
          <t>2024-12-31</t>
        </is>
      </c>
      <c r="K1831" t="inlineStr">
        <is>
          <t>marginalpdbc_20250101.1</t>
        </is>
      </c>
      <c r="L1831" t="inlineStr">
        <is>
          <t>24 periodos; mín 10.68, máx 152.99 €/MWh</t>
        </is>
      </c>
    </row>
    <row r="1832">
      <c r="A1832" s="53" t="n">
        <v>45659</v>
      </c>
      <c r="B1832" t="inlineStr">
        <is>
          <t>2025-01-02</t>
        </is>
      </c>
      <c r="C1832" s="45" t="n">
        <v>134.0233</v>
      </c>
      <c r="D1832" t="inlineStr">
        <is>
          <t>€/MWh</t>
        </is>
      </c>
      <c r="E1832" s="54" t="n">
        <v>0.134023</v>
      </c>
      <c r="F1832" s="54" t="n"/>
      <c r="G1832" t="inlineStr">
        <is>
          <t>no aplica (precio mayorista)</t>
        </is>
      </c>
      <c r="J1832" t="inlineStr">
        <is>
          <t>2025-01-01</t>
        </is>
      </c>
      <c r="K1832" t="inlineStr">
        <is>
          <t>marginalpdbc_20250102.1</t>
        </is>
      </c>
      <c r="L1832" t="inlineStr">
        <is>
          <t>24 periodos; mín 99.82, máx 161.10 €/MWh</t>
        </is>
      </c>
    </row>
    <row r="1833">
      <c r="A1833" s="53" t="n">
        <v>45660</v>
      </c>
      <c r="B1833" t="inlineStr">
        <is>
          <t>2025-01-03</t>
        </is>
      </c>
      <c r="C1833" s="45" t="n">
        <v>122.3367</v>
      </c>
      <c r="D1833" t="inlineStr">
        <is>
          <t>€/MWh</t>
        </is>
      </c>
      <c r="E1833" s="54" t="n">
        <v>0.122337</v>
      </c>
      <c r="F1833" s="54" t="n"/>
      <c r="G1833" t="inlineStr">
        <is>
          <t>no aplica (precio mayorista)</t>
        </is>
      </c>
      <c r="J1833" t="inlineStr">
        <is>
          <t>2025-01-02</t>
        </is>
      </c>
      <c r="K1833" t="inlineStr">
        <is>
          <t>marginalpdbc_20250103.1</t>
        </is>
      </c>
      <c r="L1833" t="inlineStr">
        <is>
          <t>24 periodos; mín 88.46, máx 151.25 €/MWh</t>
        </is>
      </c>
    </row>
    <row r="1834">
      <c r="A1834" s="53" t="n">
        <v>45661</v>
      </c>
      <c r="B1834" t="inlineStr">
        <is>
          <t>2025-01-04</t>
        </is>
      </c>
      <c r="C1834" s="45" t="n">
        <v>111.5721</v>
      </c>
      <c r="D1834" t="inlineStr">
        <is>
          <t>€/MWh</t>
        </is>
      </c>
      <c r="E1834" s="54" t="n">
        <v>0.111572</v>
      </c>
      <c r="F1834" s="54" t="n"/>
      <c r="G1834" t="inlineStr">
        <is>
          <t>no aplica (precio mayorista)</t>
        </is>
      </c>
      <c r="J1834" t="inlineStr">
        <is>
          <t>2025-01-03</t>
        </is>
      </c>
      <c r="K1834" t="inlineStr">
        <is>
          <t>marginalpdbc_20250104.1</t>
        </is>
      </c>
      <c r="L1834" t="inlineStr">
        <is>
          <t>24 periodos; mín 82.27, máx 145.00 €/MWh</t>
        </is>
      </c>
    </row>
    <row r="1835">
      <c r="A1835" s="53" t="n">
        <v>45662</v>
      </c>
      <c r="B1835" t="inlineStr">
        <is>
          <t>2025-01-05</t>
        </is>
      </c>
      <c r="C1835" s="45" t="n">
        <v>51.4429</v>
      </c>
      <c r="D1835" t="inlineStr">
        <is>
          <t>€/MWh</t>
        </is>
      </c>
      <c r="E1835" s="54" t="n">
        <v>0.051443</v>
      </c>
      <c r="F1835" s="54" t="n"/>
      <c r="G1835" t="inlineStr">
        <is>
          <t>no aplica (precio mayorista)</t>
        </is>
      </c>
      <c r="J1835" t="inlineStr">
        <is>
          <t>2025-01-04</t>
        </is>
      </c>
      <c r="K1835" t="inlineStr">
        <is>
          <t>marginalpdbc_20250105.1</t>
        </is>
      </c>
      <c r="L1835" t="inlineStr">
        <is>
          <t>24 periodos; mín 28.00, máx 101.77 €/MWh</t>
        </is>
      </c>
    </row>
    <row r="1836">
      <c r="A1836" s="53" t="n">
        <v>45663</v>
      </c>
      <c r="B1836" t="inlineStr">
        <is>
          <t>2025-01-06</t>
        </is>
      </c>
      <c r="C1836" s="45" t="n">
        <v>45.4288</v>
      </c>
      <c r="D1836" t="inlineStr">
        <is>
          <t>€/MWh</t>
        </is>
      </c>
      <c r="E1836" s="54" t="n">
        <v>0.045429</v>
      </c>
      <c r="F1836" s="54" t="n"/>
      <c r="G1836" t="inlineStr">
        <is>
          <t>no aplica (precio mayorista)</t>
        </is>
      </c>
      <c r="J1836" t="inlineStr">
        <is>
          <t>2025-01-05</t>
        </is>
      </c>
      <c r="K1836" t="inlineStr">
        <is>
          <t>marginalpdbc_20250106.1</t>
        </is>
      </c>
      <c r="L1836" t="inlineStr">
        <is>
          <t>24 periodos; mín 3.52, máx 117.78 €/MWh</t>
        </is>
      </c>
    </row>
    <row r="1837">
      <c r="A1837" s="53" t="n">
        <v>45664</v>
      </c>
      <c r="B1837" t="inlineStr">
        <is>
          <t>2025-01-07</t>
        </is>
      </c>
      <c r="C1837" s="45" t="n">
        <v>83.4308</v>
      </c>
      <c r="D1837" t="inlineStr">
        <is>
          <t>€/MWh</t>
        </is>
      </c>
      <c r="E1837" s="54" t="n">
        <v>0.08343100000000001</v>
      </c>
      <c r="F1837" s="54" t="n"/>
      <c r="G1837" t="inlineStr">
        <is>
          <t>no aplica (precio mayorista)</t>
        </is>
      </c>
      <c r="J1837" t="inlineStr">
        <is>
          <t>2025-01-06</t>
        </is>
      </c>
      <c r="K1837" t="inlineStr">
        <is>
          <t>marginalpdbc_20250107.1</t>
        </is>
      </c>
      <c r="L1837" t="inlineStr">
        <is>
          <t>24 periodos; mín 19.20, máx 128.87 €/MWh</t>
        </is>
      </c>
    </row>
    <row r="1838">
      <c r="A1838" s="53" t="n">
        <v>45665</v>
      </c>
      <c r="B1838" t="inlineStr">
        <is>
          <t>2025-01-08</t>
        </is>
      </c>
      <c r="C1838" s="45" t="n">
        <v>98.9188</v>
      </c>
      <c r="D1838" t="inlineStr">
        <is>
          <t>€/MWh</t>
        </is>
      </c>
      <c r="E1838" s="54" t="n">
        <v>0.09891900000000001</v>
      </c>
      <c r="F1838" s="54" t="n"/>
      <c r="G1838" t="inlineStr">
        <is>
          <t>no aplica (precio mayorista)</t>
        </is>
      </c>
      <c r="J1838" t="inlineStr">
        <is>
          <t>2025-01-07</t>
        </is>
      </c>
      <c r="K1838" t="inlineStr">
        <is>
          <t>marginalpdbc_20250108.1</t>
        </is>
      </c>
      <c r="L1838" t="inlineStr">
        <is>
          <t>24 periodos; mín 53.00, máx 135.01 €/MWh</t>
        </is>
      </c>
    </row>
    <row r="1839">
      <c r="A1839" s="53" t="n">
        <v>45666</v>
      </c>
      <c r="B1839" t="inlineStr">
        <is>
          <t>2025-01-09</t>
        </is>
      </c>
      <c r="C1839" s="45" t="n">
        <v>87.4029</v>
      </c>
      <c r="D1839" t="inlineStr">
        <is>
          <t>€/MWh</t>
        </is>
      </c>
      <c r="E1839" s="54" t="n">
        <v>0.08740299999999999</v>
      </c>
      <c r="F1839" s="54" t="n"/>
      <c r="G1839" t="inlineStr">
        <is>
          <t>no aplica (precio mayorista)</t>
        </is>
      </c>
      <c r="J1839" t="inlineStr">
        <is>
          <t>2025-01-08</t>
        </is>
      </c>
      <c r="K1839" t="inlineStr">
        <is>
          <t>marginalpdbc_20250109.1</t>
        </is>
      </c>
      <c r="L1839" t="inlineStr">
        <is>
          <t>24 periodos; mín 13.01, máx 141.27 €/MWh</t>
        </is>
      </c>
    </row>
    <row r="1840">
      <c r="A1840" s="53" t="n">
        <v>45667</v>
      </c>
      <c r="B1840" t="inlineStr">
        <is>
          <t>2025-01-10</t>
        </is>
      </c>
      <c r="C1840" s="45" t="n">
        <v>111.5167</v>
      </c>
      <c r="D1840" t="inlineStr">
        <is>
          <t>€/MWh</t>
        </is>
      </c>
      <c r="E1840" s="54" t="n">
        <v>0.111517</v>
      </c>
      <c r="F1840" s="54" t="n"/>
      <c r="G1840" t="inlineStr">
        <is>
          <t>no aplica (precio mayorista)</t>
        </is>
      </c>
      <c r="J1840" t="inlineStr">
        <is>
          <t>2025-01-09</t>
        </is>
      </c>
      <c r="K1840" t="inlineStr">
        <is>
          <t>marginalpdbc_20250110.1</t>
        </is>
      </c>
      <c r="L1840" t="inlineStr">
        <is>
          <t>24 periodos; mín 69.94, máx 144.28 €/MWh</t>
        </is>
      </c>
    </row>
    <row r="1841">
      <c r="A1841" s="53" t="n">
        <v>45668</v>
      </c>
      <c r="B1841" t="inlineStr">
        <is>
          <t>2025-01-11</t>
        </is>
      </c>
      <c r="C1841" s="45" t="n">
        <v>95.8758</v>
      </c>
      <c r="D1841" t="inlineStr">
        <is>
          <t>€/MWh</t>
        </is>
      </c>
      <c r="E1841" s="54" t="n">
        <v>0.095876</v>
      </c>
      <c r="F1841" s="54" t="n"/>
      <c r="G1841" t="inlineStr">
        <is>
          <t>no aplica (precio mayorista)</t>
        </is>
      </c>
      <c r="J1841" t="inlineStr">
        <is>
          <t>2025-01-10</t>
        </is>
      </c>
      <c r="K1841" t="inlineStr">
        <is>
          <t>marginalpdbc_20250111.1</t>
        </is>
      </c>
      <c r="L1841" t="inlineStr">
        <is>
          <t>24 periodos; mín 60.30, máx 123.55 €/MWh</t>
        </is>
      </c>
    </row>
    <row r="1842">
      <c r="A1842" s="53" t="n">
        <v>45669</v>
      </c>
      <c r="B1842" t="inlineStr">
        <is>
          <t>2025-01-12</t>
        </is>
      </c>
      <c r="C1842" s="45" t="n">
        <v>73.7242</v>
      </c>
      <c r="D1842" t="inlineStr">
        <is>
          <t>€/MWh</t>
        </is>
      </c>
      <c r="E1842" s="54" t="n">
        <v>0.073724</v>
      </c>
      <c r="F1842" s="54" t="n"/>
      <c r="G1842" t="inlineStr">
        <is>
          <t>no aplica (precio mayorista)</t>
        </is>
      </c>
      <c r="J1842" t="inlineStr">
        <is>
          <t>2025-01-11</t>
        </is>
      </c>
      <c r="K1842" t="inlineStr">
        <is>
          <t>marginalpdbc_20250112.1</t>
        </is>
      </c>
      <c r="L1842" t="inlineStr">
        <is>
          <t>24 periodos; mín 2.40, máx 126.80 €/MWh</t>
        </is>
      </c>
    </row>
    <row r="1843">
      <c r="A1843" s="53" t="n">
        <v>45670</v>
      </c>
      <c r="B1843" t="inlineStr">
        <is>
          <t>2025-01-13</t>
        </is>
      </c>
      <c r="C1843" s="45" t="n">
        <v>125.8112</v>
      </c>
      <c r="D1843" t="inlineStr">
        <is>
          <t>€/MWh</t>
        </is>
      </c>
      <c r="E1843" s="54" t="n">
        <v>0.125811</v>
      </c>
      <c r="F1843" s="54" t="n"/>
      <c r="G1843" t="inlineStr">
        <is>
          <t>no aplica (precio mayorista)</t>
        </is>
      </c>
      <c r="J1843" t="inlineStr">
        <is>
          <t>2025-01-12</t>
        </is>
      </c>
      <c r="K1843" t="inlineStr">
        <is>
          <t>marginalpdbc_20250113.1</t>
        </is>
      </c>
      <c r="L1843" t="inlineStr">
        <is>
          <t>24 periodos; mín 100.00, máx 180.00 €/MWh</t>
        </is>
      </c>
    </row>
    <row r="1844">
      <c r="A1844" s="53" t="n">
        <v>45671</v>
      </c>
      <c r="B1844" t="inlineStr">
        <is>
          <t>2025-01-14</t>
        </is>
      </c>
      <c r="C1844" s="45" t="n">
        <v>137.8329</v>
      </c>
      <c r="D1844" t="inlineStr">
        <is>
          <t>€/MWh</t>
        </is>
      </c>
      <c r="E1844" s="54" t="n">
        <v>0.137833</v>
      </c>
      <c r="F1844" s="54" t="n"/>
      <c r="G1844" t="inlineStr">
        <is>
          <t>no aplica (precio mayorista)</t>
        </is>
      </c>
      <c r="J1844" t="inlineStr">
        <is>
          <t>2025-01-13</t>
        </is>
      </c>
      <c r="K1844" t="inlineStr">
        <is>
          <t>marginalpdbc_20250114.1</t>
        </is>
      </c>
      <c r="L1844" t="inlineStr">
        <is>
          <t>24 periodos; mín 111.63, máx 189.54 €/MWh</t>
        </is>
      </c>
    </row>
    <row r="1845">
      <c r="A1845" s="53" t="n">
        <v>45672</v>
      </c>
      <c r="B1845" t="inlineStr">
        <is>
          <t>2025-01-15</t>
        </is>
      </c>
      <c r="C1845" s="45" t="n">
        <v>140.6783</v>
      </c>
      <c r="D1845" t="inlineStr">
        <is>
          <t>€/MWh</t>
        </is>
      </c>
      <c r="E1845" s="54" t="n">
        <v>0.140678</v>
      </c>
      <c r="F1845" s="54" t="n"/>
      <c r="G1845" t="inlineStr">
        <is>
          <t>no aplica (precio mayorista)</t>
        </is>
      </c>
      <c r="J1845" t="inlineStr">
        <is>
          <t>2025-01-14</t>
        </is>
      </c>
      <c r="K1845" t="inlineStr">
        <is>
          <t>marginalpdbc_20250115.1</t>
        </is>
      </c>
      <c r="L1845" t="inlineStr">
        <is>
          <t>24 periodos; mín 115.58, máx 225.00 €/MWh</t>
        </is>
      </c>
    </row>
    <row r="1846">
      <c r="A1846" s="53" t="n">
        <v>45673</v>
      </c>
      <c r="B1846" t="inlineStr">
        <is>
          <t>2025-01-16</t>
        </is>
      </c>
      <c r="C1846" s="45" t="n">
        <v>135.0892</v>
      </c>
      <c r="D1846" t="inlineStr">
        <is>
          <t>€/MWh</t>
        </is>
      </c>
      <c r="E1846" s="54" t="n">
        <v>0.135089</v>
      </c>
      <c r="F1846" s="54" t="n"/>
      <c r="G1846" t="inlineStr">
        <is>
          <t>no aplica (precio mayorista)</t>
        </is>
      </c>
      <c r="J1846" t="inlineStr">
        <is>
          <t>2025-01-15</t>
        </is>
      </c>
      <c r="K1846" t="inlineStr">
        <is>
          <t>marginalpdbc_20250116.1</t>
        </is>
      </c>
      <c r="L1846" t="inlineStr">
        <is>
          <t>24 periodos; mín 108.58, máx 199.94 €/MWh</t>
        </is>
      </c>
    </row>
    <row r="1847">
      <c r="A1847" s="53" t="n">
        <v>45674</v>
      </c>
      <c r="B1847" t="inlineStr">
        <is>
          <t>2025-01-17</t>
        </is>
      </c>
      <c r="C1847" s="45" t="n">
        <v>135.6188</v>
      </c>
      <c r="D1847" t="inlineStr">
        <is>
          <t>€/MWh</t>
        </is>
      </c>
      <c r="E1847" s="54" t="n">
        <v>0.135619</v>
      </c>
      <c r="F1847" s="54" t="n"/>
      <c r="G1847" t="inlineStr">
        <is>
          <t>no aplica (precio mayorista)</t>
        </is>
      </c>
      <c r="J1847" t="inlineStr">
        <is>
          <t>2025-01-16</t>
        </is>
      </c>
      <c r="K1847" t="inlineStr">
        <is>
          <t>marginalpdbc_20250117.1</t>
        </is>
      </c>
      <c r="L1847" t="inlineStr">
        <is>
          <t>24 periodos; mín 106.50, máx 200.00 €/MWh</t>
        </is>
      </c>
    </row>
    <row r="1848">
      <c r="A1848" s="53" t="n">
        <v>45675</v>
      </c>
      <c r="B1848" t="inlineStr">
        <is>
          <t>2025-01-18</t>
        </is>
      </c>
      <c r="C1848" s="45" t="n">
        <v>133.1621</v>
      </c>
      <c r="D1848" t="inlineStr">
        <is>
          <t>€/MWh</t>
        </is>
      </c>
      <c r="E1848" s="54" t="n">
        <v>0.133162</v>
      </c>
      <c r="F1848" s="54" t="n"/>
      <c r="G1848" t="inlineStr">
        <is>
          <t>no aplica (precio mayorista)</t>
        </is>
      </c>
      <c r="J1848" t="inlineStr">
        <is>
          <t>2025-01-17</t>
        </is>
      </c>
      <c r="K1848" t="inlineStr">
        <is>
          <t>marginalpdbc_20250118.1</t>
        </is>
      </c>
      <c r="L1848" t="inlineStr">
        <is>
          <t>24 periodos; mín 110.20, máx 167.85 €/MWh</t>
        </is>
      </c>
    </row>
    <row r="1849">
      <c r="A1849" s="53" t="n">
        <v>45676</v>
      </c>
      <c r="B1849" t="inlineStr">
        <is>
          <t>2025-01-19</t>
        </is>
      </c>
      <c r="C1849" s="45" t="n">
        <v>125.1133</v>
      </c>
      <c r="D1849" t="inlineStr">
        <is>
          <t>€/MWh</t>
        </is>
      </c>
      <c r="E1849" s="54" t="n">
        <v>0.125113</v>
      </c>
      <c r="F1849" s="54" t="n"/>
      <c r="G1849" t="inlineStr">
        <is>
          <t>no aplica (precio mayorista)</t>
        </is>
      </c>
      <c r="J1849" t="inlineStr">
        <is>
          <t>2025-01-18</t>
        </is>
      </c>
      <c r="K1849" t="inlineStr">
        <is>
          <t>marginalpdbc_20250119.1</t>
        </is>
      </c>
      <c r="L1849" t="inlineStr">
        <is>
          <t>24 periodos; mín 102.35, máx 159.68 €/MWh</t>
        </is>
      </c>
    </row>
    <row r="1850">
      <c r="A1850" s="53" t="n">
        <v>45677</v>
      </c>
      <c r="B1850" t="inlineStr">
        <is>
          <t>2025-01-20</t>
        </is>
      </c>
      <c r="C1850" s="45" t="n">
        <v>144.92</v>
      </c>
      <c r="D1850" t="inlineStr">
        <is>
          <t>€/MWh</t>
        </is>
      </c>
      <c r="E1850" s="54" t="n">
        <v>0.14492</v>
      </c>
      <c r="F1850" s="54" t="n"/>
      <c r="G1850" t="inlineStr">
        <is>
          <t>no aplica (precio mayorista)</t>
        </is>
      </c>
      <c r="J1850" t="inlineStr">
        <is>
          <t>2025-01-19</t>
        </is>
      </c>
      <c r="K1850" t="inlineStr">
        <is>
          <t>marginalpdbc_20250120.1</t>
        </is>
      </c>
      <c r="L1850" t="inlineStr">
        <is>
          <t>24 periodos; mín 114.41, máx 170.00 €/MWh</t>
        </is>
      </c>
    </row>
    <row r="1851">
      <c r="A1851" s="53" t="n">
        <v>45678</v>
      </c>
      <c r="B1851" t="inlineStr">
        <is>
          <t>2025-01-21</t>
        </is>
      </c>
      <c r="C1851" s="45" t="n">
        <v>140.6046</v>
      </c>
      <c r="D1851" t="inlineStr">
        <is>
          <t>€/MWh</t>
        </is>
      </c>
      <c r="E1851" s="54" t="n">
        <v>0.140605</v>
      </c>
      <c r="F1851" s="54" t="n"/>
      <c r="G1851" t="inlineStr">
        <is>
          <t>no aplica (precio mayorista)</t>
        </is>
      </c>
      <c r="J1851" t="inlineStr">
        <is>
          <t>2025-01-20</t>
        </is>
      </c>
      <c r="K1851" t="inlineStr">
        <is>
          <t>marginalpdbc_20250121.1</t>
        </is>
      </c>
      <c r="L1851" t="inlineStr">
        <is>
          <t>24 periodos; mín 115.30, máx 164.22 €/MWh</t>
        </is>
      </c>
    </row>
    <row r="1852">
      <c r="A1852" s="53" t="n">
        <v>45679</v>
      </c>
      <c r="B1852" t="inlineStr">
        <is>
          <t>2025-01-22</t>
        </is>
      </c>
      <c r="C1852" s="45" t="n">
        <v>134.9554</v>
      </c>
      <c r="D1852" t="inlineStr">
        <is>
          <t>€/MWh</t>
        </is>
      </c>
      <c r="E1852" s="54" t="n">
        <v>0.134955</v>
      </c>
      <c r="F1852" s="54" t="n"/>
      <c r="G1852" t="inlineStr">
        <is>
          <t>no aplica (precio mayorista)</t>
        </is>
      </c>
      <c r="J1852" t="inlineStr">
        <is>
          <t>2025-01-21</t>
        </is>
      </c>
      <c r="K1852" t="inlineStr">
        <is>
          <t>marginalpdbc_20250122.1</t>
        </is>
      </c>
      <c r="L1852" t="inlineStr">
        <is>
          <t>24 periodos; mín 103.60, máx 167.72 €/MWh</t>
        </is>
      </c>
    </row>
    <row r="1853">
      <c r="A1853" s="53" t="n">
        <v>45680</v>
      </c>
      <c r="B1853" t="inlineStr">
        <is>
          <t>2025-01-23</t>
        </is>
      </c>
      <c r="C1853" s="45" t="n">
        <v>140.5525</v>
      </c>
      <c r="D1853" t="inlineStr">
        <is>
          <t>€/MWh</t>
        </is>
      </c>
      <c r="E1853" s="54" t="n">
        <v>0.140552</v>
      </c>
      <c r="F1853" s="54" t="n"/>
      <c r="G1853" t="inlineStr">
        <is>
          <t>no aplica (precio mayorista)</t>
        </is>
      </c>
      <c r="J1853" t="inlineStr">
        <is>
          <t>2025-01-22</t>
        </is>
      </c>
      <c r="K1853" t="inlineStr">
        <is>
          <t>marginalpdbc_20250123.1</t>
        </is>
      </c>
      <c r="L1853" t="inlineStr">
        <is>
          <t>24 periodos; mín 112.97, máx 196.51 €/MWh</t>
        </is>
      </c>
    </row>
    <row r="1854">
      <c r="A1854" s="53" t="n">
        <v>45681</v>
      </c>
      <c r="B1854" t="inlineStr">
        <is>
          <t>2025-01-24</t>
        </is>
      </c>
      <c r="C1854" s="45" t="n">
        <v>91.7462</v>
      </c>
      <c r="D1854" t="inlineStr">
        <is>
          <t>€/MWh</t>
        </is>
      </c>
      <c r="E1854" s="54" t="n">
        <v>0.09174599999999999</v>
      </c>
      <c r="F1854" s="54" t="n"/>
      <c r="G1854" t="inlineStr">
        <is>
          <t>no aplica (precio mayorista)</t>
        </is>
      </c>
      <c r="J1854" t="inlineStr">
        <is>
          <t>2025-01-23</t>
        </is>
      </c>
      <c r="K1854" t="inlineStr">
        <is>
          <t>marginalpdbc_20250124.1</t>
        </is>
      </c>
      <c r="L1854" t="inlineStr">
        <is>
          <t>24 periodos; mín 75.07, máx 122.00 €/MWh</t>
        </is>
      </c>
    </row>
    <row r="1855">
      <c r="A1855" s="53" t="n">
        <v>45682</v>
      </c>
      <c r="B1855" t="inlineStr">
        <is>
          <t>2025-01-25</t>
        </is>
      </c>
      <c r="C1855" s="45" t="n">
        <v>42.5196</v>
      </c>
      <c r="D1855" t="inlineStr">
        <is>
          <t>€/MWh</t>
        </is>
      </c>
      <c r="E1855" s="54" t="n">
        <v>0.04252</v>
      </c>
      <c r="F1855" s="54" t="n"/>
      <c r="G1855" t="inlineStr">
        <is>
          <t>no aplica (precio mayorista)</t>
        </is>
      </c>
      <c r="J1855" t="inlineStr">
        <is>
          <t>2025-01-24</t>
        </is>
      </c>
      <c r="K1855" t="inlineStr">
        <is>
          <t>marginalpdbc_20250125.1</t>
        </is>
      </c>
      <c r="L1855" t="inlineStr">
        <is>
          <t>24 periodos; mín 3.60, máx 96.37 €/MWh</t>
        </is>
      </c>
    </row>
    <row r="1856">
      <c r="A1856" s="53" t="n">
        <v>45683</v>
      </c>
      <c r="B1856" t="inlineStr">
        <is>
          <t>2025-01-26</t>
        </is>
      </c>
      <c r="C1856" s="45" t="n">
        <v>26.4225</v>
      </c>
      <c r="D1856" t="inlineStr">
        <is>
          <t>€/MWh</t>
        </is>
      </c>
      <c r="E1856" s="54" t="n">
        <v>0.026422</v>
      </c>
      <c r="F1856" s="54" t="n"/>
      <c r="G1856" t="inlineStr">
        <is>
          <t>no aplica (precio mayorista)</t>
        </is>
      </c>
      <c r="J1856" t="inlineStr">
        <is>
          <t>2025-01-25</t>
        </is>
      </c>
      <c r="K1856" t="inlineStr">
        <is>
          <t>marginalpdbc_20250126.1</t>
        </is>
      </c>
      <c r="L1856" t="inlineStr">
        <is>
          <t>24 periodos; mín 6.93, máx 44.38 €/MWh</t>
        </is>
      </c>
    </row>
    <row r="1857">
      <c r="A1857" s="53" t="n">
        <v>45684</v>
      </c>
      <c r="B1857" t="inlineStr">
        <is>
          <t>2025-01-27</t>
        </is>
      </c>
      <c r="C1857" s="45" t="n">
        <v>21.7908</v>
      </c>
      <c r="D1857" t="inlineStr">
        <is>
          <t>€/MWh</t>
        </is>
      </c>
      <c r="E1857" s="54" t="n">
        <v>0.021791</v>
      </c>
      <c r="F1857" s="54" t="n"/>
      <c r="G1857" t="inlineStr">
        <is>
          <t>no aplica (precio mayorista)</t>
        </is>
      </c>
      <c r="J1857" t="inlineStr">
        <is>
          <t>2025-01-26</t>
        </is>
      </c>
      <c r="K1857" t="inlineStr">
        <is>
          <t>marginalpdbc_20250127.1</t>
        </is>
      </c>
      <c r="L1857" t="inlineStr">
        <is>
          <t>24 periodos; mín 0.65, máx 53.37 €/MWh</t>
        </is>
      </c>
    </row>
    <row r="1858">
      <c r="A1858" s="53" t="n">
        <v>45685</v>
      </c>
      <c r="B1858" t="inlineStr">
        <is>
          <t>2025-01-28</t>
        </is>
      </c>
      <c r="C1858" s="45" t="n">
        <v>16.4467</v>
      </c>
      <c r="D1858" t="inlineStr">
        <is>
          <t>€/MWh</t>
        </is>
      </c>
      <c r="E1858" s="54" t="n">
        <v>0.016447</v>
      </c>
      <c r="F1858" s="54" t="n"/>
      <c r="G1858" t="inlineStr">
        <is>
          <t>no aplica (precio mayorista)</t>
        </is>
      </c>
      <c r="J1858" t="inlineStr">
        <is>
          <t>2025-01-27</t>
        </is>
      </c>
      <c r="K1858" t="inlineStr">
        <is>
          <t>marginalpdbc_20250128.1</t>
        </is>
      </c>
      <c r="L1858" t="inlineStr">
        <is>
          <t>24 periodos; mín 0.65, máx 69.50 €/MWh</t>
        </is>
      </c>
    </row>
    <row r="1859">
      <c r="A1859" s="53" t="n">
        <v>45686</v>
      </c>
      <c r="B1859" t="inlineStr">
        <is>
          <t>2025-01-29</t>
        </is>
      </c>
      <c r="C1859" s="45" t="n">
        <v>48.7875</v>
      </c>
      <c r="D1859" t="inlineStr">
        <is>
          <t>€/MWh</t>
        </is>
      </c>
      <c r="E1859" s="54" t="n">
        <v>0.048788</v>
      </c>
      <c r="F1859" s="54" t="n"/>
      <c r="G1859" t="inlineStr">
        <is>
          <t>no aplica (precio mayorista)</t>
        </is>
      </c>
      <c r="J1859" t="inlineStr">
        <is>
          <t>2025-01-28</t>
        </is>
      </c>
      <c r="K1859" t="inlineStr">
        <is>
          <t>marginalpdbc_20250129.1</t>
        </is>
      </c>
      <c r="L1859" t="inlineStr">
        <is>
          <t>24 periodos; mín 3.52, máx 133.85 €/MWh</t>
        </is>
      </c>
    </row>
    <row r="1860">
      <c r="A1860" s="53" t="n">
        <v>45687</v>
      </c>
      <c r="B1860" t="inlineStr">
        <is>
          <t>2025-01-30</t>
        </is>
      </c>
      <c r="C1860" s="45" t="n">
        <v>42.3975</v>
      </c>
      <c r="D1860" t="inlineStr">
        <is>
          <t>€/MWh</t>
        </is>
      </c>
      <c r="E1860" s="54" t="n">
        <v>0.042397</v>
      </c>
      <c r="F1860" s="54" t="n"/>
      <c r="G1860" t="inlineStr">
        <is>
          <t>no aplica (precio mayorista)</t>
        </is>
      </c>
      <c r="J1860" t="inlineStr">
        <is>
          <t>2025-01-29</t>
        </is>
      </c>
      <c r="K1860" t="inlineStr">
        <is>
          <t>marginalpdbc_20250130.1</t>
        </is>
      </c>
      <c r="L1860" t="inlineStr">
        <is>
          <t>24 periodos; mín 0.00, máx 114.00 €/MWh</t>
        </is>
      </c>
    </row>
    <row r="1861">
      <c r="A1861" s="53" t="n">
        <v>45688</v>
      </c>
      <c r="B1861" t="inlineStr">
        <is>
          <t>2025-01-31</t>
        </is>
      </c>
      <c r="C1861" s="45" t="n">
        <v>96.3342</v>
      </c>
      <c r="D1861" t="inlineStr">
        <is>
          <t>€/MWh</t>
        </is>
      </c>
      <c r="E1861" s="54" t="n">
        <v>0.096334</v>
      </c>
      <c r="F1861" s="54" t="n"/>
      <c r="G1861" t="inlineStr">
        <is>
          <t>no aplica (precio mayorista)</t>
        </is>
      </c>
      <c r="J1861" t="inlineStr">
        <is>
          <t>2025-01-30</t>
        </is>
      </c>
      <c r="K1861" t="inlineStr">
        <is>
          <t>marginalpdbc_20250131.1</t>
        </is>
      </c>
      <c r="L1861" t="inlineStr">
        <is>
          <t>24 periodos; mín 39.00, máx 184.48 €/MWh</t>
        </is>
      </c>
    </row>
    <row r="1862">
      <c r="A1862" s="53" t="n">
        <v>45689</v>
      </c>
      <c r="B1862" t="inlineStr">
        <is>
          <t>2025-02-01</t>
        </is>
      </c>
      <c r="C1862" s="45" t="n">
        <v>95.25920000000001</v>
      </c>
      <c r="D1862" t="inlineStr">
        <is>
          <t>€/MWh</t>
        </is>
      </c>
      <c r="E1862" s="54" t="n">
        <v>0.095259</v>
      </c>
      <c r="F1862" s="54" t="n"/>
      <c r="G1862" t="inlineStr">
        <is>
          <t>no aplica (precio mayorista)</t>
        </is>
      </c>
      <c r="J1862" t="inlineStr">
        <is>
          <t>2025-01-31</t>
        </is>
      </c>
      <c r="K1862" t="inlineStr">
        <is>
          <t>marginalpdbc_20250201.1</t>
        </is>
      </c>
      <c r="L1862" t="inlineStr">
        <is>
          <t>24 periodos; mín 5.06, máx 162.98 €/MWh</t>
        </is>
      </c>
    </row>
    <row r="1863">
      <c r="A1863" s="53" t="n">
        <v>45690</v>
      </c>
      <c r="B1863" t="inlineStr">
        <is>
          <t>2025-02-02</t>
        </is>
      </c>
      <c r="C1863" s="45" t="n">
        <v>124.7387</v>
      </c>
      <c r="D1863" t="inlineStr">
        <is>
          <t>€/MWh</t>
        </is>
      </c>
      <c r="E1863" s="54" t="n">
        <v>0.124739</v>
      </c>
      <c r="F1863" s="54" t="n"/>
      <c r="G1863" t="inlineStr">
        <is>
          <t>no aplica (precio mayorista)</t>
        </is>
      </c>
      <c r="J1863" t="inlineStr">
        <is>
          <t>2025-02-01</t>
        </is>
      </c>
      <c r="K1863" t="inlineStr">
        <is>
          <t>marginalpdbc_20250202.1</t>
        </is>
      </c>
      <c r="L1863" t="inlineStr">
        <is>
          <t>24 periodos; mín 92.88, máx 173.95 €/MWh</t>
        </is>
      </c>
    </row>
    <row r="1864">
      <c r="A1864" s="53" t="n">
        <v>45691</v>
      </c>
      <c r="B1864" t="inlineStr">
        <is>
          <t>2025-02-03</t>
        </is>
      </c>
      <c r="C1864" s="45" t="n">
        <v>133.05</v>
      </c>
      <c r="D1864" t="inlineStr">
        <is>
          <t>€/MWh</t>
        </is>
      </c>
      <c r="E1864" s="54" t="n">
        <v>0.13305</v>
      </c>
      <c r="F1864" s="54" t="n"/>
      <c r="G1864" t="inlineStr">
        <is>
          <t>no aplica (precio mayorista)</t>
        </is>
      </c>
      <c r="J1864" t="inlineStr">
        <is>
          <t>2025-02-02</t>
        </is>
      </c>
      <c r="K1864" t="inlineStr">
        <is>
          <t>marginalpdbc_20250203.1</t>
        </is>
      </c>
      <c r="L1864" t="inlineStr">
        <is>
          <t>24 periodos; mín 102.19, máx 227.51 €/MWh</t>
        </is>
      </c>
    </row>
    <row r="1865">
      <c r="A1865" s="53" t="n">
        <v>45692</v>
      </c>
      <c r="B1865" t="inlineStr">
        <is>
          <t>2025-02-04</t>
        </is>
      </c>
      <c r="C1865" s="45" t="n">
        <v>143.3862</v>
      </c>
      <c r="D1865" t="inlineStr">
        <is>
          <t>€/MWh</t>
        </is>
      </c>
      <c r="E1865" s="54" t="n">
        <v>0.143386</v>
      </c>
      <c r="F1865" s="54" t="n"/>
      <c r="G1865" t="inlineStr">
        <is>
          <t>no aplica (precio mayorista)</t>
        </is>
      </c>
      <c r="J1865" t="inlineStr">
        <is>
          <t>2025-02-03</t>
        </is>
      </c>
      <c r="K1865" t="inlineStr">
        <is>
          <t>marginalpdbc_20250204.1</t>
        </is>
      </c>
      <c r="L1865" t="inlineStr">
        <is>
          <t>24 periodos; mín 100.39, máx 240.00 €/MWh</t>
        </is>
      </c>
    </row>
    <row r="1866">
      <c r="A1866" s="53" t="n">
        <v>45693</v>
      </c>
      <c r="B1866" t="inlineStr">
        <is>
          <t>2025-02-05</t>
        </is>
      </c>
      <c r="C1866" s="45" t="n">
        <v>117.5088</v>
      </c>
      <c r="D1866" t="inlineStr">
        <is>
          <t>€/MWh</t>
        </is>
      </c>
      <c r="E1866" s="54" t="n">
        <v>0.117509</v>
      </c>
      <c r="F1866" s="54" t="n"/>
      <c r="G1866" t="inlineStr">
        <is>
          <t>no aplica (precio mayorista)</t>
        </is>
      </c>
      <c r="J1866" t="inlineStr">
        <is>
          <t>2025-02-04</t>
        </is>
      </c>
      <c r="K1866" t="inlineStr">
        <is>
          <t>marginalpdbc_20250205.1</t>
        </is>
      </c>
      <c r="L1866" t="inlineStr">
        <is>
          <t>24 periodos; mín 30.00, máx 189.90 €/MWh</t>
        </is>
      </c>
    </row>
    <row r="1867">
      <c r="A1867" s="53" t="n">
        <v>45694</v>
      </c>
      <c r="B1867" t="inlineStr">
        <is>
          <t>2025-02-06</t>
        </is>
      </c>
      <c r="C1867" s="45" t="n">
        <v>138.6029</v>
      </c>
      <c r="D1867" t="inlineStr">
        <is>
          <t>€/MWh</t>
        </is>
      </c>
      <c r="E1867" s="54" t="n">
        <v>0.138603</v>
      </c>
      <c r="F1867" s="54" t="n"/>
      <c r="G1867" t="inlineStr">
        <is>
          <t>no aplica (precio mayorista)</t>
        </is>
      </c>
      <c r="J1867" t="inlineStr">
        <is>
          <t>2025-02-05</t>
        </is>
      </c>
      <c r="K1867" t="inlineStr">
        <is>
          <t>marginalpdbc_20250206.1</t>
        </is>
      </c>
      <c r="L1867" t="inlineStr">
        <is>
          <t>24 periodos; mín 85.30, máx 231.00 €/MWh</t>
        </is>
      </c>
    </row>
    <row r="1868">
      <c r="A1868" s="53" t="n">
        <v>45695</v>
      </c>
      <c r="B1868" t="inlineStr">
        <is>
          <t>2025-02-07</t>
        </is>
      </c>
      <c r="C1868" s="45" t="n">
        <v>117.87</v>
      </c>
      <c r="D1868" t="inlineStr">
        <is>
          <t>€/MWh</t>
        </is>
      </c>
      <c r="E1868" s="54" t="n">
        <v>0.11787</v>
      </c>
      <c r="F1868" s="54" t="n"/>
      <c r="G1868" t="inlineStr">
        <is>
          <t>no aplica (precio mayorista)</t>
        </is>
      </c>
      <c r="J1868" t="inlineStr">
        <is>
          <t>2025-02-06</t>
        </is>
      </c>
      <c r="K1868" t="inlineStr">
        <is>
          <t>marginalpdbc_20250207.1</t>
        </is>
      </c>
      <c r="L1868" t="inlineStr">
        <is>
          <t>24 periodos; mín 87.89, máx 164.30 €/MWh</t>
        </is>
      </c>
    </row>
    <row r="1869">
      <c r="A1869" s="53" t="n">
        <v>45696</v>
      </c>
      <c r="B1869" t="inlineStr">
        <is>
          <t>2025-02-08</t>
        </is>
      </c>
      <c r="C1869" s="45" t="n">
        <v>105.0971</v>
      </c>
      <c r="D1869" t="inlineStr">
        <is>
          <t>€/MWh</t>
        </is>
      </c>
      <c r="E1869" s="54" t="n">
        <v>0.105097</v>
      </c>
      <c r="F1869" s="54" t="n"/>
      <c r="G1869" t="inlineStr">
        <is>
          <t>no aplica (precio mayorista)</t>
        </is>
      </c>
      <c r="J1869" t="inlineStr">
        <is>
          <t>2025-02-07</t>
        </is>
      </c>
      <c r="K1869" t="inlineStr">
        <is>
          <t>marginalpdbc_20250208.1</t>
        </is>
      </c>
      <c r="L1869" t="inlineStr">
        <is>
          <t>24 periodos; mín 45.04, máx 166.90 €/MWh</t>
        </is>
      </c>
    </row>
    <row r="1870">
      <c r="A1870" s="53" t="n">
        <v>45697</v>
      </c>
      <c r="B1870" t="inlineStr">
        <is>
          <t>2025-02-09</t>
        </is>
      </c>
      <c r="C1870" s="45" t="n">
        <v>109.5954</v>
      </c>
      <c r="D1870" t="inlineStr">
        <is>
          <t>€/MWh</t>
        </is>
      </c>
      <c r="E1870" s="54" t="n">
        <v>0.109595</v>
      </c>
      <c r="F1870" s="54" t="n"/>
      <c r="G1870" t="inlineStr">
        <is>
          <t>no aplica (precio mayorista)</t>
        </is>
      </c>
      <c r="J1870" t="inlineStr">
        <is>
          <t>2025-02-08</t>
        </is>
      </c>
      <c r="K1870" t="inlineStr">
        <is>
          <t>marginalpdbc_20250209.1</t>
        </is>
      </c>
      <c r="L1870" t="inlineStr">
        <is>
          <t>24 periodos; mín 64.00, máx 187.99 €/MWh</t>
        </is>
      </c>
    </row>
    <row r="1871">
      <c r="A1871" s="53" t="n">
        <v>45698</v>
      </c>
      <c r="B1871" t="inlineStr">
        <is>
          <t>2025-02-10</t>
        </is>
      </c>
      <c r="C1871" s="45" t="n">
        <v>139.7396</v>
      </c>
      <c r="D1871" t="inlineStr">
        <is>
          <t>€/MWh</t>
        </is>
      </c>
      <c r="E1871" s="54" t="n">
        <v>0.13974</v>
      </c>
      <c r="F1871" s="54" t="n"/>
      <c r="G1871" t="inlineStr">
        <is>
          <t>no aplica (precio mayorista)</t>
        </is>
      </c>
      <c r="J1871" t="inlineStr">
        <is>
          <t>2025-02-09</t>
        </is>
      </c>
      <c r="K1871" t="inlineStr">
        <is>
          <t>marginalpdbc_20250210.1</t>
        </is>
      </c>
      <c r="L1871" t="inlineStr">
        <is>
          <t>24 periodos; mín 112.50, máx 200.00 €/MWh</t>
        </is>
      </c>
    </row>
    <row r="1872">
      <c r="A1872" s="53" t="n">
        <v>45699</v>
      </c>
      <c r="B1872" t="inlineStr">
        <is>
          <t>2025-02-11</t>
        </is>
      </c>
      <c r="C1872" s="45" t="n">
        <v>133.1554</v>
      </c>
      <c r="D1872" t="inlineStr">
        <is>
          <t>€/MWh</t>
        </is>
      </c>
      <c r="E1872" s="54" t="n">
        <v>0.133155</v>
      </c>
      <c r="F1872" s="54" t="n"/>
      <c r="G1872" t="inlineStr">
        <is>
          <t>no aplica (precio mayorista)</t>
        </is>
      </c>
      <c r="J1872" t="inlineStr">
        <is>
          <t>2025-02-10</t>
        </is>
      </c>
      <c r="K1872" t="inlineStr">
        <is>
          <t>marginalpdbc_20250211.1</t>
        </is>
      </c>
      <c r="L1872" t="inlineStr">
        <is>
          <t>24 periodos; mín 106.01, máx 194.50 €/MWh</t>
        </is>
      </c>
    </row>
    <row r="1873">
      <c r="A1873" s="53" t="n">
        <v>45700</v>
      </c>
      <c r="B1873" t="inlineStr">
        <is>
          <t>2025-02-12</t>
        </is>
      </c>
      <c r="C1873" s="45" t="n">
        <v>119.86</v>
      </c>
      <c r="D1873" t="inlineStr">
        <is>
          <t>€/MWh</t>
        </is>
      </c>
      <c r="E1873" s="54" t="n">
        <v>0.11986</v>
      </c>
      <c r="F1873" s="54" t="n"/>
      <c r="G1873" t="inlineStr">
        <is>
          <t>no aplica (precio mayorista)</t>
        </is>
      </c>
      <c r="J1873" t="inlineStr">
        <is>
          <t>2025-02-11</t>
        </is>
      </c>
      <c r="K1873" t="inlineStr">
        <is>
          <t>marginalpdbc_20250212.1</t>
        </is>
      </c>
      <c r="L1873" t="inlineStr">
        <is>
          <t>24 periodos; mín 62.00, máx 194.44 €/MWh</t>
        </is>
      </c>
    </row>
    <row r="1874">
      <c r="A1874" s="53" t="n">
        <v>45701</v>
      </c>
      <c r="B1874" t="inlineStr">
        <is>
          <t>2025-02-13</t>
        </is>
      </c>
      <c r="C1874" s="45" t="n">
        <v>130.9792</v>
      </c>
      <c r="D1874" t="inlineStr">
        <is>
          <t>€/MWh</t>
        </is>
      </c>
      <c r="E1874" s="54" t="n">
        <v>0.130979</v>
      </c>
      <c r="F1874" s="54" t="n"/>
      <c r="G1874" t="inlineStr">
        <is>
          <t>no aplica (precio mayorista)</t>
        </is>
      </c>
      <c r="J1874" t="inlineStr">
        <is>
          <t>2025-02-12</t>
        </is>
      </c>
      <c r="K1874" t="inlineStr">
        <is>
          <t>marginalpdbc_20250213.1</t>
        </is>
      </c>
      <c r="L1874" t="inlineStr">
        <is>
          <t>24 periodos; mín 80.00, máx 200.00 €/MWh</t>
        </is>
      </c>
    </row>
    <row r="1875">
      <c r="A1875" s="53" t="n">
        <v>45702</v>
      </c>
      <c r="B1875" t="inlineStr">
        <is>
          <t>2025-02-14</t>
        </is>
      </c>
      <c r="C1875" s="45" t="n">
        <v>121.0688</v>
      </c>
      <c r="D1875" t="inlineStr">
        <is>
          <t>€/MWh</t>
        </is>
      </c>
      <c r="E1875" s="54" t="n">
        <v>0.121069</v>
      </c>
      <c r="F1875" s="54" t="n"/>
      <c r="G1875" t="inlineStr">
        <is>
          <t>no aplica (precio mayorista)</t>
        </is>
      </c>
      <c r="J1875" t="inlineStr">
        <is>
          <t>2025-02-13</t>
        </is>
      </c>
      <c r="K1875" t="inlineStr">
        <is>
          <t>marginalpdbc_20250214.1</t>
        </is>
      </c>
      <c r="L1875" t="inlineStr">
        <is>
          <t>24 periodos; mín 55.00, máx 201.66 €/MWh</t>
        </is>
      </c>
    </row>
    <row r="1876">
      <c r="A1876" s="53" t="n">
        <v>45703</v>
      </c>
      <c r="B1876" t="inlineStr">
        <is>
          <t>2025-02-15</t>
        </is>
      </c>
      <c r="C1876" s="45" t="n">
        <v>90.43170000000001</v>
      </c>
      <c r="D1876" t="inlineStr">
        <is>
          <t>€/MWh</t>
        </is>
      </c>
      <c r="E1876" s="54" t="n">
        <v>0.090432</v>
      </c>
      <c r="F1876" s="54" t="n"/>
      <c r="G1876" t="inlineStr">
        <is>
          <t>no aplica (precio mayorista)</t>
        </is>
      </c>
      <c r="J1876" t="inlineStr">
        <is>
          <t>2025-02-14</t>
        </is>
      </c>
      <c r="K1876" t="inlineStr">
        <is>
          <t>marginalpdbc_20250215.1</t>
        </is>
      </c>
      <c r="L1876" t="inlineStr">
        <is>
          <t>24 periodos; mín 25.46, máx 131.51 €/MWh</t>
        </is>
      </c>
    </row>
    <row r="1877">
      <c r="A1877" s="53" t="n">
        <v>45704</v>
      </c>
      <c r="B1877" t="inlineStr">
        <is>
          <t>2025-02-16</t>
        </is>
      </c>
      <c r="C1877" s="45" t="n">
        <v>88.2196</v>
      </c>
      <c r="D1877" t="inlineStr">
        <is>
          <t>€/MWh</t>
        </is>
      </c>
      <c r="E1877" s="54" t="n">
        <v>0.08822000000000001</v>
      </c>
      <c r="F1877" s="54" t="n"/>
      <c r="G1877" t="inlineStr">
        <is>
          <t>no aplica (precio mayorista)</t>
        </is>
      </c>
      <c r="J1877" t="inlineStr">
        <is>
          <t>2025-02-15</t>
        </is>
      </c>
      <c r="K1877" t="inlineStr">
        <is>
          <t>marginalpdbc_20250216.1</t>
        </is>
      </c>
      <c r="L1877" t="inlineStr">
        <is>
          <t>24 periodos; mín 12.00, máx 161.56 €/MWh</t>
        </is>
      </c>
    </row>
    <row r="1878">
      <c r="A1878" s="53" t="n">
        <v>45705</v>
      </c>
      <c r="B1878" t="inlineStr">
        <is>
          <t>2025-02-17</t>
        </is>
      </c>
      <c r="C1878" s="45" t="n">
        <v>138.1663</v>
      </c>
      <c r="D1878" t="inlineStr">
        <is>
          <t>€/MWh</t>
        </is>
      </c>
      <c r="E1878" s="54" t="n">
        <v>0.138166</v>
      </c>
      <c r="F1878" s="54" t="n"/>
      <c r="G1878" t="inlineStr">
        <is>
          <t>no aplica (precio mayorista)</t>
        </is>
      </c>
      <c r="J1878" t="inlineStr">
        <is>
          <t>2025-02-16</t>
        </is>
      </c>
      <c r="K1878" t="inlineStr">
        <is>
          <t>marginalpdbc_20250217.1</t>
        </is>
      </c>
      <c r="L1878" t="inlineStr">
        <is>
          <t>24 periodos; mín 98.97, máx 215.52 €/MWh</t>
        </is>
      </c>
    </row>
    <row r="1879">
      <c r="A1879" s="53" t="n">
        <v>45706</v>
      </c>
      <c r="B1879" t="inlineStr">
        <is>
          <t>2025-02-18</t>
        </is>
      </c>
      <c r="C1879" s="45" t="n">
        <v>79.7346</v>
      </c>
      <c r="D1879" t="inlineStr">
        <is>
          <t>€/MWh</t>
        </is>
      </c>
      <c r="E1879" s="54" t="n">
        <v>0.079735</v>
      </c>
      <c r="F1879" s="54" t="n"/>
      <c r="G1879" t="inlineStr">
        <is>
          <t>no aplica (precio mayorista)</t>
        </is>
      </c>
      <c r="J1879" t="inlineStr">
        <is>
          <t>2025-02-17</t>
        </is>
      </c>
      <c r="K1879" t="inlineStr">
        <is>
          <t>marginalpdbc_20250218.1</t>
        </is>
      </c>
      <c r="L1879" t="inlineStr">
        <is>
          <t>24 periodos; mín 7.03, máx 159.88 €/MWh</t>
        </is>
      </c>
    </row>
    <row r="1880">
      <c r="A1880" s="53" t="n">
        <v>45707</v>
      </c>
      <c r="B1880" t="inlineStr">
        <is>
          <t>2025-02-19</t>
        </is>
      </c>
      <c r="C1880" s="45" t="n">
        <v>123.555</v>
      </c>
      <c r="D1880" t="inlineStr">
        <is>
          <t>€/MWh</t>
        </is>
      </c>
      <c r="E1880" s="54" t="n">
        <v>0.123555</v>
      </c>
      <c r="F1880" s="54" t="n"/>
      <c r="G1880" t="inlineStr">
        <is>
          <t>no aplica (precio mayorista)</t>
        </is>
      </c>
      <c r="J1880" t="inlineStr">
        <is>
          <t>2025-02-18</t>
        </is>
      </c>
      <c r="K1880" t="inlineStr">
        <is>
          <t>marginalpdbc_20250219.1</t>
        </is>
      </c>
      <c r="L1880" t="inlineStr">
        <is>
          <t>24 periodos; mín 90.01, máx 203.20 €/MWh</t>
        </is>
      </c>
    </row>
    <row r="1881">
      <c r="A1881" s="53" t="n">
        <v>45708</v>
      </c>
      <c r="B1881" t="inlineStr">
        <is>
          <t>2025-02-20</t>
        </is>
      </c>
      <c r="C1881" s="45" t="n">
        <v>87.5688</v>
      </c>
      <c r="D1881" t="inlineStr">
        <is>
          <t>€/MWh</t>
        </is>
      </c>
      <c r="E1881" s="54" t="n">
        <v>0.08756899999999999</v>
      </c>
      <c r="F1881" s="54" t="n"/>
      <c r="G1881" t="inlineStr">
        <is>
          <t>no aplica (precio mayorista)</t>
        </is>
      </c>
      <c r="J1881" t="inlineStr">
        <is>
          <t>2025-02-19</t>
        </is>
      </c>
      <c r="K1881" t="inlineStr">
        <is>
          <t>marginalpdbc_20250220.1</t>
        </is>
      </c>
      <c r="L1881" t="inlineStr">
        <is>
          <t>24 periodos; mín 20.33, máx 150.56 €/MWh</t>
        </is>
      </c>
    </row>
    <row r="1882">
      <c r="A1882" s="53" t="n">
        <v>45709</v>
      </c>
      <c r="B1882" t="inlineStr">
        <is>
          <t>2025-02-21</t>
        </is>
      </c>
      <c r="C1882" s="45" t="n">
        <v>47.9929</v>
      </c>
      <c r="D1882" t="inlineStr">
        <is>
          <t>€/MWh</t>
        </is>
      </c>
      <c r="E1882" s="54" t="n">
        <v>0.047993</v>
      </c>
      <c r="F1882" s="54" t="n"/>
      <c r="G1882" t="inlineStr">
        <is>
          <t>no aplica (precio mayorista)</t>
        </is>
      </c>
      <c r="J1882" t="inlineStr">
        <is>
          <t>2025-02-20</t>
        </is>
      </c>
      <c r="K1882" t="inlineStr">
        <is>
          <t>marginalpdbc_20250221.1</t>
        </is>
      </c>
      <c r="L1882" t="inlineStr">
        <is>
          <t>24 periodos; mín 3.52, máx 93.83 €/MWh</t>
        </is>
      </c>
    </row>
    <row r="1883">
      <c r="A1883" s="53" t="n">
        <v>45710</v>
      </c>
      <c r="B1883" t="inlineStr">
        <is>
          <t>2025-02-22</t>
        </is>
      </c>
      <c r="C1883" s="45" t="n">
        <v>70.8438</v>
      </c>
      <c r="D1883" t="inlineStr">
        <is>
          <t>€/MWh</t>
        </is>
      </c>
      <c r="E1883" s="54" t="n">
        <v>0.070844</v>
      </c>
      <c r="F1883" s="54" t="n"/>
      <c r="G1883" t="inlineStr">
        <is>
          <t>no aplica (precio mayorista)</t>
        </is>
      </c>
      <c r="J1883" t="inlineStr">
        <is>
          <t>2025-02-21</t>
        </is>
      </c>
      <c r="K1883" t="inlineStr">
        <is>
          <t>marginalpdbc_20250222.1</t>
        </is>
      </c>
      <c r="L1883" t="inlineStr">
        <is>
          <t>24 periodos; mín 39.68, máx 130.72 €/MWh</t>
        </is>
      </c>
    </row>
    <row r="1884">
      <c r="A1884" s="53" t="n">
        <v>45711</v>
      </c>
      <c r="B1884" t="inlineStr">
        <is>
          <t>2025-02-23</t>
        </is>
      </c>
      <c r="C1884" s="45" t="n">
        <v>65.81</v>
      </c>
      <c r="D1884" t="inlineStr">
        <is>
          <t>€/MWh</t>
        </is>
      </c>
      <c r="E1884" s="54" t="n">
        <v>0.06580999999999999</v>
      </c>
      <c r="F1884" s="54" t="n"/>
      <c r="G1884" t="inlineStr">
        <is>
          <t>no aplica (precio mayorista)</t>
        </is>
      </c>
      <c r="J1884" t="inlineStr">
        <is>
          <t>2025-02-22</t>
        </is>
      </c>
      <c r="K1884" t="inlineStr">
        <is>
          <t>marginalpdbc_20250223.1</t>
        </is>
      </c>
      <c r="L1884" t="inlineStr">
        <is>
          <t>24 periodos; mín 3.52, máx 134.70 €/MWh</t>
        </is>
      </c>
    </row>
    <row r="1885">
      <c r="A1885" s="53" t="n">
        <v>45712</v>
      </c>
      <c r="B1885" t="inlineStr">
        <is>
          <t>2025-02-24</t>
        </is>
      </c>
      <c r="C1885" s="45" t="n">
        <v>78.56619999999999</v>
      </c>
      <c r="D1885" t="inlineStr">
        <is>
          <t>€/MWh</t>
        </is>
      </c>
      <c r="E1885" s="54" t="n">
        <v>0.078566</v>
      </c>
      <c r="F1885" s="54" t="n"/>
      <c r="G1885" t="inlineStr">
        <is>
          <t>no aplica (precio mayorista)</t>
        </is>
      </c>
      <c r="J1885" t="inlineStr">
        <is>
          <t>2025-02-23</t>
        </is>
      </c>
      <c r="K1885" t="inlineStr">
        <is>
          <t>marginalpdbc_20250224.1</t>
        </is>
      </c>
      <c r="L1885" t="inlineStr">
        <is>
          <t>24 periodos; mín 32.64, máx 159.17 €/MWh</t>
        </is>
      </c>
    </row>
    <row r="1886">
      <c r="A1886" s="53" t="n">
        <v>45713</v>
      </c>
      <c r="B1886" t="inlineStr">
        <is>
          <t>2025-02-25</t>
        </is>
      </c>
      <c r="C1886" s="45" t="n">
        <v>94.83750000000001</v>
      </c>
      <c r="D1886" t="inlineStr">
        <is>
          <t>€/MWh</t>
        </is>
      </c>
      <c r="E1886" s="54" t="n">
        <v>0.094837</v>
      </c>
      <c r="F1886" s="54" t="n"/>
      <c r="G1886" t="inlineStr">
        <is>
          <t>no aplica (precio mayorista)</t>
        </is>
      </c>
      <c r="J1886" t="inlineStr">
        <is>
          <t>2025-02-24</t>
        </is>
      </c>
      <c r="K1886" t="inlineStr">
        <is>
          <t>marginalpdbc_20250225.1</t>
        </is>
      </c>
      <c r="L1886" t="inlineStr">
        <is>
          <t>24 periodos; mín 57.56, máx 140.99 €/MWh</t>
        </is>
      </c>
    </row>
    <row r="1887">
      <c r="A1887" s="53" t="n">
        <v>45714</v>
      </c>
      <c r="B1887" t="inlineStr">
        <is>
          <t>2025-02-26</t>
        </is>
      </c>
      <c r="C1887" s="45" t="n">
        <v>105.3446</v>
      </c>
      <c r="D1887" t="inlineStr">
        <is>
          <t>€/MWh</t>
        </is>
      </c>
      <c r="E1887" s="54" t="n">
        <v>0.105345</v>
      </c>
      <c r="F1887" s="54" t="n"/>
      <c r="G1887" t="inlineStr">
        <is>
          <t>no aplica (precio mayorista)</t>
        </is>
      </c>
      <c r="J1887" t="inlineStr">
        <is>
          <t>2025-02-25</t>
        </is>
      </c>
      <c r="K1887" t="inlineStr">
        <is>
          <t>marginalpdbc_20250226.1</t>
        </is>
      </c>
      <c r="L1887" t="inlineStr">
        <is>
          <t>24 periodos; mín 54.59, máx 225.00 €/MWh</t>
        </is>
      </c>
    </row>
    <row r="1888">
      <c r="A1888" s="53" t="n">
        <v>45715</v>
      </c>
      <c r="B1888" t="inlineStr">
        <is>
          <t>2025-02-27</t>
        </is>
      </c>
      <c r="C1888" s="45" t="n">
        <v>120.4321</v>
      </c>
      <c r="D1888" t="inlineStr">
        <is>
          <t>€/MWh</t>
        </is>
      </c>
      <c r="E1888" s="54" t="n">
        <v>0.120432</v>
      </c>
      <c r="F1888" s="54" t="n"/>
      <c r="G1888" t="inlineStr">
        <is>
          <t>no aplica (precio mayorista)</t>
        </is>
      </c>
      <c r="J1888" t="inlineStr">
        <is>
          <t>2025-02-26</t>
        </is>
      </c>
      <c r="K1888" t="inlineStr">
        <is>
          <t>marginalpdbc_20250227.1</t>
        </is>
      </c>
      <c r="L1888" t="inlineStr">
        <is>
          <t>24 periodos; mín 86.80, máx 219.08 €/MWh</t>
        </is>
      </c>
    </row>
    <row r="1889">
      <c r="A1889" s="53" t="n">
        <v>45716</v>
      </c>
      <c r="B1889" t="inlineStr">
        <is>
          <t>2025-02-28</t>
        </is>
      </c>
      <c r="C1889" s="45" t="n">
        <v>111.205</v>
      </c>
      <c r="D1889" t="inlineStr">
        <is>
          <t>€/MWh</t>
        </is>
      </c>
      <c r="E1889" s="54" t="n">
        <v>0.111205</v>
      </c>
      <c r="F1889" s="54" t="n"/>
      <c r="G1889" t="inlineStr">
        <is>
          <t>no aplica (precio mayorista)</t>
        </is>
      </c>
      <c r="J1889" t="inlineStr">
        <is>
          <t>2025-02-27</t>
        </is>
      </c>
      <c r="K1889" t="inlineStr">
        <is>
          <t>marginalpdbc_20250228.1</t>
        </is>
      </c>
      <c r="L1889" t="inlineStr">
        <is>
          <t>24 periodos; mín 80.13, máx 151.96 €/MWh</t>
        </is>
      </c>
    </row>
    <row r="1890">
      <c r="A1890" s="53" t="n">
        <v>45717</v>
      </c>
      <c r="B1890" t="inlineStr">
        <is>
          <t>2025-03-01</t>
        </is>
      </c>
      <c r="C1890" s="45" t="n">
        <v>65.8325</v>
      </c>
      <c r="D1890" t="inlineStr">
        <is>
          <t>€/MWh</t>
        </is>
      </c>
      <c r="E1890" s="54" t="n">
        <v>0.065833</v>
      </c>
      <c r="F1890" s="54" t="n"/>
      <c r="G1890" t="inlineStr">
        <is>
          <t>no aplica (precio mayorista)</t>
        </is>
      </c>
      <c r="J1890" t="inlineStr">
        <is>
          <t>2025-02-28</t>
        </is>
      </c>
      <c r="K1890" t="inlineStr">
        <is>
          <t>marginalpdbc_20250301.1</t>
        </is>
      </c>
      <c r="L1890" t="inlineStr">
        <is>
          <t>24 periodos; mín 31.73, máx 105.36 €/MWh</t>
        </is>
      </c>
    </row>
    <row r="1891">
      <c r="A1891" s="53" t="n">
        <v>45718</v>
      </c>
      <c r="B1891" t="inlineStr">
        <is>
          <t>2025-03-02</t>
        </is>
      </c>
      <c r="C1891" s="45" t="n">
        <v>65.5613</v>
      </c>
      <c r="D1891" t="inlineStr">
        <is>
          <t>€/MWh</t>
        </is>
      </c>
      <c r="E1891" s="54" t="n">
        <v>0.06556099999999999</v>
      </c>
      <c r="F1891" s="54" t="n"/>
      <c r="G1891" t="inlineStr">
        <is>
          <t>no aplica (precio mayorista)</t>
        </is>
      </c>
      <c r="J1891" t="inlineStr">
        <is>
          <t>2025-03-01</t>
        </is>
      </c>
      <c r="K1891" t="inlineStr">
        <is>
          <t>marginalpdbc_20250302.1</t>
        </is>
      </c>
      <c r="L1891" t="inlineStr">
        <is>
          <t>24 periodos; mín 27.50, máx 124.87 €/MWh</t>
        </is>
      </c>
    </row>
    <row r="1892">
      <c r="A1892" s="53" t="n">
        <v>45719</v>
      </c>
      <c r="B1892" t="inlineStr">
        <is>
          <t>2025-03-03</t>
        </is>
      </c>
      <c r="C1892" s="45" t="n">
        <v>96.9896</v>
      </c>
      <c r="D1892" t="inlineStr">
        <is>
          <t>€/MWh</t>
        </is>
      </c>
      <c r="E1892" s="54" t="n">
        <v>0.09699000000000001</v>
      </c>
      <c r="F1892" s="54" t="n"/>
      <c r="G1892" t="inlineStr">
        <is>
          <t>no aplica (precio mayorista)</t>
        </is>
      </c>
      <c r="J1892" t="inlineStr">
        <is>
          <t>2025-03-02</t>
        </is>
      </c>
      <c r="K1892" t="inlineStr">
        <is>
          <t>marginalpdbc_20250303.1</t>
        </is>
      </c>
      <c r="L1892" t="inlineStr">
        <is>
          <t>24 periodos; mín 66.91, máx 149.00 €/MWh</t>
        </is>
      </c>
    </row>
    <row r="1893">
      <c r="A1893" s="53" t="n">
        <v>45720</v>
      </c>
      <c r="B1893" t="inlineStr">
        <is>
          <t>2025-03-04</t>
        </is>
      </c>
      <c r="C1893" s="45" t="n">
        <v>96.44459999999999</v>
      </c>
      <c r="D1893" t="inlineStr">
        <is>
          <t>€/MWh</t>
        </is>
      </c>
      <c r="E1893" s="54" t="n">
        <v>0.096445</v>
      </c>
      <c r="F1893" s="54" t="n"/>
      <c r="G1893" t="inlineStr">
        <is>
          <t>no aplica (precio mayorista)</t>
        </is>
      </c>
      <c r="J1893" t="inlineStr">
        <is>
          <t>2025-03-03</t>
        </is>
      </c>
      <c r="K1893" t="inlineStr">
        <is>
          <t>marginalpdbc_20250304.1</t>
        </is>
      </c>
      <c r="L1893" t="inlineStr">
        <is>
          <t>24 periodos; mín 50.24, máx 144.28 €/MWh</t>
        </is>
      </c>
    </row>
    <row r="1894">
      <c r="A1894" s="53" t="n">
        <v>45721</v>
      </c>
      <c r="B1894" t="inlineStr">
        <is>
          <t>2025-03-05</t>
        </is>
      </c>
      <c r="C1894" s="45" t="n">
        <v>78.8783</v>
      </c>
      <c r="D1894" t="inlineStr">
        <is>
          <t>€/MWh</t>
        </is>
      </c>
      <c r="E1894" s="54" t="n">
        <v>0.078878</v>
      </c>
      <c r="F1894" s="54" t="n"/>
      <c r="G1894" t="inlineStr">
        <is>
          <t>no aplica (precio mayorista)</t>
        </is>
      </c>
      <c r="J1894" t="inlineStr">
        <is>
          <t>2025-03-04</t>
        </is>
      </c>
      <c r="K1894" t="inlineStr">
        <is>
          <t>marginalpdbc_20250305.1</t>
        </is>
      </c>
      <c r="L1894" t="inlineStr">
        <is>
          <t>24 periodos; mín 35.19, máx 112.82 €/MWh</t>
        </is>
      </c>
    </row>
    <row r="1895">
      <c r="A1895" s="53" t="n">
        <v>45722</v>
      </c>
      <c r="B1895" t="inlineStr">
        <is>
          <t>2025-03-06</t>
        </is>
      </c>
      <c r="C1895" s="45" t="n">
        <v>78.0629</v>
      </c>
      <c r="D1895" t="inlineStr">
        <is>
          <t>€/MWh</t>
        </is>
      </c>
      <c r="E1895" s="54" t="n">
        <v>0.07806299999999999</v>
      </c>
      <c r="F1895" s="54" t="n"/>
      <c r="G1895" t="inlineStr">
        <is>
          <t>no aplica (precio mayorista)</t>
        </is>
      </c>
      <c r="J1895" t="inlineStr">
        <is>
          <t>2025-03-05</t>
        </is>
      </c>
      <c r="K1895" t="inlineStr">
        <is>
          <t>marginalpdbc_20250306.1</t>
        </is>
      </c>
      <c r="L1895" t="inlineStr">
        <is>
          <t>24 periodos; mín 54.19, máx 126.02 €/MWh</t>
        </is>
      </c>
    </row>
    <row r="1896">
      <c r="A1896" s="53" t="n">
        <v>45723</v>
      </c>
      <c r="B1896" t="inlineStr">
        <is>
          <t>2025-03-07</t>
        </is>
      </c>
      <c r="C1896" s="45" t="n">
        <v>49.0712</v>
      </c>
      <c r="D1896" t="inlineStr">
        <is>
          <t>€/MWh</t>
        </is>
      </c>
      <c r="E1896" s="54" t="n">
        <v>0.049071</v>
      </c>
      <c r="F1896" s="54" t="n"/>
      <c r="G1896" t="inlineStr">
        <is>
          <t>no aplica (precio mayorista)</t>
        </is>
      </c>
      <c r="J1896" t="inlineStr">
        <is>
          <t>2025-03-06</t>
        </is>
      </c>
      <c r="K1896" t="inlineStr">
        <is>
          <t>marginalpdbc_20250307.1</t>
        </is>
      </c>
      <c r="L1896" t="inlineStr">
        <is>
          <t>24 periodos; mín 7.82, máx 77.33 €/MWh</t>
        </is>
      </c>
    </row>
    <row r="1897">
      <c r="A1897" s="53" t="n">
        <v>45724</v>
      </c>
      <c r="B1897" t="inlineStr">
        <is>
          <t>2025-03-08</t>
        </is>
      </c>
      <c r="C1897" s="45" t="n">
        <v>15.2204</v>
      </c>
      <c r="D1897" t="inlineStr">
        <is>
          <t>€/MWh</t>
        </is>
      </c>
      <c r="E1897" s="54" t="n">
        <v>0.01522</v>
      </c>
      <c r="F1897" s="54" t="n"/>
      <c r="G1897" t="inlineStr">
        <is>
          <t>no aplica (precio mayorista)</t>
        </is>
      </c>
      <c r="J1897" t="inlineStr">
        <is>
          <t>2025-03-07</t>
        </is>
      </c>
      <c r="K1897" t="inlineStr">
        <is>
          <t>marginalpdbc_20250308.1</t>
        </is>
      </c>
      <c r="L1897" t="inlineStr">
        <is>
          <t>24 periodos; mín 0.02, máx 43.38 €/MWh</t>
        </is>
      </c>
    </row>
    <row r="1898">
      <c r="A1898" s="53" t="n">
        <v>45725</v>
      </c>
      <c r="B1898" t="inlineStr">
        <is>
          <t>2025-03-09</t>
        </is>
      </c>
      <c r="C1898" s="45" t="n">
        <v>46.5071</v>
      </c>
      <c r="D1898" t="inlineStr">
        <is>
          <t>€/MWh</t>
        </is>
      </c>
      <c r="E1898" s="54" t="n">
        <v>0.046507</v>
      </c>
      <c r="F1898" s="54" t="n"/>
      <c r="G1898" t="inlineStr">
        <is>
          <t>no aplica (precio mayorista)</t>
        </is>
      </c>
      <c r="J1898" t="inlineStr">
        <is>
          <t>2025-03-08</t>
        </is>
      </c>
      <c r="K1898" t="inlineStr">
        <is>
          <t>marginalpdbc_20250309.1</t>
        </is>
      </c>
      <c r="L1898" t="inlineStr">
        <is>
          <t>24 periodos; mín 3.52, máx 127.60 €/MWh</t>
        </is>
      </c>
    </row>
    <row r="1899">
      <c r="A1899" s="53" t="n">
        <v>45726</v>
      </c>
      <c r="B1899" t="inlineStr">
        <is>
          <t>2025-03-10</t>
        </is>
      </c>
      <c r="C1899" s="45" t="n">
        <v>92.99420000000001</v>
      </c>
      <c r="D1899" t="inlineStr">
        <is>
          <t>€/MWh</t>
        </is>
      </c>
      <c r="E1899" s="54" t="n">
        <v>0.09299399999999999</v>
      </c>
      <c r="F1899" s="54" t="n"/>
      <c r="G1899" t="inlineStr">
        <is>
          <t>no aplica (precio mayorista)</t>
        </is>
      </c>
      <c r="J1899" t="inlineStr">
        <is>
          <t>2025-03-09</t>
        </is>
      </c>
      <c r="K1899" t="inlineStr">
        <is>
          <t>marginalpdbc_20250310.1</t>
        </is>
      </c>
      <c r="L1899" t="inlineStr">
        <is>
          <t>24 periodos; mín 66.70, máx 152.05 €/MWh</t>
        </is>
      </c>
    </row>
    <row r="1900">
      <c r="A1900" s="53" t="n">
        <v>45727</v>
      </c>
      <c r="B1900" t="inlineStr">
        <is>
          <t>2025-03-11</t>
        </is>
      </c>
      <c r="C1900" s="45" t="n">
        <v>96.94329999999999</v>
      </c>
      <c r="D1900" t="inlineStr">
        <is>
          <t>€/MWh</t>
        </is>
      </c>
      <c r="E1900" s="54" t="n">
        <v>0.096943</v>
      </c>
      <c r="F1900" s="54" t="n"/>
      <c r="G1900" t="inlineStr">
        <is>
          <t>no aplica (precio mayorista)</t>
        </is>
      </c>
      <c r="J1900" t="inlineStr">
        <is>
          <t>2025-03-10</t>
        </is>
      </c>
      <c r="K1900" t="inlineStr">
        <is>
          <t>marginalpdbc_20250311.1</t>
        </is>
      </c>
      <c r="L1900" t="inlineStr">
        <is>
          <t>24 periodos; mín 69.10, máx 157.50 €/MWh</t>
        </is>
      </c>
    </row>
    <row r="1901">
      <c r="A1901" s="53" t="n">
        <v>45728</v>
      </c>
      <c r="B1901" t="inlineStr">
        <is>
          <t>2025-03-12</t>
        </is>
      </c>
      <c r="C1901" s="45" t="n">
        <v>93.0642</v>
      </c>
      <c r="D1901" t="inlineStr">
        <is>
          <t>€/MWh</t>
        </is>
      </c>
      <c r="E1901" s="54" t="n">
        <v>0.09306399999999999</v>
      </c>
      <c r="F1901" s="54" t="n"/>
      <c r="G1901" t="inlineStr">
        <is>
          <t>no aplica (precio mayorista)</t>
        </is>
      </c>
      <c r="J1901" t="inlineStr">
        <is>
          <t>2025-03-11</t>
        </is>
      </c>
      <c r="K1901" t="inlineStr">
        <is>
          <t>marginalpdbc_20250312.1</t>
        </is>
      </c>
      <c r="L1901" t="inlineStr">
        <is>
          <t>24 periodos; mín 69.10, máx 176.69 €/MWh</t>
        </is>
      </c>
    </row>
    <row r="1902">
      <c r="A1902" s="53" t="n">
        <v>45729</v>
      </c>
      <c r="B1902" t="inlineStr">
        <is>
          <t>2025-03-13</t>
        </is>
      </c>
      <c r="C1902" s="45" t="n">
        <v>111.7271</v>
      </c>
      <c r="D1902" t="inlineStr">
        <is>
          <t>€/MWh</t>
        </is>
      </c>
      <c r="E1902" s="54" t="n">
        <v>0.111727</v>
      </c>
      <c r="F1902" s="54" t="n"/>
      <c r="G1902" t="inlineStr">
        <is>
          <t>no aplica (precio mayorista)</t>
        </is>
      </c>
      <c r="J1902" t="inlineStr">
        <is>
          <t>2025-03-12</t>
        </is>
      </c>
      <c r="K1902" t="inlineStr">
        <is>
          <t>marginalpdbc_20250313.1</t>
        </is>
      </c>
      <c r="L1902" t="inlineStr">
        <is>
          <t>24 periodos; mín 81.90, máx 160.86 €/MWh</t>
        </is>
      </c>
    </row>
    <row r="1903">
      <c r="A1903" s="53" t="n">
        <v>45730</v>
      </c>
      <c r="B1903" t="inlineStr">
        <is>
          <t>2025-03-14</t>
        </is>
      </c>
      <c r="C1903" s="45" t="n">
        <v>57.6829</v>
      </c>
      <c r="D1903" t="inlineStr">
        <is>
          <t>€/MWh</t>
        </is>
      </c>
      <c r="E1903" s="54" t="n">
        <v>0.057683</v>
      </c>
      <c r="F1903" s="54" t="n"/>
      <c r="G1903" t="inlineStr">
        <is>
          <t>no aplica (precio mayorista)</t>
        </is>
      </c>
      <c r="J1903" t="inlineStr">
        <is>
          <t>2025-03-13</t>
        </is>
      </c>
      <c r="K1903" t="inlineStr">
        <is>
          <t>marginalpdbc_20250314.1</t>
        </is>
      </c>
      <c r="L1903" t="inlineStr">
        <is>
          <t>24 periodos; mín 5.00, máx 134.50 €/MWh</t>
        </is>
      </c>
    </row>
    <row r="1904">
      <c r="A1904" s="53" t="n">
        <v>45731</v>
      </c>
      <c r="B1904" t="inlineStr">
        <is>
          <t>2025-03-15</t>
        </is>
      </c>
      <c r="C1904" s="45" t="n">
        <v>48.89</v>
      </c>
      <c r="D1904" t="inlineStr">
        <is>
          <t>€/MWh</t>
        </is>
      </c>
      <c r="E1904" s="54" t="n">
        <v>0.04889</v>
      </c>
      <c r="F1904" s="54" t="n"/>
      <c r="G1904" t="inlineStr">
        <is>
          <t>no aplica (precio mayorista)</t>
        </is>
      </c>
      <c r="J1904" t="inlineStr">
        <is>
          <t>2025-03-14</t>
        </is>
      </c>
      <c r="K1904" t="inlineStr">
        <is>
          <t>marginalpdbc_20250315.1</t>
        </is>
      </c>
      <c r="L1904" t="inlineStr">
        <is>
          <t>24 periodos; mín 0.00, máx 132.96 €/MWh</t>
        </is>
      </c>
    </row>
    <row r="1905">
      <c r="A1905" s="53" t="n">
        <v>45732</v>
      </c>
      <c r="B1905" t="inlineStr">
        <is>
          <t>2025-03-16</t>
        </is>
      </c>
      <c r="C1905" s="45" t="n">
        <v>60.575</v>
      </c>
      <c r="D1905" t="inlineStr">
        <is>
          <t>€/MWh</t>
        </is>
      </c>
      <c r="E1905" s="54" t="n">
        <v>0.060575</v>
      </c>
      <c r="F1905" s="54" t="n"/>
      <c r="G1905" t="inlineStr">
        <is>
          <t>no aplica (precio mayorista)</t>
        </is>
      </c>
      <c r="J1905" t="inlineStr">
        <is>
          <t>2025-03-15</t>
        </is>
      </c>
      <c r="K1905" t="inlineStr">
        <is>
          <t>marginalpdbc_20250316.1</t>
        </is>
      </c>
      <c r="L1905" t="inlineStr">
        <is>
          <t>24 periodos; mín 6.99, máx 140.00 €/MWh</t>
        </is>
      </c>
    </row>
    <row r="1906">
      <c r="A1906" s="53" t="n">
        <v>45733</v>
      </c>
      <c r="B1906" t="inlineStr">
        <is>
          <t>2025-03-17</t>
        </is>
      </c>
      <c r="C1906" s="45" t="n">
        <v>88.6533</v>
      </c>
      <c r="D1906" t="inlineStr">
        <is>
          <t>€/MWh</t>
        </is>
      </c>
      <c r="E1906" s="54" t="n">
        <v>0.088653</v>
      </c>
      <c r="F1906" s="54" t="n"/>
      <c r="G1906" t="inlineStr">
        <is>
          <t>no aplica (precio mayorista)</t>
        </is>
      </c>
      <c r="J1906" t="inlineStr">
        <is>
          <t>2025-03-16</t>
        </is>
      </c>
      <c r="K1906" t="inlineStr">
        <is>
          <t>marginalpdbc_20250317.1</t>
        </is>
      </c>
      <c r="L1906" t="inlineStr">
        <is>
          <t>24 periodos; mín 50.24, máx 170.00 €/MWh</t>
        </is>
      </c>
    </row>
    <row r="1907">
      <c r="A1907" s="53" t="n">
        <v>45734</v>
      </c>
      <c r="B1907" t="inlineStr">
        <is>
          <t>2025-03-18</t>
        </is>
      </c>
      <c r="C1907" s="45" t="n">
        <v>57.6808</v>
      </c>
      <c r="D1907" t="inlineStr">
        <is>
          <t>€/MWh</t>
        </is>
      </c>
      <c r="E1907" s="54" t="n">
        <v>0.057681</v>
      </c>
      <c r="F1907" s="54" t="n"/>
      <c r="G1907" t="inlineStr">
        <is>
          <t>no aplica (precio mayorista)</t>
        </is>
      </c>
      <c r="J1907" t="inlineStr">
        <is>
          <t>2025-03-17</t>
        </is>
      </c>
      <c r="K1907" t="inlineStr">
        <is>
          <t>marginalpdbc_20250318.1</t>
        </is>
      </c>
      <c r="L1907" t="inlineStr">
        <is>
          <t>24 periodos; mín 5.19, máx 150.79 €/MWh</t>
        </is>
      </c>
    </row>
    <row r="1908">
      <c r="A1908" s="53" t="n">
        <v>45735</v>
      </c>
      <c r="B1908" t="inlineStr">
        <is>
          <t>2025-03-19</t>
        </is>
      </c>
      <c r="C1908" s="45" t="n">
        <v>29.1071</v>
      </c>
      <c r="D1908" t="inlineStr">
        <is>
          <t>€/MWh</t>
        </is>
      </c>
      <c r="E1908" s="54" t="n">
        <v>0.029107</v>
      </c>
      <c r="F1908" s="54" t="n"/>
      <c r="G1908" t="inlineStr">
        <is>
          <t>no aplica (precio mayorista)</t>
        </is>
      </c>
      <c r="J1908" t="inlineStr">
        <is>
          <t>2025-03-18</t>
        </is>
      </c>
      <c r="K1908" t="inlineStr">
        <is>
          <t>marginalpdbc_20250319.1</t>
        </is>
      </c>
      <c r="L1908" t="inlineStr">
        <is>
          <t>24 periodos; mín 0.00, máx 117.38 €/MWh</t>
        </is>
      </c>
    </row>
    <row r="1909">
      <c r="A1909" s="53" t="n">
        <v>45736</v>
      </c>
      <c r="B1909" t="inlineStr">
        <is>
          <t>2025-03-20</t>
        </is>
      </c>
      <c r="C1909" s="45" t="n">
        <v>22.6921</v>
      </c>
      <c r="D1909" t="inlineStr">
        <is>
          <t>€/MWh</t>
        </is>
      </c>
      <c r="E1909" s="54" t="n">
        <v>0.022692</v>
      </c>
      <c r="F1909" s="54" t="n"/>
      <c r="G1909" t="inlineStr">
        <is>
          <t>no aplica (precio mayorista)</t>
        </is>
      </c>
      <c r="J1909" t="inlineStr">
        <is>
          <t>2025-03-19</t>
        </is>
      </c>
      <c r="K1909" t="inlineStr">
        <is>
          <t>marginalpdbc_20250320.1</t>
        </is>
      </c>
      <c r="L1909" t="inlineStr">
        <is>
          <t>24 periodos; mín 0.43, máx 101.60 €/MWh</t>
        </is>
      </c>
    </row>
    <row r="1910">
      <c r="A1910" s="53" t="n">
        <v>45737</v>
      </c>
      <c r="B1910" t="inlineStr">
        <is>
          <t>2025-03-21</t>
        </is>
      </c>
      <c r="C1910" s="45" t="n">
        <v>10.75</v>
      </c>
      <c r="D1910" t="inlineStr">
        <is>
          <t>€/MWh</t>
        </is>
      </c>
      <c r="E1910" s="54" t="n">
        <v>0.01075</v>
      </c>
      <c r="F1910" s="54" t="n"/>
      <c r="G1910" t="inlineStr">
        <is>
          <t>no aplica (precio mayorista)</t>
        </is>
      </c>
      <c r="J1910" t="inlineStr">
        <is>
          <t>2025-03-20</t>
        </is>
      </c>
      <c r="K1910" t="inlineStr">
        <is>
          <t>marginalpdbc_20250321.1</t>
        </is>
      </c>
      <c r="L1910" t="inlineStr">
        <is>
          <t>24 periodos; mín 0.18, máx 40.00 €/MWh</t>
        </is>
      </c>
    </row>
    <row r="1911">
      <c r="A1911" s="53" t="n">
        <v>45738</v>
      </c>
      <c r="B1911" t="inlineStr">
        <is>
          <t>2025-03-22</t>
        </is>
      </c>
      <c r="C1911" s="45" t="n">
        <v>11.225</v>
      </c>
      <c r="D1911" t="inlineStr">
        <is>
          <t>€/MWh</t>
        </is>
      </c>
      <c r="E1911" s="54" t="n">
        <v>0.011225</v>
      </c>
      <c r="F1911" s="54" t="n"/>
      <c r="G1911" t="inlineStr">
        <is>
          <t>no aplica (precio mayorista)</t>
        </is>
      </c>
      <c r="J1911" t="inlineStr">
        <is>
          <t>2025-03-21</t>
        </is>
      </c>
      <c r="K1911" t="inlineStr">
        <is>
          <t>marginalpdbc_20250322.1</t>
        </is>
      </c>
      <c r="L1911" t="inlineStr">
        <is>
          <t>24 periodos; mín -0.01, máx 76.01 €/MWh</t>
        </is>
      </c>
    </row>
    <row r="1912">
      <c r="A1912" s="53" t="n">
        <v>45739</v>
      </c>
      <c r="B1912" t="inlineStr">
        <is>
          <t>2025-03-23</t>
        </is>
      </c>
      <c r="C1912" s="45" t="n">
        <v>29.1317</v>
      </c>
      <c r="D1912" t="inlineStr">
        <is>
          <t>€/MWh</t>
        </is>
      </c>
      <c r="E1912" s="54" t="n">
        <v>0.029132</v>
      </c>
      <c r="F1912" s="54" t="n"/>
      <c r="G1912" t="inlineStr">
        <is>
          <t>no aplica (precio mayorista)</t>
        </is>
      </c>
      <c r="J1912" t="inlineStr">
        <is>
          <t>2025-03-22</t>
        </is>
      </c>
      <c r="K1912" t="inlineStr">
        <is>
          <t>marginalpdbc_20250323.1</t>
        </is>
      </c>
      <c r="L1912" t="inlineStr">
        <is>
          <t>24 periodos; mín 0.00, máx 125.92 €/MWh</t>
        </is>
      </c>
    </row>
    <row r="1913">
      <c r="A1913" s="53" t="n">
        <v>45740</v>
      </c>
      <c r="B1913" t="inlineStr">
        <is>
          <t>2025-03-24</t>
        </is>
      </c>
      <c r="C1913" s="45" t="n">
        <v>44.455</v>
      </c>
      <c r="D1913" t="inlineStr">
        <is>
          <t>€/MWh</t>
        </is>
      </c>
      <c r="E1913" s="54" t="n">
        <v>0.044455</v>
      </c>
      <c r="F1913" s="54" t="n"/>
      <c r="G1913" t="inlineStr">
        <is>
          <t>no aplica (precio mayorista)</t>
        </is>
      </c>
      <c r="J1913" t="inlineStr">
        <is>
          <t>2025-03-23</t>
        </is>
      </c>
      <c r="K1913" t="inlineStr">
        <is>
          <t>marginalpdbc_20250324.1</t>
        </is>
      </c>
      <c r="L1913" t="inlineStr">
        <is>
          <t>24 periodos; mín 0.65, máx 179.10 €/MWh</t>
        </is>
      </c>
    </row>
    <row r="1914">
      <c r="A1914" s="53" t="n">
        <v>45741</v>
      </c>
      <c r="B1914" t="inlineStr">
        <is>
          <t>2025-03-25</t>
        </is>
      </c>
      <c r="C1914" s="45" t="n">
        <v>42.4054</v>
      </c>
      <c r="D1914" t="inlineStr">
        <is>
          <t>€/MWh</t>
        </is>
      </c>
      <c r="E1914" s="54" t="n">
        <v>0.042405</v>
      </c>
      <c r="F1914" s="54" t="n"/>
      <c r="G1914" t="inlineStr">
        <is>
          <t>no aplica (precio mayorista)</t>
        </is>
      </c>
      <c r="J1914" t="inlineStr">
        <is>
          <t>2025-03-24</t>
        </is>
      </c>
      <c r="K1914" t="inlineStr">
        <is>
          <t>marginalpdbc_20250325.1</t>
        </is>
      </c>
      <c r="L1914" t="inlineStr">
        <is>
          <t>24 periodos; mín 0.00, máx 160.86 €/MWh</t>
        </is>
      </c>
    </row>
    <row r="1915">
      <c r="A1915" s="53" t="n">
        <v>45742</v>
      </c>
      <c r="B1915" t="inlineStr">
        <is>
          <t>2025-03-26</t>
        </is>
      </c>
      <c r="C1915" s="45" t="n">
        <v>36.205</v>
      </c>
      <c r="D1915" t="inlineStr">
        <is>
          <t>€/MWh</t>
        </is>
      </c>
      <c r="E1915" s="54" t="n">
        <v>0.036205</v>
      </c>
      <c r="F1915" s="54" t="n"/>
      <c r="G1915" t="inlineStr">
        <is>
          <t>no aplica (precio mayorista)</t>
        </is>
      </c>
      <c r="J1915" t="inlineStr">
        <is>
          <t>2025-03-25</t>
        </is>
      </c>
      <c r="K1915" t="inlineStr">
        <is>
          <t>marginalpdbc_20250326.1</t>
        </is>
      </c>
      <c r="L1915" t="inlineStr">
        <is>
          <t>24 periodos; mín -0.50, máx 126.66 €/MWh</t>
        </is>
      </c>
    </row>
    <row r="1916">
      <c r="A1916" s="53" t="n">
        <v>45743</v>
      </c>
      <c r="B1916" t="inlineStr">
        <is>
          <t>2025-03-27</t>
        </is>
      </c>
      <c r="C1916" s="45" t="n">
        <v>54.59</v>
      </c>
      <c r="D1916" t="inlineStr">
        <is>
          <t>€/MWh</t>
        </is>
      </c>
      <c r="E1916" s="54" t="n">
        <v>0.05459</v>
      </c>
      <c r="F1916" s="54" t="n"/>
      <c r="G1916" t="inlineStr">
        <is>
          <t>no aplica (precio mayorista)</t>
        </is>
      </c>
      <c r="J1916" t="inlineStr">
        <is>
          <t>2025-03-26</t>
        </is>
      </c>
      <c r="K1916" t="inlineStr">
        <is>
          <t>marginalpdbc_20250327.1</t>
        </is>
      </c>
      <c r="L1916" t="inlineStr">
        <is>
          <t>24 periodos; mín -0.01, máx 150.00 €/MWh</t>
        </is>
      </c>
    </row>
    <row r="1917">
      <c r="A1917" s="53" t="n">
        <v>45744</v>
      </c>
      <c r="B1917" t="inlineStr">
        <is>
          <t>2025-03-28</t>
        </is>
      </c>
      <c r="C1917" s="45" t="n">
        <v>25.7067</v>
      </c>
      <c r="D1917" t="inlineStr">
        <is>
          <t>€/MWh</t>
        </is>
      </c>
      <c r="E1917" s="54" t="n">
        <v>0.025707</v>
      </c>
      <c r="F1917" s="54" t="n"/>
      <c r="G1917" t="inlineStr">
        <is>
          <t>no aplica (precio mayorista)</t>
        </is>
      </c>
      <c r="J1917" t="inlineStr">
        <is>
          <t>2025-03-27</t>
        </is>
      </c>
      <c r="K1917" t="inlineStr">
        <is>
          <t>marginalpdbc_20250328.1</t>
        </is>
      </c>
      <c r="L1917" t="inlineStr">
        <is>
          <t>24 periodos; mín -1.24, máx 86.90 €/MWh</t>
        </is>
      </c>
    </row>
    <row r="1918">
      <c r="A1918" s="53" t="n">
        <v>45745</v>
      </c>
      <c r="B1918" t="inlineStr">
        <is>
          <t>2025-03-29</t>
        </is>
      </c>
      <c r="C1918" s="45" t="n">
        <v>4.3229</v>
      </c>
      <c r="D1918" t="inlineStr">
        <is>
          <t>€/MWh</t>
        </is>
      </c>
      <c r="E1918" s="54" t="n">
        <v>0.004323</v>
      </c>
      <c r="F1918" s="54" t="n"/>
      <c r="G1918" t="inlineStr">
        <is>
          <t>no aplica (precio mayorista)</t>
        </is>
      </c>
      <c r="J1918" t="inlineStr">
        <is>
          <t>2025-03-28</t>
        </is>
      </c>
      <c r="K1918" t="inlineStr">
        <is>
          <t>marginalpdbc_20250329.1</t>
        </is>
      </c>
      <c r="L1918" t="inlineStr">
        <is>
          <t>24 periodos; mín -2.20, máx 20.16 €/MWh</t>
        </is>
      </c>
    </row>
    <row r="1919">
      <c r="A1919" s="53" t="n">
        <v>45746</v>
      </c>
      <c r="B1919" t="inlineStr">
        <is>
          <t>2025-03-30</t>
        </is>
      </c>
      <c r="C1919" s="45" t="n">
        <v>3.0278</v>
      </c>
      <c r="D1919" t="inlineStr">
        <is>
          <t>€/MWh</t>
        </is>
      </c>
      <c r="E1919" s="54" t="n">
        <v>0.003028</v>
      </c>
      <c r="F1919" s="54" t="n"/>
      <c r="G1919" t="inlineStr">
        <is>
          <t>no aplica (precio mayorista)</t>
        </is>
      </c>
      <c r="J1919" t="inlineStr">
        <is>
          <t>2025-03-29</t>
        </is>
      </c>
      <c r="K1919" t="inlineStr">
        <is>
          <t>marginalpdbc_20250330.1</t>
        </is>
      </c>
      <c r="L1919" t="inlineStr">
        <is>
          <t>23 periodos; mín -5.21, máx 35.01 €/MWh</t>
        </is>
      </c>
    </row>
    <row r="1920">
      <c r="A1920" s="53" t="n">
        <v>45747</v>
      </c>
      <c r="B1920" t="inlineStr">
        <is>
          <t>2025-03-31</t>
        </is>
      </c>
      <c r="C1920" s="45" t="n">
        <v>29.4463</v>
      </c>
      <c r="D1920" t="inlineStr">
        <is>
          <t>€/MWh</t>
        </is>
      </c>
      <c r="E1920" s="54" t="n">
        <v>0.029446</v>
      </c>
      <c r="F1920" s="54" t="n"/>
      <c r="G1920" t="inlineStr">
        <is>
          <t>no aplica (precio mayorista)</t>
        </is>
      </c>
      <c r="J1920" t="inlineStr">
        <is>
          <t>2025-03-30</t>
        </is>
      </c>
      <c r="K1920" t="inlineStr">
        <is>
          <t>marginalpdbc_20250331.1</t>
        </is>
      </c>
      <c r="L1920" t="inlineStr">
        <is>
          <t>24 periodos; mín -1.00, máx 197.25 €/MWh</t>
        </is>
      </c>
    </row>
    <row r="1921">
      <c r="A1921" s="53" t="n">
        <v>45748</v>
      </c>
      <c r="B1921" t="inlineStr">
        <is>
          <t>2025-04-01</t>
        </is>
      </c>
      <c r="C1921" s="45" t="n">
        <v>58.6025</v>
      </c>
      <c r="D1921" t="inlineStr">
        <is>
          <t>€/MWh</t>
        </is>
      </c>
      <c r="E1921" s="54" t="n">
        <v>0.058603</v>
      </c>
      <c r="F1921" s="54" t="n"/>
      <c r="G1921" t="inlineStr">
        <is>
          <t>no aplica (precio mayorista)</t>
        </is>
      </c>
      <c r="J1921" t="inlineStr">
        <is>
          <t>2025-03-31</t>
        </is>
      </c>
      <c r="K1921" t="inlineStr">
        <is>
          <t>marginalpdbc_20250401.1</t>
        </is>
      </c>
      <c r="L1921" t="inlineStr">
        <is>
          <t>24 periodos; mín -0.07, máx 159.37 €/MWh</t>
        </is>
      </c>
    </row>
    <row r="1922">
      <c r="A1922" s="53" t="n">
        <v>45749</v>
      </c>
      <c r="B1922" t="inlineStr">
        <is>
          <t>2025-04-02</t>
        </is>
      </c>
      <c r="C1922" s="45" t="n">
        <v>27.9887</v>
      </c>
      <c r="D1922" t="inlineStr">
        <is>
          <t>€/MWh</t>
        </is>
      </c>
      <c r="E1922" s="54" t="n">
        <v>0.027989</v>
      </c>
      <c r="F1922" s="54" t="n"/>
      <c r="G1922" t="inlineStr">
        <is>
          <t>no aplica (precio mayorista)</t>
        </is>
      </c>
      <c r="J1922" t="inlineStr">
        <is>
          <t>2025-04-01</t>
        </is>
      </c>
      <c r="K1922" t="inlineStr">
        <is>
          <t>marginalpdbc_20250402.1</t>
        </is>
      </c>
      <c r="L1922" t="inlineStr">
        <is>
          <t>24 periodos; mín -0.02, máx 104.90 €/MWh</t>
        </is>
      </c>
    </row>
    <row r="1923">
      <c r="A1923" s="53" t="n">
        <v>45750</v>
      </c>
      <c r="B1923" t="inlineStr">
        <is>
          <t>2025-04-03</t>
        </is>
      </c>
      <c r="C1923" s="45" t="n">
        <v>22.0962</v>
      </c>
      <c r="D1923" t="inlineStr">
        <is>
          <t>€/MWh</t>
        </is>
      </c>
      <c r="E1923" s="54" t="n">
        <v>0.022096</v>
      </c>
      <c r="F1923" s="54" t="n"/>
      <c r="G1923" t="inlineStr">
        <is>
          <t>no aplica (precio mayorista)</t>
        </is>
      </c>
      <c r="J1923" t="inlineStr">
        <is>
          <t>2025-04-02</t>
        </is>
      </c>
      <c r="K1923" t="inlineStr">
        <is>
          <t>marginalpdbc_20250403.1</t>
        </is>
      </c>
      <c r="L1923" t="inlineStr">
        <is>
          <t>24 periodos; mín 0.00, máx 80.00 €/MWh</t>
        </is>
      </c>
    </row>
    <row r="1924">
      <c r="A1924" s="53" t="n">
        <v>45751</v>
      </c>
      <c r="B1924" t="inlineStr">
        <is>
          <t>2025-04-04</t>
        </is>
      </c>
      <c r="C1924" s="45" t="n">
        <v>11.2363</v>
      </c>
      <c r="D1924" t="inlineStr">
        <is>
          <t>€/MWh</t>
        </is>
      </c>
      <c r="E1924" s="54" t="n">
        <v>0.011236</v>
      </c>
      <c r="F1924" s="54" t="n"/>
      <c r="G1924" t="inlineStr">
        <is>
          <t>no aplica (precio mayorista)</t>
        </is>
      </c>
      <c r="J1924" t="inlineStr">
        <is>
          <t>2025-04-03</t>
        </is>
      </c>
      <c r="K1924" t="inlineStr">
        <is>
          <t>marginalpdbc_20250404.1</t>
        </is>
      </c>
      <c r="L1924" t="inlineStr">
        <is>
          <t>24 periodos; mín -0.02, máx 50.02 €/MWh</t>
        </is>
      </c>
    </row>
    <row r="1925">
      <c r="A1925" s="53" t="n">
        <v>45752</v>
      </c>
      <c r="B1925" t="inlineStr">
        <is>
          <t>2025-04-05</t>
        </is>
      </c>
      <c r="C1925" s="45" t="n">
        <v>24.4204</v>
      </c>
      <c r="D1925" t="inlineStr">
        <is>
          <t>€/MWh</t>
        </is>
      </c>
      <c r="E1925" s="54" t="n">
        <v>0.02442</v>
      </c>
      <c r="F1925" s="54" t="n"/>
      <c r="G1925" t="inlineStr">
        <is>
          <t>no aplica (precio mayorista)</t>
        </is>
      </c>
      <c r="J1925" t="inlineStr">
        <is>
          <t>2025-04-04</t>
        </is>
      </c>
      <c r="K1925" t="inlineStr">
        <is>
          <t>marginalpdbc_20250405.1</t>
        </is>
      </c>
      <c r="L1925" t="inlineStr">
        <is>
          <t>24 periodos; mín -1.20, máx 95.61 €/MWh</t>
        </is>
      </c>
    </row>
    <row r="1926">
      <c r="A1926" s="53" t="n">
        <v>45753</v>
      </c>
      <c r="B1926" t="inlineStr">
        <is>
          <t>2025-04-06</t>
        </is>
      </c>
      <c r="C1926" s="45" t="n">
        <v>26.5592</v>
      </c>
      <c r="D1926" t="inlineStr">
        <is>
          <t>€/MWh</t>
        </is>
      </c>
      <c r="E1926" s="54" t="n">
        <v>0.026559</v>
      </c>
      <c r="F1926" s="54" t="n"/>
      <c r="G1926" t="inlineStr">
        <is>
          <t>no aplica (precio mayorista)</t>
        </is>
      </c>
      <c r="J1926" t="inlineStr">
        <is>
          <t>2025-04-05</t>
        </is>
      </c>
      <c r="K1926" t="inlineStr">
        <is>
          <t>marginalpdbc_20250406.1</t>
        </is>
      </c>
      <c r="L1926" t="inlineStr">
        <is>
          <t>24 periodos; mín -1.54, máx 80.00 €/MWh</t>
        </is>
      </c>
    </row>
    <row r="1927">
      <c r="A1927" s="53" t="n">
        <v>45754</v>
      </c>
      <c r="B1927" t="inlineStr">
        <is>
          <t>2025-04-07</t>
        </is>
      </c>
      <c r="C1927" s="45" t="n">
        <v>56.1392</v>
      </c>
      <c r="D1927" t="inlineStr">
        <is>
          <t>€/MWh</t>
        </is>
      </c>
      <c r="E1927" s="54" t="n">
        <v>0.056139</v>
      </c>
      <c r="F1927" s="54" t="n"/>
      <c r="G1927" t="inlineStr">
        <is>
          <t>no aplica (precio mayorista)</t>
        </is>
      </c>
      <c r="J1927" t="inlineStr">
        <is>
          <t>2025-04-06</t>
        </is>
      </c>
      <c r="K1927" t="inlineStr">
        <is>
          <t>marginalpdbc_20250407.1</t>
        </is>
      </c>
      <c r="L1927" t="inlineStr">
        <is>
          <t>24 periodos; mín 0.00, máx 170.01 €/MWh</t>
        </is>
      </c>
    </row>
    <row r="1928">
      <c r="A1928" s="53" t="n">
        <v>45755</v>
      </c>
      <c r="B1928" t="inlineStr">
        <is>
          <t>2025-04-08</t>
        </is>
      </c>
      <c r="C1928" s="45" t="n">
        <v>47.6721</v>
      </c>
      <c r="D1928" t="inlineStr">
        <is>
          <t>€/MWh</t>
        </is>
      </c>
      <c r="E1928" s="54" t="n">
        <v>0.047672</v>
      </c>
      <c r="F1928" s="54" t="n"/>
      <c r="G1928" t="inlineStr">
        <is>
          <t>no aplica (precio mayorista)</t>
        </is>
      </c>
      <c r="J1928" t="inlineStr">
        <is>
          <t>2025-04-07</t>
        </is>
      </c>
      <c r="K1928" t="inlineStr">
        <is>
          <t>marginalpdbc_20250408.1</t>
        </is>
      </c>
      <c r="L1928" t="inlineStr">
        <is>
          <t>24 periodos; mín -1.02, máx 131.17 €/MWh</t>
        </is>
      </c>
    </row>
    <row r="1929">
      <c r="A1929" s="53" t="n">
        <v>45756</v>
      </c>
      <c r="B1929" t="inlineStr">
        <is>
          <t>2025-04-09</t>
        </is>
      </c>
      <c r="C1929" s="45" t="n">
        <v>31.9804</v>
      </c>
      <c r="D1929" t="inlineStr">
        <is>
          <t>€/MWh</t>
        </is>
      </c>
      <c r="E1929" s="54" t="n">
        <v>0.03198</v>
      </c>
      <c r="F1929" s="54" t="n"/>
      <c r="G1929" t="inlineStr">
        <is>
          <t>no aplica (precio mayorista)</t>
        </is>
      </c>
      <c r="J1929" t="inlineStr">
        <is>
          <t>2025-04-08</t>
        </is>
      </c>
      <c r="K1929" t="inlineStr">
        <is>
          <t>marginalpdbc_20250409.1</t>
        </is>
      </c>
      <c r="L1929" t="inlineStr">
        <is>
          <t>24 periodos; mín -0.50, máx 98.21 €/MWh</t>
        </is>
      </c>
    </row>
    <row r="1930">
      <c r="A1930" s="53" t="n">
        <v>45757</v>
      </c>
      <c r="B1930" t="inlineStr">
        <is>
          <t>2025-04-10</t>
        </is>
      </c>
      <c r="C1930" s="45" t="n">
        <v>19.1975</v>
      </c>
      <c r="D1930" t="inlineStr">
        <is>
          <t>€/MWh</t>
        </is>
      </c>
      <c r="E1930" s="54" t="n">
        <v>0.019198</v>
      </c>
      <c r="F1930" s="54" t="n"/>
      <c r="G1930" t="inlineStr">
        <is>
          <t>no aplica (precio mayorista)</t>
        </is>
      </c>
      <c r="J1930" t="inlineStr">
        <is>
          <t>2025-04-09</t>
        </is>
      </c>
      <c r="K1930" t="inlineStr">
        <is>
          <t>marginalpdbc_20250410.1</t>
        </is>
      </c>
      <c r="L1930" t="inlineStr">
        <is>
          <t>24 periodos; mín -0.01, máx 50.82 €/MWh</t>
        </is>
      </c>
    </row>
    <row r="1931">
      <c r="A1931" s="53" t="n">
        <v>45758</v>
      </c>
      <c r="B1931" t="inlineStr">
        <is>
          <t>2025-04-11</t>
        </is>
      </c>
      <c r="C1931" s="45" t="n">
        <v>18.3496</v>
      </c>
      <c r="D1931" t="inlineStr">
        <is>
          <t>€/MWh</t>
        </is>
      </c>
      <c r="E1931" s="54" t="n">
        <v>0.01835</v>
      </c>
      <c r="F1931" s="54" t="n"/>
      <c r="G1931" t="inlineStr">
        <is>
          <t>no aplica (precio mayorista)</t>
        </is>
      </c>
      <c r="J1931" t="inlineStr">
        <is>
          <t>2025-04-10</t>
        </is>
      </c>
      <c r="K1931" t="inlineStr">
        <is>
          <t>marginalpdbc_20250411.1</t>
        </is>
      </c>
      <c r="L1931" t="inlineStr">
        <is>
          <t>24 periodos; mín -0.01, máx 58.02 €/MWh</t>
        </is>
      </c>
    </row>
    <row r="1932">
      <c r="A1932" s="53" t="n">
        <v>45759</v>
      </c>
      <c r="B1932" t="inlineStr">
        <is>
          <t>2025-04-12</t>
        </is>
      </c>
      <c r="C1932" s="45" t="n">
        <v>27.0125</v>
      </c>
      <c r="D1932" t="inlineStr">
        <is>
          <t>€/MWh</t>
        </is>
      </c>
      <c r="E1932" s="54" t="n">
        <v>0.027012</v>
      </c>
      <c r="F1932" s="54" t="n"/>
      <c r="G1932" t="inlineStr">
        <is>
          <t>no aplica (precio mayorista)</t>
        </is>
      </c>
      <c r="J1932" t="inlineStr">
        <is>
          <t>2025-04-11</t>
        </is>
      </c>
      <c r="K1932" t="inlineStr">
        <is>
          <t>marginalpdbc_20250412.1</t>
        </is>
      </c>
      <c r="L1932" t="inlineStr">
        <is>
          <t>24 periodos; mín 0.01, máx 79.00 €/MWh</t>
        </is>
      </c>
    </row>
    <row r="1933">
      <c r="A1933" s="53" t="n">
        <v>45760</v>
      </c>
      <c r="B1933" t="inlineStr">
        <is>
          <t>2025-04-13</t>
        </is>
      </c>
      <c r="C1933" s="45" t="n">
        <v>18.345</v>
      </c>
      <c r="D1933" t="inlineStr">
        <is>
          <t>€/MWh</t>
        </is>
      </c>
      <c r="E1933" s="54" t="n">
        <v>0.018345</v>
      </c>
      <c r="F1933" s="54" t="n"/>
      <c r="G1933" t="inlineStr">
        <is>
          <t>no aplica (precio mayorista)</t>
        </is>
      </c>
      <c r="J1933" t="inlineStr">
        <is>
          <t>2025-04-12</t>
        </is>
      </c>
      <c r="K1933" t="inlineStr">
        <is>
          <t>marginalpdbc_20250413.1</t>
        </is>
      </c>
      <c r="L1933" t="inlineStr">
        <is>
          <t>24 periodos; mín -1.51, máx 60.55 €/MWh</t>
        </is>
      </c>
    </row>
    <row r="1934">
      <c r="A1934" s="53" t="n">
        <v>45761</v>
      </c>
      <c r="B1934" t="inlineStr">
        <is>
          <t>2025-04-14</t>
        </is>
      </c>
      <c r="C1934" s="45" t="n">
        <v>24.5429</v>
      </c>
      <c r="D1934" t="inlineStr">
        <is>
          <t>€/MWh</t>
        </is>
      </c>
      <c r="E1934" s="54" t="n">
        <v>0.024543</v>
      </c>
      <c r="F1934" s="54" t="n"/>
      <c r="G1934" t="inlineStr">
        <is>
          <t>no aplica (precio mayorista)</t>
        </is>
      </c>
      <c r="J1934" t="inlineStr">
        <is>
          <t>2025-04-13</t>
        </is>
      </c>
      <c r="K1934" t="inlineStr">
        <is>
          <t>marginalpdbc_20250414.1</t>
        </is>
      </c>
      <c r="L1934" t="inlineStr">
        <is>
          <t>24 periodos; mín 0.00, máx 74.94 €/MWh</t>
        </is>
      </c>
    </row>
    <row r="1935">
      <c r="A1935" s="53" t="n">
        <v>45762</v>
      </c>
      <c r="B1935" t="inlineStr">
        <is>
          <t>2025-04-15</t>
        </is>
      </c>
      <c r="C1935" s="45" t="n">
        <v>11.7333</v>
      </c>
      <c r="D1935" t="inlineStr">
        <is>
          <t>€/MWh</t>
        </is>
      </c>
      <c r="E1935" s="54" t="n">
        <v>0.011733</v>
      </c>
      <c r="F1935" s="54" t="n"/>
      <c r="G1935" t="inlineStr">
        <is>
          <t>no aplica (precio mayorista)</t>
        </is>
      </c>
      <c r="J1935" t="inlineStr">
        <is>
          <t>2025-04-14</t>
        </is>
      </c>
      <c r="K1935" t="inlineStr">
        <is>
          <t>marginalpdbc_20250415.1</t>
        </is>
      </c>
      <c r="L1935" t="inlineStr">
        <is>
          <t>24 periodos; mín -0.01, máx 35.00 €/MWh</t>
        </is>
      </c>
    </row>
    <row r="1936">
      <c r="A1936" s="53" t="n">
        <v>45763</v>
      </c>
      <c r="B1936" t="inlineStr">
        <is>
          <t>2025-04-16</t>
        </is>
      </c>
      <c r="C1936" s="45" t="n">
        <v>12.1375</v>
      </c>
      <c r="D1936" t="inlineStr">
        <is>
          <t>€/MWh</t>
        </is>
      </c>
      <c r="E1936" s="54" t="n">
        <v>0.012138</v>
      </c>
      <c r="F1936" s="54" t="n"/>
      <c r="G1936" t="inlineStr">
        <is>
          <t>no aplica (precio mayorista)</t>
        </is>
      </c>
      <c r="J1936" t="inlineStr">
        <is>
          <t>2025-04-15</t>
        </is>
      </c>
      <c r="K1936" t="inlineStr">
        <is>
          <t>marginalpdbc_20250416.1</t>
        </is>
      </c>
      <c r="L1936" t="inlineStr">
        <is>
          <t>24 periodos; mín -0.01, máx 69.21 €/MWh</t>
        </is>
      </c>
    </row>
    <row r="1937">
      <c r="A1937" s="53" t="n">
        <v>45764</v>
      </c>
      <c r="B1937" t="inlineStr">
        <is>
          <t>2025-04-17</t>
        </is>
      </c>
      <c r="C1937" s="45" t="n">
        <v>21.9408</v>
      </c>
      <c r="D1937" t="inlineStr">
        <is>
          <t>€/MWh</t>
        </is>
      </c>
      <c r="E1937" s="54" t="n">
        <v>0.021941</v>
      </c>
      <c r="F1937" s="54" t="n"/>
      <c r="G1937" t="inlineStr">
        <is>
          <t>no aplica (precio mayorista)</t>
        </is>
      </c>
      <c r="J1937" t="inlineStr">
        <is>
          <t>2025-04-16</t>
        </is>
      </c>
      <c r="K1937" t="inlineStr">
        <is>
          <t>marginalpdbc_20250417.1</t>
        </is>
      </c>
      <c r="L1937" t="inlineStr">
        <is>
          <t>24 periodos; mín 0.00, máx 107.50 €/MWh</t>
        </is>
      </c>
    </row>
    <row r="1938">
      <c r="A1938" s="53" t="n">
        <v>45765</v>
      </c>
      <c r="B1938" t="inlineStr">
        <is>
          <t>2025-04-18</t>
        </is>
      </c>
      <c r="C1938" s="45" t="n">
        <v>12.3475</v>
      </c>
      <c r="D1938" t="inlineStr">
        <is>
          <t>€/MWh</t>
        </is>
      </c>
      <c r="E1938" s="54" t="n">
        <v>0.012348</v>
      </c>
      <c r="F1938" s="54" t="n"/>
      <c r="G1938" t="inlineStr">
        <is>
          <t>no aplica (precio mayorista)</t>
        </is>
      </c>
      <c r="J1938" t="inlineStr">
        <is>
          <t>2025-04-17</t>
        </is>
      </c>
      <c r="K1938" t="inlineStr">
        <is>
          <t>marginalpdbc_20250418.1</t>
        </is>
      </c>
      <c r="L1938" t="inlineStr">
        <is>
          <t>24 periodos; mín -1.54, máx 36.00 €/MWh</t>
        </is>
      </c>
    </row>
    <row r="1939">
      <c r="A1939" s="53" t="n">
        <v>45766</v>
      </c>
      <c r="B1939" t="inlineStr">
        <is>
          <t>2025-04-19</t>
        </is>
      </c>
      <c r="C1939" s="45" t="n">
        <v>1.7242</v>
      </c>
      <c r="D1939" t="inlineStr">
        <is>
          <t>€/MWh</t>
        </is>
      </c>
      <c r="E1939" s="54" t="n">
        <v>0.001724</v>
      </c>
      <c r="F1939" s="54" t="n"/>
      <c r="G1939" t="inlineStr">
        <is>
          <t>no aplica (precio mayorista)</t>
        </is>
      </c>
      <c r="J1939" t="inlineStr">
        <is>
          <t>2025-04-18</t>
        </is>
      </c>
      <c r="K1939" t="inlineStr">
        <is>
          <t>marginalpdbc_20250419.1</t>
        </is>
      </c>
      <c r="L1939" t="inlineStr">
        <is>
          <t>24 periodos; mín -4.00, máx 8.00 €/MWh</t>
        </is>
      </c>
    </row>
    <row r="1940">
      <c r="A1940" s="53" t="n">
        <v>45767</v>
      </c>
      <c r="B1940" t="inlineStr">
        <is>
          <t>2025-04-20</t>
        </is>
      </c>
      <c r="C1940" s="45" t="n">
        <v>10.7079</v>
      </c>
      <c r="D1940" t="inlineStr">
        <is>
          <t>€/MWh</t>
        </is>
      </c>
      <c r="E1940" s="54" t="n">
        <v>0.010708</v>
      </c>
      <c r="F1940" s="54" t="n"/>
      <c r="G1940" t="inlineStr">
        <is>
          <t>no aplica (precio mayorista)</t>
        </is>
      </c>
      <c r="J1940" t="inlineStr">
        <is>
          <t>2025-04-19</t>
        </is>
      </c>
      <c r="K1940" t="inlineStr">
        <is>
          <t>marginalpdbc_20250420.1</t>
        </is>
      </c>
      <c r="L1940" t="inlineStr">
        <is>
          <t>24 periodos; mín -4.99, máx 82.30 €/MWh</t>
        </is>
      </c>
    </row>
    <row r="1941">
      <c r="A1941" s="53" t="n">
        <v>45768</v>
      </c>
      <c r="B1941" t="inlineStr">
        <is>
          <t>2025-04-21</t>
        </is>
      </c>
      <c r="C1941" s="45" t="n">
        <v>49.0887</v>
      </c>
      <c r="D1941" t="inlineStr">
        <is>
          <t>€/MWh</t>
        </is>
      </c>
      <c r="E1941" s="54" t="n">
        <v>0.049089</v>
      </c>
      <c r="F1941" s="54" t="n"/>
      <c r="G1941" t="inlineStr">
        <is>
          <t>no aplica (precio mayorista)</t>
        </is>
      </c>
      <c r="J1941" t="inlineStr">
        <is>
          <t>2025-04-20</t>
        </is>
      </c>
      <c r="K1941" t="inlineStr">
        <is>
          <t>marginalpdbc_20250421.1</t>
        </is>
      </c>
      <c r="L1941" t="inlineStr">
        <is>
          <t>24 periodos; mín 6.56, máx 160.00 €/MWh</t>
        </is>
      </c>
    </row>
    <row r="1942">
      <c r="A1942" s="53" t="n">
        <v>45769</v>
      </c>
      <c r="B1942" t="inlineStr">
        <is>
          <t>2025-04-22</t>
        </is>
      </c>
      <c r="C1942" s="45" t="n">
        <v>64.3921</v>
      </c>
      <c r="D1942" t="inlineStr">
        <is>
          <t>€/MWh</t>
        </is>
      </c>
      <c r="E1942" s="54" t="n">
        <v>0.064392</v>
      </c>
      <c r="F1942" s="54" t="n"/>
      <c r="G1942" t="inlineStr">
        <is>
          <t>no aplica (precio mayorista)</t>
        </is>
      </c>
      <c r="J1942" t="inlineStr">
        <is>
          <t>2025-04-21</t>
        </is>
      </c>
      <c r="K1942" t="inlineStr">
        <is>
          <t>marginalpdbc_20250422.1</t>
        </is>
      </c>
      <c r="L1942" t="inlineStr">
        <is>
          <t>24 periodos; mín 4.31, máx 130.04 €/MWh</t>
        </is>
      </c>
    </row>
    <row r="1943">
      <c r="A1943" s="53" t="n">
        <v>45770</v>
      </c>
      <c r="B1943" t="inlineStr">
        <is>
          <t>2025-04-23</t>
        </is>
      </c>
      <c r="C1943" s="45" t="n">
        <v>44.2325</v>
      </c>
      <c r="D1943" t="inlineStr">
        <is>
          <t>€/MWh</t>
        </is>
      </c>
      <c r="E1943" s="54" t="n">
        <v>0.044232</v>
      </c>
      <c r="F1943" s="54" t="n"/>
      <c r="G1943" t="inlineStr">
        <is>
          <t>no aplica (precio mayorista)</t>
        </is>
      </c>
      <c r="J1943" t="inlineStr">
        <is>
          <t>2025-04-22</t>
        </is>
      </c>
      <c r="K1943" t="inlineStr">
        <is>
          <t>marginalpdbc_20250423.1</t>
        </is>
      </c>
      <c r="L1943" t="inlineStr">
        <is>
          <t>24 periodos; mín 0.00, máx 116.70 €/MWh</t>
        </is>
      </c>
    </row>
    <row r="1944">
      <c r="A1944" s="53" t="n">
        <v>45771</v>
      </c>
      <c r="B1944" t="inlineStr">
        <is>
          <t>2025-04-24</t>
        </is>
      </c>
      <c r="C1944" s="45" t="n">
        <v>43.5333</v>
      </c>
      <c r="D1944" t="inlineStr">
        <is>
          <t>€/MWh</t>
        </is>
      </c>
      <c r="E1944" s="54" t="n">
        <v>0.043533</v>
      </c>
      <c r="F1944" s="54" t="n"/>
      <c r="G1944" t="inlineStr">
        <is>
          <t>no aplica (precio mayorista)</t>
        </is>
      </c>
      <c r="J1944" t="inlineStr">
        <is>
          <t>2025-04-23</t>
        </is>
      </c>
      <c r="K1944" t="inlineStr">
        <is>
          <t>marginalpdbc_20250424.1</t>
        </is>
      </c>
      <c r="L1944" t="inlineStr">
        <is>
          <t>24 periodos; mín -0.01, máx 114.48 €/MWh</t>
        </is>
      </c>
    </row>
    <row r="1945">
      <c r="A1945" s="53" t="n">
        <v>45772</v>
      </c>
      <c r="B1945" t="inlineStr">
        <is>
          <t>2025-04-25</t>
        </is>
      </c>
      <c r="C1945" s="45" t="n">
        <v>45.6567</v>
      </c>
      <c r="D1945" t="inlineStr">
        <is>
          <t>€/MWh</t>
        </is>
      </c>
      <c r="E1945" s="54" t="n">
        <v>0.045657</v>
      </c>
      <c r="F1945" s="54" t="n"/>
      <c r="G1945" t="inlineStr">
        <is>
          <t>no aplica (precio mayorista)</t>
        </is>
      </c>
      <c r="J1945" t="inlineStr">
        <is>
          <t>2025-04-24</t>
        </is>
      </c>
      <c r="K1945" t="inlineStr">
        <is>
          <t>marginalpdbc_20250425.1</t>
        </is>
      </c>
      <c r="L1945" t="inlineStr">
        <is>
          <t>24 periodos; mín -0.21, máx 113.39 €/MWh</t>
        </is>
      </c>
    </row>
    <row r="1946">
      <c r="A1946" s="53" t="n">
        <v>45773</v>
      </c>
      <c r="B1946" t="inlineStr">
        <is>
          <t>2025-04-26</t>
        </is>
      </c>
      <c r="C1946" s="45" t="n">
        <v>5.5392</v>
      </c>
      <c r="D1946" t="inlineStr">
        <is>
          <t>€/MWh</t>
        </is>
      </c>
      <c r="E1946" s="54" t="n">
        <v>0.005539</v>
      </c>
      <c r="F1946" s="54" t="n"/>
      <c r="G1946" t="inlineStr">
        <is>
          <t>no aplica (precio mayorista)</t>
        </is>
      </c>
      <c r="J1946" t="inlineStr">
        <is>
          <t>2025-04-25</t>
        </is>
      </c>
      <c r="K1946" t="inlineStr">
        <is>
          <t>marginalpdbc_20250426.1</t>
        </is>
      </c>
      <c r="L1946" t="inlineStr">
        <is>
          <t>24 periodos; mín -3.03, máx 23.04 €/MWh</t>
        </is>
      </c>
    </row>
    <row r="1947">
      <c r="A1947" s="53" t="n">
        <v>45774</v>
      </c>
      <c r="B1947" t="inlineStr">
        <is>
          <t>2025-04-27</t>
        </is>
      </c>
      <c r="C1947" s="45" t="n">
        <v>10.9771</v>
      </c>
      <c r="D1947" t="inlineStr">
        <is>
          <t>€/MWh</t>
        </is>
      </c>
      <c r="E1947" s="54" t="n">
        <v>0.010977</v>
      </c>
      <c r="F1947" s="54" t="n"/>
      <c r="G1947" t="inlineStr">
        <is>
          <t>no aplica (precio mayorista)</t>
        </is>
      </c>
      <c r="J1947" t="inlineStr">
        <is>
          <t>2025-04-26</t>
        </is>
      </c>
      <c r="K1947" t="inlineStr">
        <is>
          <t>marginalpdbc_20250427.1</t>
        </is>
      </c>
      <c r="L1947" t="inlineStr">
        <is>
          <t>24 periodos; mín -6.01, máx 100.70 €/MWh</t>
        </is>
      </c>
    </row>
    <row r="1948">
      <c r="A1948" s="53" t="n">
        <v>45775</v>
      </c>
      <c r="B1948" t="inlineStr">
        <is>
          <t>2025-04-28</t>
        </is>
      </c>
      <c r="C1948" s="45" t="n">
        <v>18.4992</v>
      </c>
      <c r="D1948" t="inlineStr">
        <is>
          <t>€/MWh</t>
        </is>
      </c>
      <c r="E1948" s="54" t="n">
        <v>0.018499</v>
      </c>
      <c r="F1948" s="54" t="n"/>
      <c r="G1948" t="inlineStr">
        <is>
          <t>no aplica (precio mayorista)</t>
        </is>
      </c>
      <c r="J1948" t="inlineStr">
        <is>
          <t>2025-04-27</t>
        </is>
      </c>
      <c r="K1948" t="inlineStr">
        <is>
          <t>marginalpdbc_20250428.1</t>
        </is>
      </c>
      <c r="L1948" t="inlineStr">
        <is>
          <t>24 periodos; mín -3.00, máx 80.80 €/MWh</t>
        </is>
      </c>
    </row>
    <row r="1949">
      <c r="A1949" s="53" t="n">
        <v>45776</v>
      </c>
      <c r="B1949" t="inlineStr">
        <is>
          <t>2025-04-29</t>
        </is>
      </c>
      <c r="C1949" s="45" t="n">
        <v>5.7933</v>
      </c>
      <c r="D1949" t="inlineStr">
        <is>
          <t>€/MWh</t>
        </is>
      </c>
      <c r="E1949" s="54" t="n">
        <v>0.005793</v>
      </c>
      <c r="F1949" s="54" t="n"/>
      <c r="G1949" t="inlineStr">
        <is>
          <t>no aplica (precio mayorista)</t>
        </is>
      </c>
      <c r="J1949" t="inlineStr">
        <is>
          <t>2025-04-28</t>
        </is>
      </c>
      <c r="K1949" t="inlineStr">
        <is>
          <t>marginalpdbc_20250429.1</t>
        </is>
      </c>
      <c r="L1949" t="inlineStr">
        <is>
          <t>24 periodos; mín -1.90, máx 35.01 €/MWh</t>
        </is>
      </c>
    </row>
    <row r="1950">
      <c r="A1950" s="53" t="n">
        <v>45777</v>
      </c>
      <c r="B1950" t="inlineStr">
        <is>
          <t>2025-04-30</t>
        </is>
      </c>
      <c r="C1950" s="45" t="n">
        <v>31.8283</v>
      </c>
      <c r="D1950" t="inlineStr">
        <is>
          <t>€/MWh</t>
        </is>
      </c>
      <c r="E1950" s="54" t="n">
        <v>0.031828</v>
      </c>
      <c r="F1950" s="54" t="n"/>
      <c r="G1950" t="inlineStr">
        <is>
          <t>no aplica (precio mayorista)</t>
        </is>
      </c>
      <c r="J1950" t="inlineStr">
        <is>
          <t>2025-04-29</t>
        </is>
      </c>
      <c r="K1950" t="inlineStr">
        <is>
          <t>marginalpdbc_20250430.1</t>
        </is>
      </c>
      <c r="L1950" t="inlineStr">
        <is>
          <t>24 periodos; mín -0.17, máx 117.01 €/MWh</t>
        </is>
      </c>
    </row>
    <row r="1951">
      <c r="A1951" s="53" t="n">
        <v>45778</v>
      </c>
      <c r="B1951" t="inlineStr">
        <is>
          <t>2025-05-01</t>
        </is>
      </c>
      <c r="C1951" s="45" t="n">
        <v>13.2938</v>
      </c>
      <c r="D1951" t="inlineStr">
        <is>
          <t>€/MWh</t>
        </is>
      </c>
      <c r="E1951" s="54" t="n">
        <v>0.013294</v>
      </c>
      <c r="F1951" s="54" t="n"/>
      <c r="G1951" t="inlineStr">
        <is>
          <t>no aplica (precio mayorista)</t>
        </is>
      </c>
      <c r="J1951" t="inlineStr">
        <is>
          <t>2025-04-30</t>
        </is>
      </c>
      <c r="K1951" t="inlineStr">
        <is>
          <t>marginalpdbc_20250501.1</t>
        </is>
      </c>
      <c r="L1951" t="inlineStr">
        <is>
          <t>24 periodos; mín -10.00, máx 55.00 €/MWh</t>
        </is>
      </c>
    </row>
    <row r="1952">
      <c r="A1952" s="53" t="n">
        <v>45779</v>
      </c>
      <c r="B1952" t="inlineStr">
        <is>
          <t>2025-05-02</t>
        </is>
      </c>
      <c r="C1952" s="45" t="n">
        <v>10.9375</v>
      </c>
      <c r="D1952" t="inlineStr">
        <is>
          <t>€/MWh</t>
        </is>
      </c>
      <c r="E1952" s="54" t="n">
        <v>0.010937</v>
      </c>
      <c r="F1952" s="54" t="n"/>
      <c r="G1952" t="inlineStr">
        <is>
          <t>no aplica (precio mayorista)</t>
        </is>
      </c>
      <c r="J1952" t="inlineStr">
        <is>
          <t>2025-05-01</t>
        </is>
      </c>
      <c r="K1952" t="inlineStr">
        <is>
          <t>marginalpdbc_20250502.1</t>
        </is>
      </c>
      <c r="L1952" t="inlineStr">
        <is>
          <t>24 periodos; mín -4.00, máx 67.05 €/MWh</t>
        </is>
      </c>
    </row>
    <row r="1953">
      <c r="A1953" s="53" t="n">
        <v>45780</v>
      </c>
      <c r="B1953" t="inlineStr">
        <is>
          <t>2025-05-03</t>
        </is>
      </c>
      <c r="C1953" s="45" t="n">
        <v>16.1713</v>
      </c>
      <c r="D1953" t="inlineStr">
        <is>
          <t>€/MWh</t>
        </is>
      </c>
      <c r="E1953" s="54" t="n">
        <v>0.016171</v>
      </c>
      <c r="F1953" s="54" t="n"/>
      <c r="G1953" t="inlineStr">
        <is>
          <t>no aplica (precio mayorista)</t>
        </is>
      </c>
      <c r="J1953" t="inlineStr">
        <is>
          <t>2025-05-02</t>
        </is>
      </c>
      <c r="K1953" t="inlineStr">
        <is>
          <t>marginalpdbc_20250503.1</t>
        </is>
      </c>
      <c r="L1953" t="inlineStr">
        <is>
          <t>24 periodos; mín -3.04, máx 63.80 €/MWh</t>
        </is>
      </c>
    </row>
    <row r="1954">
      <c r="A1954" s="53" t="n">
        <v>45781</v>
      </c>
      <c r="B1954" t="inlineStr">
        <is>
          <t>2025-05-04</t>
        </is>
      </c>
      <c r="C1954" s="45" t="n">
        <v>10.9979</v>
      </c>
      <c r="D1954" t="inlineStr">
        <is>
          <t>€/MWh</t>
        </is>
      </c>
      <c r="E1954" s="54" t="n">
        <v>0.010998</v>
      </c>
      <c r="F1954" s="54" t="n"/>
      <c r="G1954" t="inlineStr">
        <is>
          <t>no aplica (precio mayorista)</t>
        </is>
      </c>
      <c r="J1954" t="inlineStr">
        <is>
          <t>2025-05-03</t>
        </is>
      </c>
      <c r="K1954" t="inlineStr">
        <is>
          <t>marginalpdbc_20250504.1</t>
        </is>
      </c>
      <c r="L1954" t="inlineStr">
        <is>
          <t>24 periodos; mín -5.01, máx 36.13 €/MWh</t>
        </is>
      </c>
    </row>
    <row r="1955">
      <c r="A1955" s="53" t="n">
        <v>45782</v>
      </c>
      <c r="B1955" t="inlineStr">
        <is>
          <t>2025-05-05</t>
        </is>
      </c>
      <c r="C1955" s="45" t="n">
        <v>10.8917</v>
      </c>
      <c r="D1955" t="inlineStr">
        <is>
          <t>€/MWh</t>
        </is>
      </c>
      <c r="E1955" s="54" t="n">
        <v>0.010892</v>
      </c>
      <c r="F1955" s="54" t="n"/>
      <c r="G1955" t="inlineStr">
        <is>
          <t>no aplica (precio mayorista)</t>
        </is>
      </c>
      <c r="J1955" t="inlineStr">
        <is>
          <t>2025-05-04</t>
        </is>
      </c>
      <c r="K1955" t="inlineStr">
        <is>
          <t>marginalpdbc_20250505.1</t>
        </is>
      </c>
      <c r="L1955" t="inlineStr">
        <is>
          <t>24 periodos; mín -4.00, máx 35.00 €/MWh</t>
        </is>
      </c>
    </row>
    <row r="1956">
      <c r="A1956" s="53" t="n">
        <v>45783</v>
      </c>
      <c r="B1956" t="inlineStr">
        <is>
          <t>2025-05-06</t>
        </is>
      </c>
      <c r="C1956" s="45" t="n">
        <v>10.2417</v>
      </c>
      <c r="D1956" t="inlineStr">
        <is>
          <t>€/MWh</t>
        </is>
      </c>
      <c r="E1956" s="54" t="n">
        <v>0.010242</v>
      </c>
      <c r="F1956" s="54" t="n"/>
      <c r="G1956" t="inlineStr">
        <is>
          <t>no aplica (precio mayorista)</t>
        </is>
      </c>
      <c r="J1956" t="inlineStr">
        <is>
          <t>2025-05-05</t>
        </is>
      </c>
      <c r="K1956" t="inlineStr">
        <is>
          <t>marginalpdbc_20250506.1</t>
        </is>
      </c>
      <c r="L1956" t="inlineStr">
        <is>
          <t>24 periodos; mín -4.21, máx 65.12 €/MWh</t>
        </is>
      </c>
    </row>
    <row r="1957">
      <c r="A1957" s="53" t="n">
        <v>45784</v>
      </c>
      <c r="B1957" t="inlineStr">
        <is>
          <t>2025-05-07</t>
        </is>
      </c>
      <c r="C1957" s="45" t="n">
        <v>19.0067</v>
      </c>
      <c r="D1957" t="inlineStr">
        <is>
          <t>€/MWh</t>
        </is>
      </c>
      <c r="E1957" s="54" t="n">
        <v>0.019007</v>
      </c>
      <c r="F1957" s="54" t="n"/>
      <c r="G1957" t="inlineStr">
        <is>
          <t>no aplica (precio mayorista)</t>
        </is>
      </c>
      <c r="J1957" t="inlineStr">
        <is>
          <t>2025-05-06</t>
        </is>
      </c>
      <c r="K1957" t="inlineStr">
        <is>
          <t>marginalpdbc_20250507.1</t>
        </is>
      </c>
      <c r="L1957" t="inlineStr">
        <is>
          <t>24 periodos; mín -0.62, máx 80.00 €/MWh</t>
        </is>
      </c>
    </row>
    <row r="1958">
      <c r="A1958" s="53" t="n">
        <v>45785</v>
      </c>
      <c r="B1958" t="inlineStr">
        <is>
          <t>2025-05-08</t>
        </is>
      </c>
      <c r="C1958" s="45" t="n">
        <v>16.7562</v>
      </c>
      <c r="D1958" t="inlineStr">
        <is>
          <t>€/MWh</t>
        </is>
      </c>
      <c r="E1958" s="54" t="n">
        <v>0.016756</v>
      </c>
      <c r="F1958" s="54" t="n"/>
      <c r="G1958" t="inlineStr">
        <is>
          <t>no aplica (precio mayorista)</t>
        </is>
      </c>
      <c r="J1958" t="inlineStr">
        <is>
          <t>2025-05-07</t>
        </is>
      </c>
      <c r="K1958" t="inlineStr">
        <is>
          <t>marginalpdbc_20250508.1</t>
        </is>
      </c>
      <c r="L1958" t="inlineStr">
        <is>
          <t>24 periodos; mín -0.02, máx 79.59 €/MWh</t>
        </is>
      </c>
    </row>
    <row r="1959">
      <c r="A1959" s="53" t="n">
        <v>45786</v>
      </c>
      <c r="B1959" t="inlineStr">
        <is>
          <t>2025-05-09</t>
        </is>
      </c>
      <c r="C1959" s="45" t="n">
        <v>18.2367</v>
      </c>
      <c r="D1959" t="inlineStr">
        <is>
          <t>€/MWh</t>
        </is>
      </c>
      <c r="E1959" s="54" t="n">
        <v>0.018237</v>
      </c>
      <c r="F1959" s="54" t="n"/>
      <c r="G1959" t="inlineStr">
        <is>
          <t>no aplica (precio mayorista)</t>
        </is>
      </c>
      <c r="J1959" t="inlineStr">
        <is>
          <t>2025-05-08</t>
        </is>
      </c>
      <c r="K1959" t="inlineStr">
        <is>
          <t>marginalpdbc_20250509.1</t>
        </is>
      </c>
      <c r="L1959" t="inlineStr">
        <is>
          <t>24 periodos; mín -0.01, máx 80.27 €/MWh</t>
        </is>
      </c>
    </row>
    <row r="1960">
      <c r="A1960" s="53" t="n">
        <v>45787</v>
      </c>
      <c r="B1960" t="inlineStr">
        <is>
          <t>2025-05-10</t>
        </is>
      </c>
      <c r="C1960" s="45" t="n">
        <v>9.0783</v>
      </c>
      <c r="D1960" t="inlineStr">
        <is>
          <t>€/MWh</t>
        </is>
      </c>
      <c r="E1960" s="54" t="n">
        <v>0.009077999999999999</v>
      </c>
      <c r="F1960" s="54" t="n"/>
      <c r="G1960" t="inlineStr">
        <is>
          <t>no aplica (precio mayorista)</t>
        </is>
      </c>
      <c r="J1960" t="inlineStr">
        <is>
          <t>2025-05-09</t>
        </is>
      </c>
      <c r="K1960" t="inlineStr">
        <is>
          <t>marginalpdbc_20250510.1</t>
        </is>
      </c>
      <c r="L1960" t="inlineStr">
        <is>
          <t>24 periodos; mín -10.00, máx 36.88 €/MWh</t>
        </is>
      </c>
    </row>
    <row r="1961">
      <c r="A1961" s="53" t="n">
        <v>45788</v>
      </c>
      <c r="B1961" t="inlineStr">
        <is>
          <t>2025-05-11</t>
        </is>
      </c>
      <c r="C1961" s="45" t="n">
        <v>2.2058</v>
      </c>
      <c r="D1961" t="inlineStr">
        <is>
          <t>€/MWh</t>
        </is>
      </c>
      <c r="E1961" s="54" t="n">
        <v>0.002206</v>
      </c>
      <c r="F1961" s="54" t="n"/>
      <c r="G1961" t="inlineStr">
        <is>
          <t>no aplica (precio mayorista)</t>
        </is>
      </c>
      <c r="J1961" t="inlineStr">
        <is>
          <t>2025-05-10</t>
        </is>
      </c>
      <c r="K1961" t="inlineStr">
        <is>
          <t>marginalpdbc_20250511.1</t>
        </is>
      </c>
      <c r="L1961" t="inlineStr">
        <is>
          <t>24 periodos; mín -15.00, máx 35.01 €/MWh</t>
        </is>
      </c>
    </row>
    <row r="1962">
      <c r="A1962" s="53" t="n">
        <v>45789</v>
      </c>
      <c r="B1962" t="inlineStr">
        <is>
          <t>2025-05-12</t>
        </is>
      </c>
      <c r="C1962" s="45" t="n">
        <v>21.6925</v>
      </c>
      <c r="D1962" t="inlineStr">
        <is>
          <t>€/MWh</t>
        </is>
      </c>
      <c r="E1962" s="54" t="n">
        <v>0.021692</v>
      </c>
      <c r="F1962" s="54" t="n"/>
      <c r="G1962" t="inlineStr">
        <is>
          <t>no aplica (precio mayorista)</t>
        </is>
      </c>
      <c r="J1962" t="inlineStr">
        <is>
          <t>2025-05-11</t>
        </is>
      </c>
      <c r="K1962" t="inlineStr">
        <is>
          <t>marginalpdbc_20250512.1</t>
        </is>
      </c>
      <c r="L1962" t="inlineStr">
        <is>
          <t>24 periodos; mín -4.21, máx 122.03 €/MWh</t>
        </is>
      </c>
    </row>
    <row r="1963">
      <c r="A1963" s="53" t="n">
        <v>45790</v>
      </c>
      <c r="B1963" t="inlineStr">
        <is>
          <t>2025-05-13</t>
        </is>
      </c>
      <c r="C1963" s="45" t="n">
        <v>41.4237</v>
      </c>
      <c r="D1963" t="inlineStr">
        <is>
          <t>€/MWh</t>
        </is>
      </c>
      <c r="E1963" s="54" t="n">
        <v>0.041424</v>
      </c>
      <c r="F1963" s="54" t="n"/>
      <c r="G1963" t="inlineStr">
        <is>
          <t>no aplica (precio mayorista)</t>
        </is>
      </c>
      <c r="J1963" t="inlineStr">
        <is>
          <t>2025-05-12</t>
        </is>
      </c>
      <c r="K1963" t="inlineStr">
        <is>
          <t>marginalpdbc_20250513.1</t>
        </is>
      </c>
      <c r="L1963" t="inlineStr">
        <is>
          <t>24 periodos; mín -2.51, máx 128.07 €/MWh</t>
        </is>
      </c>
    </row>
    <row r="1964">
      <c r="A1964" s="53" t="n">
        <v>45791</v>
      </c>
      <c r="B1964" t="inlineStr">
        <is>
          <t>2025-05-14</t>
        </is>
      </c>
      <c r="C1964" s="45" t="n">
        <v>30.5458</v>
      </c>
      <c r="D1964" t="inlineStr">
        <is>
          <t>€/MWh</t>
        </is>
      </c>
      <c r="E1964" s="54" t="n">
        <v>0.030546</v>
      </c>
      <c r="F1964" s="54" t="n"/>
      <c r="G1964" t="inlineStr">
        <is>
          <t>no aplica (precio mayorista)</t>
        </is>
      </c>
      <c r="J1964" t="inlineStr">
        <is>
          <t>2025-05-13</t>
        </is>
      </c>
      <c r="K1964" t="inlineStr">
        <is>
          <t>marginalpdbc_20250514.1</t>
        </is>
      </c>
      <c r="L1964" t="inlineStr">
        <is>
          <t>24 periodos; mín -4.00, máx 91.53 €/MWh</t>
        </is>
      </c>
    </row>
    <row r="1965">
      <c r="A1965" s="53" t="n">
        <v>45792</v>
      </c>
      <c r="B1965" t="inlineStr">
        <is>
          <t>2025-05-15</t>
        </is>
      </c>
      <c r="C1965" s="45" t="n">
        <v>11.62</v>
      </c>
      <c r="D1965" t="inlineStr">
        <is>
          <t>€/MWh</t>
        </is>
      </c>
      <c r="E1965" s="54" t="n">
        <v>0.01162</v>
      </c>
      <c r="F1965" s="54" t="n"/>
      <c r="G1965" t="inlineStr">
        <is>
          <t>no aplica (precio mayorista)</t>
        </is>
      </c>
      <c r="J1965" t="inlineStr">
        <is>
          <t>2025-05-14</t>
        </is>
      </c>
      <c r="K1965" t="inlineStr">
        <is>
          <t>marginalpdbc_20250515.1</t>
        </is>
      </c>
      <c r="L1965" t="inlineStr">
        <is>
          <t>24 periodos; mín -5.00, máx 35.01 €/MWh</t>
        </is>
      </c>
    </row>
    <row r="1966">
      <c r="A1966" s="53" t="n">
        <v>45793</v>
      </c>
      <c r="B1966" t="inlineStr">
        <is>
          <t>2025-05-16</t>
        </is>
      </c>
      <c r="C1966" s="45" t="n">
        <v>4.6763</v>
      </c>
      <c r="D1966" t="inlineStr">
        <is>
          <t>€/MWh</t>
        </is>
      </c>
      <c r="E1966" s="54" t="n">
        <v>0.004676</v>
      </c>
      <c r="F1966" s="54" t="n"/>
      <c r="G1966" t="inlineStr">
        <is>
          <t>no aplica (precio mayorista)</t>
        </is>
      </c>
      <c r="J1966" t="inlineStr">
        <is>
          <t>2025-05-15</t>
        </is>
      </c>
      <c r="K1966" t="inlineStr">
        <is>
          <t>marginalpdbc_20250516.1</t>
        </is>
      </c>
      <c r="L1966" t="inlineStr">
        <is>
          <t>24 periodos; mín -10.00, máx 41.21 €/MWh</t>
        </is>
      </c>
    </row>
    <row r="1967">
      <c r="A1967" s="53" t="n">
        <v>45794</v>
      </c>
      <c r="B1967" t="inlineStr">
        <is>
          <t>2025-05-17</t>
        </is>
      </c>
      <c r="C1967" s="45" t="n">
        <v>10.6383</v>
      </c>
      <c r="D1967" t="inlineStr">
        <is>
          <t>€/MWh</t>
        </is>
      </c>
      <c r="E1967" s="54" t="n">
        <v>0.010638</v>
      </c>
      <c r="F1967" s="54" t="n"/>
      <c r="G1967" t="inlineStr">
        <is>
          <t>no aplica (precio mayorista)</t>
        </is>
      </c>
      <c r="J1967" t="inlineStr">
        <is>
          <t>2025-05-16</t>
        </is>
      </c>
      <c r="K1967" t="inlineStr">
        <is>
          <t>marginalpdbc_20250517.1</t>
        </is>
      </c>
      <c r="L1967" t="inlineStr">
        <is>
          <t>24 periodos; mín -11.26, máx 57.12 €/MWh</t>
        </is>
      </c>
    </row>
    <row r="1968">
      <c r="A1968" s="53" t="n">
        <v>45795</v>
      </c>
      <c r="B1968" t="inlineStr">
        <is>
          <t>2025-05-18</t>
        </is>
      </c>
      <c r="C1968" s="45" t="n">
        <v>6.7567</v>
      </c>
      <c r="D1968" t="inlineStr">
        <is>
          <t>€/MWh</t>
        </is>
      </c>
      <c r="E1968" s="54" t="n">
        <v>0.006757</v>
      </c>
      <c r="F1968" s="54" t="n"/>
      <c r="G1968" t="inlineStr">
        <is>
          <t>no aplica (precio mayorista)</t>
        </is>
      </c>
      <c r="J1968" t="inlineStr">
        <is>
          <t>2025-05-17</t>
        </is>
      </c>
      <c r="K1968" t="inlineStr">
        <is>
          <t>marginalpdbc_20250518.1</t>
        </is>
      </c>
      <c r="L1968" t="inlineStr">
        <is>
          <t>24 periodos; mín -15.00, máx 40.70 €/MWh</t>
        </is>
      </c>
    </row>
    <row r="1969">
      <c r="A1969" s="53" t="n">
        <v>45796</v>
      </c>
      <c r="B1969" t="inlineStr">
        <is>
          <t>2025-05-19</t>
        </is>
      </c>
      <c r="C1969" s="45" t="n">
        <v>12.8488</v>
      </c>
      <c r="D1969" t="inlineStr">
        <is>
          <t>€/MWh</t>
        </is>
      </c>
      <c r="E1969" s="54" t="n">
        <v>0.012849</v>
      </c>
      <c r="F1969" s="54" t="n"/>
      <c r="G1969" t="inlineStr">
        <is>
          <t>no aplica (precio mayorista)</t>
        </is>
      </c>
      <c r="J1969" t="inlineStr">
        <is>
          <t>2025-05-18</t>
        </is>
      </c>
      <c r="K1969" t="inlineStr">
        <is>
          <t>marginalpdbc_20250519.1</t>
        </is>
      </c>
      <c r="L1969" t="inlineStr">
        <is>
          <t>24 periodos; mín -2.50, máx 42.99 €/MWh</t>
        </is>
      </c>
    </row>
    <row r="1970">
      <c r="A1970" s="53" t="n">
        <v>45797</v>
      </c>
      <c r="B1970" t="inlineStr">
        <is>
          <t>2025-05-20</t>
        </is>
      </c>
      <c r="C1970" s="45" t="n">
        <v>13.4087</v>
      </c>
      <c r="D1970" t="inlineStr">
        <is>
          <t>€/MWh</t>
        </is>
      </c>
      <c r="E1970" s="54" t="n">
        <v>0.013409</v>
      </c>
      <c r="F1970" s="54" t="n"/>
      <c r="G1970" t="inlineStr">
        <is>
          <t>no aplica (precio mayorista)</t>
        </is>
      </c>
      <c r="J1970" t="inlineStr">
        <is>
          <t>2025-05-19</t>
        </is>
      </c>
      <c r="K1970" t="inlineStr">
        <is>
          <t>marginalpdbc_20250520.1</t>
        </is>
      </c>
      <c r="L1970" t="inlineStr">
        <is>
          <t>24 periodos; mín -3.75, máx 54.00 €/MWh</t>
        </is>
      </c>
    </row>
    <row r="1971">
      <c r="A1971" s="53" t="n">
        <v>45798</v>
      </c>
      <c r="B1971" t="inlineStr">
        <is>
          <t>2025-05-21</t>
        </is>
      </c>
      <c r="C1971" s="45" t="n">
        <v>20.1904</v>
      </c>
      <c r="D1971" t="inlineStr">
        <is>
          <t>€/MWh</t>
        </is>
      </c>
      <c r="E1971" s="54" t="n">
        <v>0.02019</v>
      </c>
      <c r="F1971" s="54" t="n"/>
      <c r="G1971" t="inlineStr">
        <is>
          <t>no aplica (precio mayorista)</t>
        </is>
      </c>
      <c r="J1971" t="inlineStr">
        <is>
          <t>2025-05-20</t>
        </is>
      </c>
      <c r="K1971" t="inlineStr">
        <is>
          <t>marginalpdbc_20250521.1</t>
        </is>
      </c>
      <c r="L1971" t="inlineStr">
        <is>
          <t>24 periodos; mín -1.10, máx 68.21 €/MWh</t>
        </is>
      </c>
    </row>
    <row r="1972">
      <c r="A1972" s="53" t="n">
        <v>45799</v>
      </c>
      <c r="B1972" t="inlineStr">
        <is>
          <t>2025-05-22</t>
        </is>
      </c>
      <c r="C1972" s="45" t="n">
        <v>3.3475</v>
      </c>
      <c r="D1972" t="inlineStr">
        <is>
          <t>€/MWh</t>
        </is>
      </c>
      <c r="E1972" s="54" t="n">
        <v>0.003348</v>
      </c>
      <c r="F1972" s="54" t="n"/>
      <c r="G1972" t="inlineStr">
        <is>
          <t>no aplica (precio mayorista)</t>
        </is>
      </c>
      <c r="J1972" t="inlineStr">
        <is>
          <t>2025-05-21</t>
        </is>
      </c>
      <c r="K1972" t="inlineStr">
        <is>
          <t>marginalpdbc_20250522.1</t>
        </is>
      </c>
      <c r="L1972" t="inlineStr">
        <is>
          <t>24 periodos; mín -5.00, máx 24.42 €/MWh</t>
        </is>
      </c>
    </row>
    <row r="1973">
      <c r="A1973" s="53" t="n">
        <v>45800</v>
      </c>
      <c r="B1973" t="inlineStr">
        <is>
          <t>2025-05-23</t>
        </is>
      </c>
      <c r="C1973" s="45" t="n">
        <v>5.1142</v>
      </c>
      <c r="D1973" t="inlineStr">
        <is>
          <t>€/MWh</t>
        </is>
      </c>
      <c r="E1973" s="54" t="n">
        <v>0.005114</v>
      </c>
      <c r="F1973" s="54" t="n"/>
      <c r="G1973" t="inlineStr">
        <is>
          <t>no aplica (precio mayorista)</t>
        </is>
      </c>
      <c r="J1973" t="inlineStr">
        <is>
          <t>2025-05-22</t>
        </is>
      </c>
      <c r="K1973" t="inlineStr">
        <is>
          <t>marginalpdbc_20250523.1</t>
        </is>
      </c>
      <c r="L1973" t="inlineStr">
        <is>
          <t>24 periodos; mín -3.00, máx 31.00 €/MWh</t>
        </is>
      </c>
    </row>
    <row r="1974">
      <c r="A1974" s="53" t="n">
        <v>45801</v>
      </c>
      <c r="B1974" t="inlineStr">
        <is>
          <t>2025-05-24</t>
        </is>
      </c>
      <c r="C1974" s="45" t="n">
        <v>7.1958</v>
      </c>
      <c r="D1974" t="inlineStr">
        <is>
          <t>€/MWh</t>
        </is>
      </c>
      <c r="E1974" s="54" t="n">
        <v>0.007196</v>
      </c>
      <c r="F1974" s="54" t="n"/>
      <c r="G1974" t="inlineStr">
        <is>
          <t>no aplica (precio mayorista)</t>
        </is>
      </c>
      <c r="J1974" t="inlineStr">
        <is>
          <t>2025-05-23</t>
        </is>
      </c>
      <c r="K1974" t="inlineStr">
        <is>
          <t>marginalpdbc_20250524.1</t>
        </is>
      </c>
      <c r="L1974" t="inlineStr">
        <is>
          <t>24 periodos; mín -9.70, máx 52.00 €/MWh</t>
        </is>
      </c>
    </row>
    <row r="1975">
      <c r="A1975" s="53" t="n">
        <v>45802</v>
      </c>
      <c r="B1975" t="inlineStr">
        <is>
          <t>2025-05-25</t>
        </is>
      </c>
      <c r="C1975" s="45" t="n">
        <v>6.4696</v>
      </c>
      <c r="D1975" t="inlineStr">
        <is>
          <t>€/MWh</t>
        </is>
      </c>
      <c r="E1975" s="54" t="n">
        <v>0.00647</v>
      </c>
      <c r="F1975" s="54" t="n"/>
      <c r="G1975" t="inlineStr">
        <is>
          <t>no aplica (precio mayorista)</t>
        </is>
      </c>
      <c r="J1975" t="inlineStr">
        <is>
          <t>2025-05-24</t>
        </is>
      </c>
      <c r="K1975" t="inlineStr">
        <is>
          <t>marginalpdbc_20250525.1</t>
        </is>
      </c>
      <c r="L1975" t="inlineStr">
        <is>
          <t>24 periodos; mín -15.00, máx 35.01 €/MWh</t>
        </is>
      </c>
    </row>
    <row r="1976">
      <c r="A1976" s="53" t="n">
        <v>45803</v>
      </c>
      <c r="B1976" t="inlineStr">
        <is>
          <t>2025-05-26</t>
        </is>
      </c>
      <c r="C1976" s="45" t="n">
        <v>17.1771</v>
      </c>
      <c r="D1976" t="inlineStr">
        <is>
          <t>€/MWh</t>
        </is>
      </c>
      <c r="E1976" s="54" t="n">
        <v>0.017177</v>
      </c>
      <c r="F1976" s="54" t="n"/>
      <c r="G1976" t="inlineStr">
        <is>
          <t>no aplica (precio mayorista)</t>
        </is>
      </c>
      <c r="J1976" t="inlineStr">
        <is>
          <t>2025-05-25</t>
        </is>
      </c>
      <c r="K1976" t="inlineStr">
        <is>
          <t>marginalpdbc_20250526.1</t>
        </is>
      </c>
      <c r="L1976" t="inlineStr">
        <is>
          <t>24 periodos; mín -0.50, máx 76.06 €/MWh</t>
        </is>
      </c>
    </row>
    <row r="1977">
      <c r="A1977" s="53" t="n">
        <v>45804</v>
      </c>
      <c r="B1977" t="inlineStr">
        <is>
          <t>2025-05-27</t>
        </is>
      </c>
      <c r="C1977" s="45" t="n">
        <v>26.8417</v>
      </c>
      <c r="D1977" t="inlineStr">
        <is>
          <t>€/MWh</t>
        </is>
      </c>
      <c r="E1977" s="54" t="n">
        <v>0.026842</v>
      </c>
      <c r="F1977" s="54" t="n"/>
      <c r="G1977" t="inlineStr">
        <is>
          <t>no aplica (precio mayorista)</t>
        </is>
      </c>
      <c r="J1977" t="inlineStr">
        <is>
          <t>2025-05-26</t>
        </is>
      </c>
      <c r="K1977" t="inlineStr">
        <is>
          <t>marginalpdbc_20250527.1</t>
        </is>
      </c>
      <c r="L1977" t="inlineStr">
        <is>
          <t>24 periodos; mín -0.01, máx 111.16 €/MWh</t>
        </is>
      </c>
    </row>
    <row r="1978">
      <c r="A1978" s="53" t="n">
        <v>45805</v>
      </c>
      <c r="B1978" t="inlineStr">
        <is>
          <t>2025-05-28</t>
        </is>
      </c>
      <c r="C1978" s="45" t="n">
        <v>27.7796</v>
      </c>
      <c r="D1978" t="inlineStr">
        <is>
          <t>€/MWh</t>
        </is>
      </c>
      <c r="E1978" s="54" t="n">
        <v>0.02778</v>
      </c>
      <c r="F1978" s="54" t="n"/>
      <c r="G1978" t="inlineStr">
        <is>
          <t>no aplica (precio mayorista)</t>
        </is>
      </c>
      <c r="J1978" t="inlineStr">
        <is>
          <t>2025-05-27</t>
        </is>
      </c>
      <c r="K1978" t="inlineStr">
        <is>
          <t>marginalpdbc_20250528.1</t>
        </is>
      </c>
      <c r="L1978" t="inlineStr">
        <is>
          <t>24 periodos; mín -0.62, máx 100.86 €/MWh</t>
        </is>
      </c>
    </row>
    <row r="1979">
      <c r="A1979" s="53" t="n">
        <v>45806</v>
      </c>
      <c r="B1979" t="inlineStr">
        <is>
          <t>2025-05-29</t>
        </is>
      </c>
      <c r="C1979" s="45" t="n">
        <v>35.0133</v>
      </c>
      <c r="D1979" t="inlineStr">
        <is>
          <t>€/MWh</t>
        </is>
      </c>
      <c r="E1979" s="54" t="n">
        <v>0.035013</v>
      </c>
      <c r="F1979" s="54" t="n"/>
      <c r="G1979" t="inlineStr">
        <is>
          <t>no aplica (precio mayorista)</t>
        </is>
      </c>
      <c r="J1979" t="inlineStr">
        <is>
          <t>2025-05-28</t>
        </is>
      </c>
      <c r="K1979" t="inlineStr">
        <is>
          <t>marginalpdbc_20250529.1</t>
        </is>
      </c>
      <c r="L1979" t="inlineStr">
        <is>
          <t>24 periodos; mín -0.90, máx 134.99 €/MWh</t>
        </is>
      </c>
    </row>
    <row r="1980">
      <c r="A1980" s="53" t="n">
        <v>45807</v>
      </c>
      <c r="B1980" t="inlineStr">
        <is>
          <t>2025-05-30</t>
        </is>
      </c>
      <c r="C1980" s="45" t="n">
        <v>43.9579</v>
      </c>
      <c r="D1980" t="inlineStr">
        <is>
          <t>€/MWh</t>
        </is>
      </c>
      <c r="E1980" s="54" t="n">
        <v>0.043958</v>
      </c>
      <c r="F1980" s="54" t="n"/>
      <c r="G1980" t="inlineStr">
        <is>
          <t>no aplica (precio mayorista)</t>
        </is>
      </c>
      <c r="J1980" t="inlineStr">
        <is>
          <t>2025-05-29</t>
        </is>
      </c>
      <c r="K1980" t="inlineStr">
        <is>
          <t>marginalpdbc_20250530.1</t>
        </is>
      </c>
      <c r="L1980" t="inlineStr">
        <is>
          <t>24 periodos; mín -0.07, máx 130.19 €/MWh</t>
        </is>
      </c>
    </row>
    <row r="1981">
      <c r="A1981" s="53" t="n">
        <v>45808</v>
      </c>
      <c r="B1981" t="inlineStr">
        <is>
          <t>2025-05-31</t>
        </is>
      </c>
      <c r="C1981" s="45" t="n">
        <v>40.2379</v>
      </c>
      <c r="D1981" t="inlineStr">
        <is>
          <t>€/MWh</t>
        </is>
      </c>
      <c r="E1981" s="54" t="n">
        <v>0.040238</v>
      </c>
      <c r="F1981" s="54" t="n"/>
      <c r="G1981" t="inlineStr">
        <is>
          <t>no aplica (precio mayorista)</t>
        </is>
      </c>
      <c r="J1981" t="inlineStr">
        <is>
          <t>2025-05-30</t>
        </is>
      </c>
      <c r="K1981" t="inlineStr">
        <is>
          <t>marginalpdbc_20250531.1</t>
        </is>
      </c>
      <c r="L1981" t="inlineStr">
        <is>
          <t>24 periodos; mín -5.48, máx 107.00 €/MWh</t>
        </is>
      </c>
    </row>
    <row r="1982">
      <c r="A1982" s="53" t="n">
        <v>45809</v>
      </c>
      <c r="B1982" t="inlineStr">
        <is>
          <t>2025-06-01</t>
        </is>
      </c>
      <c r="C1982" s="45" t="n">
        <v>19.4979</v>
      </c>
      <c r="D1982" t="inlineStr">
        <is>
          <t>€/MWh</t>
        </is>
      </c>
      <c r="E1982" s="54" t="n">
        <v>0.019498</v>
      </c>
      <c r="F1982" s="54" t="n"/>
      <c r="G1982" t="inlineStr">
        <is>
          <t>no aplica (precio mayorista)</t>
        </is>
      </c>
      <c r="J1982" t="inlineStr">
        <is>
          <t>2025-05-31</t>
        </is>
      </c>
      <c r="K1982" t="inlineStr">
        <is>
          <t>marginalpdbc_20250601.1</t>
        </is>
      </c>
      <c r="L1982" t="inlineStr">
        <is>
          <t>24 periodos; mín -6.01, máx 60.00 €/MWh</t>
        </is>
      </c>
    </row>
    <row r="1983">
      <c r="A1983" s="53" t="n">
        <v>45810</v>
      </c>
      <c r="B1983" t="inlineStr">
        <is>
          <t>2025-06-02</t>
        </is>
      </c>
      <c r="C1983" s="45" t="n">
        <v>31.1338</v>
      </c>
      <c r="D1983" t="inlineStr">
        <is>
          <t>€/MWh</t>
        </is>
      </c>
      <c r="E1983" s="54" t="n">
        <v>0.031134</v>
      </c>
      <c r="F1983" s="54" t="n"/>
      <c r="G1983" t="inlineStr">
        <is>
          <t>no aplica (precio mayorista)</t>
        </is>
      </c>
      <c r="J1983" t="inlineStr">
        <is>
          <t>2025-06-01</t>
        </is>
      </c>
      <c r="K1983" t="inlineStr">
        <is>
          <t>marginalpdbc_20250602.1</t>
        </is>
      </c>
      <c r="L1983" t="inlineStr">
        <is>
          <t>24 periodos; mín 0.00, máx 100.00 €/MWh</t>
        </is>
      </c>
    </row>
    <row r="1984">
      <c r="A1984" s="53" t="n">
        <v>45811</v>
      </c>
      <c r="B1984" t="inlineStr">
        <is>
          <t>2025-06-03</t>
        </is>
      </c>
      <c r="C1984" s="45" t="n">
        <v>51.6946</v>
      </c>
      <c r="D1984" t="inlineStr">
        <is>
          <t>€/MWh</t>
        </is>
      </c>
      <c r="E1984" s="54" t="n">
        <v>0.051695</v>
      </c>
      <c r="F1984" s="54" t="n"/>
      <c r="G1984" t="inlineStr">
        <is>
          <t>no aplica (precio mayorista)</t>
        </is>
      </c>
      <c r="J1984" t="inlineStr">
        <is>
          <t>2025-06-02</t>
        </is>
      </c>
      <c r="K1984" t="inlineStr">
        <is>
          <t>marginalpdbc_20250603.1</t>
        </is>
      </c>
      <c r="L1984" t="inlineStr">
        <is>
          <t>24 periodos; mín 0.00, máx 108.78 €/MWh</t>
        </is>
      </c>
    </row>
    <row r="1985">
      <c r="A1985" s="53" t="n">
        <v>45812</v>
      </c>
      <c r="B1985" t="inlineStr">
        <is>
          <t>2025-06-04</t>
        </is>
      </c>
      <c r="C1985" s="45" t="n">
        <v>58.5571</v>
      </c>
      <c r="D1985" t="inlineStr">
        <is>
          <t>€/MWh</t>
        </is>
      </c>
      <c r="E1985" s="54" t="n">
        <v>0.058557</v>
      </c>
      <c r="F1985" s="54" t="n"/>
      <c r="G1985" t="inlineStr">
        <is>
          <t>no aplica (precio mayorista)</t>
        </is>
      </c>
      <c r="J1985" t="inlineStr">
        <is>
          <t>2025-06-03</t>
        </is>
      </c>
      <c r="K1985" t="inlineStr">
        <is>
          <t>marginalpdbc_20250604.1</t>
        </is>
      </c>
      <c r="L1985" t="inlineStr">
        <is>
          <t>24 periodos; mín 0.00, máx 127.01 €/MWh</t>
        </is>
      </c>
    </row>
    <row r="1986">
      <c r="A1986" s="53" t="n">
        <v>45813</v>
      </c>
      <c r="B1986" t="inlineStr">
        <is>
          <t>2025-06-05</t>
        </is>
      </c>
      <c r="C1986" s="45" t="n">
        <v>59.5204</v>
      </c>
      <c r="D1986" t="inlineStr">
        <is>
          <t>€/MWh</t>
        </is>
      </c>
      <c r="E1986" s="54" t="n">
        <v>0.05952</v>
      </c>
      <c r="F1986" s="54" t="n"/>
      <c r="G1986" t="inlineStr">
        <is>
          <t>no aplica (precio mayorista)</t>
        </is>
      </c>
      <c r="J1986" t="inlineStr">
        <is>
          <t>2025-06-04</t>
        </is>
      </c>
      <c r="K1986" t="inlineStr">
        <is>
          <t>marginalpdbc_20250605.1</t>
        </is>
      </c>
      <c r="L1986" t="inlineStr">
        <is>
          <t>24 periodos; mín -0.01, máx 142.03 €/MWh</t>
        </is>
      </c>
    </row>
    <row r="1987">
      <c r="A1987" s="53" t="n">
        <v>45814</v>
      </c>
      <c r="B1987" t="inlineStr">
        <is>
          <t>2025-06-06</t>
        </is>
      </c>
      <c r="C1987" s="45" t="n">
        <v>71.53879999999999</v>
      </c>
      <c r="D1987" t="inlineStr">
        <is>
          <t>€/MWh</t>
        </is>
      </c>
      <c r="E1987" s="54" t="n">
        <v>0.07153900000000001</v>
      </c>
      <c r="F1987" s="54" t="n"/>
      <c r="G1987" t="inlineStr">
        <is>
          <t>no aplica (precio mayorista)</t>
        </is>
      </c>
      <c r="J1987" t="inlineStr">
        <is>
          <t>2025-06-05</t>
        </is>
      </c>
      <c r="K1987" t="inlineStr">
        <is>
          <t>marginalpdbc_20250606.1</t>
        </is>
      </c>
      <c r="L1987" t="inlineStr">
        <is>
          <t>24 periodos; mín 0.00, máx 140.34 €/MWh</t>
        </is>
      </c>
    </row>
    <row r="1988">
      <c r="A1988" s="53" t="n">
        <v>45815</v>
      </c>
      <c r="B1988" t="inlineStr">
        <is>
          <t>2025-06-07</t>
        </is>
      </c>
      <c r="C1988" s="45" t="n">
        <v>49.5717</v>
      </c>
      <c r="D1988" t="inlineStr">
        <is>
          <t>€/MWh</t>
        </is>
      </c>
      <c r="E1988" s="54" t="n">
        <v>0.049572</v>
      </c>
      <c r="F1988" s="54" t="n"/>
      <c r="G1988" t="inlineStr">
        <is>
          <t>no aplica (precio mayorista)</t>
        </is>
      </c>
      <c r="J1988" t="inlineStr">
        <is>
          <t>2025-06-06</t>
        </is>
      </c>
      <c r="K1988" t="inlineStr">
        <is>
          <t>marginalpdbc_20250607.1</t>
        </is>
      </c>
      <c r="L1988" t="inlineStr">
        <is>
          <t>24 periodos; mín -1.21, máx 112.84 €/MWh</t>
        </is>
      </c>
    </row>
    <row r="1989">
      <c r="A1989" s="53" t="n">
        <v>45816</v>
      </c>
      <c r="B1989" t="inlineStr">
        <is>
          <t>2025-06-08</t>
        </is>
      </c>
      <c r="C1989" s="45" t="n">
        <v>37.8217</v>
      </c>
      <c r="D1989" t="inlineStr">
        <is>
          <t>€/MWh</t>
        </is>
      </c>
      <c r="E1989" s="54" t="n">
        <v>0.037822</v>
      </c>
      <c r="F1989" s="54" t="n"/>
      <c r="G1989" t="inlineStr">
        <is>
          <t>no aplica (precio mayorista)</t>
        </is>
      </c>
      <c r="J1989" t="inlineStr">
        <is>
          <t>2025-06-07</t>
        </is>
      </c>
      <c r="K1989" t="inlineStr">
        <is>
          <t>marginalpdbc_20250608.1</t>
        </is>
      </c>
      <c r="L1989" t="inlineStr">
        <is>
          <t>24 periodos; mín -3.00, máx 109.29 €/MWh</t>
        </is>
      </c>
    </row>
    <row r="1990">
      <c r="A1990" s="53" t="n">
        <v>45817</v>
      </c>
      <c r="B1990" t="inlineStr">
        <is>
          <t>2025-06-09</t>
        </is>
      </c>
      <c r="C1990" s="45" t="n">
        <v>61.505</v>
      </c>
      <c r="D1990" t="inlineStr">
        <is>
          <t>€/MWh</t>
        </is>
      </c>
      <c r="E1990" s="54" t="n">
        <v>0.061505</v>
      </c>
      <c r="F1990" s="54" t="n"/>
      <c r="G1990" t="inlineStr">
        <is>
          <t>no aplica (precio mayorista)</t>
        </is>
      </c>
      <c r="J1990" t="inlineStr">
        <is>
          <t>2025-06-08</t>
        </is>
      </c>
      <c r="K1990" t="inlineStr">
        <is>
          <t>marginalpdbc_20250609.1</t>
        </is>
      </c>
      <c r="L1990" t="inlineStr">
        <is>
          <t>24 periodos; mín 1.72, máx 135.00 €/MWh</t>
        </is>
      </c>
    </row>
    <row r="1991">
      <c r="A1991" s="53" t="n">
        <v>45818</v>
      </c>
      <c r="B1991" t="inlineStr">
        <is>
          <t>2025-06-10</t>
        </is>
      </c>
      <c r="C1991" s="45" t="n">
        <v>100.1929</v>
      </c>
      <c r="D1991" t="inlineStr">
        <is>
          <t>€/MWh</t>
        </is>
      </c>
      <c r="E1991" s="54" t="n">
        <v>0.100193</v>
      </c>
      <c r="F1991" s="54" t="n"/>
      <c r="G1991" t="inlineStr">
        <is>
          <t>no aplica (precio mayorista)</t>
        </is>
      </c>
      <c r="J1991" t="inlineStr">
        <is>
          <t>2025-06-09</t>
        </is>
      </c>
      <c r="K1991" t="inlineStr">
        <is>
          <t>marginalpdbc_20250610.1</t>
        </is>
      </c>
      <c r="L1991" t="inlineStr">
        <is>
          <t>24 periodos; mín 54.88, máx 124.35 €/MWh</t>
        </is>
      </c>
    </row>
    <row r="1992">
      <c r="A1992" s="53" t="n">
        <v>45819</v>
      </c>
      <c r="B1992" t="inlineStr">
        <is>
          <t>2025-06-11</t>
        </is>
      </c>
      <c r="C1992" s="45" t="n">
        <v>73.6292</v>
      </c>
      <c r="D1992" t="inlineStr">
        <is>
          <t>€/MWh</t>
        </is>
      </c>
      <c r="E1992" s="54" t="n">
        <v>0.073629</v>
      </c>
      <c r="F1992" s="54" t="n"/>
      <c r="G1992" t="inlineStr">
        <is>
          <t>no aplica (precio mayorista)</t>
        </is>
      </c>
      <c r="J1992" t="inlineStr">
        <is>
          <t>2025-06-10</t>
        </is>
      </c>
      <c r="K1992" t="inlineStr">
        <is>
          <t>marginalpdbc_20250611.1</t>
        </is>
      </c>
      <c r="L1992" t="inlineStr">
        <is>
          <t>24 periodos; mín 1.10, máx 115.50 €/MWh</t>
        </is>
      </c>
    </row>
    <row r="1993">
      <c r="A1993" s="53" t="n">
        <v>45820</v>
      </c>
      <c r="B1993" t="inlineStr">
        <is>
          <t>2025-06-12</t>
        </is>
      </c>
      <c r="C1993" s="45" t="n">
        <v>62.4192</v>
      </c>
      <c r="D1993" t="inlineStr">
        <is>
          <t>€/MWh</t>
        </is>
      </c>
      <c r="E1993" s="54" t="n">
        <v>0.062419</v>
      </c>
      <c r="F1993" s="54" t="n"/>
      <c r="G1993" t="inlineStr">
        <is>
          <t>no aplica (precio mayorista)</t>
        </is>
      </c>
      <c r="J1993" t="inlineStr">
        <is>
          <t>2025-06-11</t>
        </is>
      </c>
      <c r="K1993" t="inlineStr">
        <is>
          <t>marginalpdbc_20250612.1</t>
        </is>
      </c>
      <c r="L1993" t="inlineStr">
        <is>
          <t>24 periodos; mín -0.01, máx 140.64 €/MWh</t>
        </is>
      </c>
    </row>
    <row r="1994">
      <c r="A1994" s="53" t="n">
        <v>45821</v>
      </c>
      <c r="B1994" t="inlineStr">
        <is>
          <t>2025-06-13</t>
        </is>
      </c>
      <c r="C1994" s="45" t="n">
        <v>69.72880000000001</v>
      </c>
      <c r="D1994" t="inlineStr">
        <is>
          <t>€/MWh</t>
        </is>
      </c>
      <c r="E1994" s="54" t="n">
        <v>0.069729</v>
      </c>
      <c r="F1994" s="54" t="n"/>
      <c r="G1994" t="inlineStr">
        <is>
          <t>no aplica (precio mayorista)</t>
        </is>
      </c>
      <c r="J1994" t="inlineStr">
        <is>
          <t>2025-06-12</t>
        </is>
      </c>
      <c r="K1994" t="inlineStr">
        <is>
          <t>marginalpdbc_20250613.1</t>
        </is>
      </c>
      <c r="L1994" t="inlineStr">
        <is>
          <t>24 periodos; mín -0.01, máx 126.84 €/MWh</t>
        </is>
      </c>
    </row>
    <row r="1995">
      <c r="A1995" s="53" t="n">
        <v>45822</v>
      </c>
      <c r="B1995" t="inlineStr">
        <is>
          <t>2025-06-14</t>
        </is>
      </c>
      <c r="C1995" s="45" t="n">
        <v>56.6804</v>
      </c>
      <c r="D1995" t="inlineStr">
        <is>
          <t>€/MWh</t>
        </is>
      </c>
      <c r="E1995" s="54" t="n">
        <v>0.05668</v>
      </c>
      <c r="F1995" s="54" t="n"/>
      <c r="G1995" t="inlineStr">
        <is>
          <t>no aplica (precio mayorista)</t>
        </is>
      </c>
      <c r="J1995" t="inlineStr">
        <is>
          <t>2025-06-13</t>
        </is>
      </c>
      <c r="K1995" t="inlineStr">
        <is>
          <t>marginalpdbc_20250614.1</t>
        </is>
      </c>
      <c r="L1995" t="inlineStr">
        <is>
          <t>24 periodos; mín -1.50, máx 110.02 €/MWh</t>
        </is>
      </c>
    </row>
    <row r="1996">
      <c r="A1996" s="53" t="n">
        <v>45823</v>
      </c>
      <c r="B1996" t="inlineStr">
        <is>
          <t>2025-06-15</t>
        </is>
      </c>
      <c r="C1996" s="45" t="n">
        <v>22.3304</v>
      </c>
      <c r="D1996" t="inlineStr">
        <is>
          <t>€/MWh</t>
        </is>
      </c>
      <c r="E1996" s="54" t="n">
        <v>0.02233</v>
      </c>
      <c r="F1996" s="54" t="n"/>
      <c r="G1996" t="inlineStr">
        <is>
          <t>no aplica (precio mayorista)</t>
        </is>
      </c>
      <c r="J1996" t="inlineStr">
        <is>
          <t>2025-06-14</t>
        </is>
      </c>
      <c r="K1996" t="inlineStr">
        <is>
          <t>marginalpdbc_20250615.1</t>
        </is>
      </c>
      <c r="L1996" t="inlineStr">
        <is>
          <t>24 periodos; mín -3.00, máx 87.47 €/MWh</t>
        </is>
      </c>
    </row>
    <row r="1997">
      <c r="A1997" s="53" t="n">
        <v>45824</v>
      </c>
      <c r="B1997" t="inlineStr">
        <is>
          <t>2025-06-16</t>
        </is>
      </c>
      <c r="C1997" s="45" t="n">
        <v>52.3596</v>
      </c>
      <c r="D1997" t="inlineStr">
        <is>
          <t>€/MWh</t>
        </is>
      </c>
      <c r="E1997" s="54" t="n">
        <v>0.05236</v>
      </c>
      <c r="F1997" s="54" t="n"/>
      <c r="G1997" t="inlineStr">
        <is>
          <t>no aplica (precio mayorista)</t>
        </is>
      </c>
      <c r="J1997" t="inlineStr">
        <is>
          <t>2025-06-15</t>
        </is>
      </c>
      <c r="K1997" t="inlineStr">
        <is>
          <t>marginalpdbc_20250616.1</t>
        </is>
      </c>
      <c r="L1997" t="inlineStr">
        <is>
          <t>24 periodos; mín 0.65, máx 210.00 €/MWh</t>
        </is>
      </c>
    </row>
    <row r="1998">
      <c r="A1998" s="53" t="n">
        <v>45825</v>
      </c>
      <c r="B1998" t="inlineStr">
        <is>
          <t>2025-06-17</t>
        </is>
      </c>
      <c r="C1998" s="45" t="n">
        <v>94.1404</v>
      </c>
      <c r="D1998" t="inlineStr">
        <is>
          <t>€/MWh</t>
        </is>
      </c>
      <c r="E1998" s="54" t="n">
        <v>0.09414</v>
      </c>
      <c r="F1998" s="54" t="n"/>
      <c r="G1998" t="inlineStr">
        <is>
          <t>no aplica (precio mayorista)</t>
        </is>
      </c>
      <c r="J1998" t="inlineStr">
        <is>
          <t>2025-06-16</t>
        </is>
      </c>
      <c r="K1998" t="inlineStr">
        <is>
          <t>marginalpdbc_20250617.1</t>
        </is>
      </c>
      <c r="L1998" t="inlineStr">
        <is>
          <t>24 periodos; mín 12.00, máx 154.76 €/MWh</t>
        </is>
      </c>
    </row>
    <row r="1999">
      <c r="A1999" s="53" t="n">
        <v>45826</v>
      </c>
      <c r="B1999" t="inlineStr">
        <is>
          <t>2025-06-18</t>
        </is>
      </c>
      <c r="C1999" s="45" t="n">
        <v>106.3238</v>
      </c>
      <c r="D1999" t="inlineStr">
        <is>
          <t>€/MWh</t>
        </is>
      </c>
      <c r="E1999" s="54" t="n">
        <v>0.106324</v>
      </c>
      <c r="F1999" s="54" t="n"/>
      <c r="G1999" t="inlineStr">
        <is>
          <t>no aplica (precio mayorista)</t>
        </is>
      </c>
      <c r="J1999" t="inlineStr">
        <is>
          <t>2025-06-17</t>
        </is>
      </c>
      <c r="K1999" t="inlineStr">
        <is>
          <t>marginalpdbc_20250618.1</t>
        </is>
      </c>
      <c r="L1999" t="inlineStr">
        <is>
          <t>24 periodos; mín 40.01, máx 194.56 €/MWh</t>
        </is>
      </c>
    </row>
    <row r="2000">
      <c r="A2000" s="53" t="n">
        <v>45827</v>
      </c>
      <c r="B2000" t="inlineStr">
        <is>
          <t>2025-06-19</t>
        </is>
      </c>
      <c r="C2000" s="45" t="n">
        <v>116.4575</v>
      </c>
      <c r="D2000" t="inlineStr">
        <is>
          <t>€/MWh</t>
        </is>
      </c>
      <c r="E2000" s="54" t="n">
        <v>0.116457</v>
      </c>
      <c r="F2000" s="54" t="n"/>
      <c r="G2000" t="inlineStr">
        <is>
          <t>no aplica (precio mayorista)</t>
        </is>
      </c>
      <c r="J2000" t="inlineStr">
        <is>
          <t>2025-06-18</t>
        </is>
      </c>
      <c r="K2000" t="inlineStr">
        <is>
          <t>marginalpdbc_20250619.1</t>
        </is>
      </c>
      <c r="L2000" t="inlineStr">
        <is>
          <t>24 periodos; mín 65.00, máx 167.55 €/MWh</t>
        </is>
      </c>
    </row>
    <row r="2001">
      <c r="A2001" s="53" t="n">
        <v>45828</v>
      </c>
      <c r="B2001" t="inlineStr">
        <is>
          <t>2025-06-20</t>
        </is>
      </c>
      <c r="C2001" s="45" t="n">
        <v>113.2492</v>
      </c>
      <c r="D2001" t="inlineStr">
        <is>
          <t>€/MWh</t>
        </is>
      </c>
      <c r="E2001" s="54" t="n">
        <v>0.113249</v>
      </c>
      <c r="F2001" s="54" t="n"/>
      <c r="G2001" t="inlineStr">
        <is>
          <t>no aplica (precio mayorista)</t>
        </is>
      </c>
      <c r="J2001" t="inlineStr">
        <is>
          <t>2025-06-19</t>
        </is>
      </c>
      <c r="K2001" t="inlineStr">
        <is>
          <t>marginalpdbc_20250620.1</t>
        </is>
      </c>
      <c r="L2001" t="inlineStr">
        <is>
          <t>24 periodos; mín 70.00, máx 163.49 €/MWh</t>
        </is>
      </c>
    </row>
    <row r="2002">
      <c r="A2002" s="53" t="n">
        <v>45829</v>
      </c>
      <c r="B2002" t="inlineStr">
        <is>
          <t>2025-06-21</t>
        </is>
      </c>
      <c r="C2002" s="45" t="n">
        <v>76.9896</v>
      </c>
      <c r="D2002" t="inlineStr">
        <is>
          <t>€/MWh</t>
        </is>
      </c>
      <c r="E2002" s="54" t="n">
        <v>0.07699</v>
      </c>
      <c r="F2002" s="54" t="n"/>
      <c r="G2002" t="inlineStr">
        <is>
          <t>no aplica (precio mayorista)</t>
        </is>
      </c>
      <c r="J2002" t="inlineStr">
        <is>
          <t>2025-06-20</t>
        </is>
      </c>
      <c r="K2002" t="inlineStr">
        <is>
          <t>marginalpdbc_20250621.1</t>
        </is>
      </c>
      <c r="L2002" t="inlineStr">
        <is>
          <t>24 periodos; mín 0.00, máx 138.81 €/MWh</t>
        </is>
      </c>
    </row>
    <row r="2003">
      <c r="A2003" s="53" t="n">
        <v>45830</v>
      </c>
      <c r="B2003" t="inlineStr">
        <is>
          <t>2025-06-22</t>
        </is>
      </c>
      <c r="C2003" s="45" t="n">
        <v>67.2512</v>
      </c>
      <c r="D2003" t="inlineStr">
        <is>
          <t>€/MWh</t>
        </is>
      </c>
      <c r="E2003" s="54" t="n">
        <v>0.06725100000000001</v>
      </c>
      <c r="F2003" s="54" t="n"/>
      <c r="G2003" t="inlineStr">
        <is>
          <t>no aplica (precio mayorista)</t>
        </is>
      </c>
      <c r="J2003" t="inlineStr">
        <is>
          <t>2025-06-21</t>
        </is>
      </c>
      <c r="K2003" t="inlineStr">
        <is>
          <t>marginalpdbc_20250622.1</t>
        </is>
      </c>
      <c r="L2003" t="inlineStr">
        <is>
          <t>24 periodos; mín -1.50, máx 130.78 €/MWh</t>
        </is>
      </c>
    </row>
    <row r="2004">
      <c r="A2004" s="53" t="n">
        <v>45831</v>
      </c>
      <c r="B2004" t="inlineStr">
        <is>
          <t>2025-06-23</t>
        </is>
      </c>
      <c r="C2004" s="45" t="n">
        <v>110.5596</v>
      </c>
      <c r="D2004" t="inlineStr">
        <is>
          <t>€/MWh</t>
        </is>
      </c>
      <c r="E2004" s="54" t="n">
        <v>0.11056</v>
      </c>
      <c r="F2004" s="54" t="n"/>
      <c r="G2004" t="inlineStr">
        <is>
          <t>no aplica (precio mayorista)</t>
        </is>
      </c>
      <c r="J2004" t="inlineStr">
        <is>
          <t>2025-06-22</t>
        </is>
      </c>
      <c r="K2004" t="inlineStr">
        <is>
          <t>marginalpdbc_20250623.1</t>
        </is>
      </c>
      <c r="L2004" t="inlineStr">
        <is>
          <t>24 periodos; mín 57.42, máx 195.77 €/MWh</t>
        </is>
      </c>
    </row>
    <row r="2005">
      <c r="A2005" s="53" t="n">
        <v>45832</v>
      </c>
      <c r="B2005" t="inlineStr">
        <is>
          <t>2025-06-24</t>
        </is>
      </c>
      <c r="C2005" s="45" t="n">
        <v>97.1758</v>
      </c>
      <c r="D2005" t="inlineStr">
        <is>
          <t>€/MWh</t>
        </is>
      </c>
      <c r="E2005" s="54" t="n">
        <v>0.097176</v>
      </c>
      <c r="F2005" s="54" t="n"/>
      <c r="G2005" t="inlineStr">
        <is>
          <t>no aplica (precio mayorista)</t>
        </is>
      </c>
      <c r="J2005" t="inlineStr">
        <is>
          <t>2025-06-23</t>
        </is>
      </c>
      <c r="K2005" t="inlineStr">
        <is>
          <t>marginalpdbc_20250624.1</t>
        </is>
      </c>
      <c r="L2005" t="inlineStr">
        <is>
          <t>24 periodos; mín 7.50, máx 154.52 €/MWh</t>
        </is>
      </c>
    </row>
    <row r="2006">
      <c r="A2006" s="53" t="n">
        <v>45833</v>
      </c>
      <c r="B2006" t="inlineStr">
        <is>
          <t>2025-06-25</t>
        </is>
      </c>
      <c r="C2006" s="45" t="n">
        <v>81.06</v>
      </c>
      <c r="D2006" t="inlineStr">
        <is>
          <t>€/MWh</t>
        </is>
      </c>
      <c r="E2006" s="54" t="n">
        <v>0.08105999999999999</v>
      </c>
      <c r="F2006" s="54" t="n"/>
      <c r="G2006" t="inlineStr">
        <is>
          <t>no aplica (precio mayorista)</t>
        </is>
      </c>
      <c r="J2006" t="inlineStr">
        <is>
          <t>2025-06-24</t>
        </is>
      </c>
      <c r="K2006" t="inlineStr">
        <is>
          <t>marginalpdbc_20250625.1</t>
        </is>
      </c>
      <c r="L2006" t="inlineStr">
        <is>
          <t>24 periodos; mín 2.44, máx 154.52 €/MWh</t>
        </is>
      </c>
    </row>
    <row r="2007">
      <c r="A2007" s="53" t="n">
        <v>45834</v>
      </c>
      <c r="B2007" t="inlineStr">
        <is>
          <t>2025-06-26</t>
        </is>
      </c>
      <c r="C2007" s="45" t="n">
        <v>93.0296</v>
      </c>
      <c r="D2007" t="inlineStr">
        <is>
          <t>€/MWh</t>
        </is>
      </c>
      <c r="E2007" s="54" t="n">
        <v>0.09303</v>
      </c>
      <c r="F2007" s="54" t="n"/>
      <c r="G2007" t="inlineStr">
        <is>
          <t>no aplica (precio mayorista)</t>
        </is>
      </c>
      <c r="J2007" t="inlineStr">
        <is>
          <t>2025-06-25</t>
        </is>
      </c>
      <c r="K2007" t="inlineStr">
        <is>
          <t>marginalpdbc_20250626.1</t>
        </is>
      </c>
      <c r="L2007" t="inlineStr">
        <is>
          <t>24 periodos; mín 36.20, máx 159.62 €/MWh</t>
        </is>
      </c>
    </row>
    <row r="2008">
      <c r="A2008" s="53" t="n">
        <v>45835</v>
      </c>
      <c r="B2008" t="inlineStr">
        <is>
          <t>2025-06-27</t>
        </is>
      </c>
      <c r="C2008" s="45" t="n">
        <v>93.0958</v>
      </c>
      <c r="D2008" t="inlineStr">
        <is>
          <t>€/MWh</t>
        </is>
      </c>
      <c r="E2008" s="54" t="n">
        <v>0.093096</v>
      </c>
      <c r="F2008" s="54" t="n"/>
      <c r="G2008" t="inlineStr">
        <is>
          <t>no aplica (precio mayorista)</t>
        </is>
      </c>
      <c r="J2008" t="inlineStr">
        <is>
          <t>2025-06-26</t>
        </is>
      </c>
      <c r="K2008" t="inlineStr">
        <is>
          <t>marginalpdbc_20250627.1</t>
        </is>
      </c>
      <c r="L2008" t="inlineStr">
        <is>
          <t>24 periodos; mín 35.00, máx 141.05 €/MWh</t>
        </is>
      </c>
    </row>
    <row r="2009">
      <c r="A2009" s="53" t="n">
        <v>45836</v>
      </c>
      <c r="B2009" t="inlineStr">
        <is>
          <t>2025-06-28</t>
        </is>
      </c>
      <c r="C2009" s="45" t="n">
        <v>68.3904</v>
      </c>
      <c r="D2009" t="inlineStr">
        <is>
          <t>€/MWh</t>
        </is>
      </c>
      <c r="E2009" s="54" t="n">
        <v>0.06839000000000001</v>
      </c>
      <c r="F2009" s="54" t="n"/>
      <c r="G2009" t="inlineStr">
        <is>
          <t>no aplica (precio mayorista)</t>
        </is>
      </c>
      <c r="J2009" t="inlineStr">
        <is>
          <t>2025-06-27</t>
        </is>
      </c>
      <c r="K2009" t="inlineStr">
        <is>
          <t>marginalpdbc_20250628.1</t>
        </is>
      </c>
      <c r="L2009" t="inlineStr">
        <is>
          <t>24 periodos; mín 0.65, máx 132.65 €/MWh</t>
        </is>
      </c>
    </row>
    <row r="2010">
      <c r="A2010" s="53" t="n">
        <v>45837</v>
      </c>
      <c r="B2010" t="inlineStr">
        <is>
          <t>2025-06-29</t>
        </is>
      </c>
      <c r="C2010" s="45" t="n">
        <v>71.0746</v>
      </c>
      <c r="D2010" t="inlineStr">
        <is>
          <t>€/MWh</t>
        </is>
      </c>
      <c r="E2010" s="54" t="n">
        <v>0.071075</v>
      </c>
      <c r="F2010" s="54" t="n"/>
      <c r="G2010" t="inlineStr">
        <is>
          <t>no aplica (precio mayorista)</t>
        </is>
      </c>
      <c r="J2010" t="inlineStr">
        <is>
          <t>2025-06-28</t>
        </is>
      </c>
      <c r="K2010" t="inlineStr">
        <is>
          <t>marginalpdbc_20250629.1</t>
        </is>
      </c>
      <c r="L2010" t="inlineStr">
        <is>
          <t>24 periodos; mín 0.85, máx 154.52 €/MWh</t>
        </is>
      </c>
    </row>
    <row r="2011">
      <c r="A2011" s="53" t="n">
        <v>45838</v>
      </c>
      <c r="B2011" t="inlineStr">
        <is>
          <t>2025-06-30</t>
        </is>
      </c>
      <c r="C2011" s="45" t="n">
        <v>110.9375</v>
      </c>
      <c r="D2011" t="inlineStr">
        <is>
          <t>€/MWh</t>
        </is>
      </c>
      <c r="E2011" s="54" t="n">
        <v>0.110937</v>
      </c>
      <c r="F2011" s="54" t="n"/>
      <c r="G2011" t="inlineStr">
        <is>
          <t>no aplica (precio mayorista)</t>
        </is>
      </c>
      <c r="J2011" t="inlineStr">
        <is>
          <t>2025-06-29</t>
        </is>
      </c>
      <c r="K2011" t="inlineStr">
        <is>
          <t>marginalpdbc_20250630.1</t>
        </is>
      </c>
      <c r="L2011" t="inlineStr">
        <is>
          <t>24 periodos; mín 77.75, máx 175.01 €/MWh</t>
        </is>
      </c>
    </row>
    <row r="2012">
      <c r="A2012" s="53" t="n">
        <v>45839</v>
      </c>
      <c r="B2012" t="inlineStr">
        <is>
          <t>2025-07-01</t>
        </is>
      </c>
      <c r="C2012" s="45" t="n">
        <v>111.2008</v>
      </c>
      <c r="D2012" t="inlineStr">
        <is>
          <t>€/MWh</t>
        </is>
      </c>
      <c r="E2012" s="54" t="n">
        <v>0.111201</v>
      </c>
      <c r="F2012" s="54" t="n"/>
      <c r="G2012" t="inlineStr">
        <is>
          <t>no aplica (precio mayorista)</t>
        </is>
      </c>
      <c r="J2012" t="inlineStr">
        <is>
          <t>2025-06-30</t>
        </is>
      </c>
      <c r="K2012" t="inlineStr">
        <is>
          <t>marginalpdbc_20250701.1</t>
        </is>
      </c>
      <c r="L2012" t="inlineStr">
        <is>
          <t>24 periodos; mín 80.00, máx 167.00 €/MWh</t>
        </is>
      </c>
    </row>
    <row r="2013">
      <c r="A2013" s="53" t="n">
        <v>45840</v>
      </c>
      <c r="B2013" t="inlineStr">
        <is>
          <t>2025-07-02</t>
        </is>
      </c>
      <c r="C2013" s="45" t="n">
        <v>100.3583</v>
      </c>
      <c r="D2013" t="inlineStr">
        <is>
          <t>€/MWh</t>
        </is>
      </c>
      <c r="E2013" s="54" t="n">
        <v>0.100358</v>
      </c>
      <c r="F2013" s="54" t="n"/>
      <c r="G2013" t="inlineStr">
        <is>
          <t>no aplica (precio mayorista)</t>
        </is>
      </c>
      <c r="J2013" t="inlineStr">
        <is>
          <t>2025-07-01</t>
        </is>
      </c>
      <c r="K2013" t="inlineStr">
        <is>
          <t>marginalpdbc_20250702.1</t>
        </is>
      </c>
      <c r="L2013" t="inlineStr">
        <is>
          <t>24 periodos; mín 70.64, máx 130.14 €/MWh</t>
        </is>
      </c>
    </row>
    <row r="2014">
      <c r="A2014" s="53" t="n">
        <v>45841</v>
      </c>
      <c r="B2014" t="inlineStr">
        <is>
          <t>2025-07-03</t>
        </is>
      </c>
      <c r="C2014" s="45" t="n">
        <v>91.3317</v>
      </c>
      <c r="D2014" t="inlineStr">
        <is>
          <t>€/MWh</t>
        </is>
      </c>
      <c r="E2014" s="54" t="n">
        <v>0.091332</v>
      </c>
      <c r="F2014" s="54" t="n"/>
      <c r="G2014" t="inlineStr">
        <is>
          <t>no aplica (precio mayorista)</t>
        </is>
      </c>
      <c r="J2014" t="inlineStr">
        <is>
          <t>2025-07-02</t>
        </is>
      </c>
      <c r="K2014" t="inlineStr">
        <is>
          <t>marginalpdbc_20250703.1</t>
        </is>
      </c>
      <c r="L2014" t="inlineStr">
        <is>
          <t>24 periodos; mín 37.20, máx 142.59 €/MWh</t>
        </is>
      </c>
    </row>
    <row r="2015">
      <c r="A2015" s="53" t="n">
        <v>45842</v>
      </c>
      <c r="B2015" t="inlineStr">
        <is>
          <t>2025-07-04</t>
        </is>
      </c>
      <c r="C2015" s="45" t="n">
        <v>99.6292</v>
      </c>
      <c r="D2015" t="inlineStr">
        <is>
          <t>€/MWh</t>
        </is>
      </c>
      <c r="E2015" s="54" t="n">
        <v>0.099629</v>
      </c>
      <c r="F2015" s="54" t="n"/>
      <c r="G2015" t="inlineStr">
        <is>
          <t>no aplica (precio mayorista)</t>
        </is>
      </c>
      <c r="J2015" t="inlineStr">
        <is>
          <t>2025-07-03</t>
        </is>
      </c>
      <c r="K2015" t="inlineStr">
        <is>
          <t>marginalpdbc_20250704.1</t>
        </is>
      </c>
      <c r="L2015" t="inlineStr">
        <is>
          <t>24 periodos; mín 72.00, máx 139.26 €/MWh</t>
        </is>
      </c>
    </row>
    <row r="2016">
      <c r="A2016" s="53" t="n">
        <v>45843</v>
      </c>
      <c r="B2016" t="inlineStr">
        <is>
          <t>2025-07-05</t>
        </is>
      </c>
      <c r="C2016" s="45" t="n">
        <v>72.3467</v>
      </c>
      <c r="D2016" t="inlineStr">
        <is>
          <t>€/MWh</t>
        </is>
      </c>
      <c r="E2016" s="54" t="n">
        <v>0.07234699999999999</v>
      </c>
      <c r="F2016" s="54" t="n"/>
      <c r="G2016" t="inlineStr">
        <is>
          <t>no aplica (precio mayorista)</t>
        </is>
      </c>
      <c r="J2016" t="inlineStr">
        <is>
          <t>2025-07-04</t>
        </is>
      </c>
      <c r="K2016" t="inlineStr">
        <is>
          <t>marginalpdbc_20250705.1</t>
        </is>
      </c>
      <c r="L2016" t="inlineStr">
        <is>
          <t>24 periodos; mín 3.52, máx 134.00 €/MWh</t>
        </is>
      </c>
    </row>
    <row r="2017">
      <c r="A2017" s="53" t="n">
        <v>45844</v>
      </c>
      <c r="B2017" t="inlineStr">
        <is>
          <t>2025-07-06</t>
        </is>
      </c>
      <c r="C2017" s="45" t="n">
        <v>56.1092</v>
      </c>
      <c r="D2017" t="inlineStr">
        <is>
          <t>€/MWh</t>
        </is>
      </c>
      <c r="E2017" s="54" t="n">
        <v>0.056109</v>
      </c>
      <c r="F2017" s="54" t="n"/>
      <c r="G2017" t="inlineStr">
        <is>
          <t>no aplica (precio mayorista)</t>
        </is>
      </c>
      <c r="J2017" t="inlineStr">
        <is>
          <t>2025-07-05</t>
        </is>
      </c>
      <c r="K2017" t="inlineStr">
        <is>
          <t>marginalpdbc_20250706.1</t>
        </is>
      </c>
      <c r="L2017" t="inlineStr">
        <is>
          <t>24 periodos; mín 0.65, máx 112.17 €/MWh</t>
        </is>
      </c>
    </row>
    <row r="2018">
      <c r="A2018" s="53" t="n">
        <v>45845</v>
      </c>
      <c r="B2018" t="inlineStr">
        <is>
          <t>2025-07-07</t>
        </is>
      </c>
      <c r="C2018" s="45" t="n">
        <v>60.3621</v>
      </c>
      <c r="D2018" t="inlineStr">
        <is>
          <t>€/MWh</t>
        </is>
      </c>
      <c r="E2018" s="54" t="n">
        <v>0.060362</v>
      </c>
      <c r="F2018" s="54" t="n"/>
      <c r="G2018" t="inlineStr">
        <is>
          <t>no aplica (precio mayorista)</t>
        </is>
      </c>
      <c r="J2018" t="inlineStr">
        <is>
          <t>2025-07-06</t>
        </is>
      </c>
      <c r="K2018" t="inlineStr">
        <is>
          <t>marginalpdbc_20250707.1</t>
        </is>
      </c>
      <c r="L2018" t="inlineStr">
        <is>
          <t>24 periodos; mín 3.60, máx 106.65 €/MWh</t>
        </is>
      </c>
    </row>
    <row r="2019">
      <c r="A2019" s="53" t="n">
        <v>45846</v>
      </c>
      <c r="B2019" t="inlineStr">
        <is>
          <t>2025-07-08</t>
        </is>
      </c>
      <c r="C2019" s="45" t="n">
        <v>45.1529</v>
      </c>
      <c r="D2019" t="inlineStr">
        <is>
          <t>€/MWh</t>
        </is>
      </c>
      <c r="E2019" s="54" t="n">
        <v>0.045153</v>
      </c>
      <c r="F2019" s="54" t="n"/>
      <c r="G2019" t="inlineStr">
        <is>
          <t>no aplica (precio mayorista)</t>
        </is>
      </c>
      <c r="J2019" t="inlineStr">
        <is>
          <t>2025-07-07</t>
        </is>
      </c>
      <c r="K2019" t="inlineStr">
        <is>
          <t>marginalpdbc_20250708.1</t>
        </is>
      </c>
      <c r="L2019" t="inlineStr">
        <is>
          <t>24 periodos; mín 1.72, máx 110.69 €/MWh</t>
        </is>
      </c>
    </row>
    <row r="2020">
      <c r="A2020" s="53" t="n">
        <v>45847</v>
      </c>
      <c r="B2020" t="inlineStr">
        <is>
          <t>2025-07-09</t>
        </is>
      </c>
      <c r="C2020" s="45" t="n">
        <v>89.7</v>
      </c>
      <c r="D2020" t="inlineStr">
        <is>
          <t>€/MWh</t>
        </is>
      </c>
      <c r="E2020" s="54" t="n">
        <v>0.0897</v>
      </c>
      <c r="F2020" s="54" t="n"/>
      <c r="G2020" t="inlineStr">
        <is>
          <t>no aplica (precio mayorista)</t>
        </is>
      </c>
      <c r="J2020" t="inlineStr">
        <is>
          <t>2025-07-08</t>
        </is>
      </c>
      <c r="K2020" t="inlineStr">
        <is>
          <t>marginalpdbc_20250709.1</t>
        </is>
      </c>
      <c r="L2020" t="inlineStr">
        <is>
          <t>24 periodos; mín 35.10, máx 155.75 €/MWh</t>
        </is>
      </c>
    </row>
    <row r="2021">
      <c r="A2021" s="53" t="n">
        <v>45848</v>
      </c>
      <c r="B2021" t="inlineStr">
        <is>
          <t>2025-07-10</t>
        </is>
      </c>
      <c r="C2021" s="45" t="n">
        <v>106.9658</v>
      </c>
      <c r="D2021" t="inlineStr">
        <is>
          <t>€/MWh</t>
        </is>
      </c>
      <c r="E2021" s="54" t="n">
        <v>0.106966</v>
      </c>
      <c r="F2021" s="54" t="n"/>
      <c r="G2021" t="inlineStr">
        <is>
          <t>no aplica (precio mayorista)</t>
        </is>
      </c>
      <c r="J2021" t="inlineStr">
        <is>
          <t>2025-07-09</t>
        </is>
      </c>
      <c r="K2021" t="inlineStr">
        <is>
          <t>marginalpdbc_20250710.1</t>
        </is>
      </c>
      <c r="L2021" t="inlineStr">
        <is>
          <t>24 periodos; mín 74.00, máx 170.00 €/MWh</t>
        </is>
      </c>
    </row>
    <row r="2022">
      <c r="A2022" s="53" t="n">
        <v>45849</v>
      </c>
      <c r="B2022" t="inlineStr">
        <is>
          <t>2025-07-11</t>
        </is>
      </c>
      <c r="C2022" s="45" t="n">
        <v>98.2546</v>
      </c>
      <c r="D2022" t="inlineStr">
        <is>
          <t>€/MWh</t>
        </is>
      </c>
      <c r="E2022" s="54" t="n">
        <v>0.098255</v>
      </c>
      <c r="F2022" s="54" t="n"/>
      <c r="G2022" t="inlineStr">
        <is>
          <t>no aplica (precio mayorista)</t>
        </is>
      </c>
      <c r="J2022" t="inlineStr">
        <is>
          <t>2025-07-10</t>
        </is>
      </c>
      <c r="K2022" t="inlineStr">
        <is>
          <t>marginalpdbc_20250711.1</t>
        </is>
      </c>
      <c r="L2022" t="inlineStr">
        <is>
          <t>24 periodos; mín 55.40, máx 138.16 €/MWh</t>
        </is>
      </c>
    </row>
    <row r="2023">
      <c r="A2023" s="53" t="n">
        <v>45850</v>
      </c>
      <c r="B2023" t="inlineStr">
        <is>
          <t>2025-07-12</t>
        </is>
      </c>
      <c r="C2023" s="45" t="n">
        <v>75.9113</v>
      </c>
      <c r="D2023" t="inlineStr">
        <is>
          <t>€/MWh</t>
        </is>
      </c>
      <c r="E2023" s="54" t="n">
        <v>0.07591100000000001</v>
      </c>
      <c r="F2023" s="54" t="n"/>
      <c r="G2023" t="inlineStr">
        <is>
          <t>no aplica (precio mayorista)</t>
        </is>
      </c>
      <c r="J2023" t="inlineStr">
        <is>
          <t>2025-07-11</t>
        </is>
      </c>
      <c r="K2023" t="inlineStr">
        <is>
          <t>marginalpdbc_20250712.1</t>
        </is>
      </c>
      <c r="L2023" t="inlineStr">
        <is>
          <t>24 periodos; mín 0.85, máx 133.00 €/MWh</t>
        </is>
      </c>
    </row>
    <row r="2024">
      <c r="A2024" s="53" t="n">
        <v>45851</v>
      </c>
      <c r="B2024" t="inlineStr">
        <is>
          <t>2025-07-13</t>
        </is>
      </c>
      <c r="C2024" s="45" t="n">
        <v>64.5887</v>
      </c>
      <c r="D2024" t="inlineStr">
        <is>
          <t>€/MWh</t>
        </is>
      </c>
      <c r="E2024" s="54" t="n">
        <v>0.06458899999999999</v>
      </c>
      <c r="F2024" s="54" t="n"/>
      <c r="G2024" t="inlineStr">
        <is>
          <t>no aplica (precio mayorista)</t>
        </is>
      </c>
      <c r="J2024" t="inlineStr">
        <is>
          <t>2025-07-12</t>
        </is>
      </c>
      <c r="K2024" t="inlineStr">
        <is>
          <t>marginalpdbc_20250713.1</t>
        </is>
      </c>
      <c r="L2024" t="inlineStr">
        <is>
          <t>24 periodos; mín 0.00, máx 134.62 €/MWh</t>
        </is>
      </c>
    </row>
    <row r="2025">
      <c r="A2025" s="53" t="n">
        <v>45852</v>
      </c>
      <c r="B2025" t="inlineStr">
        <is>
          <t>2025-07-14</t>
        </is>
      </c>
      <c r="C2025" s="45" t="n">
        <v>84.2033</v>
      </c>
      <c r="D2025" t="inlineStr">
        <is>
          <t>€/MWh</t>
        </is>
      </c>
      <c r="E2025" s="54" t="n">
        <v>0.084203</v>
      </c>
      <c r="F2025" s="54" t="n"/>
      <c r="G2025" t="inlineStr">
        <is>
          <t>no aplica (precio mayorista)</t>
        </is>
      </c>
      <c r="J2025" t="inlineStr">
        <is>
          <t>2025-07-13</t>
        </is>
      </c>
      <c r="K2025" t="inlineStr">
        <is>
          <t>marginalpdbc_20250714.1</t>
        </is>
      </c>
      <c r="L2025" t="inlineStr">
        <is>
          <t>24 periodos; mín 18.21, máx 126.64 €/MWh</t>
        </is>
      </c>
    </row>
    <row r="2026">
      <c r="A2026" s="53" t="n">
        <v>45853</v>
      </c>
      <c r="B2026" t="inlineStr">
        <is>
          <t>2025-07-15</t>
        </is>
      </c>
      <c r="C2026" s="45" t="n">
        <v>83.1125</v>
      </c>
      <c r="D2026" t="inlineStr">
        <is>
          <t>€/MWh</t>
        </is>
      </c>
      <c r="E2026" s="54" t="n">
        <v>0.08311200000000001</v>
      </c>
      <c r="F2026" s="54" t="n"/>
      <c r="G2026" t="inlineStr">
        <is>
          <t>no aplica (precio mayorista)</t>
        </is>
      </c>
      <c r="J2026" t="inlineStr">
        <is>
          <t>2025-07-14</t>
        </is>
      </c>
      <c r="K2026" t="inlineStr">
        <is>
          <t>marginalpdbc_20250715.1</t>
        </is>
      </c>
      <c r="L2026" t="inlineStr">
        <is>
          <t>24 periodos; mín 29.95, máx 135.87 €/MWh</t>
        </is>
      </c>
    </row>
    <row r="2027">
      <c r="A2027" s="53" t="n">
        <v>45854</v>
      </c>
      <c r="B2027" t="inlineStr">
        <is>
          <t>2025-07-16</t>
        </is>
      </c>
      <c r="C2027" s="45" t="n">
        <v>101.9775</v>
      </c>
      <c r="D2027" t="inlineStr">
        <is>
          <t>€/MWh</t>
        </is>
      </c>
      <c r="E2027" s="54" t="n">
        <v>0.101978</v>
      </c>
      <c r="F2027" s="54" t="n"/>
      <c r="G2027" t="inlineStr">
        <is>
          <t>no aplica (precio mayorista)</t>
        </is>
      </c>
      <c r="J2027" t="inlineStr">
        <is>
          <t>2025-07-15</t>
        </is>
      </c>
      <c r="K2027" t="inlineStr">
        <is>
          <t>marginalpdbc_20250716.1</t>
        </is>
      </c>
      <c r="L2027" t="inlineStr">
        <is>
          <t>24 periodos; mín 69.84, máx 175.49 €/MWh</t>
        </is>
      </c>
    </row>
    <row r="2028">
      <c r="A2028" s="53" t="n">
        <v>45855</v>
      </c>
      <c r="B2028" t="inlineStr">
        <is>
          <t>2025-07-17</t>
        </is>
      </c>
      <c r="C2028" s="45" t="n">
        <v>102.8467</v>
      </c>
      <c r="D2028" t="inlineStr">
        <is>
          <t>€/MWh</t>
        </is>
      </c>
      <c r="E2028" s="54" t="n">
        <v>0.102847</v>
      </c>
      <c r="F2028" s="54" t="n"/>
      <c r="G2028" t="inlineStr">
        <is>
          <t>no aplica (precio mayorista)</t>
        </is>
      </c>
      <c r="J2028" t="inlineStr">
        <is>
          <t>2025-07-16</t>
        </is>
      </c>
      <c r="K2028" t="inlineStr">
        <is>
          <t>marginalpdbc_20250717.1</t>
        </is>
      </c>
      <c r="L2028" t="inlineStr">
        <is>
          <t>24 periodos; mín 73.00, máx 129.85 €/MWh</t>
        </is>
      </c>
    </row>
    <row r="2029">
      <c r="A2029" s="53" t="n">
        <v>45856</v>
      </c>
      <c r="B2029" t="inlineStr">
        <is>
          <t>2025-07-18</t>
        </is>
      </c>
      <c r="C2029" s="45" t="n">
        <v>95.0758</v>
      </c>
      <c r="D2029" t="inlineStr">
        <is>
          <t>€/MWh</t>
        </is>
      </c>
      <c r="E2029" s="54" t="n">
        <v>0.09507599999999999</v>
      </c>
      <c r="F2029" s="54" t="n"/>
      <c r="G2029" t="inlineStr">
        <is>
          <t>no aplica (precio mayorista)</t>
        </is>
      </c>
      <c r="J2029" t="inlineStr">
        <is>
          <t>2025-07-17</t>
        </is>
      </c>
      <c r="K2029" t="inlineStr">
        <is>
          <t>marginalpdbc_20250718.1</t>
        </is>
      </c>
      <c r="L2029" t="inlineStr">
        <is>
          <t>24 periodos; mín 71.08, máx 119.39 €/MWh</t>
        </is>
      </c>
    </row>
    <row r="2030">
      <c r="A2030" s="53" t="n">
        <v>45857</v>
      </c>
      <c r="B2030" t="inlineStr">
        <is>
          <t>2025-07-19</t>
        </is>
      </c>
      <c r="C2030" s="45" t="n">
        <v>50.1608</v>
      </c>
      <c r="D2030" t="inlineStr">
        <is>
          <t>€/MWh</t>
        </is>
      </c>
      <c r="E2030" s="54" t="n">
        <v>0.050161</v>
      </c>
      <c r="F2030" s="54" t="n"/>
      <c r="G2030" t="inlineStr">
        <is>
          <t>no aplica (precio mayorista)</t>
        </is>
      </c>
      <c r="J2030" t="inlineStr">
        <is>
          <t>2025-07-18</t>
        </is>
      </c>
      <c r="K2030" t="inlineStr">
        <is>
          <t>marginalpdbc_20250719.1</t>
        </is>
      </c>
      <c r="L2030" t="inlineStr">
        <is>
          <t>24 periodos; mín 0.00, máx 106.80 €/MWh</t>
        </is>
      </c>
    </row>
    <row r="2031">
      <c r="A2031" s="53" t="n">
        <v>45858</v>
      </c>
      <c r="B2031" t="inlineStr">
        <is>
          <t>2025-07-20</t>
        </is>
      </c>
      <c r="C2031" s="45" t="n">
        <v>27.2183</v>
      </c>
      <c r="D2031" t="inlineStr">
        <is>
          <t>€/MWh</t>
        </is>
      </c>
      <c r="E2031" s="54" t="n">
        <v>0.027218</v>
      </c>
      <c r="F2031" s="54" t="n"/>
      <c r="G2031" t="inlineStr">
        <is>
          <t>no aplica (precio mayorista)</t>
        </is>
      </c>
      <c r="J2031" t="inlineStr">
        <is>
          <t>2025-07-19</t>
        </is>
      </c>
      <c r="K2031" t="inlineStr">
        <is>
          <t>marginalpdbc_20250720.1</t>
        </is>
      </c>
      <c r="L2031" t="inlineStr">
        <is>
          <t>24 periodos; mín -1.01, máx 92.00 €/MWh</t>
        </is>
      </c>
    </row>
    <row r="2032">
      <c r="A2032" s="53" t="n">
        <v>45859</v>
      </c>
      <c r="B2032" t="inlineStr">
        <is>
          <t>2025-07-21</t>
        </is>
      </c>
      <c r="C2032" s="45" t="n">
        <v>57.6062</v>
      </c>
      <c r="D2032" t="inlineStr">
        <is>
          <t>€/MWh</t>
        </is>
      </c>
      <c r="E2032" s="54" t="n">
        <v>0.057606</v>
      </c>
      <c r="F2032" s="54" t="n"/>
      <c r="G2032" t="inlineStr">
        <is>
          <t>no aplica (precio mayorista)</t>
        </is>
      </c>
      <c r="J2032" t="inlineStr">
        <is>
          <t>2025-07-20</t>
        </is>
      </c>
      <c r="K2032" t="inlineStr">
        <is>
          <t>marginalpdbc_20250721.1</t>
        </is>
      </c>
      <c r="L2032" t="inlineStr">
        <is>
          <t>24 periodos; mín 5.11, máx 169.20 €/MWh</t>
        </is>
      </c>
    </row>
    <row r="2033">
      <c r="A2033" s="53" t="n">
        <v>45860</v>
      </c>
      <c r="B2033" t="inlineStr">
        <is>
          <t>2025-07-22</t>
        </is>
      </c>
      <c r="C2033" s="45" t="n">
        <v>81.88290000000001</v>
      </c>
      <c r="D2033" t="inlineStr">
        <is>
          <t>€/MWh</t>
        </is>
      </c>
      <c r="E2033" s="54" t="n">
        <v>0.081883</v>
      </c>
      <c r="F2033" s="54" t="n"/>
      <c r="G2033" t="inlineStr">
        <is>
          <t>no aplica (precio mayorista)</t>
        </is>
      </c>
      <c r="J2033" t="inlineStr">
        <is>
          <t>2025-07-21</t>
        </is>
      </c>
      <c r="K2033" t="inlineStr">
        <is>
          <t>marginalpdbc_20250722.1</t>
        </is>
      </c>
      <c r="L2033" t="inlineStr">
        <is>
          <t>24 periodos; mín 31.11, máx 138.83 €/MWh</t>
        </is>
      </c>
    </row>
    <row r="2034">
      <c r="A2034" s="53" t="n">
        <v>45861</v>
      </c>
      <c r="B2034" t="inlineStr">
        <is>
          <t>2025-07-23</t>
        </is>
      </c>
      <c r="C2034" s="45" t="n">
        <v>84.42870000000001</v>
      </c>
      <c r="D2034" t="inlineStr">
        <is>
          <t>€/MWh</t>
        </is>
      </c>
      <c r="E2034" s="54" t="n">
        <v>0.084429</v>
      </c>
      <c r="F2034" s="54" t="n"/>
      <c r="G2034" t="inlineStr">
        <is>
          <t>no aplica (precio mayorista)</t>
        </is>
      </c>
      <c r="J2034" t="inlineStr">
        <is>
          <t>2025-07-22</t>
        </is>
      </c>
      <c r="K2034" t="inlineStr">
        <is>
          <t>marginalpdbc_20250723.1</t>
        </is>
      </c>
      <c r="L2034" t="inlineStr">
        <is>
          <t>24 periodos; mín 44.88, máx 113.91 €/MWh</t>
        </is>
      </c>
    </row>
    <row r="2035">
      <c r="A2035" s="53" t="n">
        <v>45862</v>
      </c>
      <c r="B2035" t="inlineStr">
        <is>
          <t>2025-07-24</t>
        </is>
      </c>
      <c r="C2035" s="45" t="n">
        <v>46.2033</v>
      </c>
      <c r="D2035" t="inlineStr">
        <is>
          <t>€/MWh</t>
        </is>
      </c>
      <c r="E2035" s="54" t="n">
        <v>0.046203</v>
      </c>
      <c r="F2035" s="54" t="n"/>
      <c r="G2035" t="inlineStr">
        <is>
          <t>no aplica (precio mayorista)</t>
        </is>
      </c>
      <c r="J2035" t="inlineStr">
        <is>
          <t>2025-07-23</t>
        </is>
      </c>
      <c r="K2035" t="inlineStr">
        <is>
          <t>marginalpdbc_20250724.1</t>
        </is>
      </c>
      <c r="L2035" t="inlineStr">
        <is>
          <t>24 periodos; mín 1.72, máx 95.00 €/MWh</t>
        </is>
      </c>
    </row>
    <row r="2036">
      <c r="A2036" s="53" t="n">
        <v>45863</v>
      </c>
      <c r="B2036" t="inlineStr">
        <is>
          <t>2025-07-25</t>
        </is>
      </c>
      <c r="C2036" s="45" t="n">
        <v>41.845</v>
      </c>
      <c r="D2036" t="inlineStr">
        <is>
          <t>€/MWh</t>
        </is>
      </c>
      <c r="E2036" s="54" t="n">
        <v>0.041845</v>
      </c>
      <c r="F2036" s="54" t="n"/>
      <c r="G2036" t="inlineStr">
        <is>
          <t>no aplica (precio mayorista)</t>
        </is>
      </c>
      <c r="J2036" t="inlineStr">
        <is>
          <t>2025-07-24</t>
        </is>
      </c>
      <c r="K2036" t="inlineStr">
        <is>
          <t>marginalpdbc_20250725.1</t>
        </is>
      </c>
      <c r="L2036" t="inlineStr">
        <is>
          <t>24 periodos; mín 0.65, máx 104.72 €/MWh</t>
        </is>
      </c>
    </row>
    <row r="2037">
      <c r="A2037" s="53" t="n">
        <v>45864</v>
      </c>
      <c r="B2037" t="inlineStr">
        <is>
          <t>2025-07-26</t>
        </is>
      </c>
      <c r="C2037" s="45" t="n">
        <v>38.5346</v>
      </c>
      <c r="D2037" t="inlineStr">
        <is>
          <t>€/MWh</t>
        </is>
      </c>
      <c r="E2037" s="54" t="n">
        <v>0.038535</v>
      </c>
      <c r="F2037" s="54" t="n"/>
      <c r="G2037" t="inlineStr">
        <is>
          <t>no aplica (precio mayorista)</t>
        </is>
      </c>
      <c r="J2037" t="inlineStr">
        <is>
          <t>2025-07-25</t>
        </is>
      </c>
      <c r="K2037" t="inlineStr">
        <is>
          <t>marginalpdbc_20250726.1</t>
        </is>
      </c>
      <c r="L2037" t="inlineStr">
        <is>
          <t>24 periodos; mín 0.00, máx 100.00 €/MWh</t>
        </is>
      </c>
    </row>
    <row r="2038">
      <c r="A2038" s="53" t="n">
        <v>45865</v>
      </c>
      <c r="B2038" t="inlineStr">
        <is>
          <t>2025-07-27</t>
        </is>
      </c>
      <c r="C2038" s="45" t="n">
        <v>32.3938</v>
      </c>
      <c r="D2038" t="inlineStr">
        <is>
          <t>€/MWh</t>
        </is>
      </c>
      <c r="E2038" s="54" t="n">
        <v>0.032394</v>
      </c>
      <c r="F2038" s="54" t="n"/>
      <c r="G2038" t="inlineStr">
        <is>
          <t>no aplica (precio mayorista)</t>
        </is>
      </c>
      <c r="J2038" t="inlineStr">
        <is>
          <t>2025-07-26</t>
        </is>
      </c>
      <c r="K2038" t="inlineStr">
        <is>
          <t>marginalpdbc_20250727.1</t>
        </is>
      </c>
      <c r="L2038" t="inlineStr">
        <is>
          <t>24 periodos; mín -0.60, máx 88.64 €/MWh</t>
        </is>
      </c>
    </row>
    <row r="2039">
      <c r="A2039" s="53" t="n">
        <v>45866</v>
      </c>
      <c r="B2039" t="inlineStr">
        <is>
          <t>2025-07-28</t>
        </is>
      </c>
      <c r="C2039" s="45" t="n">
        <v>34.22</v>
      </c>
      <c r="D2039" t="inlineStr">
        <is>
          <t>€/MWh</t>
        </is>
      </c>
      <c r="E2039" s="54" t="n">
        <v>0.03422</v>
      </c>
      <c r="F2039" s="54" t="n"/>
      <c r="G2039" t="inlineStr">
        <is>
          <t>no aplica (precio mayorista)</t>
        </is>
      </c>
      <c r="J2039" t="inlineStr">
        <is>
          <t>2025-07-27</t>
        </is>
      </c>
      <c r="K2039" t="inlineStr">
        <is>
          <t>marginalpdbc_20250728.1</t>
        </is>
      </c>
      <c r="L2039" t="inlineStr">
        <is>
          <t>24 periodos; mín 0.65, máx 88.54 €/MWh</t>
        </is>
      </c>
    </row>
    <row r="2040">
      <c r="A2040" s="53" t="n">
        <v>45867</v>
      </c>
      <c r="B2040" t="inlineStr">
        <is>
          <t>2025-07-29</t>
        </is>
      </c>
      <c r="C2040" s="45" t="n">
        <v>32.1483</v>
      </c>
      <c r="D2040" t="inlineStr">
        <is>
          <t>€/MWh</t>
        </is>
      </c>
      <c r="E2040" s="54" t="n">
        <v>0.032148</v>
      </c>
      <c r="F2040" s="54" t="n"/>
      <c r="G2040" t="inlineStr">
        <is>
          <t>no aplica (precio mayorista)</t>
        </is>
      </c>
      <c r="J2040" t="inlineStr">
        <is>
          <t>2025-07-28</t>
        </is>
      </c>
      <c r="K2040" t="inlineStr">
        <is>
          <t>marginalpdbc_20250729.1</t>
        </is>
      </c>
      <c r="L2040" t="inlineStr">
        <is>
          <t>24 periodos; mín 0.09, máx 103.27 €/MWh</t>
        </is>
      </c>
    </row>
    <row r="2041">
      <c r="A2041" s="53" t="n">
        <v>45868</v>
      </c>
      <c r="B2041" t="inlineStr">
        <is>
          <t>2025-07-30</t>
        </is>
      </c>
      <c r="C2041" s="45" t="n">
        <v>40.4637</v>
      </c>
      <c r="D2041" t="inlineStr">
        <is>
          <t>€/MWh</t>
        </is>
      </c>
      <c r="E2041" s="54" t="n">
        <v>0.040464</v>
      </c>
      <c r="F2041" s="54" t="n"/>
      <c r="G2041" t="inlineStr">
        <is>
          <t>no aplica (precio mayorista)</t>
        </is>
      </c>
      <c r="J2041" t="inlineStr">
        <is>
          <t>2025-07-29</t>
        </is>
      </c>
      <c r="K2041" t="inlineStr">
        <is>
          <t>marginalpdbc_20250730.1</t>
        </is>
      </c>
      <c r="L2041" t="inlineStr">
        <is>
          <t>24 periodos; mín 3.52, máx 104.36 €/MWh</t>
        </is>
      </c>
    </row>
    <row r="2042">
      <c r="A2042" s="53" t="n">
        <v>45869</v>
      </c>
      <c r="B2042" t="inlineStr">
        <is>
          <t>2025-07-31</t>
        </is>
      </c>
      <c r="C2042" s="45" t="n">
        <v>64.2212</v>
      </c>
      <c r="D2042" t="inlineStr">
        <is>
          <t>€/MWh</t>
        </is>
      </c>
      <c r="E2042" s="54" t="n">
        <v>0.064221</v>
      </c>
      <c r="F2042" s="54" t="n"/>
      <c r="G2042" t="inlineStr">
        <is>
          <t>no aplica (precio mayorista)</t>
        </is>
      </c>
      <c r="J2042" t="inlineStr">
        <is>
          <t>2025-07-30</t>
        </is>
      </c>
      <c r="K2042" t="inlineStr">
        <is>
          <t>marginalpdbc_20250731.1</t>
        </is>
      </c>
      <c r="L2042" t="inlineStr">
        <is>
          <t>24 periodos; mín 23.50, máx 114.45 €/MWh</t>
        </is>
      </c>
    </row>
    <row r="2043">
      <c r="A2043" s="53" t="n">
        <v>45870</v>
      </c>
      <c r="B2043" t="inlineStr">
        <is>
          <t>2025-08-01</t>
        </is>
      </c>
      <c r="C2043" s="45" t="n">
        <v>64.79170000000001</v>
      </c>
      <c r="D2043" t="inlineStr">
        <is>
          <t>€/MWh</t>
        </is>
      </c>
      <c r="E2043" s="54" t="n">
        <v>0.064792</v>
      </c>
      <c r="F2043" s="54" t="n"/>
      <c r="G2043" t="inlineStr">
        <is>
          <t>no aplica (precio mayorista)</t>
        </is>
      </c>
      <c r="J2043" t="inlineStr">
        <is>
          <t>2025-07-31</t>
        </is>
      </c>
      <c r="K2043" t="inlineStr">
        <is>
          <t>marginalpdbc_20250801.1</t>
        </is>
      </c>
      <c r="L2043" t="inlineStr">
        <is>
          <t>24 periodos; mín 13.43, máx 103.02 €/MWh</t>
        </is>
      </c>
    </row>
    <row r="2044">
      <c r="A2044" s="53" t="n">
        <v>45871</v>
      </c>
      <c r="B2044" t="inlineStr">
        <is>
          <t>2025-08-02</t>
        </is>
      </c>
      <c r="C2044" s="45" t="n">
        <v>37.2421</v>
      </c>
      <c r="D2044" t="inlineStr">
        <is>
          <t>€/MWh</t>
        </is>
      </c>
      <c r="E2044" s="54" t="n">
        <v>0.037242</v>
      </c>
      <c r="F2044" s="54" t="n"/>
      <c r="G2044" t="inlineStr">
        <is>
          <t>no aplica (precio mayorista)</t>
        </is>
      </c>
      <c r="J2044" t="inlineStr">
        <is>
          <t>2025-08-01</t>
        </is>
      </c>
      <c r="K2044" t="inlineStr">
        <is>
          <t>marginalpdbc_20250802.1</t>
        </is>
      </c>
      <c r="L2044" t="inlineStr">
        <is>
          <t>24 periodos; mín 0.00, máx 99.64 €/MWh</t>
        </is>
      </c>
    </row>
    <row r="2045">
      <c r="A2045" s="53" t="n">
        <v>45872</v>
      </c>
      <c r="B2045" t="inlineStr">
        <is>
          <t>2025-08-03</t>
        </is>
      </c>
      <c r="C2045" s="45" t="n">
        <v>29.8754</v>
      </c>
      <c r="D2045" t="inlineStr">
        <is>
          <t>€/MWh</t>
        </is>
      </c>
      <c r="E2045" s="54" t="n">
        <v>0.029875</v>
      </c>
      <c r="F2045" s="54" t="n"/>
      <c r="G2045" t="inlineStr">
        <is>
          <t>no aplica (precio mayorista)</t>
        </is>
      </c>
      <c r="J2045" t="inlineStr">
        <is>
          <t>2025-08-02</t>
        </is>
      </c>
      <c r="K2045" t="inlineStr">
        <is>
          <t>marginalpdbc_20250803.1</t>
        </is>
      </c>
      <c r="L2045" t="inlineStr">
        <is>
          <t>24 periodos; mín -5.00, máx 97.40 €/MWh</t>
        </is>
      </c>
    </row>
    <row r="2046">
      <c r="A2046" s="53" t="n">
        <v>45873</v>
      </c>
      <c r="B2046" t="inlineStr">
        <is>
          <t>2025-08-04</t>
        </is>
      </c>
      <c r="C2046" s="45" t="n">
        <v>65.5487</v>
      </c>
      <c r="D2046" t="inlineStr">
        <is>
          <t>€/MWh</t>
        </is>
      </c>
      <c r="E2046" s="54" t="n">
        <v>0.065549</v>
      </c>
      <c r="F2046" s="54" t="n"/>
      <c r="G2046" t="inlineStr">
        <is>
          <t>no aplica (precio mayorista)</t>
        </is>
      </c>
      <c r="J2046" t="inlineStr">
        <is>
          <t>2025-08-03</t>
        </is>
      </c>
      <c r="K2046" t="inlineStr">
        <is>
          <t>marginalpdbc_20250804.1</t>
        </is>
      </c>
      <c r="L2046" t="inlineStr">
        <is>
          <t>24 periodos; mín 3.52, máx 168.02 €/MWh</t>
        </is>
      </c>
    </row>
    <row r="2047">
      <c r="A2047" s="53" t="n">
        <v>45874</v>
      </c>
      <c r="B2047" t="inlineStr">
        <is>
          <t>2025-08-05</t>
        </is>
      </c>
      <c r="C2047" s="45" t="n">
        <v>57.1929</v>
      </c>
      <c r="D2047" t="inlineStr">
        <is>
          <t>€/MWh</t>
        </is>
      </c>
      <c r="E2047" s="54" t="n">
        <v>0.057193</v>
      </c>
      <c r="F2047" s="54" t="n"/>
      <c r="G2047" t="inlineStr">
        <is>
          <t>no aplica (precio mayorista)</t>
        </is>
      </c>
      <c r="J2047" t="inlineStr">
        <is>
          <t>2025-08-04</t>
        </is>
      </c>
      <c r="K2047" t="inlineStr">
        <is>
          <t>marginalpdbc_20250805.1</t>
        </is>
      </c>
      <c r="L2047" t="inlineStr">
        <is>
          <t>24 periodos; mín 0.66, máx 140.70 €/MWh</t>
        </is>
      </c>
    </row>
    <row r="2048">
      <c r="A2048" s="53" t="n">
        <v>45875</v>
      </c>
      <c r="B2048" t="inlineStr">
        <is>
          <t>2025-08-06</t>
        </is>
      </c>
      <c r="C2048" s="45" t="n">
        <v>78.27079999999999</v>
      </c>
      <c r="D2048" t="inlineStr">
        <is>
          <t>€/MWh</t>
        </is>
      </c>
      <c r="E2048" s="54" t="n">
        <v>0.07827099999999999</v>
      </c>
      <c r="F2048" s="54" t="n"/>
      <c r="G2048" t="inlineStr">
        <is>
          <t>no aplica (precio mayorista)</t>
        </is>
      </c>
      <c r="J2048" t="inlineStr">
        <is>
          <t>2025-08-05</t>
        </is>
      </c>
      <c r="K2048" t="inlineStr">
        <is>
          <t>marginalpdbc_20250806.1</t>
        </is>
      </c>
      <c r="L2048" t="inlineStr">
        <is>
          <t>24 periodos; mín 27.20, máx 170.00 €/MWh</t>
        </is>
      </c>
    </row>
    <row r="2049">
      <c r="A2049" s="53" t="n">
        <v>45876</v>
      </c>
      <c r="B2049" t="inlineStr">
        <is>
          <t>2025-08-07</t>
        </is>
      </c>
      <c r="C2049" s="45" t="n">
        <v>84.0621</v>
      </c>
      <c r="D2049" t="inlineStr">
        <is>
          <t>€/MWh</t>
        </is>
      </c>
      <c r="E2049" s="54" t="n">
        <v>0.084062</v>
      </c>
      <c r="F2049" s="54" t="n"/>
      <c r="G2049" t="inlineStr">
        <is>
          <t>no aplica (precio mayorista)</t>
        </is>
      </c>
      <c r="J2049" t="inlineStr">
        <is>
          <t>2025-08-06</t>
        </is>
      </c>
      <c r="K2049" t="inlineStr">
        <is>
          <t>marginalpdbc_20250807.1</t>
        </is>
      </c>
      <c r="L2049" t="inlineStr">
        <is>
          <t>24 periodos; mín 26.39, máx 145.01 €/MWh</t>
        </is>
      </c>
    </row>
    <row r="2050">
      <c r="A2050" s="53" t="n">
        <v>45877</v>
      </c>
      <c r="B2050" t="inlineStr">
        <is>
          <t>2025-08-08</t>
        </is>
      </c>
      <c r="C2050" s="45" t="n">
        <v>74.08499999999999</v>
      </c>
      <c r="D2050" t="inlineStr">
        <is>
          <t>€/MWh</t>
        </is>
      </c>
      <c r="E2050" s="54" t="n">
        <v>0.074085</v>
      </c>
      <c r="F2050" s="54" t="n"/>
      <c r="G2050" t="inlineStr">
        <is>
          <t>no aplica (precio mayorista)</t>
        </is>
      </c>
      <c r="J2050" t="inlineStr">
        <is>
          <t>2025-08-07</t>
        </is>
      </c>
      <c r="K2050" t="inlineStr">
        <is>
          <t>marginalpdbc_20250808.1</t>
        </is>
      </c>
      <c r="L2050" t="inlineStr">
        <is>
          <t>24 periodos; mín 0.74, máx 136.87 €/MWh</t>
        </is>
      </c>
    </row>
    <row r="2051">
      <c r="A2051" s="53" t="n">
        <v>45878</v>
      </c>
      <c r="B2051" t="inlineStr">
        <is>
          <t>2025-08-09</t>
        </is>
      </c>
      <c r="C2051" s="45" t="n">
        <v>62.0312</v>
      </c>
      <c r="D2051" t="inlineStr">
        <is>
          <t>€/MWh</t>
        </is>
      </c>
      <c r="E2051" s="54" t="n">
        <v>0.062031</v>
      </c>
      <c r="F2051" s="54" t="n"/>
      <c r="G2051" t="inlineStr">
        <is>
          <t>no aplica (precio mayorista)</t>
        </is>
      </c>
      <c r="J2051" t="inlineStr">
        <is>
          <t>2025-08-08</t>
        </is>
      </c>
      <c r="K2051" t="inlineStr">
        <is>
          <t>marginalpdbc_20250809.1</t>
        </is>
      </c>
      <c r="L2051" t="inlineStr">
        <is>
          <t>24 periodos; mín -0.01, máx 113.12 €/MWh</t>
        </is>
      </c>
    </row>
    <row r="2052">
      <c r="A2052" s="53" t="n">
        <v>45879</v>
      </c>
      <c r="B2052" t="inlineStr">
        <is>
          <t>2025-08-10</t>
        </is>
      </c>
      <c r="C2052" s="45" t="n">
        <v>55.4512</v>
      </c>
      <c r="D2052" t="inlineStr">
        <is>
          <t>€/MWh</t>
        </is>
      </c>
      <c r="E2052" s="54" t="n">
        <v>0.055451</v>
      </c>
      <c r="F2052" s="54" t="n"/>
      <c r="G2052" t="inlineStr">
        <is>
          <t>no aplica (precio mayorista)</t>
        </is>
      </c>
      <c r="J2052" t="inlineStr">
        <is>
          <t>2025-08-09</t>
        </is>
      </c>
      <c r="K2052" t="inlineStr">
        <is>
          <t>marginalpdbc_20250810.1</t>
        </is>
      </c>
      <c r="L2052" t="inlineStr">
        <is>
          <t>24 periodos; mín -1.00, máx 136.87 €/MWh</t>
        </is>
      </c>
    </row>
    <row r="2053">
      <c r="A2053" s="53" t="n">
        <v>45880</v>
      </c>
      <c r="B2053" t="inlineStr">
        <is>
          <t>2025-08-11</t>
        </is>
      </c>
      <c r="C2053" s="45" t="n">
        <v>80.105</v>
      </c>
      <c r="D2053" t="inlineStr">
        <is>
          <t>€/MWh</t>
        </is>
      </c>
      <c r="E2053" s="54" t="n">
        <v>0.080105</v>
      </c>
      <c r="F2053" s="54" t="n"/>
      <c r="G2053" t="inlineStr">
        <is>
          <t>no aplica (precio mayorista)</t>
        </is>
      </c>
      <c r="J2053" t="inlineStr">
        <is>
          <t>2025-08-10</t>
        </is>
      </c>
      <c r="K2053" t="inlineStr">
        <is>
          <t>marginalpdbc_20250811.1</t>
        </is>
      </c>
      <c r="L2053" t="inlineStr">
        <is>
          <t>24 periodos; mín 9.00, máx 144.41 €/MWh</t>
        </is>
      </c>
    </row>
    <row r="2054">
      <c r="A2054" s="53" t="n">
        <v>45881</v>
      </c>
      <c r="B2054" t="inlineStr">
        <is>
          <t>2025-08-12</t>
        </is>
      </c>
      <c r="C2054" s="45" t="n">
        <v>89.7013</v>
      </c>
      <c r="D2054" t="inlineStr">
        <is>
          <t>€/MWh</t>
        </is>
      </c>
      <c r="E2054" s="54" t="n">
        <v>0.089701</v>
      </c>
      <c r="F2054" s="54" t="n"/>
      <c r="G2054" t="inlineStr">
        <is>
          <t>no aplica (precio mayorista)</t>
        </is>
      </c>
      <c r="J2054" t="inlineStr">
        <is>
          <t>2025-08-11</t>
        </is>
      </c>
      <c r="K2054" t="inlineStr">
        <is>
          <t>marginalpdbc_20250812.1</t>
        </is>
      </c>
      <c r="L2054" t="inlineStr">
        <is>
          <t>24 periodos; mín 26.28, máx 154.93 €/MWh</t>
        </is>
      </c>
    </row>
    <row r="2055">
      <c r="A2055" s="53" t="n">
        <v>45882</v>
      </c>
      <c r="B2055" t="inlineStr">
        <is>
          <t>2025-08-13</t>
        </is>
      </c>
      <c r="C2055" s="45" t="n">
        <v>101.1988</v>
      </c>
      <c r="D2055" t="inlineStr">
        <is>
          <t>€/MWh</t>
        </is>
      </c>
      <c r="E2055" s="54" t="n">
        <v>0.101199</v>
      </c>
      <c r="F2055" s="54" t="n"/>
      <c r="G2055" t="inlineStr">
        <is>
          <t>no aplica (precio mayorista)</t>
        </is>
      </c>
      <c r="J2055" t="inlineStr">
        <is>
          <t>2025-08-12</t>
        </is>
      </c>
      <c r="K2055" t="inlineStr">
        <is>
          <t>marginalpdbc_20250813.1</t>
        </is>
      </c>
      <c r="L2055" t="inlineStr">
        <is>
          <t>24 periodos; mín 60.00, máx 155.10 €/MWh</t>
        </is>
      </c>
    </row>
    <row r="2056">
      <c r="A2056" s="53" t="n">
        <v>45883</v>
      </c>
      <c r="B2056" t="inlineStr">
        <is>
          <t>2025-08-14</t>
        </is>
      </c>
      <c r="C2056" s="45" t="n">
        <v>96.69580000000001</v>
      </c>
      <c r="D2056" t="inlineStr">
        <is>
          <t>€/MWh</t>
        </is>
      </c>
      <c r="E2056" s="54" t="n">
        <v>0.096696</v>
      </c>
      <c r="F2056" s="54" t="n"/>
      <c r="G2056" t="inlineStr">
        <is>
          <t>no aplica (precio mayorista)</t>
        </is>
      </c>
      <c r="J2056" t="inlineStr">
        <is>
          <t>2025-08-13</t>
        </is>
      </c>
      <c r="K2056" t="inlineStr">
        <is>
          <t>marginalpdbc_20250814.1</t>
        </is>
      </c>
      <c r="L2056" t="inlineStr">
        <is>
          <t>24 periodos; mín 40.91, máx 149.02 €/MWh</t>
        </is>
      </c>
    </row>
    <row r="2057">
      <c r="A2057" s="53" t="n">
        <v>45884</v>
      </c>
      <c r="B2057" t="inlineStr">
        <is>
          <t>2025-08-15</t>
        </is>
      </c>
      <c r="C2057" s="45" t="n">
        <v>69.2692</v>
      </c>
      <c r="D2057" t="inlineStr">
        <is>
          <t>€/MWh</t>
        </is>
      </c>
      <c r="E2057" s="54" t="n">
        <v>0.069269</v>
      </c>
      <c r="F2057" s="54" t="n"/>
      <c r="G2057" t="inlineStr">
        <is>
          <t>no aplica (precio mayorista)</t>
        </is>
      </c>
      <c r="J2057" t="inlineStr">
        <is>
          <t>2025-08-14</t>
        </is>
      </c>
      <c r="K2057" t="inlineStr">
        <is>
          <t>marginalpdbc_20250815.1</t>
        </is>
      </c>
      <c r="L2057" t="inlineStr">
        <is>
          <t>24 periodos; mín 0.00, máx 144.75 €/MWh</t>
        </is>
      </c>
    </row>
    <row r="2058">
      <c r="A2058" s="53" t="n">
        <v>45885</v>
      </c>
      <c r="B2058" t="inlineStr">
        <is>
          <t>2025-08-16</t>
        </is>
      </c>
      <c r="C2058" s="45" t="n">
        <v>74.10169999999999</v>
      </c>
      <c r="D2058" t="inlineStr">
        <is>
          <t>€/MWh</t>
        </is>
      </c>
      <c r="E2058" s="54" t="n">
        <v>0.074102</v>
      </c>
      <c r="F2058" s="54" t="n"/>
      <c r="G2058" t="inlineStr">
        <is>
          <t>no aplica (precio mayorista)</t>
        </is>
      </c>
      <c r="J2058" t="inlineStr">
        <is>
          <t>2025-08-15</t>
        </is>
      </c>
      <c r="K2058" t="inlineStr">
        <is>
          <t>marginalpdbc_20250816.1</t>
        </is>
      </c>
      <c r="L2058" t="inlineStr">
        <is>
          <t>24 periodos; mín 0.65, máx 144.00 €/MWh</t>
        </is>
      </c>
    </row>
    <row r="2059">
      <c r="A2059" s="53" t="n">
        <v>45886</v>
      </c>
      <c r="B2059" t="inlineStr">
        <is>
          <t>2025-08-17</t>
        </is>
      </c>
      <c r="C2059" s="45" t="n">
        <v>68.7021</v>
      </c>
      <c r="D2059" t="inlineStr">
        <is>
          <t>€/MWh</t>
        </is>
      </c>
      <c r="E2059" s="54" t="n">
        <v>0.068702</v>
      </c>
      <c r="F2059" s="54" t="n"/>
      <c r="G2059" t="inlineStr">
        <is>
          <t>no aplica (precio mayorista)</t>
        </is>
      </c>
      <c r="J2059" t="inlineStr">
        <is>
          <t>2025-08-16</t>
        </is>
      </c>
      <c r="K2059" t="inlineStr">
        <is>
          <t>marginalpdbc_20250817.1</t>
        </is>
      </c>
      <c r="L2059" t="inlineStr">
        <is>
          <t>24 periodos; mín 0.65, máx 131.25 €/MWh</t>
        </is>
      </c>
    </row>
    <row r="2060">
      <c r="A2060" s="53" t="n">
        <v>45887</v>
      </c>
      <c r="B2060" t="inlineStr">
        <is>
          <t>2025-08-18</t>
        </is>
      </c>
      <c r="C2060" s="45" t="n">
        <v>96.67619999999999</v>
      </c>
      <c r="D2060" t="inlineStr">
        <is>
          <t>€/MWh</t>
        </is>
      </c>
      <c r="E2060" s="54" t="n">
        <v>0.096676</v>
      </c>
      <c r="F2060" s="54" t="n"/>
      <c r="G2060" t="inlineStr">
        <is>
          <t>no aplica (precio mayorista)</t>
        </is>
      </c>
      <c r="J2060" t="inlineStr">
        <is>
          <t>2025-08-17</t>
        </is>
      </c>
      <c r="K2060" t="inlineStr">
        <is>
          <t>marginalpdbc_20250818.1</t>
        </is>
      </c>
      <c r="L2060" t="inlineStr">
        <is>
          <t>24 periodos; mín 60.00, máx 120.76 €/MWh</t>
        </is>
      </c>
    </row>
    <row r="2061">
      <c r="A2061" s="53" t="n">
        <v>45888</v>
      </c>
      <c r="B2061" t="inlineStr">
        <is>
          <t>2025-08-19</t>
        </is>
      </c>
      <c r="C2061" s="45" t="n">
        <v>77.7171</v>
      </c>
      <c r="D2061" t="inlineStr">
        <is>
          <t>€/MWh</t>
        </is>
      </c>
      <c r="E2061" s="54" t="n">
        <v>0.07771699999999999</v>
      </c>
      <c r="F2061" s="54" t="n"/>
      <c r="G2061" t="inlineStr">
        <is>
          <t>no aplica (precio mayorista)</t>
        </is>
      </c>
      <c r="J2061" t="inlineStr">
        <is>
          <t>2025-08-18</t>
        </is>
      </c>
      <c r="K2061" t="inlineStr">
        <is>
          <t>marginalpdbc_20250819.1</t>
        </is>
      </c>
      <c r="L2061" t="inlineStr">
        <is>
          <t>24 periodos; mín 29.14, máx 106.85 €/MWh</t>
        </is>
      </c>
    </row>
    <row r="2062">
      <c r="A2062" s="53" t="n">
        <v>45889</v>
      </c>
      <c r="B2062" t="inlineStr">
        <is>
          <t>2025-08-20</t>
        </is>
      </c>
      <c r="C2062" s="45" t="n">
        <v>68.3104</v>
      </c>
      <c r="D2062" t="inlineStr">
        <is>
          <t>€/MWh</t>
        </is>
      </c>
      <c r="E2062" s="54" t="n">
        <v>0.06831</v>
      </c>
      <c r="F2062" s="54" t="n"/>
      <c r="G2062" t="inlineStr">
        <is>
          <t>no aplica (precio mayorista)</t>
        </is>
      </c>
      <c r="J2062" t="inlineStr">
        <is>
          <t>2025-08-19</t>
        </is>
      </c>
      <c r="K2062" t="inlineStr">
        <is>
          <t>marginalpdbc_20250820.1</t>
        </is>
      </c>
      <c r="L2062" t="inlineStr">
        <is>
          <t>24 periodos; mín 27.20, máx 100.07 €/MWh</t>
        </is>
      </c>
    </row>
    <row r="2063">
      <c r="A2063" s="53" t="n">
        <v>45890</v>
      </c>
      <c r="B2063" t="inlineStr">
        <is>
          <t>2025-08-21</t>
        </is>
      </c>
      <c r="C2063" s="45" t="n">
        <v>53.8913</v>
      </c>
      <c r="D2063" t="inlineStr">
        <is>
          <t>€/MWh</t>
        </is>
      </c>
      <c r="E2063" s="54" t="n">
        <v>0.053891</v>
      </c>
      <c r="F2063" s="54" t="n"/>
      <c r="G2063" t="inlineStr">
        <is>
          <t>no aplica (precio mayorista)</t>
        </is>
      </c>
      <c r="J2063" t="inlineStr">
        <is>
          <t>2025-08-20</t>
        </is>
      </c>
      <c r="K2063" t="inlineStr">
        <is>
          <t>marginalpdbc_20250821.1</t>
        </is>
      </c>
      <c r="L2063" t="inlineStr">
        <is>
          <t>24 periodos; mín 3.52, máx 101.12 €/MWh</t>
        </is>
      </c>
    </row>
    <row r="2064">
      <c r="A2064" s="53" t="n">
        <v>45891</v>
      </c>
      <c r="B2064" t="inlineStr">
        <is>
          <t>2025-08-22</t>
        </is>
      </c>
      <c r="C2064" s="45" t="n">
        <v>53.6117</v>
      </c>
      <c r="D2064" t="inlineStr">
        <is>
          <t>€/MWh</t>
        </is>
      </c>
      <c r="E2064" s="54" t="n">
        <v>0.053612</v>
      </c>
      <c r="F2064" s="54" t="n"/>
      <c r="G2064" t="inlineStr">
        <is>
          <t>no aplica (precio mayorista)</t>
        </is>
      </c>
      <c r="J2064" t="inlineStr">
        <is>
          <t>2025-08-21</t>
        </is>
      </c>
      <c r="K2064" t="inlineStr">
        <is>
          <t>marginalpdbc_20250822.1</t>
        </is>
      </c>
      <c r="L2064" t="inlineStr">
        <is>
          <t>24 periodos; mín 4.31, máx 104.53 €/MWh</t>
        </is>
      </c>
    </row>
    <row r="2065">
      <c r="A2065" s="53" t="n">
        <v>45892</v>
      </c>
      <c r="B2065" t="inlineStr">
        <is>
          <t>2025-08-23</t>
        </is>
      </c>
      <c r="C2065" s="45" t="n">
        <v>63.4038</v>
      </c>
      <c r="D2065" t="inlineStr">
        <is>
          <t>€/MWh</t>
        </is>
      </c>
      <c r="E2065" s="54" t="n">
        <v>0.063404</v>
      </c>
      <c r="F2065" s="54" t="n"/>
      <c r="G2065" t="inlineStr">
        <is>
          <t>no aplica (precio mayorista)</t>
        </is>
      </c>
      <c r="J2065" t="inlineStr">
        <is>
          <t>2025-08-22</t>
        </is>
      </c>
      <c r="K2065" t="inlineStr">
        <is>
          <t>marginalpdbc_20250823.1</t>
        </is>
      </c>
      <c r="L2065" t="inlineStr">
        <is>
          <t>24 periodos; mín 0.65, máx 130.87 €/MWh</t>
        </is>
      </c>
    </row>
    <row r="2066">
      <c r="A2066" s="53" t="n">
        <v>45893</v>
      </c>
      <c r="B2066" t="inlineStr">
        <is>
          <t>2025-08-24</t>
        </is>
      </c>
      <c r="C2066" s="45" t="n">
        <v>62.2767</v>
      </c>
      <c r="D2066" t="inlineStr">
        <is>
          <t>€/MWh</t>
        </is>
      </c>
      <c r="E2066" s="54" t="n">
        <v>0.062277</v>
      </c>
      <c r="F2066" s="54" t="n"/>
      <c r="G2066" t="inlineStr">
        <is>
          <t>no aplica (precio mayorista)</t>
        </is>
      </c>
      <c r="J2066" t="inlineStr">
        <is>
          <t>2025-08-23</t>
        </is>
      </c>
      <c r="K2066" t="inlineStr">
        <is>
          <t>marginalpdbc_20250824.1</t>
        </is>
      </c>
      <c r="L2066" t="inlineStr">
        <is>
          <t>24 periodos; mín -0.60, máx 114.99 €/MWh</t>
        </is>
      </c>
    </row>
    <row r="2067">
      <c r="A2067" s="53" t="n">
        <v>45894</v>
      </c>
      <c r="B2067" t="inlineStr">
        <is>
          <t>2025-08-25</t>
        </is>
      </c>
      <c r="C2067" s="45" t="n">
        <v>92.2971</v>
      </c>
      <c r="D2067" t="inlineStr">
        <is>
          <t>€/MWh</t>
        </is>
      </c>
      <c r="E2067" s="54" t="n">
        <v>0.092297</v>
      </c>
      <c r="F2067" s="54" t="n"/>
      <c r="G2067" t="inlineStr">
        <is>
          <t>no aplica (precio mayorista)</t>
        </is>
      </c>
      <c r="J2067" t="inlineStr">
        <is>
          <t>2025-08-24</t>
        </is>
      </c>
      <c r="K2067" t="inlineStr">
        <is>
          <t>marginalpdbc_20250825.1</t>
        </is>
      </c>
      <c r="L2067" t="inlineStr">
        <is>
          <t>24 periodos; mín 25.20, máx 142.00 €/MWh</t>
        </is>
      </c>
    </row>
    <row r="2068">
      <c r="A2068" s="53" t="n">
        <v>45895</v>
      </c>
      <c r="B2068" t="inlineStr">
        <is>
          <t>2025-08-26</t>
        </is>
      </c>
      <c r="C2068" s="45" t="n">
        <v>87.7508</v>
      </c>
      <c r="D2068" t="inlineStr">
        <is>
          <t>€/MWh</t>
        </is>
      </c>
      <c r="E2068" s="54" t="n">
        <v>0.087751</v>
      </c>
      <c r="F2068" s="54" t="n"/>
      <c r="G2068" t="inlineStr">
        <is>
          <t>no aplica (precio mayorista)</t>
        </is>
      </c>
      <c r="J2068" t="inlineStr">
        <is>
          <t>2025-08-25</t>
        </is>
      </c>
      <c r="K2068" t="inlineStr">
        <is>
          <t>marginalpdbc_20250826.1</t>
        </is>
      </c>
      <c r="L2068" t="inlineStr">
        <is>
          <t>24 periodos; mín 26.28, máx 125.95 €/MWh</t>
        </is>
      </c>
    </row>
    <row r="2069">
      <c r="A2069" s="53" t="n">
        <v>45896</v>
      </c>
      <c r="B2069" t="inlineStr">
        <is>
          <t>2025-08-27</t>
        </is>
      </c>
      <c r="C2069" s="45" t="n">
        <v>88.0288</v>
      </c>
      <c r="D2069" t="inlineStr">
        <is>
          <t>€/MWh</t>
        </is>
      </c>
      <c r="E2069" s="54" t="n">
        <v>0.088029</v>
      </c>
      <c r="F2069" s="54" t="n"/>
      <c r="G2069" t="inlineStr">
        <is>
          <t>no aplica (precio mayorista)</t>
        </is>
      </c>
      <c r="J2069" t="inlineStr">
        <is>
          <t>2025-08-26</t>
        </is>
      </c>
      <c r="K2069" t="inlineStr">
        <is>
          <t>marginalpdbc_20250827.1</t>
        </is>
      </c>
      <c r="L2069" t="inlineStr">
        <is>
          <t>24 periodos; mín 49.85, máx 114.32 €/MWh</t>
        </is>
      </c>
    </row>
    <row r="2070">
      <c r="A2070" s="53" t="n">
        <v>45897</v>
      </c>
      <c r="B2070" t="inlineStr">
        <is>
          <t>2025-08-28</t>
        </is>
      </c>
      <c r="C2070" s="45" t="n">
        <v>53.8417</v>
      </c>
      <c r="D2070" t="inlineStr">
        <is>
          <t>€/MWh</t>
        </is>
      </c>
      <c r="E2070" s="54" t="n">
        <v>0.053842</v>
      </c>
      <c r="F2070" s="54" t="n"/>
      <c r="G2070" t="inlineStr">
        <is>
          <t>no aplica (precio mayorista)</t>
        </is>
      </c>
      <c r="J2070" t="inlineStr">
        <is>
          <t>2025-08-27</t>
        </is>
      </c>
      <c r="K2070" t="inlineStr">
        <is>
          <t>marginalpdbc_20250828.1</t>
        </is>
      </c>
      <c r="L2070" t="inlineStr">
        <is>
          <t>24 periodos; mín 0.01, máx 97.15 €/MWh</t>
        </is>
      </c>
    </row>
    <row r="2071">
      <c r="A2071" s="53" t="n">
        <v>45898</v>
      </c>
      <c r="B2071" t="inlineStr">
        <is>
          <t>2025-08-29</t>
        </is>
      </c>
      <c r="C2071" s="45" t="n">
        <v>45.7508</v>
      </c>
      <c r="D2071" t="inlineStr">
        <is>
          <t>€/MWh</t>
        </is>
      </c>
      <c r="E2071" s="54" t="n">
        <v>0.045751</v>
      </c>
      <c r="F2071" s="54" t="n"/>
      <c r="G2071" t="inlineStr">
        <is>
          <t>no aplica (precio mayorista)</t>
        </is>
      </c>
      <c r="J2071" t="inlineStr">
        <is>
          <t>2025-08-28</t>
        </is>
      </c>
      <c r="K2071" t="inlineStr">
        <is>
          <t>marginalpdbc_20250829.1</t>
        </is>
      </c>
      <c r="L2071" t="inlineStr">
        <is>
          <t>24 periodos; mín 0.00, máx 100.01 €/MWh</t>
        </is>
      </c>
    </row>
    <row r="2072">
      <c r="A2072" s="53" t="n">
        <v>45899</v>
      </c>
      <c r="B2072" t="inlineStr">
        <is>
          <t>2025-08-30</t>
        </is>
      </c>
      <c r="C2072" s="45" t="n">
        <v>52.6058</v>
      </c>
      <c r="D2072" t="inlineStr">
        <is>
          <t>€/MWh</t>
        </is>
      </c>
      <c r="E2072" s="54" t="n">
        <v>0.052606</v>
      </c>
      <c r="F2072" s="54" t="n"/>
      <c r="G2072" t="inlineStr">
        <is>
          <t>no aplica (precio mayorista)</t>
        </is>
      </c>
      <c r="J2072" t="inlineStr">
        <is>
          <t>2025-08-29</t>
        </is>
      </c>
      <c r="K2072" t="inlineStr">
        <is>
          <t>marginalpdbc_20250830.1</t>
        </is>
      </c>
      <c r="L2072" t="inlineStr">
        <is>
          <t>24 periodos; mín -0.01, máx 107.12 €/MWh</t>
        </is>
      </c>
    </row>
    <row r="2073">
      <c r="A2073" s="53" t="n">
        <v>45900</v>
      </c>
      <c r="B2073" t="inlineStr">
        <is>
          <t>2025-08-31</t>
        </is>
      </c>
      <c r="C2073" s="45" t="n">
        <v>37.2983</v>
      </c>
      <c r="D2073" t="inlineStr">
        <is>
          <t>€/MWh</t>
        </is>
      </c>
      <c r="E2073" s="54" t="n">
        <v>0.037298</v>
      </c>
      <c r="F2073" s="54" t="n"/>
      <c r="G2073" t="inlineStr">
        <is>
          <t>no aplica (precio mayorista)</t>
        </is>
      </c>
      <c r="J2073" t="inlineStr">
        <is>
          <t>2025-08-30</t>
        </is>
      </c>
      <c r="K2073" t="inlineStr">
        <is>
          <t>marginalpdbc_20250831.1</t>
        </is>
      </c>
      <c r="L2073" t="inlineStr">
        <is>
          <t>24 periodos; mín -0.98, máx 81.06 €/MWh</t>
        </is>
      </c>
    </row>
    <row r="2074">
      <c r="A2074" s="53" t="n">
        <v>45901</v>
      </c>
      <c r="B2074" t="inlineStr">
        <is>
          <t>2025-09-01</t>
        </is>
      </c>
      <c r="C2074" s="45" t="n">
        <v>30.6292</v>
      </c>
      <c r="D2074" t="inlineStr">
        <is>
          <t>€/MWh</t>
        </is>
      </c>
      <c r="E2074" s="54" t="n">
        <v>0.030629</v>
      </c>
      <c r="F2074" s="54" t="n"/>
      <c r="G2074" t="inlineStr">
        <is>
          <t>no aplica (precio mayorista)</t>
        </is>
      </c>
      <c r="J2074" t="inlineStr">
        <is>
          <t>2025-08-31</t>
        </is>
      </c>
      <c r="K2074" t="inlineStr">
        <is>
          <t>marginalpdbc_20250901.1</t>
        </is>
      </c>
      <c r="L2074" t="inlineStr">
        <is>
          <t>24 periodos; mín 0.00, máx 100.01 €/MWh</t>
        </is>
      </c>
    </row>
    <row r="2075">
      <c r="A2075" s="53" t="n">
        <v>45902</v>
      </c>
      <c r="B2075" t="inlineStr">
        <is>
          <t>2025-09-02</t>
        </is>
      </c>
      <c r="C2075" s="45" t="n">
        <v>61.0971</v>
      </c>
      <c r="D2075" t="inlineStr">
        <is>
          <t>€/MWh</t>
        </is>
      </c>
      <c r="E2075" s="54" t="n">
        <v>0.061097</v>
      </c>
      <c r="F2075" s="54" t="n"/>
      <c r="G2075" t="inlineStr">
        <is>
          <t>no aplica (precio mayorista)</t>
        </is>
      </c>
      <c r="J2075" t="inlineStr">
        <is>
          <t>2025-09-01</t>
        </is>
      </c>
      <c r="K2075" t="inlineStr">
        <is>
          <t>marginalpdbc_20250902.1</t>
        </is>
      </c>
      <c r="L2075" t="inlineStr">
        <is>
          <t>24 periodos; mín 0.21, máx 160.00 €/MWh</t>
        </is>
      </c>
    </row>
    <row r="2076">
      <c r="A2076" s="53" t="n">
        <v>45903</v>
      </c>
      <c r="B2076" t="inlineStr">
        <is>
          <t>2025-09-03</t>
        </is>
      </c>
      <c r="C2076" s="45" t="n">
        <v>55.1004</v>
      </c>
      <c r="D2076" t="inlineStr">
        <is>
          <t>€/MWh</t>
        </is>
      </c>
      <c r="E2076" s="54" t="n">
        <v>0.0551</v>
      </c>
      <c r="F2076" s="54" t="n"/>
      <c r="G2076" t="inlineStr">
        <is>
          <t>no aplica (precio mayorista)</t>
        </is>
      </c>
      <c r="J2076" t="inlineStr">
        <is>
          <t>2025-09-02</t>
        </is>
      </c>
      <c r="K2076" t="inlineStr">
        <is>
          <t>marginalpdbc_20250903.1</t>
        </is>
      </c>
      <c r="L2076" t="inlineStr">
        <is>
          <t>24 periodos; mín -0.02, máx 133.45 €/MWh</t>
        </is>
      </c>
    </row>
    <row r="2077">
      <c r="A2077" s="53" t="n">
        <v>45904</v>
      </c>
      <c r="B2077" t="inlineStr">
        <is>
          <t>2025-09-04</t>
        </is>
      </c>
      <c r="C2077" s="45" t="n">
        <v>55.6471</v>
      </c>
      <c r="D2077" t="inlineStr">
        <is>
          <t>€/MWh</t>
        </is>
      </c>
      <c r="E2077" s="54" t="n">
        <v>0.055647</v>
      </c>
      <c r="F2077" s="54" t="n"/>
      <c r="G2077" t="inlineStr">
        <is>
          <t>no aplica (precio mayorista)</t>
        </is>
      </c>
      <c r="J2077" t="inlineStr">
        <is>
          <t>2025-09-03</t>
        </is>
      </c>
      <c r="K2077" t="inlineStr">
        <is>
          <t>marginalpdbc_20250904.1</t>
        </is>
      </c>
      <c r="L2077" t="inlineStr">
        <is>
          <t>24 periodos; mín 1.55, máx 112.99 €/MWh</t>
        </is>
      </c>
    </row>
    <row r="2078">
      <c r="A2078" s="53" t="n">
        <v>45905</v>
      </c>
      <c r="B2078" t="inlineStr">
        <is>
          <t>2025-09-05</t>
        </is>
      </c>
      <c r="C2078" s="45" t="n">
        <v>55.3208</v>
      </c>
      <c r="D2078" t="inlineStr">
        <is>
          <t>€/MWh</t>
        </is>
      </c>
      <c r="E2078" s="54" t="n">
        <v>0.055321</v>
      </c>
      <c r="F2078" s="54" t="n"/>
      <c r="G2078" t="inlineStr">
        <is>
          <t>no aplica (precio mayorista)</t>
        </is>
      </c>
      <c r="J2078" t="inlineStr">
        <is>
          <t>2025-09-04</t>
        </is>
      </c>
      <c r="K2078" t="inlineStr">
        <is>
          <t>marginalpdbc_20250905.1</t>
        </is>
      </c>
      <c r="L2078" t="inlineStr">
        <is>
          <t>24 periodos; mín 0.65, máx 107.10 €/MWh</t>
        </is>
      </c>
    </row>
    <row r="2079">
      <c r="A2079" s="53" t="n">
        <v>45906</v>
      </c>
      <c r="B2079" t="inlineStr">
        <is>
          <t>2025-09-06</t>
        </is>
      </c>
      <c r="C2079" s="45" t="n">
        <v>26.5392</v>
      </c>
      <c r="D2079" t="inlineStr">
        <is>
          <t>€/MWh</t>
        </is>
      </c>
      <c r="E2079" s="54" t="n">
        <v>0.026539</v>
      </c>
      <c r="F2079" s="54" t="n"/>
      <c r="G2079" t="inlineStr">
        <is>
          <t>no aplica (precio mayorista)</t>
        </is>
      </c>
      <c r="J2079" t="inlineStr">
        <is>
          <t>2025-09-05</t>
        </is>
      </c>
      <c r="K2079" t="inlineStr">
        <is>
          <t>marginalpdbc_20250906.1</t>
        </is>
      </c>
      <c r="L2079" t="inlineStr">
        <is>
          <t>24 periodos; mín -0.99, máx 74.64 €/MWh</t>
        </is>
      </c>
    </row>
    <row r="2080">
      <c r="A2080" s="53" t="n">
        <v>45907</v>
      </c>
      <c r="B2080" t="inlineStr">
        <is>
          <t>2025-09-07</t>
        </is>
      </c>
      <c r="C2080" s="45" t="n">
        <v>31.8438</v>
      </c>
      <c r="D2080" t="inlineStr">
        <is>
          <t>€/MWh</t>
        </is>
      </c>
      <c r="E2080" s="54" t="n">
        <v>0.031844</v>
      </c>
      <c r="F2080" s="54" t="n"/>
      <c r="G2080" t="inlineStr">
        <is>
          <t>no aplica (precio mayorista)</t>
        </is>
      </c>
      <c r="J2080" t="inlineStr">
        <is>
          <t>2025-09-06</t>
        </is>
      </c>
      <c r="K2080" t="inlineStr">
        <is>
          <t>marginalpdbc_20250907.1</t>
        </is>
      </c>
      <c r="L2080" t="inlineStr">
        <is>
          <t>24 periodos; mín 0.00, máx 111.56 €/MWh</t>
        </is>
      </c>
    </row>
    <row r="2081">
      <c r="A2081" s="53" t="n">
        <v>45908</v>
      </c>
      <c r="B2081" t="inlineStr">
        <is>
          <t>2025-09-08</t>
        </is>
      </c>
      <c r="C2081" s="45" t="n">
        <v>76.36750000000001</v>
      </c>
      <c r="D2081" t="inlineStr">
        <is>
          <t>€/MWh</t>
        </is>
      </c>
      <c r="E2081" s="54" t="n">
        <v>0.076367</v>
      </c>
      <c r="F2081" s="54" t="n"/>
      <c r="G2081" t="inlineStr">
        <is>
          <t>no aplica (precio mayorista)</t>
        </is>
      </c>
      <c r="J2081" t="inlineStr">
        <is>
          <t>2025-09-07</t>
        </is>
      </c>
      <c r="K2081" t="inlineStr">
        <is>
          <t>marginalpdbc_20250908.1</t>
        </is>
      </c>
      <c r="L2081" t="inlineStr">
        <is>
          <t>24 periodos; mín 27.08, máx 108.36 €/MWh</t>
        </is>
      </c>
    </row>
    <row r="2082">
      <c r="A2082" s="53" t="n">
        <v>45909</v>
      </c>
      <c r="B2082" t="inlineStr">
        <is>
          <t>2025-09-09</t>
        </is>
      </c>
      <c r="C2082" s="45" t="n">
        <v>63.5621</v>
      </c>
      <c r="D2082" t="inlineStr">
        <is>
          <t>€/MWh</t>
        </is>
      </c>
      <c r="E2082" s="54" t="n">
        <v>0.06356199999999999</v>
      </c>
      <c r="F2082" s="54" t="n"/>
      <c r="G2082" t="inlineStr">
        <is>
          <t>no aplica (precio mayorista)</t>
        </is>
      </c>
      <c r="J2082" t="inlineStr">
        <is>
          <t>2025-09-08</t>
        </is>
      </c>
      <c r="K2082" t="inlineStr">
        <is>
          <t>marginalpdbc_20250909.1</t>
        </is>
      </c>
      <c r="L2082" t="inlineStr">
        <is>
          <t>24 periodos; mín 8.91, máx 120.00 €/MWh</t>
        </is>
      </c>
    </row>
    <row r="2083">
      <c r="A2083" s="53" t="n">
        <v>45910</v>
      </c>
      <c r="B2083" t="inlineStr">
        <is>
          <t>2025-09-10</t>
        </is>
      </c>
      <c r="C2083" s="45" t="n">
        <v>51.5642</v>
      </c>
      <c r="D2083" t="inlineStr">
        <is>
          <t>€/MWh</t>
        </is>
      </c>
      <c r="E2083" s="54" t="n">
        <v>0.051564</v>
      </c>
      <c r="F2083" s="54" t="n"/>
      <c r="G2083" t="inlineStr">
        <is>
          <t>no aplica (precio mayorista)</t>
        </is>
      </c>
      <c r="J2083" t="inlineStr">
        <is>
          <t>2025-09-09</t>
        </is>
      </c>
      <c r="K2083" t="inlineStr">
        <is>
          <t>marginalpdbc_20250910.1</t>
        </is>
      </c>
      <c r="L2083" t="inlineStr">
        <is>
          <t>24 periodos; mín -0.01, máx 105.01 €/MWh</t>
        </is>
      </c>
    </row>
    <row r="2084">
      <c r="A2084" s="53" t="n">
        <v>45911</v>
      </c>
      <c r="B2084" t="inlineStr">
        <is>
          <t>2025-09-11</t>
        </is>
      </c>
      <c r="C2084" s="45" t="n">
        <v>54.415</v>
      </c>
      <c r="D2084" t="inlineStr">
        <is>
          <t>€/MWh</t>
        </is>
      </c>
      <c r="E2084" s="54" t="n">
        <v>0.054415</v>
      </c>
      <c r="F2084" s="54" t="n"/>
      <c r="G2084" t="inlineStr">
        <is>
          <t>no aplica (precio mayorista)</t>
        </is>
      </c>
      <c r="J2084" t="inlineStr">
        <is>
          <t>2025-09-10</t>
        </is>
      </c>
      <c r="K2084" t="inlineStr">
        <is>
          <t>marginalpdbc_20250911.1</t>
        </is>
      </c>
      <c r="L2084" t="inlineStr">
        <is>
          <t>24 periodos; mín -0.01, máx 140.00 €/MWh</t>
        </is>
      </c>
    </row>
    <row r="2085">
      <c r="A2085" s="53" t="n">
        <v>45912</v>
      </c>
      <c r="B2085" t="inlineStr">
        <is>
          <t>2025-09-12</t>
        </is>
      </c>
      <c r="C2085" s="45" t="n">
        <v>73.1296</v>
      </c>
      <c r="D2085" t="inlineStr">
        <is>
          <t>€/MWh</t>
        </is>
      </c>
      <c r="E2085" s="54" t="n">
        <v>0.07313</v>
      </c>
      <c r="F2085" s="54" t="n"/>
      <c r="G2085" t="inlineStr">
        <is>
          <t>no aplica (precio mayorista)</t>
        </is>
      </c>
      <c r="J2085" t="inlineStr">
        <is>
          <t>2025-09-11</t>
        </is>
      </c>
      <c r="K2085" t="inlineStr">
        <is>
          <t>marginalpdbc_20250912.1</t>
        </is>
      </c>
      <c r="L2085" t="inlineStr">
        <is>
          <t>24 periodos; mín 0.75, máx 143.15 €/MWh</t>
        </is>
      </c>
    </row>
    <row r="2086">
      <c r="A2086" s="53" t="n">
        <v>45913</v>
      </c>
      <c r="B2086" t="inlineStr">
        <is>
          <t>2025-09-13</t>
        </is>
      </c>
      <c r="C2086" s="45" t="n">
        <v>60.8442</v>
      </c>
      <c r="D2086" t="inlineStr">
        <is>
          <t>€/MWh</t>
        </is>
      </c>
      <c r="E2086" s="54" t="n">
        <v>0.060844</v>
      </c>
      <c r="F2086" s="54" t="n"/>
      <c r="G2086" t="inlineStr">
        <is>
          <t>no aplica (precio mayorista)</t>
        </is>
      </c>
      <c r="J2086" t="inlineStr">
        <is>
          <t>2025-09-12</t>
        </is>
      </c>
      <c r="K2086" t="inlineStr">
        <is>
          <t>marginalpdbc_20250913.1</t>
        </is>
      </c>
      <c r="L2086" t="inlineStr">
        <is>
          <t>24 periodos; mín -0.01, máx 106.11 €/MWh</t>
        </is>
      </c>
    </row>
    <row r="2087">
      <c r="A2087" s="53" t="n">
        <v>45914</v>
      </c>
      <c r="B2087" t="inlineStr">
        <is>
          <t>2025-09-14</t>
        </is>
      </c>
      <c r="C2087" s="45" t="n">
        <v>48.8721</v>
      </c>
      <c r="D2087" t="inlineStr">
        <is>
          <t>€/MWh</t>
        </is>
      </c>
      <c r="E2087" s="54" t="n">
        <v>0.048872</v>
      </c>
      <c r="F2087" s="54" t="n"/>
      <c r="G2087" t="inlineStr">
        <is>
          <t>no aplica (precio mayorista)</t>
        </is>
      </c>
      <c r="J2087" t="inlineStr">
        <is>
          <t>2025-09-13</t>
        </is>
      </c>
      <c r="K2087" t="inlineStr">
        <is>
          <t>marginalpdbc_20250914.1</t>
        </is>
      </c>
      <c r="L2087" t="inlineStr">
        <is>
          <t>24 periodos; mín -0.01, máx 126.13 €/MWh</t>
        </is>
      </c>
    </row>
    <row r="2088">
      <c r="A2088" s="53" t="n">
        <v>45915</v>
      </c>
      <c r="B2088" t="inlineStr">
        <is>
          <t>2025-09-15</t>
        </is>
      </c>
      <c r="C2088" s="45" t="n">
        <v>66.88039999999999</v>
      </c>
      <c r="D2088" t="inlineStr">
        <is>
          <t>€/MWh</t>
        </is>
      </c>
      <c r="E2088" s="54" t="n">
        <v>0.06688</v>
      </c>
      <c r="F2088" s="54" t="n"/>
      <c r="G2088" t="inlineStr">
        <is>
          <t>no aplica (precio mayorista)</t>
        </is>
      </c>
      <c r="J2088" t="inlineStr">
        <is>
          <t>2025-09-14</t>
        </is>
      </c>
      <c r="K2088" t="inlineStr">
        <is>
          <t>marginalpdbc_20250915.1</t>
        </is>
      </c>
      <c r="L2088" t="inlineStr">
        <is>
          <t>24 periodos; mín 2.50, máx 124.00 €/MWh</t>
        </is>
      </c>
    </row>
    <row r="2089">
      <c r="A2089" s="53" t="n">
        <v>45916</v>
      </c>
      <c r="B2089" t="inlineStr">
        <is>
          <t>2025-09-16</t>
        </is>
      </c>
      <c r="C2089" s="45" t="n">
        <v>72.5467</v>
      </c>
      <c r="D2089" t="inlineStr">
        <is>
          <t>€/MWh</t>
        </is>
      </c>
      <c r="E2089" s="54" t="n">
        <v>0.072547</v>
      </c>
      <c r="F2089" s="54" t="n"/>
      <c r="G2089" t="inlineStr">
        <is>
          <t>no aplica (precio mayorista)</t>
        </is>
      </c>
      <c r="J2089" t="inlineStr">
        <is>
          <t>2025-09-15</t>
        </is>
      </c>
      <c r="K2089" t="inlineStr">
        <is>
          <t>marginalpdbc_20250916.1</t>
        </is>
      </c>
      <c r="L2089" t="inlineStr">
        <is>
          <t>24 periodos; mín 3.52, máx 198.95 €/MWh</t>
        </is>
      </c>
    </row>
    <row r="2090">
      <c r="A2090" s="53" t="n">
        <v>45917</v>
      </c>
      <c r="B2090" t="inlineStr">
        <is>
          <t>2025-09-17</t>
        </is>
      </c>
      <c r="C2090" s="45" t="n">
        <v>86.01000000000001</v>
      </c>
      <c r="D2090" t="inlineStr">
        <is>
          <t>€/MWh</t>
        </is>
      </c>
      <c r="E2090" s="54" t="n">
        <v>0.08601</v>
      </c>
      <c r="F2090" s="54" t="n"/>
      <c r="G2090" t="inlineStr">
        <is>
          <t>no aplica (precio mayorista)</t>
        </is>
      </c>
      <c r="J2090" t="inlineStr">
        <is>
          <t>2025-09-16</t>
        </is>
      </c>
      <c r="K2090" t="inlineStr">
        <is>
          <t>marginalpdbc_20250917.1</t>
        </is>
      </c>
      <c r="L2090" t="inlineStr">
        <is>
          <t>24 periodos; mín 15.10, máx 215.00 €/MWh</t>
        </is>
      </c>
    </row>
    <row r="2091">
      <c r="A2091" s="53" t="n">
        <v>45918</v>
      </c>
      <c r="B2091" t="inlineStr">
        <is>
          <t>2025-09-18</t>
        </is>
      </c>
      <c r="C2091" s="45" t="n">
        <v>97.0125</v>
      </c>
      <c r="D2091" t="inlineStr">
        <is>
          <t>€/MWh</t>
        </is>
      </c>
      <c r="E2091" s="54" t="n">
        <v>0.097013</v>
      </c>
      <c r="F2091" s="54" t="n"/>
      <c r="G2091" t="inlineStr">
        <is>
          <t>no aplica (precio mayorista)</t>
        </is>
      </c>
      <c r="J2091" t="inlineStr">
        <is>
          <t>2025-09-17</t>
        </is>
      </c>
      <c r="K2091" t="inlineStr">
        <is>
          <t>marginalpdbc_20250918.1</t>
        </is>
      </c>
      <c r="L2091" t="inlineStr">
        <is>
          <t>24 periodos; mín 44.00, máx 200.00 €/MWh</t>
        </is>
      </c>
    </row>
    <row r="2092">
      <c r="A2092" s="53" t="n">
        <v>45919</v>
      </c>
      <c r="B2092" t="inlineStr">
        <is>
          <t>2025-09-19</t>
        </is>
      </c>
      <c r="C2092" s="45" t="n">
        <v>89.55329999999999</v>
      </c>
      <c r="D2092" t="inlineStr">
        <is>
          <t>€/MWh</t>
        </is>
      </c>
      <c r="E2092" s="54" t="n">
        <v>0.08955299999999999</v>
      </c>
      <c r="F2092" s="54" t="n"/>
      <c r="G2092" t="inlineStr">
        <is>
          <t>no aplica (precio mayorista)</t>
        </is>
      </c>
      <c r="J2092" t="inlineStr">
        <is>
          <t>2025-09-18</t>
        </is>
      </c>
      <c r="K2092" t="inlineStr">
        <is>
          <t>marginalpdbc_20250919.1</t>
        </is>
      </c>
      <c r="L2092" t="inlineStr">
        <is>
          <t>24 periodos; mín 31.25, máx 125.20 €/MWh</t>
        </is>
      </c>
    </row>
    <row r="2093">
      <c r="A2093" s="53" t="n">
        <v>45920</v>
      </c>
      <c r="B2093" t="inlineStr">
        <is>
          <t>2025-09-20</t>
        </is>
      </c>
      <c r="C2093" s="45" t="n">
        <v>66.05670000000001</v>
      </c>
      <c r="D2093" t="inlineStr">
        <is>
          <t>€/MWh</t>
        </is>
      </c>
      <c r="E2093" s="54" t="n">
        <v>0.066057</v>
      </c>
      <c r="F2093" s="54" t="n"/>
      <c r="G2093" t="inlineStr">
        <is>
          <t>no aplica (precio mayorista)</t>
        </is>
      </c>
      <c r="J2093" t="inlineStr">
        <is>
          <t>2025-09-19</t>
        </is>
      </c>
      <c r="K2093" t="inlineStr">
        <is>
          <t>marginalpdbc_20250920.1</t>
        </is>
      </c>
      <c r="L2093" t="inlineStr">
        <is>
          <t>24 periodos; mín 0.65, máx 110.91 €/MWh</t>
        </is>
      </c>
    </row>
    <row r="2094">
      <c r="A2094" s="53" t="n">
        <v>45921</v>
      </c>
      <c r="B2094" t="inlineStr">
        <is>
          <t>2025-09-21</t>
        </is>
      </c>
      <c r="C2094" s="45" t="n">
        <v>42.2863</v>
      </c>
      <c r="D2094" t="inlineStr">
        <is>
          <t>€/MWh</t>
        </is>
      </c>
      <c r="E2094" s="54" t="n">
        <v>0.042286</v>
      </c>
      <c r="F2094" s="54" t="n"/>
      <c r="G2094" t="inlineStr">
        <is>
          <t>no aplica (precio mayorista)</t>
        </is>
      </c>
      <c r="J2094" t="inlineStr">
        <is>
          <t>2025-09-20</t>
        </is>
      </c>
      <c r="K2094" t="inlineStr">
        <is>
          <t>marginalpdbc_20250921.1</t>
        </is>
      </c>
      <c r="L2094" t="inlineStr">
        <is>
          <t>24 periodos; mín -0.62, máx 85.80 €/MWh</t>
        </is>
      </c>
    </row>
    <row r="2095">
      <c r="A2095" s="53" t="n">
        <v>45922</v>
      </c>
      <c r="B2095" t="inlineStr">
        <is>
          <t>2025-09-22</t>
        </is>
      </c>
      <c r="C2095" s="45" t="n">
        <v>34.5333</v>
      </c>
      <c r="D2095" t="inlineStr">
        <is>
          <t>€/MWh</t>
        </is>
      </c>
      <c r="E2095" s="54" t="n">
        <v>0.034533</v>
      </c>
      <c r="F2095" s="54" t="n"/>
      <c r="G2095" t="inlineStr">
        <is>
          <t>no aplica (precio mayorista)</t>
        </is>
      </c>
      <c r="J2095" t="inlineStr">
        <is>
          <t>2025-09-21</t>
        </is>
      </c>
      <c r="K2095" t="inlineStr">
        <is>
          <t>marginalpdbc_20250922.1</t>
        </is>
      </c>
      <c r="L2095" t="inlineStr">
        <is>
          <t>24 periodos; mín -0.01, máx 109.38 €/MWh</t>
        </is>
      </c>
    </row>
    <row r="2096">
      <c r="A2096" s="53" t="n">
        <v>45923</v>
      </c>
      <c r="B2096" t="inlineStr">
        <is>
          <t>2025-09-23</t>
        </is>
      </c>
      <c r="C2096" s="45" t="n">
        <v>51.5637</v>
      </c>
      <c r="D2096" t="inlineStr">
        <is>
          <t>€/MWh</t>
        </is>
      </c>
      <c r="E2096" s="54" t="n">
        <v>0.051564</v>
      </c>
      <c r="F2096" s="54" t="n"/>
      <c r="G2096" t="inlineStr">
        <is>
          <t>no aplica (precio mayorista)</t>
        </is>
      </c>
      <c r="J2096" t="inlineStr">
        <is>
          <t>2025-09-22</t>
        </is>
      </c>
      <c r="K2096" t="inlineStr">
        <is>
          <t>marginalpdbc_20250923.1</t>
        </is>
      </c>
      <c r="L2096" t="inlineStr">
        <is>
          <t>24 periodos; mín 0.00, máx 105.01 €/MWh</t>
        </is>
      </c>
    </row>
    <row r="2097">
      <c r="A2097" s="53" t="n">
        <v>45924</v>
      </c>
      <c r="B2097" t="inlineStr">
        <is>
          <t>2025-09-24</t>
        </is>
      </c>
      <c r="C2097" s="45" t="n">
        <v>46.3992</v>
      </c>
      <c r="D2097" t="inlineStr">
        <is>
          <t>€/MWh</t>
        </is>
      </c>
      <c r="E2097" s="54" t="n">
        <v>0.046399</v>
      </c>
      <c r="F2097" s="54" t="n"/>
      <c r="G2097" t="inlineStr">
        <is>
          <t>no aplica (precio mayorista)</t>
        </is>
      </c>
      <c r="J2097" t="inlineStr">
        <is>
          <t>2025-09-23</t>
        </is>
      </c>
      <c r="K2097" t="inlineStr">
        <is>
          <t>marginalpdbc_20250924.1</t>
        </is>
      </c>
      <c r="L2097" t="inlineStr">
        <is>
          <t>24 periodos; mín 0.01, máx 116.12 €/MWh</t>
        </is>
      </c>
    </row>
    <row r="2098">
      <c r="A2098" s="53" t="n">
        <v>45925</v>
      </c>
      <c r="B2098" t="inlineStr">
        <is>
          <t>2025-09-25</t>
        </is>
      </c>
      <c r="C2098" s="45" t="n">
        <v>79.39919999999999</v>
      </c>
      <c r="D2098" t="inlineStr">
        <is>
          <t>€/MWh</t>
        </is>
      </c>
      <c r="E2098" s="54" t="n">
        <v>0.079399</v>
      </c>
      <c r="F2098" s="54" t="n"/>
      <c r="G2098" t="inlineStr">
        <is>
          <t>no aplica (precio mayorista)</t>
        </is>
      </c>
      <c r="J2098" t="inlineStr">
        <is>
          <t>2025-09-24</t>
        </is>
      </c>
      <c r="K2098" t="inlineStr">
        <is>
          <t>marginalpdbc_20250925.1</t>
        </is>
      </c>
      <c r="L2098" t="inlineStr">
        <is>
          <t>24 periodos; mín 20.10, máx 175.01 €/MWh</t>
        </is>
      </c>
    </row>
    <row r="2099">
      <c r="A2099" s="53" t="n">
        <v>45926</v>
      </c>
      <c r="B2099" t="inlineStr">
        <is>
          <t>2025-09-26</t>
        </is>
      </c>
      <c r="C2099" s="45" t="n">
        <v>91.6538</v>
      </c>
      <c r="D2099" t="inlineStr">
        <is>
          <t>€/MWh</t>
        </is>
      </c>
      <c r="E2099" s="54" t="n">
        <v>0.091654</v>
      </c>
      <c r="F2099" s="54" t="n"/>
      <c r="G2099" t="inlineStr">
        <is>
          <t>no aplica (precio mayorista)</t>
        </is>
      </c>
      <c r="J2099" t="inlineStr">
        <is>
          <t>2025-09-25</t>
        </is>
      </c>
      <c r="K2099" t="inlineStr">
        <is>
          <t>marginalpdbc_20250926.1</t>
        </is>
      </c>
      <c r="L2099" t="inlineStr">
        <is>
          <t>24 periodos; mín 21.56, máx 160.00 €/MWh</t>
        </is>
      </c>
    </row>
    <row r="2100">
      <c r="A2100" s="53" t="n">
        <v>45927</v>
      </c>
      <c r="B2100" t="inlineStr">
        <is>
          <t>2025-09-27</t>
        </is>
      </c>
      <c r="C2100" s="45" t="n">
        <v>71.7854</v>
      </c>
      <c r="D2100" t="inlineStr">
        <is>
          <t>€/MWh</t>
        </is>
      </c>
      <c r="E2100" s="54" t="n">
        <v>0.071785</v>
      </c>
      <c r="F2100" s="54" t="n"/>
      <c r="G2100" t="inlineStr">
        <is>
          <t>no aplica (precio mayorista)</t>
        </is>
      </c>
      <c r="J2100" t="inlineStr">
        <is>
          <t>2025-09-26</t>
        </is>
      </c>
      <c r="K2100" t="inlineStr">
        <is>
          <t>marginalpdbc_20250927.1</t>
        </is>
      </c>
      <c r="L2100" t="inlineStr">
        <is>
          <t>24 periodos; mín 6.00, máx 115.87 €/MWh</t>
        </is>
      </c>
    </row>
    <row r="2101">
      <c r="A2101" s="53" t="n">
        <v>45928</v>
      </c>
      <c r="B2101" t="inlineStr">
        <is>
          <t>2025-09-28</t>
        </is>
      </c>
      <c r="C2101" s="45" t="n">
        <v>48.7937</v>
      </c>
      <c r="D2101" t="inlineStr">
        <is>
          <t>€/MWh</t>
        </is>
      </c>
      <c r="E2101" s="54" t="n">
        <v>0.048794</v>
      </c>
      <c r="F2101" s="54" t="n"/>
      <c r="G2101" t="inlineStr">
        <is>
          <t>no aplica (precio mayorista)</t>
        </is>
      </c>
      <c r="J2101" t="inlineStr">
        <is>
          <t>2025-09-27</t>
        </is>
      </c>
      <c r="K2101" t="inlineStr">
        <is>
          <t>marginalpdbc_20250928.1</t>
        </is>
      </c>
      <c r="L2101" t="inlineStr">
        <is>
          <t>24 periodos; mín 8.53, máx 74.14 €/MWh</t>
        </is>
      </c>
    </row>
    <row r="2102">
      <c r="A2102" s="53" t="n">
        <v>45929</v>
      </c>
      <c r="B2102" t="inlineStr">
        <is>
          <t>2025-09-29</t>
        </is>
      </c>
      <c r="C2102" s="45" t="n">
        <v>59.0621</v>
      </c>
      <c r="D2102" t="inlineStr">
        <is>
          <t>€/MWh</t>
        </is>
      </c>
      <c r="E2102" s="54" t="n">
        <v>0.059062</v>
      </c>
      <c r="F2102" s="54" t="n"/>
      <c r="G2102" t="inlineStr">
        <is>
          <t>no aplica (precio mayorista)</t>
        </is>
      </c>
      <c r="J2102" t="inlineStr">
        <is>
          <t>2025-09-28</t>
        </is>
      </c>
      <c r="K2102" t="inlineStr">
        <is>
          <t>marginalpdbc_20250929.1</t>
        </is>
      </c>
      <c r="L2102" t="inlineStr">
        <is>
          <t>24 periodos; mín 21.99, máx 133.26 €/MWh</t>
        </is>
      </c>
    </row>
    <row r="2103">
      <c r="A2103" s="53" t="n">
        <v>45930</v>
      </c>
      <c r="B2103" t="inlineStr">
        <is>
          <t>2025-09-30</t>
        </is>
      </c>
      <c r="C2103" s="45" t="n">
        <v>82.8017</v>
      </c>
      <c r="D2103" t="inlineStr">
        <is>
          <t>€/MWh</t>
        </is>
      </c>
      <c r="E2103" s="54" t="n">
        <v>0.082802</v>
      </c>
      <c r="F2103" s="54" t="n"/>
      <c r="G2103" t="inlineStr">
        <is>
          <t>no aplica (precio mayorista)</t>
        </is>
      </c>
      <c r="J2103" t="inlineStr">
        <is>
          <t>2025-09-29</t>
        </is>
      </c>
      <c r="K2103" t="inlineStr">
        <is>
          <t>marginalpdbc_20250930.1</t>
        </is>
      </c>
      <c r="L2103" t="inlineStr">
        <is>
          <t>24 periodos; mín 21.90, máx 199.34 €/MWh</t>
        </is>
      </c>
    </row>
    <row r="2104">
      <c r="A2104" s="53" t="n">
        <v>45931</v>
      </c>
      <c r="B2104" t="inlineStr">
        <is>
          <t>2025-10-01</t>
        </is>
      </c>
      <c r="C2104" s="45" t="n">
        <v>87.075</v>
      </c>
      <c r="D2104" t="inlineStr">
        <is>
          <t>€/MWh</t>
        </is>
      </c>
      <c r="E2104" s="54" t="n">
        <v>0.087075</v>
      </c>
      <c r="F2104" s="54" t="n"/>
      <c r="G2104" t="inlineStr">
        <is>
          <t>no aplica (precio mayorista)</t>
        </is>
      </c>
      <c r="J2104" t="inlineStr">
        <is>
          <t>2025-09-30</t>
        </is>
      </c>
      <c r="K2104" t="inlineStr">
        <is>
          <t>marginalpdbc_20251001.1</t>
        </is>
      </c>
      <c r="L2104" t="inlineStr">
        <is>
          <t>96 periodos; mín 6.67, máx 230.00 €/MWh</t>
        </is>
      </c>
    </row>
    <row r="2105">
      <c r="A2105" s="53" t="n">
        <v>45932</v>
      </c>
      <c r="B2105" t="inlineStr">
        <is>
          <t>2025-10-02</t>
        </is>
      </c>
      <c r="C2105" s="45" t="n">
        <v>86.18510000000001</v>
      </c>
      <c r="D2105" t="inlineStr">
        <is>
          <t>€/MWh</t>
        </is>
      </c>
      <c r="E2105" s="54" t="n">
        <v>0.086185</v>
      </c>
      <c r="F2105" s="54" t="n"/>
      <c r="G2105" t="inlineStr">
        <is>
          <t>no aplica (precio mayorista)</t>
        </is>
      </c>
      <c r="J2105" t="inlineStr">
        <is>
          <t>2025-10-01</t>
        </is>
      </c>
      <c r="K2105" t="inlineStr">
        <is>
          <t>marginalpdbc_20251002.1</t>
        </is>
      </c>
      <c r="L2105" t="inlineStr">
        <is>
          <t>96 periodos; mín 15.00, máx 225.00 €/MWh</t>
        </is>
      </c>
    </row>
    <row r="2106">
      <c r="A2106" s="53" t="n">
        <v>45933</v>
      </c>
      <c r="B2106" t="inlineStr">
        <is>
          <t>2025-10-03</t>
        </is>
      </c>
      <c r="C2106" s="45" t="n">
        <v>93.24550000000001</v>
      </c>
      <c r="D2106" t="inlineStr">
        <is>
          <t>€/MWh</t>
        </is>
      </c>
      <c r="E2106" s="54" t="n">
        <v>0.093246</v>
      </c>
      <c r="F2106" s="54" t="n"/>
      <c r="G2106" t="inlineStr">
        <is>
          <t>no aplica (precio mayorista)</t>
        </is>
      </c>
      <c r="J2106" t="inlineStr">
        <is>
          <t>2025-10-02</t>
        </is>
      </c>
      <c r="K2106" t="inlineStr">
        <is>
          <t>marginalpdbc_20251003.1</t>
        </is>
      </c>
      <c r="L2106" t="inlineStr">
        <is>
          <t>96 periodos; mín 32.55, máx 144.93 €/MWh</t>
        </is>
      </c>
    </row>
    <row r="2107">
      <c r="A2107" s="53" t="n">
        <v>45934</v>
      </c>
      <c r="B2107" t="inlineStr">
        <is>
          <t>2025-10-04</t>
        </is>
      </c>
      <c r="C2107" s="45" t="n">
        <v>53.1049</v>
      </c>
      <c r="D2107" t="inlineStr">
        <is>
          <t>€/MWh</t>
        </is>
      </c>
      <c r="E2107" s="54" t="n">
        <v>0.053105</v>
      </c>
      <c r="F2107" s="54" t="n"/>
      <c r="G2107" t="inlineStr">
        <is>
          <t>no aplica (precio mayorista)</t>
        </is>
      </c>
      <c r="J2107" t="inlineStr">
        <is>
          <t>2025-10-03</t>
        </is>
      </c>
      <c r="K2107" t="inlineStr">
        <is>
          <t>marginalpdbc_20251004.1</t>
        </is>
      </c>
      <c r="L2107" t="inlineStr">
        <is>
          <t>96 periodos; mín -0.05, máx 112.10 €/MWh</t>
        </is>
      </c>
    </row>
    <row r="2108">
      <c r="A2108" s="53" t="n">
        <v>45935</v>
      </c>
      <c r="B2108" t="inlineStr">
        <is>
          <t>2025-10-05</t>
        </is>
      </c>
      <c r="C2108" s="45" t="n">
        <v>24.3051</v>
      </c>
      <c r="D2108" t="inlineStr">
        <is>
          <t>€/MWh</t>
        </is>
      </c>
      <c r="E2108" s="54" t="n">
        <v>0.024305</v>
      </c>
      <c r="F2108" s="54" t="n"/>
      <c r="G2108" t="inlineStr">
        <is>
          <t>no aplica (precio mayorista)</t>
        </is>
      </c>
      <c r="J2108" t="inlineStr">
        <is>
          <t>2025-10-04</t>
        </is>
      </c>
      <c r="K2108" t="inlineStr">
        <is>
          <t>marginalpdbc_20251005.1</t>
        </is>
      </c>
      <c r="L2108" t="inlineStr">
        <is>
          <t>96 periodos; mín -2.64, máx 87.26 €/MWh</t>
        </is>
      </c>
    </row>
    <row r="2109">
      <c r="A2109" s="53" t="n">
        <v>45936</v>
      </c>
      <c r="B2109" t="inlineStr">
        <is>
          <t>2025-10-06</t>
        </is>
      </c>
      <c r="C2109" s="45" t="n">
        <v>79.0463</v>
      </c>
      <c r="D2109" t="inlineStr">
        <is>
          <t>€/MWh</t>
        </is>
      </c>
      <c r="E2109" s="54" t="n">
        <v>0.07904600000000001</v>
      </c>
      <c r="F2109" s="54" t="n"/>
      <c r="G2109" t="inlineStr">
        <is>
          <t>no aplica (precio mayorista)</t>
        </is>
      </c>
      <c r="J2109" t="inlineStr">
        <is>
          <t>2025-10-05</t>
        </is>
      </c>
      <c r="K2109" t="inlineStr">
        <is>
          <t>marginalpdbc_20251006.1</t>
        </is>
      </c>
      <c r="L2109" t="inlineStr">
        <is>
          <t>96 periodos; mín 36.20, máx 182.59 €/MWh</t>
        </is>
      </c>
    </row>
    <row r="2110">
      <c r="A2110" s="53" t="n">
        <v>45937</v>
      </c>
      <c r="B2110" t="inlineStr">
        <is>
          <t>2025-10-07</t>
        </is>
      </c>
      <c r="C2110" s="45" t="n">
        <v>98.6546</v>
      </c>
      <c r="D2110" t="inlineStr">
        <is>
          <t>€/MWh</t>
        </is>
      </c>
      <c r="E2110" s="54" t="n">
        <v>0.09865500000000001</v>
      </c>
      <c r="F2110" s="54" t="n"/>
      <c r="G2110" t="inlineStr">
        <is>
          <t>no aplica (precio mayorista)</t>
        </is>
      </c>
      <c r="J2110" t="inlineStr">
        <is>
          <t>2025-10-06</t>
        </is>
      </c>
      <c r="K2110" t="inlineStr">
        <is>
          <t>marginalpdbc_20251007.1</t>
        </is>
      </c>
      <c r="L2110" t="inlineStr">
        <is>
          <t>96 periodos; mín 35.75, máx 180.81 €/MWh</t>
        </is>
      </c>
    </row>
    <row r="2111">
      <c r="A2111" s="53" t="n">
        <v>45938</v>
      </c>
      <c r="B2111" t="inlineStr">
        <is>
          <t>2025-10-08</t>
        </is>
      </c>
      <c r="C2111" s="45" t="n">
        <v>99.1895</v>
      </c>
      <c r="D2111" t="inlineStr">
        <is>
          <t>€/MWh</t>
        </is>
      </c>
      <c r="E2111" s="54" t="n">
        <v>0.099189</v>
      </c>
      <c r="F2111" s="54" t="n"/>
      <c r="G2111" t="inlineStr">
        <is>
          <t>no aplica (precio mayorista)</t>
        </is>
      </c>
      <c r="J2111" t="inlineStr">
        <is>
          <t>2025-10-07</t>
        </is>
      </c>
      <c r="K2111" t="inlineStr">
        <is>
          <t>marginalpdbc_20251008.1</t>
        </is>
      </c>
      <c r="L2111" t="inlineStr">
        <is>
          <t>96 periodos; mín 47.78, máx 188.82 €/MWh</t>
        </is>
      </c>
    </row>
    <row r="2112">
      <c r="A2112" s="53" t="n">
        <v>45939</v>
      </c>
      <c r="B2112" t="inlineStr">
        <is>
          <t>2025-10-09</t>
        </is>
      </c>
      <c r="C2112" s="45" t="n">
        <v>64.6345</v>
      </c>
      <c r="D2112" t="inlineStr">
        <is>
          <t>€/MWh</t>
        </is>
      </c>
      <c r="E2112" s="54" t="n">
        <v>0.064634</v>
      </c>
      <c r="F2112" s="54" t="n"/>
      <c r="G2112" t="inlineStr">
        <is>
          <t>no aplica (precio mayorista)</t>
        </is>
      </c>
      <c r="J2112" t="inlineStr">
        <is>
          <t>2025-10-08</t>
        </is>
      </c>
      <c r="K2112" t="inlineStr">
        <is>
          <t>marginalpdbc_20251009.1</t>
        </is>
      </c>
      <c r="L2112" t="inlineStr">
        <is>
          <t>96 periodos; mín 1.10, máx 122.29 €/MWh</t>
        </is>
      </c>
    </row>
    <row r="2113">
      <c r="A2113" s="53" t="n">
        <v>45940</v>
      </c>
      <c r="B2113" t="inlineStr">
        <is>
          <t>2025-10-10</t>
        </is>
      </c>
      <c r="C2113" s="45" t="n">
        <v>79.2199</v>
      </c>
      <c r="D2113" t="inlineStr">
        <is>
          <t>€/MWh</t>
        </is>
      </c>
      <c r="E2113" s="54" t="n">
        <v>0.07922</v>
      </c>
      <c r="F2113" s="54" t="n"/>
      <c r="G2113" t="inlineStr">
        <is>
          <t>no aplica (precio mayorista)</t>
        </is>
      </c>
      <c r="J2113" t="inlineStr">
        <is>
          <t>2025-10-09</t>
        </is>
      </c>
      <c r="K2113" t="inlineStr">
        <is>
          <t>marginalpdbc_20251010.1</t>
        </is>
      </c>
      <c r="L2113" t="inlineStr">
        <is>
          <t>96 periodos; mín 30.20, máx 124.39 €/MWh</t>
        </is>
      </c>
    </row>
    <row r="2114">
      <c r="A2114" s="53" t="n">
        <v>45941</v>
      </c>
      <c r="B2114" t="inlineStr">
        <is>
          <t>2025-10-11</t>
        </is>
      </c>
      <c r="C2114" s="45" t="n">
        <v>73.70180000000001</v>
      </c>
      <c r="D2114" t="inlineStr">
        <is>
          <t>€/MWh</t>
        </is>
      </c>
      <c r="E2114" s="54" t="n">
        <v>0.073702</v>
      </c>
      <c r="F2114" s="54" t="n"/>
      <c r="G2114" t="inlineStr">
        <is>
          <t>no aplica (precio mayorista)</t>
        </is>
      </c>
      <c r="J2114" t="inlineStr">
        <is>
          <t>2025-10-10</t>
        </is>
      </c>
      <c r="K2114" t="inlineStr">
        <is>
          <t>marginalpdbc_20251011.1</t>
        </is>
      </c>
      <c r="L2114" t="inlineStr">
        <is>
          <t>96 periodos; mín 3.52, máx 111.76 €/MWh</t>
        </is>
      </c>
    </row>
    <row r="2115">
      <c r="A2115" s="53" t="n">
        <v>45942</v>
      </c>
      <c r="B2115" t="inlineStr">
        <is>
          <t>2025-10-12</t>
        </is>
      </c>
      <c r="C2115" s="45" t="n">
        <v>64.62569999999999</v>
      </c>
      <c r="D2115" t="inlineStr">
        <is>
          <t>€/MWh</t>
        </is>
      </c>
      <c r="E2115" s="54" t="n">
        <v>0.064626</v>
      </c>
      <c r="F2115" s="54" t="n"/>
      <c r="G2115" t="inlineStr">
        <is>
          <t>no aplica (precio mayorista)</t>
        </is>
      </c>
      <c r="J2115" t="inlineStr">
        <is>
          <t>2025-10-11</t>
        </is>
      </c>
      <c r="K2115" t="inlineStr">
        <is>
          <t>marginalpdbc_20251012.1</t>
        </is>
      </c>
      <c r="L2115" t="inlineStr">
        <is>
          <t>96 periodos; mín 0.16, máx 116.34 €/MWh</t>
        </is>
      </c>
    </row>
    <row r="2116">
      <c r="A2116" s="53" t="n">
        <v>45943</v>
      </c>
      <c r="B2116" t="inlineStr">
        <is>
          <t>2025-10-13</t>
        </is>
      </c>
      <c r="C2116" s="45" t="n">
        <v>102.3648</v>
      </c>
      <c r="D2116" t="inlineStr">
        <is>
          <t>€/MWh</t>
        </is>
      </c>
      <c r="E2116" s="54" t="n">
        <v>0.102365</v>
      </c>
      <c r="F2116" s="54" t="n"/>
      <c r="G2116" t="inlineStr">
        <is>
          <t>no aplica (precio mayorista)</t>
        </is>
      </c>
      <c r="J2116" t="inlineStr">
        <is>
          <t>2025-10-12</t>
        </is>
      </c>
      <c r="K2116" t="inlineStr">
        <is>
          <t>marginalpdbc_20251013.1</t>
        </is>
      </c>
      <c r="L2116" t="inlineStr">
        <is>
          <t>96 periodos; mín 60.10, máx 167.29 €/MWh</t>
        </is>
      </c>
    </row>
    <row r="2117">
      <c r="A2117" s="53" t="n">
        <v>45944</v>
      </c>
      <c r="B2117" t="inlineStr">
        <is>
          <t>2025-10-14</t>
        </is>
      </c>
      <c r="C2117" s="45" t="n">
        <v>108.2386</v>
      </c>
      <c r="D2117" t="inlineStr">
        <is>
          <t>€/MWh</t>
        </is>
      </c>
      <c r="E2117" s="54" t="n">
        <v>0.108239</v>
      </c>
      <c r="F2117" s="54" t="n"/>
      <c r="G2117" t="inlineStr">
        <is>
          <t>no aplica (precio mayorista)</t>
        </is>
      </c>
      <c r="J2117" t="inlineStr">
        <is>
          <t>2025-10-13</t>
        </is>
      </c>
      <c r="K2117" t="inlineStr">
        <is>
          <t>marginalpdbc_20251014.1</t>
        </is>
      </c>
      <c r="L2117" t="inlineStr">
        <is>
          <t>96 periodos; mín 56.00, máx 165.75 €/MWh</t>
        </is>
      </c>
    </row>
    <row r="2118">
      <c r="A2118" s="53" t="n">
        <v>45945</v>
      </c>
      <c r="B2118" t="inlineStr">
        <is>
          <t>2025-10-15</t>
        </is>
      </c>
      <c r="C2118" s="45" t="n">
        <v>109.3967</v>
      </c>
      <c r="D2118" t="inlineStr">
        <is>
          <t>€/MWh</t>
        </is>
      </c>
      <c r="E2118" s="54" t="n">
        <v>0.109397</v>
      </c>
      <c r="F2118" s="54" t="n"/>
      <c r="G2118" t="inlineStr">
        <is>
          <t>no aplica (precio mayorista)</t>
        </is>
      </c>
      <c r="J2118" t="inlineStr">
        <is>
          <t>2025-10-14</t>
        </is>
      </c>
      <c r="K2118" t="inlineStr">
        <is>
          <t>marginalpdbc_20251015.1</t>
        </is>
      </c>
      <c r="L2118" t="inlineStr">
        <is>
          <t>96 periodos; mín 63.68, máx 172.33 €/MWh</t>
        </is>
      </c>
    </row>
    <row r="2119">
      <c r="A2119" s="53" t="n">
        <v>45946</v>
      </c>
      <c r="B2119" t="inlineStr">
        <is>
          <t>2025-10-16</t>
        </is>
      </c>
      <c r="C2119" s="45" t="n">
        <v>109.8768</v>
      </c>
      <c r="D2119" t="inlineStr">
        <is>
          <t>€/MWh</t>
        </is>
      </c>
      <c r="E2119" s="54" t="n">
        <v>0.109877</v>
      </c>
      <c r="F2119" s="54" t="n"/>
      <c r="G2119" t="inlineStr">
        <is>
          <t>no aplica (precio mayorista)</t>
        </is>
      </c>
      <c r="J2119" t="inlineStr">
        <is>
          <t>2025-10-15</t>
        </is>
      </c>
      <c r="K2119" t="inlineStr">
        <is>
          <t>marginalpdbc_20251016.1</t>
        </is>
      </c>
      <c r="L2119" t="inlineStr">
        <is>
          <t>96 periodos; mín 70.00, máx 159.68 €/MWh</t>
        </is>
      </c>
    </row>
    <row r="2120">
      <c r="A2120" s="53" t="n">
        <v>45947</v>
      </c>
      <c r="B2120" t="inlineStr">
        <is>
          <t>2025-10-17</t>
        </is>
      </c>
      <c r="C2120" s="45" t="n">
        <v>107.4851</v>
      </c>
      <c r="D2120" t="inlineStr">
        <is>
          <t>€/MWh</t>
        </is>
      </c>
      <c r="E2120" s="54" t="n">
        <v>0.107485</v>
      </c>
      <c r="F2120" s="54" t="n"/>
      <c r="G2120" t="inlineStr">
        <is>
          <t>no aplica (precio mayorista)</t>
        </is>
      </c>
      <c r="J2120" t="inlineStr">
        <is>
          <t>2025-10-16</t>
        </is>
      </c>
      <c r="K2120" t="inlineStr">
        <is>
          <t>marginalpdbc_20251017.1</t>
        </is>
      </c>
      <c r="L2120" t="inlineStr">
        <is>
          <t>96 periodos; mín 31.53, máx 161.35 €/MWh</t>
        </is>
      </c>
    </row>
    <row r="2121">
      <c r="A2121" s="53" t="n">
        <v>45948</v>
      </c>
      <c r="B2121" t="inlineStr">
        <is>
          <t>2025-10-18</t>
        </is>
      </c>
      <c r="C2121" s="45" t="n">
        <v>80.8197</v>
      </c>
      <c r="D2121" t="inlineStr">
        <is>
          <t>€/MWh</t>
        </is>
      </c>
      <c r="E2121" s="54" t="n">
        <v>0.08082</v>
      </c>
      <c r="F2121" s="54" t="n"/>
      <c r="G2121" t="inlineStr">
        <is>
          <t>no aplica (precio mayorista)</t>
        </is>
      </c>
      <c r="J2121" t="inlineStr">
        <is>
          <t>2025-10-17</t>
        </is>
      </c>
      <c r="K2121" t="inlineStr">
        <is>
          <t>marginalpdbc_20251018.1</t>
        </is>
      </c>
      <c r="L2121" t="inlineStr">
        <is>
          <t>96 periodos; mín 0.30, máx 131.13 €/MWh</t>
        </is>
      </c>
    </row>
    <row r="2122">
      <c r="A2122" s="53" t="n">
        <v>45949</v>
      </c>
      <c r="B2122" t="inlineStr">
        <is>
          <t>2025-10-19</t>
        </is>
      </c>
      <c r="C2122" s="45" t="n">
        <v>32.7776</v>
      </c>
      <c r="D2122" t="inlineStr">
        <is>
          <t>€/MWh</t>
        </is>
      </c>
      <c r="E2122" s="54" t="n">
        <v>0.032778</v>
      </c>
      <c r="F2122" s="54" t="n"/>
      <c r="G2122" t="inlineStr">
        <is>
          <t>no aplica (precio mayorista)</t>
        </is>
      </c>
      <c r="J2122" t="inlineStr">
        <is>
          <t>2025-10-18</t>
        </is>
      </c>
      <c r="K2122" t="inlineStr">
        <is>
          <t>marginalpdbc_20251019.1</t>
        </is>
      </c>
      <c r="L2122" t="inlineStr">
        <is>
          <t>96 periodos; mín 0.00, máx 96.40 €/MWh</t>
        </is>
      </c>
    </row>
    <row r="2123">
      <c r="A2123" s="53" t="n">
        <v>45950</v>
      </c>
      <c r="B2123" t="inlineStr">
        <is>
          <t>2025-10-20</t>
        </is>
      </c>
      <c r="C2123" s="45" t="n">
        <v>40.9993</v>
      </c>
      <c r="D2123" t="inlineStr">
        <is>
          <t>€/MWh</t>
        </is>
      </c>
      <c r="E2123" s="54" t="n">
        <v>0.040999</v>
      </c>
      <c r="F2123" s="54" t="n"/>
      <c r="G2123" t="inlineStr">
        <is>
          <t>no aplica (precio mayorista)</t>
        </is>
      </c>
      <c r="J2123" t="inlineStr">
        <is>
          <t>2025-10-19</t>
        </is>
      </c>
      <c r="K2123" t="inlineStr">
        <is>
          <t>marginalpdbc_20251020.1</t>
        </is>
      </c>
      <c r="L2123" t="inlineStr">
        <is>
          <t>96 periodos; mín 0.05, máx 106.03 €/MWh</t>
        </is>
      </c>
    </row>
    <row r="2124">
      <c r="A2124" s="53" t="n">
        <v>45951</v>
      </c>
      <c r="B2124" t="inlineStr">
        <is>
          <t>2025-10-21</t>
        </is>
      </c>
      <c r="C2124" s="45" t="n">
        <v>38.3622</v>
      </c>
      <c r="D2124" t="inlineStr">
        <is>
          <t>€/MWh</t>
        </is>
      </c>
      <c r="E2124" s="54" t="n">
        <v>0.038362</v>
      </c>
      <c r="F2124" s="54" t="n"/>
      <c r="G2124" t="inlineStr">
        <is>
          <t>no aplica (precio mayorista)</t>
        </is>
      </c>
      <c r="J2124" t="inlineStr">
        <is>
          <t>2025-10-20</t>
        </is>
      </c>
      <c r="K2124" t="inlineStr">
        <is>
          <t>marginalpdbc_20251021.1</t>
        </is>
      </c>
      <c r="L2124" t="inlineStr">
        <is>
          <t>96 periodos; mín 1.72, máx 112.00 €/MWh</t>
        </is>
      </c>
    </row>
    <row r="2125">
      <c r="A2125" s="53" t="n">
        <v>45952</v>
      </c>
      <c r="B2125" t="inlineStr">
        <is>
          <t>2025-10-22</t>
        </is>
      </c>
      <c r="C2125" s="45" t="n">
        <v>27.5076</v>
      </c>
      <c r="D2125" t="inlineStr">
        <is>
          <t>€/MWh</t>
        </is>
      </c>
      <c r="E2125" s="54" t="n">
        <v>0.027508</v>
      </c>
      <c r="F2125" s="54" t="n"/>
      <c r="G2125" t="inlineStr">
        <is>
          <t>no aplica (precio mayorista)</t>
        </is>
      </c>
      <c r="J2125" t="inlineStr">
        <is>
          <t>2025-10-21</t>
        </is>
      </c>
      <c r="K2125" t="inlineStr">
        <is>
          <t>marginalpdbc_20251022.1</t>
        </is>
      </c>
      <c r="L2125" t="inlineStr">
        <is>
          <t>96 periodos; mín 0.01, máx 80.56 €/MWh</t>
        </is>
      </c>
    </row>
    <row r="2126">
      <c r="A2126" s="53" t="n">
        <v>45953</v>
      </c>
      <c r="B2126" t="inlineStr">
        <is>
          <t>2025-10-23</t>
        </is>
      </c>
      <c r="C2126" s="45" t="n">
        <v>23.5942</v>
      </c>
      <c r="D2126" t="inlineStr">
        <is>
          <t>€/MWh</t>
        </is>
      </c>
      <c r="E2126" s="54" t="n">
        <v>0.023594</v>
      </c>
      <c r="F2126" s="54" t="n"/>
      <c r="G2126" t="inlineStr">
        <is>
          <t>no aplica (precio mayorista)</t>
        </is>
      </c>
      <c r="J2126" t="inlineStr">
        <is>
          <t>2025-10-22</t>
        </is>
      </c>
      <c r="K2126" t="inlineStr">
        <is>
          <t>marginalpdbc_20251023.1</t>
        </is>
      </c>
      <c r="L2126" t="inlineStr">
        <is>
          <t>96 periodos; mín -0.01, máx 120.00 €/MWh</t>
        </is>
      </c>
    </row>
    <row r="2127">
      <c r="A2127" s="53" t="n">
        <v>45954</v>
      </c>
      <c r="B2127" t="inlineStr">
        <is>
          <t>2025-10-24</t>
        </is>
      </c>
      <c r="C2127" s="45" t="n">
        <v>91.8284</v>
      </c>
      <c r="D2127" t="inlineStr">
        <is>
          <t>€/MWh</t>
        </is>
      </c>
      <c r="E2127" s="54" t="n">
        <v>0.09182800000000001</v>
      </c>
      <c r="F2127" s="54" t="n"/>
      <c r="G2127" t="inlineStr">
        <is>
          <t>no aplica (precio mayorista)</t>
        </is>
      </c>
      <c r="J2127" t="inlineStr">
        <is>
          <t>2025-10-23</t>
        </is>
      </c>
      <c r="K2127" t="inlineStr">
        <is>
          <t>marginalpdbc_20251024.1</t>
        </is>
      </c>
      <c r="L2127" t="inlineStr">
        <is>
          <t>96 periodos; mín 12.10, máx 164.88 €/MWh</t>
        </is>
      </c>
    </row>
    <row r="2128">
      <c r="A2128" s="53" t="n">
        <v>45955</v>
      </c>
      <c r="B2128" t="inlineStr">
        <is>
          <t>2025-10-25</t>
        </is>
      </c>
      <c r="C2128" s="45" t="n">
        <v>80.90179999999999</v>
      </c>
      <c r="D2128" t="inlineStr">
        <is>
          <t>€/MWh</t>
        </is>
      </c>
      <c r="E2128" s="54" t="n">
        <v>0.080902</v>
      </c>
      <c r="F2128" s="54" t="n"/>
      <c r="G2128" t="inlineStr">
        <is>
          <t>no aplica (precio mayorista)</t>
        </is>
      </c>
      <c r="J2128" t="inlineStr">
        <is>
          <t>2025-10-24</t>
        </is>
      </c>
      <c r="K2128" t="inlineStr">
        <is>
          <t>marginalpdbc_20251025.1</t>
        </is>
      </c>
      <c r="L2128" t="inlineStr">
        <is>
          <t>96 periodos; mín 16.46, máx 131.32 €/MWh</t>
        </is>
      </c>
    </row>
    <row r="2129">
      <c r="A2129" s="53" t="n">
        <v>45956</v>
      </c>
      <c r="B2129" t="inlineStr">
        <is>
          <t>2025-10-26</t>
        </is>
      </c>
      <c r="C2129" s="45" t="n">
        <v>51.2797</v>
      </c>
      <c r="D2129" t="inlineStr">
        <is>
          <t>€/MWh</t>
        </is>
      </c>
      <c r="E2129" s="54" t="n">
        <v>0.05128</v>
      </c>
      <c r="F2129" s="54" t="n"/>
      <c r="G2129" t="inlineStr">
        <is>
          <t>no aplica (precio mayorista)</t>
        </is>
      </c>
      <c r="J2129" t="inlineStr">
        <is>
          <t>2025-10-25</t>
        </is>
      </c>
      <c r="K2129" t="inlineStr">
        <is>
          <t>marginalpdbc_20251026.1</t>
        </is>
      </c>
      <c r="L2129" t="inlineStr">
        <is>
          <t>100 periodos; mín 0.99, máx 105.43 €/MWh</t>
        </is>
      </c>
    </row>
    <row r="2130">
      <c r="A2130" s="53" t="n">
        <v>45957</v>
      </c>
      <c r="B2130" t="inlineStr">
        <is>
          <t>2025-10-27</t>
        </is>
      </c>
      <c r="C2130" s="45" t="n">
        <v>89.7246</v>
      </c>
      <c r="D2130" t="inlineStr">
        <is>
          <t>€/MWh</t>
        </is>
      </c>
      <c r="E2130" s="54" t="n">
        <v>0.089725</v>
      </c>
      <c r="F2130" s="54" t="n"/>
      <c r="G2130" t="inlineStr">
        <is>
          <t>no aplica (precio mayorista)</t>
        </is>
      </c>
      <c r="J2130" t="inlineStr">
        <is>
          <t>2025-10-26</t>
        </is>
      </c>
      <c r="K2130" t="inlineStr">
        <is>
          <t>marginalpdbc_20251027.1</t>
        </is>
      </c>
      <c r="L2130" t="inlineStr">
        <is>
          <t>96 periodos; mín 18.02, máx 159.86 €/MWh</t>
        </is>
      </c>
    </row>
    <row r="2131">
      <c r="A2131" s="53" t="n">
        <v>45958</v>
      </c>
      <c r="B2131" t="inlineStr">
        <is>
          <t>2025-10-28</t>
        </is>
      </c>
      <c r="C2131" s="45" t="n">
        <v>101.5185</v>
      </c>
      <c r="D2131" t="inlineStr">
        <is>
          <t>€/MWh</t>
        </is>
      </c>
      <c r="E2131" s="54" t="n">
        <v>0.101519</v>
      </c>
      <c r="F2131" s="54" t="n"/>
      <c r="G2131" t="inlineStr">
        <is>
          <t>no aplica (precio mayorista)</t>
        </is>
      </c>
      <c r="J2131" t="inlineStr">
        <is>
          <t>2025-10-27</t>
        </is>
      </c>
      <c r="K2131" t="inlineStr">
        <is>
          <t>marginalpdbc_20251028.1</t>
        </is>
      </c>
      <c r="L2131" t="inlineStr">
        <is>
          <t>96 periodos; mín 60.00, máx 143.97 €/MWh</t>
        </is>
      </c>
    </row>
    <row r="2132">
      <c r="A2132" s="53" t="n">
        <v>45959</v>
      </c>
      <c r="B2132" t="inlineStr">
        <is>
          <t>2025-10-29</t>
        </is>
      </c>
      <c r="C2132" s="45" t="n">
        <v>104.4862</v>
      </c>
      <c r="D2132" t="inlineStr">
        <is>
          <t>€/MWh</t>
        </is>
      </c>
      <c r="E2132" s="54" t="n">
        <v>0.104486</v>
      </c>
      <c r="F2132" s="54" t="n"/>
      <c r="G2132" t="inlineStr">
        <is>
          <t>no aplica (precio mayorista)</t>
        </is>
      </c>
      <c r="J2132" t="inlineStr">
        <is>
          <t>2025-10-28</t>
        </is>
      </c>
      <c r="K2132" t="inlineStr">
        <is>
          <t>marginalpdbc_20251029.1</t>
        </is>
      </c>
      <c r="L2132" t="inlineStr">
        <is>
          <t>96 periodos; mín 74.99, máx 160.21 €/MWh</t>
        </is>
      </c>
    </row>
    <row r="2133">
      <c r="A2133" s="53" t="n">
        <v>45961</v>
      </c>
      <c r="B2133" t="inlineStr">
        <is>
          <t>2025-10-31</t>
        </is>
      </c>
      <c r="C2133" s="45" t="n">
        <v>55.7924</v>
      </c>
      <c r="D2133" t="inlineStr">
        <is>
          <t>€/MWh</t>
        </is>
      </c>
      <c r="E2133" s="54" t="n">
        <v>0.055792</v>
      </c>
      <c r="F2133" s="54" t="n"/>
      <c r="G2133" t="inlineStr">
        <is>
          <t>no aplica (precio mayorista)</t>
        </is>
      </c>
      <c r="J2133" t="inlineStr">
        <is>
          <t>2025-10-30</t>
        </is>
      </c>
      <c r="K2133" t="inlineStr">
        <is>
          <t>marginalpdbc_20251031.1</t>
        </is>
      </c>
      <c r="L2133" t="inlineStr">
        <is>
          <t>96 periodos; mín 12.60, máx 94.32 €/MWh</t>
        </is>
      </c>
    </row>
    <row r="2134">
      <c r="A2134" s="53" t="n">
        <v>45962</v>
      </c>
      <c r="B2134" t="inlineStr">
        <is>
          <t>2025-11-01</t>
        </is>
      </c>
      <c r="C2134" s="45" t="n">
        <v>45.5801</v>
      </c>
      <c r="D2134" t="inlineStr">
        <is>
          <t>€/MWh</t>
        </is>
      </c>
      <c r="E2134" s="54" t="n">
        <v>0.04558</v>
      </c>
      <c r="F2134" s="54" t="n"/>
      <c r="G2134" t="inlineStr">
        <is>
          <t>no aplica (precio mayorista)</t>
        </is>
      </c>
      <c r="J2134" t="inlineStr">
        <is>
          <t>2025-10-31</t>
        </is>
      </c>
      <c r="K2134" t="inlineStr">
        <is>
          <t>marginalpdbc_20251101.1</t>
        </is>
      </c>
      <c r="L2134" t="inlineStr">
        <is>
          <t>96 periodos; mín 9.00, máx 104.97 €/MWh</t>
        </is>
      </c>
    </row>
    <row r="2135">
      <c r="A2135" s="53" t="n">
        <v>45963</v>
      </c>
      <c r="B2135" t="inlineStr">
        <is>
          <t>2025-11-02</t>
        </is>
      </c>
      <c r="C2135" s="45" t="n">
        <v>40.0153</v>
      </c>
      <c r="D2135" t="inlineStr">
        <is>
          <t>€/MWh</t>
        </is>
      </c>
      <c r="E2135" s="54" t="n">
        <v>0.040015</v>
      </c>
      <c r="F2135" s="54" t="n"/>
      <c r="G2135" t="inlineStr">
        <is>
          <t>no aplica (precio mayorista)</t>
        </is>
      </c>
      <c r="J2135" t="inlineStr">
        <is>
          <t>2025-11-01</t>
        </is>
      </c>
      <c r="K2135" t="inlineStr">
        <is>
          <t>marginalpdbc_20251102.1</t>
        </is>
      </c>
      <c r="L2135" t="inlineStr">
        <is>
          <t>96 periodos; mín 0.00, máx 113.50 €/MWh</t>
        </is>
      </c>
    </row>
    <row r="2136">
      <c r="A2136" s="53" t="n">
        <v>45964</v>
      </c>
      <c r="B2136" t="inlineStr">
        <is>
          <t>2025-11-03</t>
        </is>
      </c>
      <c r="C2136" s="45" t="n">
        <v>82.7791</v>
      </c>
      <c r="D2136" t="inlineStr">
        <is>
          <t>€/MWh</t>
        </is>
      </c>
      <c r="E2136" s="54" t="n">
        <v>0.08277900000000001</v>
      </c>
      <c r="F2136" s="54" t="n"/>
      <c r="G2136" t="inlineStr">
        <is>
          <t>no aplica (precio mayorista)</t>
        </is>
      </c>
      <c r="J2136" t="inlineStr">
        <is>
          <t>2025-11-02</t>
        </is>
      </c>
      <c r="K2136" t="inlineStr">
        <is>
          <t>marginalpdbc_20251103.1</t>
        </is>
      </c>
      <c r="L2136" t="inlineStr">
        <is>
          <t>96 periodos; mín 12.86, máx 157.15 €/MWh</t>
        </is>
      </c>
    </row>
    <row r="2137">
      <c r="A2137" s="53" t="n">
        <v>45965</v>
      </c>
      <c r="B2137" t="inlineStr">
        <is>
          <t>2025-11-04</t>
        </is>
      </c>
      <c r="C2137" s="45" t="n">
        <v>49.4393</v>
      </c>
      <c r="D2137" t="inlineStr">
        <is>
          <t>€/MWh</t>
        </is>
      </c>
      <c r="E2137" s="54" t="n">
        <v>0.049439</v>
      </c>
      <c r="F2137" s="54" t="n"/>
      <c r="G2137" t="inlineStr">
        <is>
          <t>no aplica (precio mayorista)</t>
        </is>
      </c>
      <c r="J2137" t="inlineStr">
        <is>
          <t>2025-11-03</t>
        </is>
      </c>
      <c r="K2137" t="inlineStr">
        <is>
          <t>marginalpdbc_20251104.1</t>
        </is>
      </c>
      <c r="L2137" t="inlineStr">
        <is>
          <t>96 periodos; mín 1.55, máx 87.79 €/MWh</t>
        </is>
      </c>
    </row>
    <row r="2138">
      <c r="A2138" s="53" t="n">
        <v>45966</v>
      </c>
      <c r="B2138" t="inlineStr">
        <is>
          <t>2025-11-05</t>
        </is>
      </c>
      <c r="C2138" s="45" t="n">
        <v>27.7531</v>
      </c>
      <c r="D2138" t="inlineStr">
        <is>
          <t>€/MWh</t>
        </is>
      </c>
      <c r="E2138" s="54" t="n">
        <v>0.027753</v>
      </c>
      <c r="F2138" s="54" t="n"/>
      <c r="G2138" t="inlineStr">
        <is>
          <t>no aplica (precio mayorista)</t>
        </is>
      </c>
      <c r="J2138" t="inlineStr">
        <is>
          <t>2025-11-04</t>
        </is>
      </c>
      <c r="K2138" t="inlineStr">
        <is>
          <t>marginalpdbc_20251105.1</t>
        </is>
      </c>
      <c r="L2138" t="inlineStr">
        <is>
          <t>96 periodos; mín 3.52, máx 70.68 €/MWh</t>
        </is>
      </c>
    </row>
    <row r="2139">
      <c r="A2139" s="53" t="n">
        <v>45967</v>
      </c>
      <c r="B2139" t="inlineStr">
        <is>
          <t>2025-11-06</t>
        </is>
      </c>
      <c r="C2139" s="45" t="n">
        <v>40.2521</v>
      </c>
      <c r="D2139" t="inlineStr">
        <is>
          <t>€/MWh</t>
        </is>
      </c>
      <c r="E2139" s="54" t="n">
        <v>0.040252</v>
      </c>
      <c r="F2139" s="54" t="n"/>
      <c r="G2139" t="inlineStr">
        <is>
          <t>no aplica (precio mayorista)</t>
        </is>
      </c>
      <c r="J2139" t="inlineStr">
        <is>
          <t>2025-11-05</t>
        </is>
      </c>
      <c r="K2139" t="inlineStr">
        <is>
          <t>marginalpdbc_20251106.1</t>
        </is>
      </c>
      <c r="L2139" t="inlineStr">
        <is>
          <t>96 periodos; mín 0.65, máx 127.39 €/MWh</t>
        </is>
      </c>
    </row>
    <row r="2140">
      <c r="A2140" s="53" t="n">
        <v>45968</v>
      </c>
      <c r="B2140" t="inlineStr">
        <is>
          <t>2025-11-07</t>
        </is>
      </c>
      <c r="C2140" s="45" t="n">
        <v>68.21680000000001</v>
      </c>
      <c r="D2140" t="inlineStr">
        <is>
          <t>€/MWh</t>
        </is>
      </c>
      <c r="E2140" s="54" t="n">
        <v>0.068217</v>
      </c>
      <c r="F2140" s="54" t="n"/>
      <c r="G2140" t="inlineStr">
        <is>
          <t>no aplica (precio mayorista)</t>
        </is>
      </c>
      <c r="J2140" t="inlineStr">
        <is>
          <t>2025-11-06</t>
        </is>
      </c>
      <c r="K2140" t="inlineStr">
        <is>
          <t>marginalpdbc_20251107.1</t>
        </is>
      </c>
      <c r="L2140" t="inlineStr">
        <is>
          <t>96 periodos; mín 33.00, máx 112.52 €/MWh</t>
        </is>
      </c>
    </row>
    <row r="2141">
      <c r="A2141" s="53" t="n">
        <v>45969</v>
      </c>
      <c r="B2141" t="inlineStr">
        <is>
          <t>2025-11-08</t>
        </is>
      </c>
      <c r="C2141" s="45" t="n">
        <v>41.1715</v>
      </c>
      <c r="D2141" t="inlineStr">
        <is>
          <t>€/MWh</t>
        </is>
      </c>
      <c r="E2141" s="54" t="n">
        <v>0.041171</v>
      </c>
      <c r="F2141" s="54" t="n"/>
      <c r="G2141" t="inlineStr">
        <is>
          <t>no aplica (precio mayorista)</t>
        </is>
      </c>
      <c r="J2141" t="inlineStr">
        <is>
          <t>2025-11-07</t>
        </is>
      </c>
      <c r="K2141" t="inlineStr">
        <is>
          <t>marginalpdbc_20251108.1</t>
        </is>
      </c>
      <c r="L2141" t="inlineStr">
        <is>
          <t>96 periodos; mín -0.45, máx 95.92 €/MWh</t>
        </is>
      </c>
    </row>
    <row r="2142">
      <c r="A2142" s="53" t="n">
        <v>45970</v>
      </c>
      <c r="B2142" t="inlineStr">
        <is>
          <t>2025-11-09</t>
        </is>
      </c>
      <c r="C2142" s="45" t="n">
        <v>57.8997</v>
      </c>
      <c r="D2142" t="inlineStr">
        <is>
          <t>€/MWh</t>
        </is>
      </c>
      <c r="E2142" s="54" t="n">
        <v>0.0579</v>
      </c>
      <c r="F2142" s="54" t="n"/>
      <c r="G2142" t="inlineStr">
        <is>
          <t>no aplica (precio mayorista)</t>
        </is>
      </c>
      <c r="J2142" t="inlineStr">
        <is>
          <t>2025-11-08</t>
        </is>
      </c>
      <c r="K2142" t="inlineStr">
        <is>
          <t>marginalpdbc_20251109.1</t>
        </is>
      </c>
      <c r="L2142" t="inlineStr">
        <is>
          <t>96 periodos; mín 0.65, máx 122.94 €/MWh</t>
        </is>
      </c>
    </row>
    <row r="2143">
      <c r="A2143" s="53" t="n">
        <v>45971</v>
      </c>
      <c r="B2143" t="inlineStr">
        <is>
          <t>2025-11-10</t>
        </is>
      </c>
      <c r="C2143" s="45" t="n">
        <v>81.68640000000001</v>
      </c>
      <c r="D2143" t="inlineStr">
        <is>
          <t>€/MWh</t>
        </is>
      </c>
      <c r="E2143" s="54" t="n">
        <v>0.08168599999999999</v>
      </c>
      <c r="F2143" s="54" t="n"/>
      <c r="G2143" t="inlineStr">
        <is>
          <t>no aplica (precio mayorista)</t>
        </is>
      </c>
      <c r="J2143" t="inlineStr">
        <is>
          <t>2025-11-09</t>
        </is>
      </c>
      <c r="K2143" t="inlineStr">
        <is>
          <t>marginalpdbc_20251110.1</t>
        </is>
      </c>
      <c r="L2143" t="inlineStr">
        <is>
          <t>96 periodos; mín 25.77, máx 150.01 €/MWh</t>
        </is>
      </c>
    </row>
    <row r="2144">
      <c r="A2144" s="53" t="n">
        <v>45972</v>
      </c>
      <c r="B2144" t="inlineStr">
        <is>
          <t>2025-11-11</t>
        </is>
      </c>
      <c r="C2144" s="45" t="n">
        <v>66.8775</v>
      </c>
      <c r="D2144" t="inlineStr">
        <is>
          <t>€/MWh</t>
        </is>
      </c>
      <c r="E2144" s="54" t="n">
        <v>0.06687700000000001</v>
      </c>
      <c r="F2144" s="54" t="n"/>
      <c r="G2144" t="inlineStr">
        <is>
          <t>no aplica (precio mayorista)</t>
        </is>
      </c>
      <c r="J2144" t="inlineStr">
        <is>
          <t>2025-11-10</t>
        </is>
      </c>
      <c r="K2144" t="inlineStr">
        <is>
          <t>marginalpdbc_20251111.1</t>
        </is>
      </c>
      <c r="L2144" t="inlineStr">
        <is>
          <t>96 periodos; mín 1.20, máx 103.90 €/MWh</t>
        </is>
      </c>
    </row>
    <row r="2145">
      <c r="A2145" s="53" t="n">
        <v>45973</v>
      </c>
      <c r="B2145" t="inlineStr">
        <is>
          <t>2025-11-12</t>
        </is>
      </c>
      <c r="C2145" s="45" t="n">
        <v>27.7808</v>
      </c>
      <c r="D2145" t="inlineStr">
        <is>
          <t>€/MWh</t>
        </is>
      </c>
      <c r="E2145" s="54" t="n">
        <v>0.027781</v>
      </c>
      <c r="F2145" s="54" t="n"/>
      <c r="G2145" t="inlineStr">
        <is>
          <t>no aplica (precio mayorista)</t>
        </is>
      </c>
      <c r="J2145" t="inlineStr">
        <is>
          <t>2025-11-11</t>
        </is>
      </c>
      <c r="K2145" t="inlineStr">
        <is>
          <t>marginalpdbc_20251112.1</t>
        </is>
      </c>
      <c r="L2145" t="inlineStr">
        <is>
          <t>96 periodos; mín 0.00, máx 72.00 €/MWh</t>
        </is>
      </c>
    </row>
    <row r="2146">
      <c r="A2146" s="53" t="n">
        <v>45974</v>
      </c>
      <c r="B2146" t="inlineStr">
        <is>
          <t>2025-11-13</t>
        </is>
      </c>
      <c r="C2146" s="45" t="n">
        <v>31.8998</v>
      </c>
      <c r="D2146" t="inlineStr">
        <is>
          <t>€/MWh</t>
        </is>
      </c>
      <c r="E2146" s="54" t="n">
        <v>0.0319</v>
      </c>
      <c r="F2146" s="54" t="n"/>
      <c r="G2146" t="inlineStr">
        <is>
          <t>no aplica (precio mayorista)</t>
        </is>
      </c>
      <c r="J2146" t="inlineStr">
        <is>
          <t>2025-11-12</t>
        </is>
      </c>
      <c r="K2146" t="inlineStr">
        <is>
          <t>marginalpdbc_20251113.1</t>
        </is>
      </c>
      <c r="L2146" t="inlineStr">
        <is>
          <t>96 periodos; mín 13.00, máx 62.30 €/MWh</t>
        </is>
      </c>
    </row>
    <row r="2147">
      <c r="A2147" s="53" t="n">
        <v>45975</v>
      </c>
      <c r="B2147" t="inlineStr">
        <is>
          <t>2025-11-14</t>
        </is>
      </c>
      <c r="C2147" s="45" t="n">
        <v>29.3933</v>
      </c>
      <c r="D2147" t="inlineStr">
        <is>
          <t>€/MWh</t>
        </is>
      </c>
      <c r="E2147" s="54" t="n">
        <v>0.029393</v>
      </c>
      <c r="F2147" s="54" t="n"/>
      <c r="G2147" t="inlineStr">
        <is>
          <t>no aplica (precio mayorista)</t>
        </is>
      </c>
      <c r="J2147" t="inlineStr">
        <is>
          <t>2025-11-13</t>
        </is>
      </c>
      <c r="K2147" t="inlineStr">
        <is>
          <t>marginalpdbc_20251114.1</t>
        </is>
      </c>
      <c r="L2147" t="inlineStr">
        <is>
          <t>96 periodos; mín 5.11, máx 62.02 €/MWh</t>
        </is>
      </c>
    </row>
    <row r="2148">
      <c r="A2148" s="53" t="n">
        <v>45976</v>
      </c>
      <c r="B2148" t="inlineStr">
        <is>
          <t>2025-11-15</t>
        </is>
      </c>
      <c r="C2148" s="45" t="n">
        <v>31.4628</v>
      </c>
      <c r="D2148" t="inlineStr">
        <is>
          <t>€/MWh</t>
        </is>
      </c>
      <c r="E2148" s="54" t="n">
        <v>0.031463</v>
      </c>
      <c r="F2148" s="54" t="n"/>
      <c r="G2148" t="inlineStr">
        <is>
          <t>no aplica (precio mayorista)</t>
        </is>
      </c>
      <c r="J2148" t="inlineStr">
        <is>
          <t>2025-11-14</t>
        </is>
      </c>
      <c r="K2148" t="inlineStr">
        <is>
          <t>marginalpdbc_20251115.1</t>
        </is>
      </c>
      <c r="L2148" t="inlineStr">
        <is>
          <t>96 periodos; mín 16.46, máx 73.46 €/MWh</t>
        </is>
      </c>
    </row>
    <row r="2149">
      <c r="A2149" s="53" t="n">
        <v>45977</v>
      </c>
      <c r="B2149" t="inlineStr">
        <is>
          <t>2025-11-16</t>
        </is>
      </c>
      <c r="C2149" s="45" t="n">
        <v>34.139</v>
      </c>
      <c r="D2149" t="inlineStr">
        <is>
          <t>€/MWh</t>
        </is>
      </c>
      <c r="E2149" s="54" t="n">
        <v>0.034139</v>
      </c>
      <c r="F2149" s="54" t="n"/>
      <c r="G2149" t="inlineStr">
        <is>
          <t>no aplica (precio mayorista)</t>
        </is>
      </c>
      <c r="J2149" t="inlineStr">
        <is>
          <t>2025-11-15</t>
        </is>
      </c>
      <c r="K2149" t="inlineStr">
        <is>
          <t>marginalpdbc_20251116.1</t>
        </is>
      </c>
      <c r="L2149" t="inlineStr">
        <is>
          <t>96 periodos; mín 0.00, máx 100.00 €/MWh</t>
        </is>
      </c>
    </row>
    <row r="2150">
      <c r="A2150" s="53" t="n">
        <v>45978</v>
      </c>
      <c r="B2150" t="inlineStr">
        <is>
          <t>2025-11-17</t>
        </is>
      </c>
      <c r="C2150" s="45" t="n">
        <v>79.2068</v>
      </c>
      <c r="D2150" t="inlineStr">
        <is>
          <t>€/MWh</t>
        </is>
      </c>
      <c r="E2150" s="54" t="n">
        <v>0.079207</v>
      </c>
      <c r="F2150" s="54" t="n"/>
      <c r="G2150" t="inlineStr">
        <is>
          <t>no aplica (precio mayorista)</t>
        </is>
      </c>
      <c r="J2150" t="inlineStr">
        <is>
          <t>2025-11-16</t>
        </is>
      </c>
      <c r="K2150" t="inlineStr">
        <is>
          <t>marginalpdbc_20251117.1</t>
        </is>
      </c>
      <c r="L2150" t="inlineStr">
        <is>
          <t>96 periodos; mín 35.00, máx 154.48 €/MWh</t>
        </is>
      </c>
    </row>
    <row r="2151">
      <c r="A2151" s="53" t="n">
        <v>45979</v>
      </c>
      <c r="B2151" t="inlineStr">
        <is>
          <t>2025-11-18</t>
        </is>
      </c>
      <c r="C2151" s="45" t="n">
        <v>79.07769999999999</v>
      </c>
      <c r="D2151" t="inlineStr">
        <is>
          <t>€/MWh</t>
        </is>
      </c>
      <c r="E2151" s="54" t="n">
        <v>0.079078</v>
      </c>
      <c r="F2151" s="54" t="n"/>
      <c r="G2151" t="inlineStr">
        <is>
          <t>no aplica (precio mayorista)</t>
        </is>
      </c>
      <c r="J2151" t="inlineStr">
        <is>
          <t>2025-11-17</t>
        </is>
      </c>
      <c r="K2151" t="inlineStr">
        <is>
          <t>marginalpdbc_20251118.1</t>
        </is>
      </c>
      <c r="L2151" t="inlineStr">
        <is>
          <t>96 periodos; mín 5.11, máx 147.00 €/MWh</t>
        </is>
      </c>
    </row>
    <row r="2152">
      <c r="A2152" s="53" t="n">
        <v>45980</v>
      </c>
      <c r="B2152" t="inlineStr">
        <is>
          <t>2025-11-19</t>
        </is>
      </c>
      <c r="C2152" s="45" t="n">
        <v>100.1639</v>
      </c>
      <c r="D2152" t="inlineStr">
        <is>
          <t>€/MWh</t>
        </is>
      </c>
      <c r="E2152" s="54" t="n">
        <v>0.100164</v>
      </c>
      <c r="F2152" s="54" t="n"/>
      <c r="G2152" t="inlineStr">
        <is>
          <t>no aplica (precio mayorista)</t>
        </is>
      </c>
      <c r="J2152" t="inlineStr">
        <is>
          <t>2025-11-18</t>
        </is>
      </c>
      <c r="K2152" t="inlineStr">
        <is>
          <t>marginalpdbc_20251119.1</t>
        </is>
      </c>
      <c r="L2152" t="inlineStr">
        <is>
          <t>96 periodos; mín 63.32, máx 130.01 €/MWh</t>
        </is>
      </c>
    </row>
    <row r="2153">
      <c r="A2153" s="53" t="n">
        <v>45981</v>
      </c>
      <c r="B2153" t="inlineStr">
        <is>
          <t>2025-11-20</t>
        </is>
      </c>
      <c r="C2153" s="45" t="n">
        <v>84.5449</v>
      </c>
      <c r="D2153" t="inlineStr">
        <is>
          <t>€/MWh</t>
        </is>
      </c>
      <c r="E2153" s="54" t="n">
        <v>0.084545</v>
      </c>
      <c r="F2153" s="54" t="n"/>
      <c r="G2153" t="inlineStr">
        <is>
          <t>no aplica (precio mayorista)</t>
        </is>
      </c>
      <c r="J2153" t="inlineStr">
        <is>
          <t>2025-11-19</t>
        </is>
      </c>
      <c r="K2153" t="inlineStr">
        <is>
          <t>marginalpdbc_20251120.1</t>
        </is>
      </c>
      <c r="L2153" t="inlineStr">
        <is>
          <t>96 periodos; mín 31.50, máx 130.01 €/MWh</t>
        </is>
      </c>
    </row>
    <row r="2154">
      <c r="A2154" s="53" t="n">
        <v>45982</v>
      </c>
      <c r="B2154" t="inlineStr">
        <is>
          <t>2025-11-21</t>
        </is>
      </c>
      <c r="C2154" s="45" t="n">
        <v>60.141</v>
      </c>
      <c r="D2154" t="inlineStr">
        <is>
          <t>€/MWh</t>
        </is>
      </c>
      <c r="E2154" s="54" t="n">
        <v>0.060141</v>
      </c>
      <c r="F2154" s="54" t="n"/>
      <c r="G2154" t="inlineStr">
        <is>
          <t>no aplica (precio mayorista)</t>
        </is>
      </c>
      <c r="J2154" t="inlineStr">
        <is>
          <t>2025-11-20</t>
        </is>
      </c>
      <c r="K2154" t="inlineStr">
        <is>
          <t>marginalpdbc_20251121.1</t>
        </is>
      </c>
      <c r="L2154" t="inlineStr">
        <is>
          <t>96 periodos; mín 0.00, máx 159.68 €/MWh</t>
        </is>
      </c>
    </row>
    <row r="2155">
      <c r="A2155" s="53" t="n">
        <v>45983</v>
      </c>
      <c r="B2155" t="inlineStr">
        <is>
          <t>2025-11-22</t>
        </is>
      </c>
      <c r="C2155" s="45" t="n">
        <v>59.0696</v>
      </c>
      <c r="D2155" t="inlineStr">
        <is>
          <t>€/MWh</t>
        </is>
      </c>
      <c r="E2155" s="54" t="n">
        <v>0.05907</v>
      </c>
      <c r="F2155" s="54" t="n"/>
      <c r="G2155" t="inlineStr">
        <is>
          <t>no aplica (precio mayorista)</t>
        </is>
      </c>
      <c r="J2155" t="inlineStr">
        <is>
          <t>2025-11-21</t>
        </is>
      </c>
      <c r="K2155" t="inlineStr">
        <is>
          <t>marginalpdbc_20251122.1</t>
        </is>
      </c>
      <c r="L2155" t="inlineStr">
        <is>
          <t>96 periodos; mín 0.16, máx 105.96 €/MWh</t>
        </is>
      </c>
    </row>
    <row r="2156">
      <c r="A2156" s="53" t="n">
        <v>45984</v>
      </c>
      <c r="B2156" t="inlineStr">
        <is>
          <t>2025-11-23</t>
        </is>
      </c>
      <c r="C2156" s="45" t="n">
        <v>39.8758</v>
      </c>
      <c r="D2156" t="inlineStr">
        <is>
          <t>€/MWh</t>
        </is>
      </c>
      <c r="E2156" s="54" t="n">
        <v>0.039876</v>
      </c>
      <c r="F2156" s="54" t="n"/>
      <c r="G2156" t="inlineStr">
        <is>
          <t>no aplica (precio mayorista)</t>
        </is>
      </c>
      <c r="J2156" t="inlineStr">
        <is>
          <t>2025-11-22</t>
        </is>
      </c>
      <c r="K2156" t="inlineStr">
        <is>
          <t>marginalpdbc_20251123.1</t>
        </is>
      </c>
      <c r="L2156" t="inlineStr">
        <is>
          <t>96 periodos; mín 0.00, máx 80.85 €/MWh</t>
        </is>
      </c>
    </row>
    <row r="2157">
      <c r="A2157" s="53" t="n">
        <v>45985</v>
      </c>
      <c r="B2157" t="inlineStr">
        <is>
          <t>2025-11-24</t>
        </is>
      </c>
      <c r="C2157" s="45" t="n">
        <v>41.7742</v>
      </c>
      <c r="D2157" t="inlineStr">
        <is>
          <t>€/MWh</t>
        </is>
      </c>
      <c r="E2157" s="54" t="n">
        <v>0.041774</v>
      </c>
      <c r="F2157" s="54" t="n"/>
      <c r="G2157" t="inlineStr">
        <is>
          <t>no aplica (precio mayorista)</t>
        </is>
      </c>
      <c r="J2157" t="inlineStr">
        <is>
          <t>2025-11-23</t>
        </is>
      </c>
      <c r="K2157" t="inlineStr">
        <is>
          <t>marginalpdbc_20251124.1</t>
        </is>
      </c>
      <c r="L2157" t="inlineStr">
        <is>
          <t>96 periodos; mín 3.52, máx 84.19 €/MWh</t>
        </is>
      </c>
    </row>
    <row r="2158">
      <c r="A2158" s="53" t="n">
        <v>45986</v>
      </c>
      <c r="B2158" t="inlineStr">
        <is>
          <t>2025-11-25</t>
        </is>
      </c>
      <c r="C2158" s="45" t="n">
        <v>48.1664</v>
      </c>
      <c r="D2158" t="inlineStr">
        <is>
          <t>€/MWh</t>
        </is>
      </c>
      <c r="E2158" s="54" t="n">
        <v>0.048166</v>
      </c>
      <c r="F2158" s="54" t="n"/>
      <c r="G2158" t="inlineStr">
        <is>
          <t>no aplica (precio mayorista)</t>
        </is>
      </c>
      <c r="J2158" t="inlineStr">
        <is>
          <t>2025-11-24</t>
        </is>
      </c>
      <c r="K2158" t="inlineStr">
        <is>
          <t>marginalpdbc_20251125.1</t>
        </is>
      </c>
      <c r="L2158" t="inlineStr">
        <is>
          <t>96 periodos; mín 0.65, máx 105.07 €/MWh</t>
        </is>
      </c>
    </row>
    <row r="2159">
      <c r="A2159" s="53" t="n">
        <v>45987</v>
      </c>
      <c r="B2159" t="inlineStr">
        <is>
          <t>2025-11-26</t>
        </is>
      </c>
      <c r="C2159" s="45" t="n">
        <v>69.2122</v>
      </c>
      <c r="D2159" t="inlineStr">
        <is>
          <t>€/MWh</t>
        </is>
      </c>
      <c r="E2159" s="54" t="n">
        <v>0.069212</v>
      </c>
      <c r="F2159" s="54" t="n"/>
      <c r="G2159" t="inlineStr">
        <is>
          <t>no aplica (precio mayorista)</t>
        </is>
      </c>
      <c r="J2159" t="inlineStr">
        <is>
          <t>2025-11-25</t>
        </is>
      </c>
      <c r="K2159" t="inlineStr">
        <is>
          <t>marginalpdbc_20251126.1</t>
        </is>
      </c>
      <c r="L2159" t="inlineStr">
        <is>
          <t>96 periodos; mín 3.52, máx 158.18 €/MWh</t>
        </is>
      </c>
    </row>
    <row r="2160">
      <c r="A2160" s="53" t="n">
        <v>45989</v>
      </c>
      <c r="B2160" t="inlineStr">
        <is>
          <t>2025-11-28</t>
        </is>
      </c>
      <c r="C2160" s="45" t="n">
        <v>98.7289</v>
      </c>
      <c r="D2160" t="inlineStr">
        <is>
          <t>€/MWh</t>
        </is>
      </c>
      <c r="E2160" s="54" t="n">
        <v>0.098729</v>
      </c>
      <c r="F2160" s="54" t="n"/>
      <c r="G2160" t="inlineStr">
        <is>
          <t>no aplica (precio mayorista)</t>
        </is>
      </c>
      <c r="J2160" t="inlineStr">
        <is>
          <t>2025-11-27</t>
        </is>
      </c>
      <c r="K2160" t="inlineStr">
        <is>
          <t>marginalpdbc_20251128.1</t>
        </is>
      </c>
      <c r="L2160" t="inlineStr">
        <is>
          <t>96 periodos; mín 66.02, máx 154.48 €/MWh</t>
        </is>
      </c>
    </row>
    <row r="2161">
      <c r="A2161" s="53" t="n">
        <v>45990</v>
      </c>
      <c r="B2161" t="inlineStr">
        <is>
          <t>2025-11-29</t>
        </is>
      </c>
      <c r="C2161" s="45" t="n">
        <v>82.2345</v>
      </c>
      <c r="D2161" t="inlineStr">
        <is>
          <t>€/MWh</t>
        </is>
      </c>
      <c r="E2161" s="54" t="n">
        <v>0.082234</v>
      </c>
      <c r="F2161" s="54" t="n"/>
      <c r="G2161" t="inlineStr">
        <is>
          <t>no aplica (precio mayorista)</t>
        </is>
      </c>
      <c r="J2161" t="inlineStr">
        <is>
          <t>2025-11-28</t>
        </is>
      </c>
      <c r="K2161" t="inlineStr">
        <is>
          <t>marginalpdbc_20251129.1</t>
        </is>
      </c>
      <c r="L2161" t="inlineStr">
        <is>
          <t>96 periodos; mín 43.18, máx 110.34 €/MWh</t>
        </is>
      </c>
    </row>
    <row r="2162">
      <c r="A2162" s="53" t="n">
        <v>45991</v>
      </c>
      <c r="B2162" t="inlineStr">
        <is>
          <t>2025-11-30</t>
        </is>
      </c>
      <c r="C2162" s="45" t="n">
        <v>74.9157</v>
      </c>
      <c r="D2162" t="inlineStr">
        <is>
          <t>€/MWh</t>
        </is>
      </c>
      <c r="E2162" s="54" t="n">
        <v>0.074916</v>
      </c>
      <c r="F2162" s="54" t="n"/>
      <c r="G2162" t="inlineStr">
        <is>
          <t>no aplica (precio mayorista)</t>
        </is>
      </c>
      <c r="J2162" t="inlineStr">
        <is>
          <t>2025-11-29</t>
        </is>
      </c>
      <c r="K2162" t="inlineStr">
        <is>
          <t>marginalpdbc_20251130.1</t>
        </is>
      </c>
      <c r="L2162" t="inlineStr">
        <is>
          <t>96 periodos; mín 40.00, máx 108.96 €/MWh</t>
        </is>
      </c>
    </row>
    <row r="2163">
      <c r="A2163" s="53" t="n">
        <v>45992</v>
      </c>
      <c r="B2163" t="inlineStr">
        <is>
          <t>2025-12-01</t>
        </is>
      </c>
      <c r="C2163" s="45" t="n">
        <v>91.7784</v>
      </c>
      <c r="D2163" t="inlineStr">
        <is>
          <t>€/MWh</t>
        </is>
      </c>
      <c r="E2163" s="54" t="n">
        <v>0.091778</v>
      </c>
      <c r="F2163" s="54" t="n"/>
      <c r="G2163" t="inlineStr">
        <is>
          <t>no aplica (precio mayorista)</t>
        </is>
      </c>
      <c r="J2163" t="inlineStr">
        <is>
          <t>2025-11-30</t>
        </is>
      </c>
      <c r="K2163" t="inlineStr">
        <is>
          <t>marginalpdbc_20251201.1</t>
        </is>
      </c>
      <c r="L2163" t="inlineStr">
        <is>
          <t>96 periodos; mín 63.32, máx 159.68 €/MWh</t>
        </is>
      </c>
    </row>
    <row r="2164">
      <c r="A2164" s="53" t="n">
        <v>45993</v>
      </c>
      <c r="B2164" t="inlineStr">
        <is>
          <t>2025-12-02</t>
        </is>
      </c>
      <c r="C2164" s="45" t="n">
        <v>88.64960000000001</v>
      </c>
      <c r="D2164" t="inlineStr">
        <is>
          <t>€/MWh</t>
        </is>
      </c>
      <c r="E2164" s="54" t="n">
        <v>0.08865000000000001</v>
      </c>
      <c r="F2164" s="54" t="n"/>
      <c r="G2164" t="inlineStr">
        <is>
          <t>no aplica (precio mayorista)</t>
        </is>
      </c>
      <c r="J2164" t="inlineStr">
        <is>
          <t>2025-12-01</t>
        </is>
      </c>
      <c r="K2164" t="inlineStr">
        <is>
          <t>marginalpdbc_20251202.1</t>
        </is>
      </c>
      <c r="L2164" t="inlineStr">
        <is>
          <t>96 periodos; mín 67.37, máx 140.06 €/MWh</t>
        </is>
      </c>
    </row>
    <row r="2165">
      <c r="A2165" s="53" t="n">
        <v>45994</v>
      </c>
      <c r="B2165" t="inlineStr">
        <is>
          <t>2025-12-03</t>
        </is>
      </c>
      <c r="C2165" s="45" t="n">
        <v>70.41670000000001</v>
      </c>
      <c r="D2165" t="inlineStr">
        <is>
          <t>€/MWh</t>
        </is>
      </c>
      <c r="E2165" s="54" t="n">
        <v>0.07041699999999999</v>
      </c>
      <c r="F2165" s="54" t="n"/>
      <c r="G2165" t="inlineStr">
        <is>
          <t>no aplica (precio mayorista)</t>
        </is>
      </c>
      <c r="J2165" t="inlineStr">
        <is>
          <t>2025-12-02</t>
        </is>
      </c>
      <c r="K2165" t="inlineStr">
        <is>
          <t>marginalpdbc_20251203.1</t>
        </is>
      </c>
      <c r="L2165" t="inlineStr">
        <is>
          <t>96 periodos; mín 14.00, máx 109.92 €/MWh</t>
        </is>
      </c>
    </row>
    <row r="2166">
      <c r="A2166" s="53" t="n">
        <v>45995</v>
      </c>
      <c r="B2166" t="inlineStr">
        <is>
          <t>2025-12-04</t>
        </is>
      </c>
      <c r="C2166" s="45" t="n">
        <v>64.7666</v>
      </c>
      <c r="D2166" t="inlineStr">
        <is>
          <t>€/MWh</t>
        </is>
      </c>
      <c r="E2166" s="54" t="n">
        <v>0.06476700000000001</v>
      </c>
      <c r="F2166" s="54" t="n"/>
      <c r="G2166" t="inlineStr">
        <is>
          <t>no aplica (precio mayorista)</t>
        </is>
      </c>
      <c r="J2166" t="inlineStr">
        <is>
          <t>2025-12-03</t>
        </is>
      </c>
      <c r="K2166" t="inlineStr">
        <is>
          <t>marginalpdbc_20251204.1</t>
        </is>
      </c>
      <c r="L2166" t="inlineStr">
        <is>
          <t>96 periodos; mín 32.89, máx 90.74 €/MWh</t>
        </is>
      </c>
    </row>
    <row r="2167">
      <c r="A2167" s="53" t="n">
        <v>45996</v>
      </c>
      <c r="B2167" t="inlineStr">
        <is>
          <t>2025-12-05</t>
        </is>
      </c>
      <c r="C2167" s="45" t="n">
        <v>70.6142</v>
      </c>
      <c r="D2167" t="inlineStr">
        <is>
          <t>€/MWh</t>
        </is>
      </c>
      <c r="E2167" s="54" t="n">
        <v>0.070614</v>
      </c>
      <c r="F2167" s="54" t="n"/>
      <c r="G2167" t="inlineStr">
        <is>
          <t>no aplica (precio mayorista)</t>
        </is>
      </c>
      <c r="J2167" t="inlineStr">
        <is>
          <t>2025-12-04</t>
        </is>
      </c>
      <c r="K2167" t="inlineStr">
        <is>
          <t>marginalpdbc_20251205.1</t>
        </is>
      </c>
      <c r="L2167" t="inlineStr">
        <is>
          <t>96 periodos; mín 52.85, máx 89.00 €/MWh</t>
        </is>
      </c>
    </row>
    <row r="2168">
      <c r="A2168" s="53" t="n">
        <v>45997</v>
      </c>
      <c r="B2168" t="inlineStr">
        <is>
          <t>2025-12-06</t>
        </is>
      </c>
      <c r="C2168" s="45" t="n">
        <v>33.0726</v>
      </c>
      <c r="D2168" t="inlineStr">
        <is>
          <t>€/MWh</t>
        </is>
      </c>
      <c r="E2168" s="54" t="n">
        <v>0.033073</v>
      </c>
      <c r="F2168" s="54" t="n"/>
      <c r="G2168" t="inlineStr">
        <is>
          <t>no aplica (precio mayorista)</t>
        </is>
      </c>
      <c r="J2168" t="inlineStr">
        <is>
          <t>2025-12-05</t>
        </is>
      </c>
      <c r="K2168" t="inlineStr">
        <is>
          <t>marginalpdbc_20251206.1</t>
        </is>
      </c>
      <c r="L2168" t="inlineStr">
        <is>
          <t>96 periodos; mín 10.00, máx 74.64 €/MWh</t>
        </is>
      </c>
    </row>
    <row r="2169">
      <c r="A2169" s="53" t="n">
        <v>45998</v>
      </c>
      <c r="B2169" t="inlineStr">
        <is>
          <t>2025-12-07</t>
        </is>
      </c>
      <c r="C2169" s="45" t="n">
        <v>32.2974</v>
      </c>
      <c r="D2169" t="inlineStr">
        <is>
          <t>€/MWh</t>
        </is>
      </c>
      <c r="E2169" s="54" t="n">
        <v>0.032297</v>
      </c>
      <c r="F2169" s="54" t="n"/>
      <c r="G2169" t="inlineStr">
        <is>
          <t>no aplica (precio mayorista)</t>
        </is>
      </c>
      <c r="J2169" t="inlineStr">
        <is>
          <t>2025-12-06</t>
        </is>
      </c>
      <c r="K2169" t="inlineStr">
        <is>
          <t>marginalpdbc_20251207.1</t>
        </is>
      </c>
      <c r="L2169" t="inlineStr">
        <is>
          <t>96 periodos; mín 0.50, máx 95.01 €/MWh</t>
        </is>
      </c>
    </row>
    <row r="2170">
      <c r="A2170" s="53" t="n">
        <v>45999</v>
      </c>
      <c r="B2170" t="inlineStr">
        <is>
          <t>2025-12-08</t>
        </is>
      </c>
      <c r="C2170" s="45" t="n">
        <v>55.3222</v>
      </c>
      <c r="D2170" t="inlineStr">
        <is>
          <t>€/MWh</t>
        </is>
      </c>
      <c r="E2170" s="54" t="n">
        <v>0.055322</v>
      </c>
      <c r="F2170" s="54" t="n"/>
      <c r="G2170" t="inlineStr">
        <is>
          <t>no aplica (precio mayorista)</t>
        </is>
      </c>
      <c r="J2170" t="inlineStr">
        <is>
          <t>2025-12-07</t>
        </is>
      </c>
      <c r="K2170" t="inlineStr">
        <is>
          <t>marginalpdbc_20251208.1</t>
        </is>
      </c>
      <c r="L2170" t="inlineStr">
        <is>
          <t>96 periodos; mín 11.00, máx 100.01 €/MWh</t>
        </is>
      </c>
    </row>
    <row r="2171">
      <c r="A2171" s="53" t="n">
        <v>46000</v>
      </c>
      <c r="B2171" t="inlineStr">
        <is>
          <t>2025-12-09</t>
        </is>
      </c>
      <c r="C2171" s="45" t="n">
        <v>63.172</v>
      </c>
      <c r="D2171" t="inlineStr">
        <is>
          <t>€/MWh</t>
        </is>
      </c>
      <c r="E2171" s="54" t="n">
        <v>0.06317200000000001</v>
      </c>
      <c r="F2171" s="54" t="n"/>
      <c r="G2171" t="inlineStr">
        <is>
          <t>no aplica (precio mayorista)</t>
        </is>
      </c>
      <c r="J2171" t="inlineStr">
        <is>
          <t>2025-12-08</t>
        </is>
      </c>
      <c r="K2171" t="inlineStr">
        <is>
          <t>marginalpdbc_20251209.1</t>
        </is>
      </c>
      <c r="L2171" t="inlineStr">
        <is>
          <t>96 periodos; mín 5.76, máx 145.00 €/MWh</t>
        </is>
      </c>
    </row>
    <row r="2172">
      <c r="A2172" s="53" t="n">
        <v>46001</v>
      </c>
      <c r="B2172" t="inlineStr">
        <is>
          <t>2025-12-10</t>
        </is>
      </c>
      <c r="C2172" s="45" t="n">
        <v>103.006</v>
      </c>
      <c r="D2172" t="inlineStr">
        <is>
          <t>€/MWh</t>
        </is>
      </c>
      <c r="E2172" s="54" t="n">
        <v>0.103006</v>
      </c>
      <c r="F2172" s="54" t="n"/>
      <c r="G2172" t="inlineStr">
        <is>
          <t>no aplica (precio mayorista)</t>
        </is>
      </c>
      <c r="J2172" t="inlineStr">
        <is>
          <t>2025-12-09</t>
        </is>
      </c>
      <c r="K2172" t="inlineStr">
        <is>
          <t>marginalpdbc_20251210.1</t>
        </is>
      </c>
      <c r="L2172" t="inlineStr">
        <is>
          <t>96 periodos; mín 81.00, máx 125.68 €/MWh</t>
        </is>
      </c>
    </row>
    <row r="2173">
      <c r="A2173" s="53" t="n">
        <v>46002</v>
      </c>
      <c r="B2173" t="inlineStr">
        <is>
          <t>2025-12-11</t>
        </is>
      </c>
      <c r="C2173" s="45" t="n">
        <v>96.18859999999999</v>
      </c>
      <c r="D2173" t="inlineStr">
        <is>
          <t>€/MWh</t>
        </is>
      </c>
      <c r="E2173" s="54" t="n">
        <v>0.096189</v>
      </c>
      <c r="F2173" s="54" t="n"/>
      <c r="G2173" t="inlineStr">
        <is>
          <t>no aplica (precio mayorista)</t>
        </is>
      </c>
      <c r="J2173" t="inlineStr">
        <is>
          <t>2025-12-10</t>
        </is>
      </c>
      <c r="K2173" t="inlineStr">
        <is>
          <t>marginalpdbc_20251211.1</t>
        </is>
      </c>
      <c r="L2173" t="inlineStr">
        <is>
          <t>96 periodos; mín 74.72, máx 124.79 €/MWh</t>
        </is>
      </c>
    </row>
    <row r="2174">
      <c r="A2174" s="53" t="n">
        <v>46003</v>
      </c>
      <c r="B2174" t="inlineStr">
        <is>
          <t>2025-12-12</t>
        </is>
      </c>
      <c r="C2174" s="45" t="n">
        <v>97.185</v>
      </c>
      <c r="D2174" t="inlineStr">
        <is>
          <t>€/MWh</t>
        </is>
      </c>
      <c r="E2174" s="54" t="n">
        <v>0.09718499999999999</v>
      </c>
      <c r="F2174" s="54" t="n"/>
      <c r="G2174" t="inlineStr">
        <is>
          <t>no aplica (precio mayorista)</t>
        </is>
      </c>
      <c r="J2174" t="inlineStr">
        <is>
          <t>2025-12-11</t>
        </is>
      </c>
      <c r="K2174" t="inlineStr">
        <is>
          <t>marginalpdbc_20251212.1</t>
        </is>
      </c>
      <c r="L2174" t="inlineStr">
        <is>
          <t>96 periodos; mín 75.24, máx 121.28 €/MWh</t>
        </is>
      </c>
    </row>
    <row r="2175">
      <c r="A2175" s="53" t="n">
        <v>46004</v>
      </c>
      <c r="B2175" t="inlineStr">
        <is>
          <t>2025-12-13</t>
        </is>
      </c>
      <c r="C2175" s="45" t="n">
        <v>79.1968</v>
      </c>
      <c r="D2175" t="inlineStr">
        <is>
          <t>€/MWh</t>
        </is>
      </c>
      <c r="E2175" s="54" t="n">
        <v>0.079197</v>
      </c>
      <c r="F2175" s="54" t="n"/>
      <c r="G2175" t="inlineStr">
        <is>
          <t>no aplica (precio mayorista)</t>
        </is>
      </c>
      <c r="J2175" t="inlineStr">
        <is>
          <t>2025-12-12</t>
        </is>
      </c>
      <c r="K2175" t="inlineStr">
        <is>
          <t>marginalpdbc_20251213.1</t>
        </is>
      </c>
      <c r="L2175" t="inlineStr">
        <is>
          <t>96 periodos; mín 57.51, máx 101.00 €/MWh</t>
        </is>
      </c>
    </row>
    <row r="2176">
      <c r="A2176" s="53" t="n">
        <v>46005</v>
      </c>
      <c r="B2176" t="inlineStr">
        <is>
          <t>2025-12-14</t>
        </is>
      </c>
      <c r="C2176" s="45" t="n">
        <v>78.56610000000001</v>
      </c>
      <c r="D2176" t="inlineStr">
        <is>
          <t>€/MWh</t>
        </is>
      </c>
      <c r="E2176" s="54" t="n">
        <v>0.078566</v>
      </c>
      <c r="F2176" s="54" t="n"/>
      <c r="G2176" t="inlineStr">
        <is>
          <t>no aplica (precio mayorista)</t>
        </is>
      </c>
      <c r="J2176" t="inlineStr">
        <is>
          <t>2025-12-13</t>
        </is>
      </c>
      <c r="K2176" t="inlineStr">
        <is>
          <t>marginalpdbc_20251214.1</t>
        </is>
      </c>
      <c r="L2176" t="inlineStr">
        <is>
          <t>96 periodos; mín 57.07, máx 107.08 €/MWh</t>
        </is>
      </c>
    </row>
    <row r="2177">
      <c r="A2177" s="53" t="n">
        <v>46006</v>
      </c>
      <c r="B2177" t="inlineStr">
        <is>
          <t>2025-12-15</t>
        </is>
      </c>
      <c r="C2177" s="45" t="n">
        <v>92.4701</v>
      </c>
      <c r="D2177" t="inlineStr">
        <is>
          <t>€/MWh</t>
        </is>
      </c>
      <c r="E2177" s="54" t="n">
        <v>0.09247</v>
      </c>
      <c r="F2177" s="54" t="n"/>
      <c r="G2177" t="inlineStr">
        <is>
          <t>no aplica (precio mayorista)</t>
        </is>
      </c>
      <c r="J2177" t="inlineStr">
        <is>
          <t>2025-12-14</t>
        </is>
      </c>
      <c r="K2177" t="inlineStr">
        <is>
          <t>marginalpdbc_20251215.1</t>
        </is>
      </c>
      <c r="L2177" t="inlineStr">
        <is>
          <t>96 periodos; mín 65.01, máx 122.06 €/MWh</t>
        </is>
      </c>
    </row>
    <row r="2178">
      <c r="A2178" s="53" t="n">
        <v>46007</v>
      </c>
      <c r="B2178" t="inlineStr">
        <is>
          <t>2025-12-16</t>
        </is>
      </c>
      <c r="C2178" s="45" t="n">
        <v>94.527</v>
      </c>
      <c r="D2178" t="inlineStr">
        <is>
          <t>€/MWh</t>
        </is>
      </c>
      <c r="E2178" s="54" t="n">
        <v>0.094527</v>
      </c>
      <c r="F2178" s="54" t="n"/>
      <c r="G2178" t="inlineStr">
        <is>
          <t>no aplica (precio mayorista)</t>
        </is>
      </c>
      <c r="J2178" t="inlineStr">
        <is>
          <t>2025-12-15</t>
        </is>
      </c>
      <c r="K2178" t="inlineStr">
        <is>
          <t>marginalpdbc_20251216.1</t>
        </is>
      </c>
      <c r="L2178" t="inlineStr">
        <is>
          <t>96 periodos; mín 74.50, máx 140.78 €/MWh</t>
        </is>
      </c>
    </row>
    <row r="2179">
      <c r="A2179" s="53" t="n">
        <v>46008</v>
      </c>
      <c r="B2179" t="inlineStr">
        <is>
          <t>2025-12-17</t>
        </is>
      </c>
      <c r="C2179" s="45" t="n">
        <v>101.4105</v>
      </c>
      <c r="D2179" t="inlineStr">
        <is>
          <t>€/MWh</t>
        </is>
      </c>
      <c r="E2179" s="54" t="n">
        <v>0.101411</v>
      </c>
      <c r="F2179" s="54" t="n"/>
      <c r="G2179" t="inlineStr">
        <is>
          <t>no aplica (precio mayorista)</t>
        </is>
      </c>
      <c r="J2179" t="inlineStr">
        <is>
          <t>2025-12-16</t>
        </is>
      </c>
      <c r="K2179" t="inlineStr">
        <is>
          <t>marginalpdbc_20251217.1</t>
        </is>
      </c>
      <c r="L2179" t="inlineStr">
        <is>
          <t>96 periodos; mín 76.12, máx 152.58 €/MWh</t>
        </is>
      </c>
    </row>
    <row r="2180">
      <c r="A2180" s="53" t="n">
        <v>46009</v>
      </c>
      <c r="B2180" t="inlineStr">
        <is>
          <t>2025-12-18</t>
        </is>
      </c>
      <c r="C2180" s="45" t="n">
        <v>85.0491</v>
      </c>
      <c r="D2180" t="inlineStr">
        <is>
          <t>€/MWh</t>
        </is>
      </c>
      <c r="E2180" s="54" t="n">
        <v>0.085049</v>
      </c>
      <c r="F2180" s="54" t="n"/>
      <c r="G2180" t="inlineStr">
        <is>
          <t>no aplica (precio mayorista)</t>
        </is>
      </c>
      <c r="J2180" t="inlineStr">
        <is>
          <t>2025-12-17</t>
        </is>
      </c>
      <c r="K2180" t="inlineStr">
        <is>
          <t>marginalpdbc_20251218.1</t>
        </is>
      </c>
      <c r="L2180" t="inlineStr">
        <is>
          <t>96 periodos; mín 26.00, máx 113.46 €/MWh</t>
        </is>
      </c>
    </row>
    <row r="2181">
      <c r="A2181" s="53" t="n">
        <v>46010</v>
      </c>
      <c r="B2181" t="inlineStr">
        <is>
          <t>2025-12-19</t>
        </is>
      </c>
      <c r="C2181" s="45" t="n">
        <v>102.7603</v>
      </c>
      <c r="D2181" t="inlineStr">
        <is>
          <t>€/MWh</t>
        </is>
      </c>
      <c r="E2181" s="54" t="n">
        <v>0.10276</v>
      </c>
      <c r="F2181" s="54" t="n"/>
      <c r="G2181" t="inlineStr">
        <is>
          <t>no aplica (precio mayorista)</t>
        </is>
      </c>
      <c r="J2181" t="inlineStr">
        <is>
          <t>2025-12-18</t>
        </is>
      </c>
      <c r="K2181" t="inlineStr">
        <is>
          <t>marginalpdbc_20251219.1</t>
        </is>
      </c>
      <c r="L2181" t="inlineStr">
        <is>
          <t>96 periodos; mín 80.61, máx 123.23 €/MWh</t>
        </is>
      </c>
    </row>
    <row r="2182">
      <c r="A2182" s="53" t="n">
        <v>46011</v>
      </c>
      <c r="B2182" t="inlineStr">
        <is>
          <t>2025-12-20</t>
        </is>
      </c>
      <c r="C2182" s="45" t="n">
        <v>70.768</v>
      </c>
      <c r="D2182" t="inlineStr">
        <is>
          <t>€/MWh</t>
        </is>
      </c>
      <c r="E2182" s="54" t="n">
        <v>0.070768</v>
      </c>
      <c r="F2182" s="54" t="n"/>
      <c r="G2182" t="inlineStr">
        <is>
          <t>no aplica (precio mayorista)</t>
        </is>
      </c>
      <c r="J2182" t="inlineStr">
        <is>
          <t>2025-12-19</t>
        </is>
      </c>
      <c r="K2182" t="inlineStr">
        <is>
          <t>marginalpdbc_20251220.1</t>
        </is>
      </c>
      <c r="L2182" t="inlineStr">
        <is>
          <t>96 periodos; mín 47.47, máx 96.62 €/MWh</t>
        </is>
      </c>
    </row>
    <row r="2183">
      <c r="A2183" s="53" t="n">
        <v>46012</v>
      </c>
      <c r="B2183" t="inlineStr">
        <is>
          <t>2025-12-21</t>
        </is>
      </c>
      <c r="C2183" s="45" t="n">
        <v>61.4796</v>
      </c>
      <c r="D2183" t="inlineStr">
        <is>
          <t>€/MWh</t>
        </is>
      </c>
      <c r="E2183" s="54" t="n">
        <v>0.06148</v>
      </c>
      <c r="F2183" s="54" t="n"/>
      <c r="G2183" t="inlineStr">
        <is>
          <t>no aplica (precio mayorista)</t>
        </is>
      </c>
      <c r="J2183" t="inlineStr">
        <is>
          <t>2025-12-20</t>
        </is>
      </c>
      <c r="K2183" t="inlineStr">
        <is>
          <t>marginalpdbc_20251221.1</t>
        </is>
      </c>
      <c r="L2183" t="inlineStr">
        <is>
          <t>96 periodos; mín 40.62, máx 84.28 €/MWh</t>
        </is>
      </c>
    </row>
    <row r="2184">
      <c r="A2184" s="53" t="n">
        <v>46013</v>
      </c>
      <c r="B2184" t="inlineStr">
        <is>
          <t>2025-12-22</t>
        </is>
      </c>
      <c r="C2184" s="45" t="n">
        <v>70.5998</v>
      </c>
      <c r="D2184" t="inlineStr">
        <is>
          <t>€/MWh</t>
        </is>
      </c>
      <c r="E2184" s="54" t="n">
        <v>0.0706</v>
      </c>
      <c r="F2184" s="54" t="n"/>
      <c r="G2184" t="inlineStr">
        <is>
          <t>no aplica (precio mayorista)</t>
        </is>
      </c>
      <c r="J2184" t="inlineStr">
        <is>
          <t>2025-12-21</t>
        </is>
      </c>
      <c r="K2184" t="inlineStr">
        <is>
          <t>marginalpdbc_20251222.1</t>
        </is>
      </c>
      <c r="L2184" t="inlineStr">
        <is>
          <t>96 periodos; mín 25.00, máx 102.06 €/MWh</t>
        </is>
      </c>
    </row>
    <row r="2185">
      <c r="A2185" s="53" t="n">
        <v>46014</v>
      </c>
      <c r="B2185" t="inlineStr">
        <is>
          <t>2025-12-23</t>
        </is>
      </c>
      <c r="C2185" s="45" t="n">
        <v>77.9147</v>
      </c>
      <c r="D2185" t="inlineStr">
        <is>
          <t>€/MWh</t>
        </is>
      </c>
      <c r="E2185" s="54" t="n">
        <v>0.077915</v>
      </c>
      <c r="F2185" s="54" t="n"/>
      <c r="G2185" t="inlineStr">
        <is>
          <t>no aplica (precio mayorista)</t>
        </is>
      </c>
      <c r="J2185" t="inlineStr">
        <is>
          <t>2025-12-22</t>
        </is>
      </c>
      <c r="K2185" t="inlineStr">
        <is>
          <t>marginalpdbc_20251223.1</t>
        </is>
      </c>
      <c r="L2185" t="inlineStr">
        <is>
          <t>96 periodos; mín 55.40, máx 92.55 €/MWh</t>
        </is>
      </c>
    </row>
    <row r="2186">
      <c r="A2186" s="53" t="n">
        <v>46015</v>
      </c>
      <c r="B2186" t="inlineStr">
        <is>
          <t>2025-12-24</t>
        </is>
      </c>
      <c r="C2186" s="45" t="n">
        <v>40.6403</v>
      </c>
      <c r="D2186" t="inlineStr">
        <is>
          <t>€/MWh</t>
        </is>
      </c>
      <c r="E2186" s="54" t="n">
        <v>0.04064</v>
      </c>
      <c r="F2186" s="54" t="n"/>
      <c r="G2186" t="inlineStr">
        <is>
          <t>no aplica (precio mayorista)</t>
        </is>
      </c>
      <c r="J2186" t="inlineStr">
        <is>
          <t>2025-12-23</t>
        </is>
      </c>
      <c r="K2186" t="inlineStr">
        <is>
          <t>marginalpdbc_20251224.1</t>
        </is>
      </c>
      <c r="L2186" t="inlineStr">
        <is>
          <t>96 periodos; mín 16.46, máx 79.60 €/MWh</t>
        </is>
      </c>
    </row>
    <row r="2187">
      <c r="A2187" s="53" t="n">
        <v>46016</v>
      </c>
      <c r="B2187" t="inlineStr">
        <is>
          <t>2025-12-25</t>
        </is>
      </c>
      <c r="C2187" s="45" t="n">
        <v>48.6987</v>
      </c>
      <c r="D2187" t="inlineStr">
        <is>
          <t>€/MWh</t>
        </is>
      </c>
      <c r="E2187" s="54" t="n">
        <v>0.048699</v>
      </c>
      <c r="F2187" s="54" t="n"/>
      <c r="G2187" t="inlineStr">
        <is>
          <t>no aplica (precio mayorista)</t>
        </is>
      </c>
      <c r="J2187" t="inlineStr">
        <is>
          <t>2025-12-24</t>
        </is>
      </c>
      <c r="K2187" t="inlineStr">
        <is>
          <t>marginalpdbc_20251225.1</t>
        </is>
      </c>
      <c r="L2187" t="inlineStr">
        <is>
          <t>96 periodos; mín 9.69, máx 100.13 €/MWh</t>
        </is>
      </c>
    </row>
    <row r="2188">
      <c r="A2188" s="53" t="n">
        <v>46017</v>
      </c>
      <c r="B2188" t="inlineStr">
        <is>
          <t>2025-12-26</t>
        </is>
      </c>
      <c r="C2188" s="45" t="n">
        <v>89.1968</v>
      </c>
      <c r="D2188" t="inlineStr">
        <is>
          <t>€/MWh</t>
        </is>
      </c>
      <c r="E2188" s="54" t="n">
        <v>0.089197</v>
      </c>
      <c r="F2188" s="54" t="n"/>
      <c r="G2188" t="inlineStr">
        <is>
          <t>no aplica (precio mayorista)</t>
        </is>
      </c>
      <c r="J2188" t="inlineStr">
        <is>
          <t>2025-12-25</t>
        </is>
      </c>
      <c r="K2188" t="inlineStr">
        <is>
          <t>marginalpdbc_20251226.1</t>
        </is>
      </c>
      <c r="L2188" t="inlineStr">
        <is>
          <t>96 periodos; mín 69.91, máx 119.83 €/MWh</t>
        </is>
      </c>
    </row>
    <row r="2189">
      <c r="A2189" s="53" t="n">
        <v>46018</v>
      </c>
      <c r="B2189" t="inlineStr">
        <is>
          <t>2025-12-27</t>
        </is>
      </c>
      <c r="C2189" s="45" t="n">
        <v>80.11579999999999</v>
      </c>
      <c r="D2189" t="inlineStr">
        <is>
          <t>€/MWh</t>
        </is>
      </c>
      <c r="E2189" s="54" t="n">
        <v>0.08011600000000001</v>
      </c>
      <c r="F2189" s="54" t="n"/>
      <c r="G2189" t="inlineStr">
        <is>
          <t>no aplica (precio mayorista)</t>
        </is>
      </c>
      <c r="J2189" t="inlineStr">
        <is>
          <t>2025-12-26</t>
        </is>
      </c>
      <c r="K2189" t="inlineStr">
        <is>
          <t>marginalpdbc_20251227.1</t>
        </is>
      </c>
      <c r="L2189" t="inlineStr">
        <is>
          <t>96 periodos; mín 68.62, máx 101.54 €/MWh</t>
        </is>
      </c>
    </row>
    <row r="2190">
      <c r="A2190" s="53" t="n">
        <v>46019</v>
      </c>
      <c r="B2190" t="inlineStr">
        <is>
          <t>2025-12-28</t>
        </is>
      </c>
      <c r="C2190" s="45" t="n">
        <v>78.93600000000001</v>
      </c>
      <c r="D2190" t="inlineStr">
        <is>
          <t>€/MWh</t>
        </is>
      </c>
      <c r="E2190" s="54" t="n">
        <v>0.07893600000000001</v>
      </c>
      <c r="F2190" s="54" t="n"/>
      <c r="G2190" t="inlineStr">
        <is>
          <t>no aplica (precio mayorista)</t>
        </is>
      </c>
      <c r="J2190" t="inlineStr">
        <is>
          <t>2025-12-27</t>
        </is>
      </c>
      <c r="K2190" t="inlineStr">
        <is>
          <t>marginalpdbc_20251228.1</t>
        </is>
      </c>
      <c r="L2190" t="inlineStr">
        <is>
          <t>96 periodos; mín 47.65, máx 108.44 €/MWh</t>
        </is>
      </c>
    </row>
    <row r="2191">
      <c r="A2191" s="53" t="n">
        <v>46020</v>
      </c>
      <c r="B2191" t="inlineStr">
        <is>
          <t>2025-12-29</t>
        </is>
      </c>
      <c r="C2191" s="45" t="n">
        <v>107.1976</v>
      </c>
      <c r="D2191" t="inlineStr">
        <is>
          <t>€/MWh</t>
        </is>
      </c>
      <c r="E2191" s="54" t="n">
        <v>0.107198</v>
      </c>
      <c r="F2191" s="54" t="n"/>
      <c r="G2191" t="inlineStr">
        <is>
          <t>no aplica (precio mayorista)</t>
        </is>
      </c>
      <c r="J2191" t="inlineStr">
        <is>
          <t>2025-12-28</t>
        </is>
      </c>
      <c r="K2191" t="inlineStr">
        <is>
          <t>marginalpdbc_20251229.1</t>
        </is>
      </c>
      <c r="L2191" t="inlineStr">
        <is>
          <t>96 periodos; mín 86.73, máx 165.50 €/MWh</t>
        </is>
      </c>
    </row>
    <row r="2192">
      <c r="A2192" s="53" t="n">
        <v>46021</v>
      </c>
      <c r="B2192" t="inlineStr">
        <is>
          <t>2025-12-30</t>
        </is>
      </c>
      <c r="C2192" s="45" t="n">
        <v>91.2347</v>
      </c>
      <c r="D2192" t="inlineStr">
        <is>
          <t>€/MWh</t>
        </is>
      </c>
      <c r="E2192" s="54" t="n">
        <v>0.091235</v>
      </c>
      <c r="F2192" s="54" t="n"/>
      <c r="G2192" t="inlineStr">
        <is>
          <t>no aplica (precio mayorista)</t>
        </is>
      </c>
      <c r="J2192" t="inlineStr">
        <is>
          <t>2025-12-29</t>
        </is>
      </c>
      <c r="K2192" t="inlineStr">
        <is>
          <t>marginalpdbc_20251230.1</t>
        </is>
      </c>
      <c r="L2192" t="inlineStr">
        <is>
          <t>96 periodos; mín 66.73, máx 107.98 €/MWh</t>
        </is>
      </c>
    </row>
    <row r="2193">
      <c r="A2193" s="53" t="n">
        <v>46022</v>
      </c>
      <c r="B2193" t="inlineStr">
        <is>
          <t>2025-12-31</t>
        </is>
      </c>
      <c r="C2193" s="45" t="n">
        <v>97.8194</v>
      </c>
      <c r="D2193" t="inlineStr">
        <is>
          <t>€/MWh</t>
        </is>
      </c>
      <c r="E2193" s="54" t="n">
        <v>0.097819</v>
      </c>
      <c r="F2193" s="54" t="n"/>
      <c r="G2193" t="inlineStr">
        <is>
          <t>no aplica (precio mayorista)</t>
        </is>
      </c>
      <c r="J2193" t="inlineStr">
        <is>
          <t>2025-12-30</t>
        </is>
      </c>
      <c r="K2193" t="inlineStr">
        <is>
          <t>marginalpdbc_20251231.1</t>
        </is>
      </c>
      <c r="L2193" t="inlineStr">
        <is>
          <t>96 periodos; mín 75.01, máx 142.74 €/MWh</t>
        </is>
      </c>
    </row>
    <row r="2194">
      <c r="A2194" s="53" t="n">
        <v>46023</v>
      </c>
      <c r="B2194" t="inlineStr">
        <is>
          <t>2026-01-01</t>
        </is>
      </c>
      <c r="C2194" s="45" t="n">
        <v>81.8665</v>
      </c>
      <c r="D2194" t="inlineStr">
        <is>
          <t>€/MWh</t>
        </is>
      </c>
      <c r="E2194" s="54" t="n">
        <v>0.08186599999999999</v>
      </c>
      <c r="F2194" s="54" t="n"/>
      <c r="G2194" t="inlineStr">
        <is>
          <t>no aplica (precio mayorista)</t>
        </is>
      </c>
      <c r="J2194" t="inlineStr">
        <is>
          <t>2025-12-31</t>
        </is>
      </c>
      <c r="K2194" t="inlineStr">
        <is>
          <t>marginalpdbc_20260101.1</t>
        </is>
      </c>
      <c r="L2194" t="inlineStr">
        <is>
          <t>96 periodos; mín 52.01, máx 112.01 €/MWh</t>
        </is>
      </c>
    </row>
    <row r="2195">
      <c r="A2195" s="53" t="n">
        <v>46024</v>
      </c>
      <c r="B2195" t="inlineStr">
        <is>
          <t>2026-01-02</t>
        </is>
      </c>
      <c r="C2195" s="45" t="n">
        <v>82.935</v>
      </c>
      <c r="D2195" t="inlineStr">
        <is>
          <t>€/MWh</t>
        </is>
      </c>
      <c r="E2195" s="54" t="n">
        <v>0.08293499999999999</v>
      </c>
      <c r="F2195" s="54" t="n"/>
      <c r="G2195" t="inlineStr">
        <is>
          <t>no aplica (precio mayorista)</t>
        </is>
      </c>
      <c r="J2195" t="inlineStr">
        <is>
          <t>2026-01-01</t>
        </is>
      </c>
      <c r="K2195" t="inlineStr">
        <is>
          <t>marginalpdbc_20260102.1</t>
        </is>
      </c>
      <c r="L2195" t="inlineStr">
        <is>
          <t>96 periodos; mín 55.01, máx 108.50 €/MWh</t>
        </is>
      </c>
    </row>
    <row r="2196">
      <c r="A2196" s="53" t="n">
        <v>46025</v>
      </c>
      <c r="B2196" t="inlineStr">
        <is>
          <t>2026-01-03</t>
        </is>
      </c>
      <c r="C2196" s="45" t="n">
        <v>88.4277</v>
      </c>
      <c r="D2196" t="inlineStr">
        <is>
          <t>€/MWh</t>
        </is>
      </c>
      <c r="E2196" s="54" t="n">
        <v>0.08842800000000001</v>
      </c>
      <c r="F2196" s="54" t="n"/>
      <c r="G2196" t="inlineStr">
        <is>
          <t>no aplica (precio mayorista)</t>
        </is>
      </c>
      <c r="J2196" t="inlineStr">
        <is>
          <t>2026-01-02</t>
        </is>
      </c>
      <c r="K2196" t="inlineStr">
        <is>
          <t>marginalpdbc_20260103.1</t>
        </is>
      </c>
      <c r="L2196" t="inlineStr">
        <is>
          <t>96 periodos; mín 73.46, máx 111.91 €/MWh</t>
        </is>
      </c>
    </row>
    <row r="2197">
      <c r="A2197" s="53" t="n">
        <v>46026</v>
      </c>
      <c r="B2197" t="inlineStr">
        <is>
          <t>2026-01-04</t>
        </is>
      </c>
      <c r="C2197" s="45" t="n">
        <v>66.7831</v>
      </c>
      <c r="D2197" t="inlineStr">
        <is>
          <t>€/MWh</t>
        </is>
      </c>
      <c r="E2197" s="54" t="n">
        <v>0.066783</v>
      </c>
      <c r="F2197" s="54" t="n"/>
      <c r="G2197" t="inlineStr">
        <is>
          <t>no aplica (precio mayorista)</t>
        </is>
      </c>
      <c r="J2197" t="inlineStr">
        <is>
          <t>2026-01-03</t>
        </is>
      </c>
      <c r="K2197" t="inlineStr">
        <is>
          <t>marginalpdbc_20260104.1</t>
        </is>
      </c>
      <c r="L2197" t="inlineStr">
        <is>
          <t>96 periodos; mín 50.00, máx 100.25 €/MWh</t>
        </is>
      </c>
    </row>
    <row r="2198">
      <c r="A2198" s="53" t="n">
        <v>46027</v>
      </c>
      <c r="B2198" t="inlineStr">
        <is>
          <t>2026-01-05</t>
        </is>
      </c>
      <c r="C2198" s="45" t="n">
        <v>95.4376</v>
      </c>
      <c r="D2198" t="inlineStr">
        <is>
          <t>€/MWh</t>
        </is>
      </c>
      <c r="E2198" s="54" t="n">
        <v>0.095438</v>
      </c>
      <c r="F2198" s="54" t="n"/>
      <c r="G2198" t="inlineStr">
        <is>
          <t>no aplica (precio mayorista)</t>
        </is>
      </c>
      <c r="J2198" t="inlineStr">
        <is>
          <t>2026-01-04</t>
        </is>
      </c>
      <c r="K2198" t="inlineStr">
        <is>
          <t>marginalpdbc_20260105.1</t>
        </is>
      </c>
      <c r="L2198" t="inlineStr">
        <is>
          <t>96 periodos; mín 61.87, máx 131.00 €/MWh</t>
        </is>
      </c>
    </row>
    <row r="2199">
      <c r="A2199" s="53" t="n">
        <v>46028</v>
      </c>
      <c r="B2199" t="inlineStr">
        <is>
          <t>2026-01-06</t>
        </is>
      </c>
      <c r="C2199" s="45" t="n">
        <v>62.8955</v>
      </c>
      <c r="D2199" t="inlineStr">
        <is>
          <t>€/MWh</t>
        </is>
      </c>
      <c r="E2199" s="54" t="n">
        <v>0.06289599999999999</v>
      </c>
      <c r="F2199" s="54" t="n"/>
      <c r="G2199" t="inlineStr">
        <is>
          <t>no aplica (precio mayorista)</t>
        </is>
      </c>
      <c r="J2199" t="inlineStr">
        <is>
          <t>2026-01-05</t>
        </is>
      </c>
      <c r="K2199" t="inlineStr">
        <is>
          <t>marginalpdbc_20260106.1</t>
        </is>
      </c>
      <c r="L2199" t="inlineStr">
        <is>
          <t>96 periodos; mín 0.00, máx 123.80 €/MWh</t>
        </is>
      </c>
    </row>
    <row r="2200">
      <c r="A2200" s="53" t="n">
        <v>46029</v>
      </c>
      <c r="B2200" t="inlineStr">
        <is>
          <t>2026-01-07</t>
        </is>
      </c>
      <c r="C2200" s="45" t="n">
        <v>102.3259</v>
      </c>
      <c r="D2200" t="inlineStr">
        <is>
          <t>€/MWh</t>
        </is>
      </c>
      <c r="E2200" s="54" t="n">
        <v>0.102326</v>
      </c>
      <c r="F2200" s="54" t="n"/>
      <c r="G2200" t="inlineStr">
        <is>
          <t>no aplica (precio mayorista)</t>
        </is>
      </c>
      <c r="J2200" t="inlineStr">
        <is>
          <t>2026-01-06</t>
        </is>
      </c>
      <c r="K2200" t="inlineStr">
        <is>
          <t>marginalpdbc_20260107.1</t>
        </is>
      </c>
      <c r="L2200" t="inlineStr">
        <is>
          <t>96 periodos; mín 80.78, máx 147.00 €/MWh</t>
        </is>
      </c>
    </row>
    <row r="2201">
      <c r="A2201" s="53" t="n">
        <v>46030</v>
      </c>
      <c r="B2201" t="inlineStr">
        <is>
          <t>2026-01-08</t>
        </is>
      </c>
      <c r="C2201" s="45" t="n">
        <v>81.38420000000001</v>
      </c>
      <c r="D2201" t="inlineStr">
        <is>
          <t>€/MWh</t>
        </is>
      </c>
      <c r="E2201" s="54" t="n">
        <v>0.081384</v>
      </c>
      <c r="F2201" s="54" t="n"/>
      <c r="G2201" t="inlineStr">
        <is>
          <t>no aplica (precio mayorista)</t>
        </is>
      </c>
      <c r="J2201" t="inlineStr">
        <is>
          <t>2026-01-07</t>
        </is>
      </c>
      <c r="K2201" t="inlineStr">
        <is>
          <t>marginalpdbc_20260108.1</t>
        </is>
      </c>
      <c r="L2201" t="inlineStr">
        <is>
          <t>96 periodos; mín 60.00, máx 108.65 €/MWh</t>
        </is>
      </c>
    </row>
    <row r="2202">
      <c r="A2202" s="53" t="n">
        <v>46031</v>
      </c>
      <c r="B2202" t="inlineStr">
        <is>
          <t>2026-01-09</t>
        </is>
      </c>
      <c r="C2202" s="45" t="n">
        <v>53.3963</v>
      </c>
      <c r="D2202" t="inlineStr">
        <is>
          <t>€/MWh</t>
        </is>
      </c>
      <c r="E2202" s="54" t="n">
        <v>0.053396</v>
      </c>
      <c r="F2202" s="54" t="n"/>
      <c r="G2202" t="inlineStr">
        <is>
          <t>no aplica (precio mayorista)</t>
        </is>
      </c>
      <c r="J2202" t="inlineStr">
        <is>
          <t>2026-01-08</t>
        </is>
      </c>
      <c r="K2202" t="inlineStr">
        <is>
          <t>marginalpdbc_20260109.1</t>
        </is>
      </c>
      <c r="L2202" t="inlineStr">
        <is>
          <t>96 periodos; mín 6.00, máx 92.53 €/MWh</t>
        </is>
      </c>
    </row>
    <row r="2203">
      <c r="A2203" s="53" t="n">
        <v>46032</v>
      </c>
      <c r="B2203" t="inlineStr">
        <is>
          <t>2026-01-10</t>
        </is>
      </c>
      <c r="C2203" s="45" t="n">
        <v>73.23220000000001</v>
      </c>
      <c r="D2203" t="inlineStr">
        <is>
          <t>€/MWh</t>
        </is>
      </c>
      <c r="E2203" s="54" t="n">
        <v>0.07323200000000001</v>
      </c>
      <c r="F2203" s="54" t="n"/>
      <c r="G2203" t="inlineStr">
        <is>
          <t>no aplica (precio mayorista)</t>
        </is>
      </c>
      <c r="J2203" t="inlineStr">
        <is>
          <t>2026-01-09</t>
        </is>
      </c>
      <c r="K2203" t="inlineStr">
        <is>
          <t>marginalpdbc_20260110.1</t>
        </is>
      </c>
      <c r="L2203" t="inlineStr">
        <is>
          <t>96 periodos; mín 26.30, máx 129.52 €/MWh</t>
        </is>
      </c>
    </row>
    <row r="2204">
      <c r="A2204" s="53" t="n">
        <v>46033</v>
      </c>
      <c r="B2204" t="inlineStr">
        <is>
          <t>2026-01-11</t>
        </is>
      </c>
      <c r="C2204" s="45" t="n">
        <v>80.62869999999999</v>
      </c>
      <c r="D2204" t="inlineStr">
        <is>
          <t>€/MWh</t>
        </is>
      </c>
      <c r="E2204" s="54" t="n">
        <v>0.08062900000000001</v>
      </c>
      <c r="F2204" s="54" t="n"/>
      <c r="G2204" t="inlineStr">
        <is>
          <t>no aplica (precio mayorista)</t>
        </is>
      </c>
      <c r="J2204" t="inlineStr">
        <is>
          <t>2026-01-10</t>
        </is>
      </c>
      <c r="K2204" t="inlineStr">
        <is>
          <t>marginalpdbc_20260111.1</t>
        </is>
      </c>
      <c r="L2204" t="inlineStr">
        <is>
          <t>96 periodos; mín 50.25, máx 108.20 €/MWh</t>
        </is>
      </c>
    </row>
    <row r="2205">
      <c r="A2205" s="53" t="n">
        <v>46034</v>
      </c>
      <c r="B2205" t="inlineStr">
        <is>
          <t>2026-01-12</t>
        </is>
      </c>
      <c r="C2205" s="45" t="n">
        <v>88.5146</v>
      </c>
      <c r="D2205" t="inlineStr">
        <is>
          <t>€/MWh</t>
        </is>
      </c>
      <c r="E2205" s="54" t="n">
        <v>0.088515</v>
      </c>
      <c r="F2205" s="54" t="n"/>
      <c r="G2205" t="inlineStr">
        <is>
          <t>no aplica (precio mayorista)</t>
        </is>
      </c>
      <c r="J2205" t="inlineStr">
        <is>
          <t>2026-01-11</t>
        </is>
      </c>
      <c r="K2205" t="inlineStr">
        <is>
          <t>marginalpdbc_20260112.1</t>
        </is>
      </c>
      <c r="L2205" t="inlineStr">
        <is>
          <t>96 periodos; mín 60.00, máx 128.64 €/MWh</t>
        </is>
      </c>
    </row>
    <row r="2206">
      <c r="A2206" s="53" t="n">
        <v>46035</v>
      </c>
      <c r="B2206" t="inlineStr">
        <is>
          <t>2026-01-13</t>
        </is>
      </c>
      <c r="C2206" s="45" t="n">
        <v>95.6867</v>
      </c>
      <c r="D2206" t="inlineStr">
        <is>
          <t>€/MWh</t>
        </is>
      </c>
      <c r="E2206" s="54" t="n">
        <v>0.09568699999999999</v>
      </c>
      <c r="F2206" s="54" t="n"/>
      <c r="G2206" t="inlineStr">
        <is>
          <t>no aplica (precio mayorista)</t>
        </is>
      </c>
      <c r="J2206" t="inlineStr">
        <is>
          <t>2026-01-12</t>
        </is>
      </c>
      <c r="K2206" t="inlineStr">
        <is>
          <t>marginalpdbc_20260113.1</t>
        </is>
      </c>
      <c r="L2206" t="inlineStr">
        <is>
          <t>96 periodos; mín 73.95, máx 151.02 €/MWh</t>
        </is>
      </c>
    </row>
    <row r="2207">
      <c r="A2207" s="53" t="n">
        <v>46036</v>
      </c>
      <c r="B2207" t="inlineStr">
        <is>
          <t>2026-01-14</t>
        </is>
      </c>
      <c r="C2207" s="45" t="n">
        <v>115.536</v>
      </c>
      <c r="D2207" t="inlineStr">
        <is>
          <t>€/MWh</t>
        </is>
      </c>
      <c r="E2207" s="54" t="n">
        <v>0.115536</v>
      </c>
      <c r="F2207" s="54" t="n"/>
      <c r="G2207" t="inlineStr">
        <is>
          <t>no aplica (precio mayorista)</t>
        </is>
      </c>
      <c r="J2207" t="inlineStr">
        <is>
          <t>2026-01-13</t>
        </is>
      </c>
      <c r="K2207" t="inlineStr">
        <is>
          <t>marginalpdbc_20260114.1</t>
        </is>
      </c>
      <c r="L2207" t="inlineStr">
        <is>
          <t>96 periodos; mín 84.60, máx 184.58 €/MWh</t>
        </is>
      </c>
    </row>
    <row r="2208">
      <c r="A2208" s="53" t="n">
        <v>46037</v>
      </c>
      <c r="B2208" t="inlineStr">
        <is>
          <t>2026-01-15</t>
        </is>
      </c>
      <c r="C2208" s="45" t="n">
        <v>106.4054</v>
      </c>
      <c r="D2208" t="inlineStr">
        <is>
          <t>€/MWh</t>
        </is>
      </c>
      <c r="E2208" s="54" t="n">
        <v>0.106405</v>
      </c>
      <c r="F2208" s="54" t="n"/>
      <c r="G2208" t="inlineStr">
        <is>
          <t>no aplica (precio mayorista)</t>
        </is>
      </c>
      <c r="J2208" t="inlineStr">
        <is>
          <t>2026-01-14</t>
        </is>
      </c>
      <c r="K2208" t="inlineStr">
        <is>
          <t>marginalpdbc_20260115.1</t>
        </is>
      </c>
      <c r="L2208" t="inlineStr">
        <is>
          <t>96 periodos; mín 84.00, máx 138.94 €/MWh</t>
        </is>
      </c>
    </row>
    <row r="2209">
      <c r="A2209" s="53" t="n">
        <v>46038</v>
      </c>
      <c r="B2209" t="inlineStr">
        <is>
          <t>2026-01-16</t>
        </is>
      </c>
      <c r="C2209" s="45" t="n">
        <v>118.9905</v>
      </c>
      <c r="D2209" t="inlineStr">
        <is>
          <t>€/MWh</t>
        </is>
      </c>
      <c r="E2209" s="54" t="n">
        <v>0.118991</v>
      </c>
      <c r="F2209" s="54" t="n"/>
      <c r="G2209" t="inlineStr">
        <is>
          <t>no aplica (precio mayorista)</t>
        </is>
      </c>
      <c r="J2209" t="inlineStr">
        <is>
          <t>2026-01-15</t>
        </is>
      </c>
      <c r="K2209" t="inlineStr">
        <is>
          <t>marginalpdbc_20260116.1</t>
        </is>
      </c>
      <c r="L2209" t="inlineStr">
        <is>
          <t>96 periodos; mín 94.33, máx 163.18 €/MWh</t>
        </is>
      </c>
    </row>
    <row r="2210">
      <c r="A2210" s="53" t="n">
        <v>46039</v>
      </c>
      <c r="B2210" t="inlineStr">
        <is>
          <t>2026-01-17</t>
        </is>
      </c>
      <c r="C2210" s="45" t="n">
        <v>127.2364</v>
      </c>
      <c r="D2210" t="inlineStr">
        <is>
          <t>€/MWh</t>
        </is>
      </c>
      <c r="E2210" s="54" t="n">
        <v>0.127236</v>
      </c>
      <c r="F2210" s="54" t="n"/>
      <c r="G2210" t="inlineStr">
        <is>
          <t>no aplica (precio mayorista)</t>
        </is>
      </c>
      <c r="J2210" t="inlineStr">
        <is>
          <t>2026-01-16</t>
        </is>
      </c>
      <c r="K2210" t="inlineStr">
        <is>
          <t>marginalpdbc_20260117.1</t>
        </is>
      </c>
      <c r="L2210" t="inlineStr">
        <is>
          <t>96 periodos; mín 110.68, máx 166.70 €/MWh</t>
        </is>
      </c>
    </row>
    <row r="2211">
      <c r="A2211" s="53" t="n">
        <v>46040</v>
      </c>
      <c r="B2211" t="inlineStr">
        <is>
          <t>2026-01-18</t>
        </is>
      </c>
      <c r="C2211" s="45" t="n">
        <v>118.3892</v>
      </c>
      <c r="D2211" t="inlineStr">
        <is>
          <t>€/MWh</t>
        </is>
      </c>
      <c r="E2211" s="54" t="n">
        <v>0.118389</v>
      </c>
      <c r="F2211" s="54" t="n"/>
      <c r="G2211" t="inlineStr">
        <is>
          <t>no aplica (precio mayorista)</t>
        </is>
      </c>
      <c r="J2211" t="inlineStr">
        <is>
          <t>2026-01-17</t>
        </is>
      </c>
      <c r="K2211" t="inlineStr">
        <is>
          <t>marginalpdbc_20260118.1</t>
        </is>
      </c>
      <c r="L2211" t="inlineStr">
        <is>
          <t>96 periodos; mín 96.13, máx 180.48 €/MWh</t>
        </is>
      </c>
    </row>
    <row r="2212">
      <c r="A2212" s="53" t="n">
        <v>46041</v>
      </c>
      <c r="B2212" t="inlineStr">
        <is>
          <t>2026-01-19</t>
        </is>
      </c>
      <c r="C2212" s="45" t="n">
        <v>129.8628</v>
      </c>
      <c r="D2212" t="inlineStr">
        <is>
          <t>€/MWh</t>
        </is>
      </c>
      <c r="E2212" s="54" t="n">
        <v>0.129863</v>
      </c>
      <c r="F2212" s="54" t="n"/>
      <c r="G2212" t="inlineStr">
        <is>
          <t>no aplica (precio mayorista)</t>
        </is>
      </c>
      <c r="J2212" t="inlineStr">
        <is>
          <t>2026-01-18</t>
        </is>
      </c>
      <c r="K2212" t="inlineStr">
        <is>
          <t>marginalpdbc_20260119.1</t>
        </is>
      </c>
      <c r="L2212" t="inlineStr">
        <is>
          <t>96 periodos; mín 97.70, máx 200.00 €/MWh</t>
        </is>
      </c>
    </row>
    <row r="2213">
      <c r="A2213" s="53" t="n">
        <v>46042</v>
      </c>
      <c r="B2213" t="inlineStr">
        <is>
          <t>2026-01-20</t>
        </is>
      </c>
      <c r="C2213" s="45" t="n">
        <v>102.1327</v>
      </c>
      <c r="D2213" t="inlineStr">
        <is>
          <t>€/MWh</t>
        </is>
      </c>
      <c r="E2213" s="54" t="n">
        <v>0.102133</v>
      </c>
      <c r="F2213" s="54" t="n"/>
      <c r="G2213" t="inlineStr">
        <is>
          <t>no aplica (precio mayorista)</t>
        </is>
      </c>
      <c r="J2213" t="inlineStr">
        <is>
          <t>2026-01-19</t>
        </is>
      </c>
      <c r="K2213" t="inlineStr">
        <is>
          <t>marginalpdbc_20260120.1</t>
        </is>
      </c>
      <c r="L2213" t="inlineStr">
        <is>
          <t>96 periodos; mín 82.36, máx 132.00 €/MWh</t>
        </is>
      </c>
    </row>
    <row r="2214">
      <c r="A2214" s="53" t="n">
        <v>46043</v>
      </c>
      <c r="B2214" t="inlineStr">
        <is>
          <t>2026-01-21</t>
        </is>
      </c>
      <c r="C2214" s="45" t="n">
        <v>82.571</v>
      </c>
      <c r="D2214" t="inlineStr">
        <is>
          <t>€/MWh</t>
        </is>
      </c>
      <c r="E2214" s="54" t="n">
        <v>0.08257100000000001</v>
      </c>
      <c r="F2214" s="54" t="n"/>
      <c r="G2214" t="inlineStr">
        <is>
          <t>no aplica (precio mayorista)</t>
        </is>
      </c>
      <c r="J2214" t="inlineStr">
        <is>
          <t>2026-01-20</t>
        </is>
      </c>
      <c r="K2214" t="inlineStr">
        <is>
          <t>marginalpdbc_20260121.1</t>
        </is>
      </c>
      <c r="L2214" t="inlineStr">
        <is>
          <t>96 periodos; mín 64.32, máx 100.00 €/MWh</t>
        </is>
      </c>
    </row>
    <row r="2215">
      <c r="A2215" s="53" t="n">
        <v>46044</v>
      </c>
      <c r="B2215" t="inlineStr">
        <is>
          <t>2026-01-22</t>
        </is>
      </c>
      <c r="C2215" s="45" t="n">
        <v>59.8359</v>
      </c>
      <c r="D2215" t="inlineStr">
        <is>
          <t>€/MWh</t>
        </is>
      </c>
      <c r="E2215" s="54" t="n">
        <v>0.059836</v>
      </c>
      <c r="F2215" s="54" t="n"/>
      <c r="G2215" t="inlineStr">
        <is>
          <t>no aplica (precio mayorista)</t>
        </is>
      </c>
      <c r="J2215" t="inlineStr">
        <is>
          <t>2026-01-21</t>
        </is>
      </c>
      <c r="K2215" t="inlineStr">
        <is>
          <t>marginalpdbc_20260122.1</t>
        </is>
      </c>
      <c r="L2215" t="inlineStr">
        <is>
          <t>96 periodos; mín 19.85, máx 92.00 €/MWh</t>
        </is>
      </c>
    </row>
    <row r="2216">
      <c r="A2216" s="53" t="n">
        <v>46045</v>
      </c>
      <c r="B2216" t="inlineStr">
        <is>
          <t>2026-01-23</t>
        </is>
      </c>
      <c r="C2216" s="45" t="n">
        <v>38.3968</v>
      </c>
      <c r="D2216" t="inlineStr">
        <is>
          <t>€/MWh</t>
        </is>
      </c>
      <c r="E2216" s="54" t="n">
        <v>0.038397</v>
      </c>
      <c r="F2216" s="54" t="n"/>
      <c r="G2216" t="inlineStr">
        <is>
          <t>no aplica (precio mayorista)</t>
        </is>
      </c>
      <c r="J2216" t="inlineStr">
        <is>
          <t>2026-01-22</t>
        </is>
      </c>
      <c r="K2216" t="inlineStr">
        <is>
          <t>marginalpdbc_20260123.1</t>
        </is>
      </c>
      <c r="L2216" t="inlineStr">
        <is>
          <t>96 periodos; mín 0.83, máx 112.00 €/MWh</t>
        </is>
      </c>
    </row>
    <row r="2217">
      <c r="A2217" s="53" t="n">
        <v>46046</v>
      </c>
      <c r="B2217" t="inlineStr">
        <is>
          <t>2026-01-24</t>
        </is>
      </c>
      <c r="C2217" s="45" t="n">
        <v>21.0407</v>
      </c>
      <c r="D2217" t="inlineStr">
        <is>
          <t>€/MWh</t>
        </is>
      </c>
      <c r="E2217" s="54" t="n">
        <v>0.021041</v>
      </c>
      <c r="F2217" s="54" t="n"/>
      <c r="G2217" t="inlineStr">
        <is>
          <t>no aplica (precio mayorista)</t>
        </is>
      </c>
      <c r="J2217" t="inlineStr">
        <is>
          <t>2026-01-23</t>
        </is>
      </c>
      <c r="K2217" t="inlineStr">
        <is>
          <t>marginalpdbc_20260124.1</t>
        </is>
      </c>
      <c r="L2217" t="inlineStr">
        <is>
          <t>96 periodos; mín 2.44, máx 48.40 €/MWh</t>
        </is>
      </c>
    </row>
    <row r="2218">
      <c r="A2218" s="53" t="n">
        <v>46047</v>
      </c>
      <c r="B2218" t="inlineStr">
        <is>
          <t>2026-01-25</t>
        </is>
      </c>
      <c r="C2218" s="45" t="n">
        <v>11.2535</v>
      </c>
      <c r="D2218" t="inlineStr">
        <is>
          <t>€/MWh</t>
        </is>
      </c>
      <c r="E2218" s="54" t="n">
        <v>0.011254</v>
      </c>
      <c r="F2218" s="54" t="n"/>
      <c r="G2218" t="inlineStr">
        <is>
          <t>no aplica (precio mayorista)</t>
        </is>
      </c>
      <c r="J2218" t="inlineStr">
        <is>
          <t>2026-01-24</t>
        </is>
      </c>
      <c r="K2218" t="inlineStr">
        <is>
          <t>marginalpdbc_20260125.1</t>
        </is>
      </c>
      <c r="L2218" t="inlineStr">
        <is>
          <t>96 periodos; mín 0.00, máx 39.67 €/MWh</t>
        </is>
      </c>
    </row>
    <row r="2219">
      <c r="A2219" s="53" t="n">
        <v>46048</v>
      </c>
      <c r="B2219" t="inlineStr">
        <is>
          <t>2026-01-26</t>
        </is>
      </c>
      <c r="C2219" s="45" t="n">
        <v>35.521</v>
      </c>
      <c r="D2219" t="inlineStr">
        <is>
          <t>€/MWh</t>
        </is>
      </c>
      <c r="E2219" s="54" t="n">
        <v>0.035521</v>
      </c>
      <c r="F2219" s="54" t="n"/>
      <c r="G2219" t="inlineStr">
        <is>
          <t>no aplica (precio mayorista)</t>
        </is>
      </c>
      <c r="J2219" t="inlineStr">
        <is>
          <t>2026-01-25</t>
        </is>
      </c>
      <c r="K2219" t="inlineStr">
        <is>
          <t>marginalpdbc_20260126.1</t>
        </is>
      </c>
      <c r="L2219" t="inlineStr">
        <is>
          <t>96 periodos; mín 1.33, máx 90.00 €/MWh</t>
        </is>
      </c>
    </row>
    <row r="2220">
      <c r="A2220" s="53" t="n">
        <v>46049</v>
      </c>
      <c r="B2220" t="inlineStr">
        <is>
          <t>2026-01-27</t>
        </is>
      </c>
      <c r="C2220" s="45" t="n">
        <v>28.8175</v>
      </c>
      <c r="D2220" t="inlineStr">
        <is>
          <t>€/MWh</t>
        </is>
      </c>
      <c r="E2220" s="54" t="n">
        <v>0.028817</v>
      </c>
      <c r="F2220" s="54" t="n"/>
      <c r="G2220" t="inlineStr">
        <is>
          <t>no aplica (precio mayorista)</t>
        </is>
      </c>
      <c r="J2220" t="inlineStr">
        <is>
          <t>2026-01-26</t>
        </is>
      </c>
      <c r="K2220" t="inlineStr">
        <is>
          <t>marginalpdbc_20260127.1</t>
        </is>
      </c>
      <c r="L2220" t="inlineStr">
        <is>
          <t>96 periodos; mín 2.97, máx 99.00 €/MWh</t>
        </is>
      </c>
    </row>
    <row r="2221">
      <c r="A2221" s="53" t="n">
        <v>46050</v>
      </c>
      <c r="B2221" t="inlineStr">
        <is>
          <t>2026-01-28</t>
        </is>
      </c>
      <c r="C2221" s="45" t="n">
        <v>28.0587</v>
      </c>
      <c r="D2221" t="inlineStr">
        <is>
          <t>€/MWh</t>
        </is>
      </c>
      <c r="E2221" s="54" t="n">
        <v>0.028059</v>
      </c>
      <c r="F2221" s="54" t="n"/>
      <c r="G2221" t="inlineStr">
        <is>
          <t>no aplica (precio mayorista)</t>
        </is>
      </c>
      <c r="J2221" t="inlineStr">
        <is>
          <t>2026-01-27</t>
        </is>
      </c>
      <c r="K2221" t="inlineStr">
        <is>
          <t>marginalpdbc_20260128.1</t>
        </is>
      </c>
      <c r="L2221" t="inlineStr">
        <is>
          <t>96 periodos; mín 1.98, máx 95.01 €/MWh</t>
        </is>
      </c>
    </row>
    <row r="2222">
      <c r="A2222" s="53" t="n">
        <v>46051</v>
      </c>
      <c r="B2222" t="inlineStr">
        <is>
          <t>2026-01-29</t>
        </is>
      </c>
      <c r="C2222" s="45" t="n">
        <v>26.0906</v>
      </c>
      <c r="D2222" t="inlineStr">
        <is>
          <t>€/MWh</t>
        </is>
      </c>
      <c r="E2222" s="54" t="n">
        <v>0.026091</v>
      </c>
      <c r="F2222" s="54" t="n"/>
      <c r="G2222" t="inlineStr">
        <is>
          <t>no aplica (precio mayorista)</t>
        </is>
      </c>
      <c r="J2222" t="inlineStr">
        <is>
          <t>2026-01-28</t>
        </is>
      </c>
      <c r="K2222" t="inlineStr">
        <is>
          <t>marginalpdbc_20260129.1</t>
        </is>
      </c>
      <c r="L2222" t="inlineStr">
        <is>
          <t>96 periodos; mín 4.01, máx 81.49 €/MWh</t>
        </is>
      </c>
    </row>
    <row r="2223">
      <c r="A2223" s="53" t="n">
        <v>46052</v>
      </c>
      <c r="B2223" t="inlineStr">
        <is>
          <t>2026-01-30</t>
        </is>
      </c>
      <c r="C2223" s="45" t="n">
        <v>12.6077</v>
      </c>
      <c r="D2223" t="inlineStr">
        <is>
          <t>€/MWh</t>
        </is>
      </c>
      <c r="E2223" s="54" t="n">
        <v>0.012608</v>
      </c>
      <c r="F2223" s="54" t="n"/>
      <c r="G2223" t="inlineStr">
        <is>
          <t>no aplica (precio mayorista)</t>
        </is>
      </c>
      <c r="J2223" t="inlineStr">
        <is>
          <t>2026-01-29</t>
        </is>
      </c>
      <c r="K2223" t="inlineStr">
        <is>
          <t>marginalpdbc_20260130.1</t>
        </is>
      </c>
      <c r="L2223" t="inlineStr">
        <is>
          <t>96 periodos; mín 0.50, máx 38.40 €/MWh</t>
        </is>
      </c>
    </row>
    <row r="2224">
      <c r="A2224" s="53" t="n">
        <v>46053</v>
      </c>
      <c r="B2224" t="inlineStr">
        <is>
          <t>2026-01-31</t>
        </is>
      </c>
      <c r="C2224" s="45" t="n">
        <v>5.5676</v>
      </c>
      <c r="D2224" t="inlineStr">
        <is>
          <t>€/MWh</t>
        </is>
      </c>
      <c r="E2224" s="54" t="n">
        <v>0.005568</v>
      </c>
      <c r="F2224" s="54" t="n"/>
      <c r="G2224" t="inlineStr">
        <is>
          <t>no aplica (precio mayorista)</t>
        </is>
      </c>
      <c r="J2224" t="inlineStr">
        <is>
          <t>2026-01-30</t>
        </is>
      </c>
      <c r="K2224" t="inlineStr">
        <is>
          <t>marginalpdbc_20260131.1</t>
        </is>
      </c>
      <c r="L2224" t="inlineStr">
        <is>
          <t>96 periodos; mín -0.50, máx 35.00 €/MWh</t>
        </is>
      </c>
    </row>
    <row r="2225">
      <c r="A2225" s="53" t="n">
        <v>46054</v>
      </c>
      <c r="B2225" t="inlineStr">
        <is>
          <t>2026-02-01</t>
        </is>
      </c>
      <c r="C2225" s="45" t="n">
        <v>24.5756</v>
      </c>
      <c r="D2225" t="inlineStr">
        <is>
          <t>€/MWh</t>
        </is>
      </c>
      <c r="E2225" s="54" t="n">
        <v>0.024576</v>
      </c>
      <c r="F2225" s="54" t="n"/>
      <c r="G2225" t="inlineStr">
        <is>
          <t>no aplica (precio mayorista)</t>
        </is>
      </c>
      <c r="J2225" t="inlineStr">
        <is>
          <t>2026-01-31</t>
        </is>
      </c>
      <c r="K2225" t="inlineStr">
        <is>
          <t>marginalpdbc_20260201.1</t>
        </is>
      </c>
      <c r="L2225" t="inlineStr">
        <is>
          <t>96 periodos; mín 0.09, máx 131.80 €/MWh</t>
        </is>
      </c>
    </row>
    <row r="2226">
      <c r="A2226" s="53" t="n">
        <v>46055</v>
      </c>
      <c r="B2226" t="inlineStr">
        <is>
          <t>2026-02-02</t>
        </is>
      </c>
      <c r="C2226" s="45" t="n">
        <v>13.8341</v>
      </c>
      <c r="D2226" t="inlineStr">
        <is>
          <t>€/MWh</t>
        </is>
      </c>
      <c r="E2226" s="54" t="n">
        <v>0.013834</v>
      </c>
      <c r="F2226" s="54" t="n"/>
      <c r="G2226" t="inlineStr">
        <is>
          <t>no aplica (precio mayorista)</t>
        </is>
      </c>
      <c r="J2226" t="inlineStr">
        <is>
          <t>2026-02-01</t>
        </is>
      </c>
      <c r="K2226" t="inlineStr">
        <is>
          <t>marginalpdbc_20260202.1</t>
        </is>
      </c>
      <c r="L2226" t="inlineStr">
        <is>
          <t>96 periodos; mín 0.00, máx 54.72 €/MWh</t>
        </is>
      </c>
    </row>
    <row r="2227">
      <c r="A2227" s="53" t="n">
        <v>46056</v>
      </c>
      <c r="B2227" t="inlineStr">
        <is>
          <t>2026-02-03</t>
        </is>
      </c>
      <c r="C2227" s="45" t="n">
        <v>32.7418</v>
      </c>
      <c r="D2227" t="inlineStr">
        <is>
          <t>€/MWh</t>
        </is>
      </c>
      <c r="E2227" s="54" t="n">
        <v>0.032742</v>
      </c>
      <c r="F2227" s="54" t="n"/>
      <c r="G2227" t="inlineStr">
        <is>
          <t>no aplica (precio mayorista)</t>
        </is>
      </c>
      <c r="J2227" t="inlineStr">
        <is>
          <t>2026-02-02</t>
        </is>
      </c>
      <c r="K2227" t="inlineStr">
        <is>
          <t>marginalpdbc_20260203.1</t>
        </is>
      </c>
      <c r="L2227" t="inlineStr">
        <is>
          <t>96 periodos; mín 0.00, máx 127.71 €/MWh</t>
        </is>
      </c>
    </row>
    <row r="2228">
      <c r="A2228" s="53" t="n">
        <v>46057</v>
      </c>
      <c r="B2228" t="inlineStr">
        <is>
          <t>2026-02-04</t>
        </is>
      </c>
      <c r="C2228" s="45" t="n">
        <v>17.2195</v>
      </c>
      <c r="D2228" t="inlineStr">
        <is>
          <t>€/MWh</t>
        </is>
      </c>
      <c r="E2228" s="54" t="n">
        <v>0.017219</v>
      </c>
      <c r="F2228" s="54" t="n"/>
      <c r="G2228" t="inlineStr">
        <is>
          <t>no aplica (precio mayorista)</t>
        </is>
      </c>
      <c r="J2228" t="inlineStr">
        <is>
          <t>2026-02-03</t>
        </is>
      </c>
      <c r="K2228" t="inlineStr">
        <is>
          <t>marginalpdbc_20260204.1</t>
        </is>
      </c>
      <c r="L2228" t="inlineStr">
        <is>
          <t>96 periodos; mín 0.16, máx 65.10 €/MWh</t>
        </is>
      </c>
    </row>
    <row r="2229">
      <c r="A2229" s="53" t="n">
        <v>46058</v>
      </c>
      <c r="B2229" t="inlineStr">
        <is>
          <t>2026-02-05</t>
        </is>
      </c>
      <c r="C2229" s="45" t="n">
        <v>6.3039</v>
      </c>
      <c r="D2229" t="inlineStr">
        <is>
          <t>€/MWh</t>
        </is>
      </c>
      <c r="E2229" s="54" t="n">
        <v>0.006304</v>
      </c>
      <c r="F2229" s="54" t="n"/>
      <c r="G2229" t="inlineStr">
        <is>
          <t>no aplica (precio mayorista)</t>
        </is>
      </c>
      <c r="J2229" t="inlineStr">
        <is>
          <t>2026-02-04</t>
        </is>
      </c>
      <c r="K2229" t="inlineStr">
        <is>
          <t>marginalpdbc_20260205.1</t>
        </is>
      </c>
      <c r="L2229" t="inlineStr">
        <is>
          <t>96 periodos; mín -0.10, máx 35.02 €/MWh</t>
        </is>
      </c>
    </row>
    <row r="2230">
      <c r="A2230" s="53" t="n">
        <v>46059</v>
      </c>
      <c r="B2230" t="inlineStr">
        <is>
          <t>2026-02-06</t>
        </is>
      </c>
      <c r="C2230" s="45" t="n">
        <v>9.3919</v>
      </c>
      <c r="D2230" t="inlineStr">
        <is>
          <t>€/MWh</t>
        </is>
      </c>
      <c r="E2230" s="54" t="n">
        <v>0.009391999999999999</v>
      </c>
      <c r="F2230" s="54" t="n"/>
      <c r="G2230" t="inlineStr">
        <is>
          <t>no aplica (precio mayorista)</t>
        </is>
      </c>
      <c r="J2230" t="inlineStr">
        <is>
          <t>2026-02-05</t>
        </is>
      </c>
      <c r="K2230" t="inlineStr">
        <is>
          <t>marginalpdbc_20260206.1</t>
        </is>
      </c>
      <c r="L2230" t="inlineStr">
        <is>
          <t>96 periodos; mín -0.15, máx 60.00 €/MWh</t>
        </is>
      </c>
    </row>
    <row r="2231">
      <c r="A2231" s="53" t="n">
        <v>46060</v>
      </c>
      <c r="B2231" t="inlineStr">
        <is>
          <t>2026-02-07</t>
        </is>
      </c>
      <c r="C2231" s="45" t="n">
        <v>6.8548</v>
      </c>
      <c r="D2231" t="inlineStr">
        <is>
          <t>€/MWh</t>
        </is>
      </c>
      <c r="E2231" s="54" t="n">
        <v>0.006855</v>
      </c>
      <c r="F2231" s="54" t="n"/>
      <c r="G2231" t="inlineStr">
        <is>
          <t>no aplica (precio mayorista)</t>
        </is>
      </c>
      <c r="J2231" t="inlineStr">
        <is>
          <t>2026-02-06</t>
        </is>
      </c>
      <c r="K2231" t="inlineStr">
        <is>
          <t>marginalpdbc_20260207.1</t>
        </is>
      </c>
      <c r="L2231" t="inlineStr">
        <is>
          <t>96 periodos; mín -0.17, máx 36.58 €/MWh</t>
        </is>
      </c>
    </row>
    <row r="2232">
      <c r="A2232" s="53" t="n">
        <v>46061</v>
      </c>
      <c r="B2232" t="inlineStr">
        <is>
          <t>2026-02-08</t>
        </is>
      </c>
      <c r="C2232" s="45" t="n">
        <v>5.9243</v>
      </c>
      <c r="D2232" t="inlineStr">
        <is>
          <t>€/MWh</t>
        </is>
      </c>
      <c r="E2232" s="54" t="n">
        <v>0.005924</v>
      </c>
      <c r="F2232" s="54" t="n"/>
      <c r="G2232" t="inlineStr">
        <is>
          <t>no aplica (precio mayorista)</t>
        </is>
      </c>
      <c r="J2232" t="inlineStr">
        <is>
          <t>2026-02-07</t>
        </is>
      </c>
      <c r="K2232" t="inlineStr">
        <is>
          <t>marginalpdbc_20260208.1</t>
        </is>
      </c>
      <c r="L2232" t="inlineStr">
        <is>
          <t>96 periodos; mín -2.51, máx 53.00 €/MWh</t>
        </is>
      </c>
    </row>
    <row r="2233">
      <c r="A2233" s="53" t="n">
        <v>46062</v>
      </c>
      <c r="B2233" t="inlineStr">
        <is>
          <t>2026-02-09</t>
        </is>
      </c>
      <c r="C2233" s="45" t="n">
        <v>20.951</v>
      </c>
      <c r="D2233" t="inlineStr">
        <is>
          <t>€/MWh</t>
        </is>
      </c>
      <c r="E2233" s="54" t="n">
        <v>0.020951</v>
      </c>
      <c r="F2233" s="54" t="n"/>
      <c r="G2233" t="inlineStr">
        <is>
          <t>no aplica (precio mayorista)</t>
        </is>
      </c>
      <c r="J2233" t="inlineStr">
        <is>
          <t>2026-02-08</t>
        </is>
      </c>
      <c r="K2233" t="inlineStr">
        <is>
          <t>marginalpdbc_20260209.1</t>
        </is>
      </c>
      <c r="L2233" t="inlineStr">
        <is>
          <t>96 periodos; mín -0.03, máx 99.99 €/MWh</t>
        </is>
      </c>
    </row>
    <row r="2234">
      <c r="A2234" s="53" t="n">
        <v>46063</v>
      </c>
      <c r="B2234" t="inlineStr">
        <is>
          <t>2026-02-10</t>
        </is>
      </c>
      <c r="C2234" s="45" t="n">
        <v>4.6947</v>
      </c>
      <c r="D2234" t="inlineStr">
        <is>
          <t>€/MWh</t>
        </is>
      </c>
      <c r="E2234" s="54" t="n">
        <v>0.004695</v>
      </c>
      <c r="F2234" s="54" t="n"/>
      <c r="G2234" t="inlineStr">
        <is>
          <t>no aplica (precio mayorista)</t>
        </is>
      </c>
      <c r="J2234" t="inlineStr">
        <is>
          <t>2026-02-09</t>
        </is>
      </c>
      <c r="K2234" t="inlineStr">
        <is>
          <t>marginalpdbc_20260210.1</t>
        </is>
      </c>
      <c r="L2234" t="inlineStr">
        <is>
          <t>96 periodos; mín 0.00, máx 35.00 €/MWh</t>
        </is>
      </c>
    </row>
    <row r="2235">
      <c r="A2235" s="53" t="n">
        <v>46064</v>
      </c>
      <c r="B2235" t="inlineStr">
        <is>
          <t>2026-02-11</t>
        </is>
      </c>
      <c r="C2235" s="45" t="n">
        <v>4.2279</v>
      </c>
      <c r="D2235" t="inlineStr">
        <is>
          <t>€/MWh</t>
        </is>
      </c>
      <c r="E2235" s="54" t="n">
        <v>0.004228</v>
      </c>
      <c r="F2235" s="54" t="n"/>
      <c r="G2235" t="inlineStr">
        <is>
          <t>no aplica (precio mayorista)</t>
        </is>
      </c>
      <c r="J2235" t="inlineStr">
        <is>
          <t>2026-02-10</t>
        </is>
      </c>
      <c r="K2235" t="inlineStr">
        <is>
          <t>marginalpdbc_20260211.1</t>
        </is>
      </c>
      <c r="L2235" t="inlineStr">
        <is>
          <t>96 periodos; mín -0.42, máx 35.00 €/MWh</t>
        </is>
      </c>
    </row>
    <row r="2236">
      <c r="A2236" s="53" t="n">
        <v>46065</v>
      </c>
      <c r="B2236" t="inlineStr">
        <is>
          <t>2026-02-12</t>
        </is>
      </c>
      <c r="C2236" s="45" t="n">
        <v>5.7013</v>
      </c>
      <c r="D2236" t="inlineStr">
        <is>
          <t>€/MWh</t>
        </is>
      </c>
      <c r="E2236" s="54" t="n">
        <v>0.005701</v>
      </c>
      <c r="F2236" s="54" t="n"/>
      <c r="G2236" t="inlineStr">
        <is>
          <t>no aplica (precio mayorista)</t>
        </is>
      </c>
      <c r="J2236" t="inlineStr">
        <is>
          <t>2026-02-11</t>
        </is>
      </c>
      <c r="K2236" t="inlineStr">
        <is>
          <t>marginalpdbc_20260212.1</t>
        </is>
      </c>
      <c r="L2236" t="inlineStr">
        <is>
          <t>96 periodos; mín -1.00, máx 35.01 €/MWh</t>
        </is>
      </c>
    </row>
    <row r="2237">
      <c r="A2237" s="53" t="n">
        <v>46066</v>
      </c>
      <c r="B2237" t="inlineStr">
        <is>
          <t>2026-02-13</t>
        </is>
      </c>
      <c r="C2237" s="45" t="n">
        <v>4.4164</v>
      </c>
      <c r="D2237" t="inlineStr">
        <is>
          <t>€/MWh</t>
        </is>
      </c>
      <c r="E2237" s="54" t="n">
        <v>0.004416</v>
      </c>
      <c r="F2237" s="54" t="n"/>
      <c r="G2237" t="inlineStr">
        <is>
          <t>no aplica (precio mayorista)</t>
        </is>
      </c>
      <c r="J2237" t="inlineStr">
        <is>
          <t>2026-02-12</t>
        </is>
      </c>
      <c r="K2237" t="inlineStr">
        <is>
          <t>marginalpdbc_20260213.1</t>
        </is>
      </c>
      <c r="L2237" t="inlineStr">
        <is>
          <t>96 periodos; mín -0.04, máx 35.00 €/MWh</t>
        </is>
      </c>
    </row>
    <row r="2238">
      <c r="A2238" s="53" t="n">
        <v>46067</v>
      </c>
      <c r="B2238" t="inlineStr">
        <is>
          <t>2026-02-14</t>
        </is>
      </c>
      <c r="C2238" s="45" t="n">
        <v>2.13</v>
      </c>
      <c r="D2238" t="inlineStr">
        <is>
          <t>€/MWh</t>
        </is>
      </c>
      <c r="E2238" s="54" t="n">
        <v>0.00213</v>
      </c>
      <c r="F2238" s="54" t="n"/>
      <c r="G2238" t="inlineStr">
        <is>
          <t>no aplica (precio mayorista)</t>
        </is>
      </c>
      <c r="J2238" t="inlineStr">
        <is>
          <t>2026-02-13</t>
        </is>
      </c>
      <c r="K2238" t="inlineStr">
        <is>
          <t>marginalpdbc_20260214.1</t>
        </is>
      </c>
      <c r="L2238" t="inlineStr">
        <is>
          <t>96 periodos; mín -4.00, máx 22.00 €/MWh</t>
        </is>
      </c>
    </row>
    <row r="2239">
      <c r="A2239" s="53" t="n">
        <v>46068</v>
      </c>
      <c r="B2239" t="inlineStr">
        <is>
          <t>2026-02-15</t>
        </is>
      </c>
      <c r="C2239" s="45" t="n">
        <v>1.5535</v>
      </c>
      <c r="D2239" t="inlineStr">
        <is>
          <t>€/MWh</t>
        </is>
      </c>
      <c r="E2239" s="54" t="n">
        <v>0.001554</v>
      </c>
      <c r="F2239" s="54" t="n"/>
      <c r="G2239" t="inlineStr">
        <is>
          <t>no aplica (precio mayorista)</t>
        </is>
      </c>
      <c r="J2239" t="inlineStr">
        <is>
          <t>2026-02-14</t>
        </is>
      </c>
      <c r="K2239" t="inlineStr">
        <is>
          <t>marginalpdbc_20260215.1</t>
        </is>
      </c>
      <c r="L2239" t="inlineStr">
        <is>
          <t>96 periodos; mín -2.51, máx 15.37 €/MWh</t>
        </is>
      </c>
    </row>
    <row r="2240">
      <c r="A2240" s="53" t="n">
        <v>46069</v>
      </c>
      <c r="B2240" t="inlineStr">
        <is>
          <t>2026-02-16</t>
        </is>
      </c>
      <c r="C2240" s="45" t="n">
        <v>4.4013</v>
      </c>
      <c r="D2240" t="inlineStr">
        <is>
          <t>€/MWh</t>
        </is>
      </c>
      <c r="E2240" s="54" t="n">
        <v>0.004401</v>
      </c>
      <c r="F2240" s="54" t="n"/>
      <c r="G2240" t="inlineStr">
        <is>
          <t>no aplica (precio mayorista)</t>
        </is>
      </c>
      <c r="J2240" t="inlineStr">
        <is>
          <t>2026-02-15</t>
        </is>
      </c>
      <c r="K2240" t="inlineStr">
        <is>
          <t>marginalpdbc_20260216.1</t>
        </is>
      </c>
      <c r="L2240" t="inlineStr">
        <is>
          <t>96 periodos; mín -0.04, máx 27.55 €/MWh</t>
        </is>
      </c>
    </row>
    <row r="2241">
      <c r="A2241" s="53" t="n">
        <v>46070</v>
      </c>
      <c r="B2241" t="inlineStr">
        <is>
          <t>2026-02-17</t>
        </is>
      </c>
      <c r="C2241" s="45" t="n">
        <v>26.7819</v>
      </c>
      <c r="D2241" t="inlineStr">
        <is>
          <t>€/MWh</t>
        </is>
      </c>
      <c r="E2241" s="54" t="n">
        <v>0.026782</v>
      </c>
      <c r="F2241" s="54" t="n"/>
      <c r="G2241" t="inlineStr">
        <is>
          <t>no aplica (precio mayorista)</t>
        </is>
      </c>
      <c r="J2241" t="inlineStr">
        <is>
          <t>2026-02-16</t>
        </is>
      </c>
      <c r="K2241" t="inlineStr">
        <is>
          <t>marginalpdbc_20260217.1</t>
        </is>
      </c>
      <c r="L2241" t="inlineStr">
        <is>
          <t>96 periodos; mín -0.01, máx 135.77 €/MWh</t>
        </is>
      </c>
    </row>
    <row r="2242">
      <c r="A2242" s="53" t="n">
        <v>46071</v>
      </c>
      <c r="B2242" t="inlineStr">
        <is>
          <t>2026-02-18</t>
        </is>
      </c>
      <c r="C2242" s="45" t="n">
        <v>18.2438</v>
      </c>
      <c r="D2242" t="inlineStr">
        <is>
          <t>€/MWh</t>
        </is>
      </c>
      <c r="E2242" s="54" t="n">
        <v>0.018244</v>
      </c>
      <c r="F2242" s="54" t="n"/>
      <c r="G2242" t="inlineStr">
        <is>
          <t>no aplica (precio mayorista)</t>
        </is>
      </c>
      <c r="J2242" t="inlineStr">
        <is>
          <t>2026-02-17</t>
        </is>
      </c>
      <c r="K2242" t="inlineStr">
        <is>
          <t>marginalpdbc_20260218.1</t>
        </is>
      </c>
      <c r="L2242" t="inlineStr">
        <is>
          <t>96 periodos; mín 0.00, máx 90.00 €/MWh</t>
        </is>
      </c>
    </row>
    <row r="2243">
      <c r="A2243" s="53" t="n">
        <v>46072</v>
      </c>
      <c r="B2243" t="inlineStr">
        <is>
          <t>2026-02-19</t>
        </is>
      </c>
      <c r="C2243" s="45" t="n">
        <v>14.8702</v>
      </c>
      <c r="D2243" t="inlineStr">
        <is>
          <t>€/MWh</t>
        </is>
      </c>
      <c r="E2243" s="54" t="n">
        <v>0.01487</v>
      </c>
      <c r="F2243" s="54" t="n"/>
      <c r="G2243" t="inlineStr">
        <is>
          <t>no aplica (precio mayorista)</t>
        </is>
      </c>
      <c r="J2243" t="inlineStr">
        <is>
          <t>2026-02-18</t>
        </is>
      </c>
      <c r="K2243" t="inlineStr">
        <is>
          <t>marginalpdbc_20260219.1</t>
        </is>
      </c>
      <c r="L2243" t="inlineStr">
        <is>
          <t>96 periodos; mín -0.81, máx 87.97 €/MWh</t>
        </is>
      </c>
    </row>
    <row r="2244">
      <c r="A2244" s="53" t="n">
        <v>46073</v>
      </c>
      <c r="B2244" t="inlineStr">
        <is>
          <t>2026-02-20</t>
        </is>
      </c>
      <c r="C2244" s="45" t="n">
        <v>28.3821</v>
      </c>
      <c r="D2244" t="inlineStr">
        <is>
          <t>€/MWh</t>
        </is>
      </c>
      <c r="E2244" s="54" t="n">
        <v>0.028382</v>
      </c>
      <c r="F2244" s="54" t="n"/>
      <c r="G2244" t="inlineStr">
        <is>
          <t>no aplica (precio mayorista)</t>
        </is>
      </c>
      <c r="J2244" t="inlineStr">
        <is>
          <t>2026-02-19</t>
        </is>
      </c>
      <c r="K2244" t="inlineStr">
        <is>
          <t>marginalpdbc_20260220.1</t>
        </is>
      </c>
      <c r="L2244" t="inlineStr">
        <is>
          <t>96 periodos; mín -1.00, máx 102.66 €/MWh</t>
        </is>
      </c>
    </row>
    <row r="2245">
      <c r="A2245" s="53" t="n">
        <v>46074</v>
      </c>
      <c r="B2245" t="inlineStr">
        <is>
          <t>2026-02-21</t>
        </is>
      </c>
      <c r="C2245" s="45" t="n">
        <v>29.1054</v>
      </c>
      <c r="D2245" t="inlineStr">
        <is>
          <t>€/MWh</t>
        </is>
      </c>
      <c r="E2245" s="54" t="n">
        <v>0.029105</v>
      </c>
      <c r="F2245" s="54" t="n"/>
      <c r="G2245" t="inlineStr">
        <is>
          <t>no aplica (precio mayorista)</t>
        </is>
      </c>
      <c r="J2245" t="inlineStr">
        <is>
          <t>2026-02-20</t>
        </is>
      </c>
      <c r="K2245" t="inlineStr">
        <is>
          <t>marginalpdbc_20260221.1</t>
        </is>
      </c>
      <c r="L2245" t="inlineStr">
        <is>
          <t>96 periodos; mín -0.01, máx 102.17 €/MWh</t>
        </is>
      </c>
    </row>
    <row r="2246">
      <c r="A2246" s="53" t="n">
        <v>46075</v>
      </c>
      <c r="B2246" t="inlineStr">
        <is>
          <t>2026-02-22</t>
        </is>
      </c>
      <c r="C2246" s="45" t="n">
        <v>22.2102</v>
      </c>
      <c r="D2246" t="inlineStr">
        <is>
          <t>€/MWh</t>
        </is>
      </c>
      <c r="E2246" s="54" t="n">
        <v>0.02221</v>
      </c>
      <c r="F2246" s="54" t="n"/>
      <c r="G2246" t="inlineStr">
        <is>
          <t>no aplica (precio mayorista)</t>
        </is>
      </c>
      <c r="J2246" t="inlineStr">
        <is>
          <t>2026-02-21</t>
        </is>
      </c>
      <c r="K2246" t="inlineStr">
        <is>
          <t>marginalpdbc_20260222.1</t>
        </is>
      </c>
      <c r="L2246" t="inlineStr">
        <is>
          <t>96 periodos; mín -1.00, máx 99.57 €/MWh</t>
        </is>
      </c>
    </row>
    <row r="2247">
      <c r="A2247" s="53" t="n">
        <v>46076</v>
      </c>
      <c r="B2247" t="inlineStr">
        <is>
          <t>2026-02-23</t>
        </is>
      </c>
      <c r="C2247" s="45" t="n">
        <v>34.8247</v>
      </c>
      <c r="D2247" t="inlineStr">
        <is>
          <t>€/MWh</t>
        </is>
      </c>
      <c r="E2247" s="54" t="n">
        <v>0.034825</v>
      </c>
      <c r="F2247" s="54" t="n"/>
      <c r="G2247" t="inlineStr">
        <is>
          <t>no aplica (precio mayorista)</t>
        </is>
      </c>
      <c r="J2247" t="inlineStr">
        <is>
          <t>2026-02-22</t>
        </is>
      </c>
      <c r="K2247" t="inlineStr">
        <is>
          <t>marginalpdbc_20260223.1</t>
        </is>
      </c>
      <c r="L2247" t="inlineStr">
        <is>
          <t>96 periodos; mín -1.50, máx 187.10 €/MWh</t>
        </is>
      </c>
    </row>
    <row r="2248">
      <c r="A2248" s="53" t="n">
        <v>46077</v>
      </c>
      <c r="B2248" t="inlineStr">
        <is>
          <t>2026-02-24</t>
        </is>
      </c>
      <c r="C2248" s="45" t="n">
        <v>28.2465</v>
      </c>
      <c r="D2248" t="inlineStr">
        <is>
          <t>€/MWh</t>
        </is>
      </c>
      <c r="E2248" s="54" t="n">
        <v>0.028246</v>
      </c>
      <c r="F2248" s="54" t="n"/>
      <c r="G2248" t="inlineStr">
        <is>
          <t>no aplica (precio mayorista)</t>
        </is>
      </c>
      <c r="J2248" t="inlineStr">
        <is>
          <t>2026-02-23</t>
        </is>
      </c>
      <c r="K2248" t="inlineStr">
        <is>
          <t>marginalpdbc_20260224.1</t>
        </is>
      </c>
      <c r="L2248" t="inlineStr">
        <is>
          <t>96 periodos; mín -0.99, máx 105.07 €/MWh</t>
        </is>
      </c>
    </row>
    <row r="2249">
      <c r="A2249" s="53" t="n">
        <v>46078</v>
      </c>
      <c r="B2249" t="inlineStr">
        <is>
          <t>2026-02-25</t>
        </is>
      </c>
      <c r="C2249" s="45" t="n">
        <v>29.9043</v>
      </c>
      <c r="D2249" t="inlineStr">
        <is>
          <t>€/MWh</t>
        </is>
      </c>
      <c r="E2249" s="54" t="n">
        <v>0.029904</v>
      </c>
      <c r="F2249" s="54" t="n"/>
      <c r="G2249" t="inlineStr">
        <is>
          <t>no aplica (precio mayorista)</t>
        </is>
      </c>
      <c r="J2249" t="inlineStr">
        <is>
          <t>2026-02-24</t>
        </is>
      </c>
      <c r="K2249" t="inlineStr">
        <is>
          <t>marginalpdbc_20260225.1</t>
        </is>
      </c>
      <c r="L2249" t="inlineStr">
        <is>
          <t>96 periodos; mín -0.81, máx 113.73 €/MWh</t>
        </is>
      </c>
    </row>
    <row r="2250">
      <c r="A2250" s="53" t="n">
        <v>46079</v>
      </c>
      <c r="B2250" t="inlineStr">
        <is>
          <t>2026-02-26</t>
        </is>
      </c>
      <c r="C2250" s="45" t="n">
        <v>27.3808</v>
      </c>
      <c r="D2250" t="inlineStr">
        <is>
          <t>€/MWh</t>
        </is>
      </c>
      <c r="E2250" s="54" t="n">
        <v>0.027381</v>
      </c>
      <c r="F2250" s="54" t="n"/>
      <c r="G2250" t="inlineStr">
        <is>
          <t>no aplica (precio mayorista)</t>
        </is>
      </c>
      <c r="J2250" t="inlineStr">
        <is>
          <t>2026-02-25</t>
        </is>
      </c>
      <c r="K2250" t="inlineStr">
        <is>
          <t>marginalpdbc_20260226.1</t>
        </is>
      </c>
      <c r="L2250" t="inlineStr">
        <is>
          <t>96 periodos; mín -2.10, máx 103.02 €/MWh</t>
        </is>
      </c>
    </row>
    <row r="2251">
      <c r="A2251" s="53" t="n">
        <v>46080</v>
      </c>
      <c r="B2251" t="inlineStr">
        <is>
          <t>2026-02-27</t>
        </is>
      </c>
      <c r="C2251" s="45" t="n">
        <v>20.1007</v>
      </c>
      <c r="D2251" t="inlineStr">
        <is>
          <t>€/MWh</t>
        </is>
      </c>
      <c r="E2251" s="54" t="n">
        <v>0.020101</v>
      </c>
      <c r="F2251" s="54" t="n"/>
      <c r="G2251" t="inlineStr">
        <is>
          <t>no aplica (precio mayorista)</t>
        </is>
      </c>
      <c r="J2251" t="inlineStr">
        <is>
          <t>2026-02-26</t>
        </is>
      </c>
      <c r="K2251" t="inlineStr">
        <is>
          <t>marginalpdbc_20260227.1</t>
        </is>
      </c>
      <c r="L2251" t="inlineStr">
        <is>
          <t>96 periodos; mín -0.01, máx 75.00 €/MWh</t>
        </is>
      </c>
    </row>
    <row r="2252">
      <c r="A2252" s="53" t="n">
        <v>46081</v>
      </c>
      <c r="B2252" t="inlineStr">
        <is>
          <t>2026-02-28</t>
        </is>
      </c>
      <c r="C2252" s="45" t="n">
        <v>14.5015</v>
      </c>
      <c r="D2252" t="inlineStr">
        <is>
          <t>€/MWh</t>
        </is>
      </c>
      <c r="E2252" s="54" t="n">
        <v>0.014501</v>
      </c>
      <c r="F2252" s="54" t="n"/>
      <c r="G2252" t="inlineStr">
        <is>
          <t>no aplica (precio mayorista)</t>
        </is>
      </c>
      <c r="J2252" t="inlineStr">
        <is>
          <t>2026-02-27</t>
        </is>
      </c>
      <c r="K2252" t="inlineStr">
        <is>
          <t>marginalpdbc_20260228.1</t>
        </is>
      </c>
      <c r="L2252" t="inlineStr">
        <is>
          <t>96 periodos; mín -0.06, máx 82.01 €/MWh</t>
        </is>
      </c>
    </row>
    <row r="2253">
      <c r="A2253" s="53" t="n">
        <v>46082</v>
      </c>
      <c r="B2253" t="inlineStr">
        <is>
          <t>2026-03-01</t>
        </is>
      </c>
      <c r="C2253" s="45" t="n">
        <v>14.9996</v>
      </c>
      <c r="D2253" t="inlineStr">
        <is>
          <t>€/MWh</t>
        </is>
      </c>
      <c r="E2253" s="54" t="n">
        <v>0.015</v>
      </c>
      <c r="F2253" s="54" t="n"/>
      <c r="G2253" t="inlineStr">
        <is>
          <t>no aplica (precio mayorista)</t>
        </is>
      </c>
      <c r="J2253" t="inlineStr">
        <is>
          <t>2026-02-28</t>
        </is>
      </c>
      <c r="K2253" t="inlineStr">
        <is>
          <t>marginalpdbc_20260301.1</t>
        </is>
      </c>
      <c r="L2253" t="inlineStr">
        <is>
          <t>96 periodos; mín -2.10, máx 35.02 €/MWh</t>
        </is>
      </c>
    </row>
    <row r="2254">
      <c r="A2254" s="53" t="n">
        <v>46083</v>
      </c>
      <c r="B2254" t="inlineStr">
        <is>
          <t>2026-03-02</t>
        </is>
      </c>
      <c r="C2254" s="45" t="n">
        <v>18.362</v>
      </c>
      <c r="D2254" t="inlineStr">
        <is>
          <t>€/MWh</t>
        </is>
      </c>
      <c r="E2254" s="54" t="n">
        <v>0.018362</v>
      </c>
      <c r="F2254" s="54" t="n"/>
      <c r="G2254" t="inlineStr">
        <is>
          <t>no aplica (precio mayorista)</t>
        </is>
      </c>
      <c r="J2254" t="inlineStr">
        <is>
          <t>2026-03-01</t>
        </is>
      </c>
      <c r="K2254" t="inlineStr">
        <is>
          <t>marginalpdbc_20260302.1</t>
        </is>
      </c>
      <c r="L2254" t="inlineStr">
        <is>
          <t>96 periodos; mín 0.00, máx 88.75 €/MWh</t>
        </is>
      </c>
    </row>
    <row r="2255">
      <c r="A2255" s="53" t="n">
        <v>46084</v>
      </c>
      <c r="B2255" t="inlineStr">
        <is>
          <t>2026-03-03</t>
        </is>
      </c>
      <c r="C2255" s="45" t="n">
        <v>28.4304</v>
      </c>
      <c r="D2255" t="inlineStr">
        <is>
          <t>€/MWh</t>
        </is>
      </c>
      <c r="E2255" s="54" t="n">
        <v>0.02843</v>
      </c>
      <c r="F2255" s="54" t="n"/>
      <c r="G2255" t="inlineStr">
        <is>
          <t>no aplica (precio mayorista)</t>
        </is>
      </c>
      <c r="J2255" t="inlineStr">
        <is>
          <t>2026-03-02</t>
        </is>
      </c>
      <c r="K2255" t="inlineStr">
        <is>
          <t>marginalpdbc_20260303.1</t>
        </is>
      </c>
      <c r="L2255" t="inlineStr">
        <is>
          <t>96 periodos; mín 0.91, máx 106.60 €/MWh</t>
        </is>
      </c>
    </row>
    <row r="2256">
      <c r="A2256" s="53" t="n">
        <v>46085</v>
      </c>
      <c r="B2256" t="inlineStr">
        <is>
          <t>2026-03-04</t>
        </is>
      </c>
      <c r="C2256" s="45" t="n">
        <v>56.5085</v>
      </c>
      <c r="D2256" t="inlineStr">
        <is>
          <t>€/MWh</t>
        </is>
      </c>
      <c r="E2256" s="54" t="n">
        <v>0.056509</v>
      </c>
      <c r="F2256" s="54" t="n"/>
      <c r="G2256" t="inlineStr">
        <is>
          <t>no aplica (precio mayorista)</t>
        </is>
      </c>
      <c r="J2256" t="inlineStr">
        <is>
          <t>2026-03-03</t>
        </is>
      </c>
      <c r="K2256" t="inlineStr">
        <is>
          <t>marginalpdbc_20260304.1</t>
        </is>
      </c>
      <c r="L2256" t="inlineStr">
        <is>
          <t>96 periodos; mín 5.00, máx 186.56 €/MWh</t>
        </is>
      </c>
    </row>
    <row r="2257">
      <c r="A2257" s="53" t="n">
        <v>46086</v>
      </c>
      <c r="B2257" t="inlineStr">
        <is>
          <t>2026-03-05</t>
        </is>
      </c>
      <c r="C2257" s="45" t="n">
        <v>90.1357</v>
      </c>
      <c r="D2257" t="inlineStr">
        <is>
          <t>€/MWh</t>
        </is>
      </c>
      <c r="E2257" s="54" t="n">
        <v>0.09013599999999999</v>
      </c>
      <c r="F2257" s="54" t="n"/>
      <c r="G2257" t="inlineStr">
        <is>
          <t>no aplica (precio mayorista)</t>
        </is>
      </c>
      <c r="J2257" t="inlineStr">
        <is>
          <t>2026-03-04</t>
        </is>
      </c>
      <c r="K2257" t="inlineStr">
        <is>
          <t>marginalpdbc_20260305.1</t>
        </is>
      </c>
      <c r="L2257" t="inlineStr">
        <is>
          <t>96 periodos; mín 36.24, máx 176.43 €/MWh</t>
        </is>
      </c>
    </row>
    <row r="2258">
      <c r="A2258" s="53" t="n">
        <v>46087</v>
      </c>
      <c r="B2258" t="inlineStr">
        <is>
          <t>2026-03-06</t>
        </is>
      </c>
      <c r="C2258" s="45" t="n">
        <v>63.2402</v>
      </c>
      <c r="D2258" t="inlineStr">
        <is>
          <t>€/MWh</t>
        </is>
      </c>
      <c r="E2258" s="54" t="n">
        <v>0.06324</v>
      </c>
      <c r="F2258" s="54" t="n"/>
      <c r="G2258" t="inlineStr">
        <is>
          <t>no aplica (precio mayorista)</t>
        </is>
      </c>
      <c r="J2258" t="inlineStr">
        <is>
          <t>2026-03-05</t>
        </is>
      </c>
      <c r="K2258" t="inlineStr">
        <is>
          <t>marginalpdbc_20260306.1</t>
        </is>
      </c>
      <c r="L2258" t="inlineStr">
        <is>
          <t>96 periodos; mín 34.65, máx 102.33 €/MWh</t>
        </is>
      </c>
    </row>
    <row r="2259">
      <c r="A2259" s="53" t="n">
        <v>46088</v>
      </c>
      <c r="B2259" t="inlineStr">
        <is>
          <t>2026-03-07</t>
        </is>
      </c>
      <c r="C2259" s="45" t="n">
        <v>62.5698</v>
      </c>
      <c r="D2259" t="inlineStr">
        <is>
          <t>€/MWh</t>
        </is>
      </c>
      <c r="E2259" s="54" t="n">
        <v>0.06257</v>
      </c>
      <c r="F2259" s="54" t="n"/>
      <c r="G2259" t="inlineStr">
        <is>
          <t>no aplica (precio mayorista)</t>
        </is>
      </c>
      <c r="J2259" t="inlineStr">
        <is>
          <t>2026-03-06</t>
        </is>
      </c>
      <c r="K2259" t="inlineStr">
        <is>
          <t>marginalpdbc_20260307.1</t>
        </is>
      </c>
      <c r="L2259" t="inlineStr">
        <is>
          <t>96 periodos; mín 3.78, máx 140.33 €/MWh</t>
        </is>
      </c>
    </row>
    <row r="2260">
      <c r="A2260" s="53" t="n">
        <v>46089</v>
      </c>
      <c r="B2260" t="inlineStr">
        <is>
          <t>2026-03-08</t>
        </is>
      </c>
      <c r="C2260" s="45" t="n">
        <v>78.6865</v>
      </c>
      <c r="D2260" t="inlineStr">
        <is>
          <t>€/MWh</t>
        </is>
      </c>
      <c r="E2260" s="54" t="n">
        <v>0.07868600000000001</v>
      </c>
      <c r="F2260" s="54" t="n"/>
      <c r="G2260" t="inlineStr">
        <is>
          <t>no aplica (precio mayorista)</t>
        </is>
      </c>
      <c r="J2260" t="inlineStr">
        <is>
          <t>2026-03-07</t>
        </is>
      </c>
      <c r="K2260" t="inlineStr">
        <is>
          <t>marginalpdbc_20260308.1</t>
        </is>
      </c>
      <c r="L2260" t="inlineStr">
        <is>
          <t>96 periodos; mín 11.03, máx 170.79 €/MWh</t>
        </is>
      </c>
    </row>
    <row r="2261">
      <c r="A2261" s="53" t="n">
        <v>46090</v>
      </c>
      <c r="B2261" t="inlineStr">
        <is>
          <t>2026-03-09</t>
        </is>
      </c>
      <c r="C2261" s="45" t="n">
        <v>119.4226</v>
      </c>
      <c r="D2261" t="inlineStr">
        <is>
          <t>€/MWh</t>
        </is>
      </c>
      <c r="E2261" s="54" t="n">
        <v>0.119423</v>
      </c>
      <c r="F2261" s="54" t="n"/>
      <c r="G2261" t="inlineStr">
        <is>
          <t>no aplica (precio mayorista)</t>
        </is>
      </c>
      <c r="J2261" t="inlineStr">
        <is>
          <t>2026-03-08</t>
        </is>
      </c>
      <c r="K2261" t="inlineStr">
        <is>
          <t>marginalpdbc_20260309.1</t>
        </is>
      </c>
      <c r="L2261" t="inlineStr">
        <is>
          <t>96 periodos; mín 72.35, máx 217.77 €/MWh</t>
        </is>
      </c>
    </row>
    <row r="2262">
      <c r="A2262" s="53" t="n">
        <v>46091</v>
      </c>
      <c r="B2262" t="inlineStr">
        <is>
          <t>2026-03-10</t>
        </is>
      </c>
      <c r="C2262" s="45" t="n">
        <v>136.8609</v>
      </c>
      <c r="D2262" t="inlineStr">
        <is>
          <t>€/MWh</t>
        </is>
      </c>
      <c r="E2262" s="54" t="n">
        <v>0.136861</v>
      </c>
      <c r="F2262" s="54" t="n"/>
      <c r="G2262" t="inlineStr">
        <is>
          <t>no aplica (precio mayorista)</t>
        </is>
      </c>
      <c r="J2262" t="inlineStr">
        <is>
          <t>2026-03-09</t>
        </is>
      </c>
      <c r="K2262" t="inlineStr">
        <is>
          <t>marginalpdbc_20260310.1</t>
        </is>
      </c>
      <c r="L2262" t="inlineStr">
        <is>
          <t>96 periodos; mín 94.91, máx 250.00 €/MWh</t>
        </is>
      </c>
    </row>
    <row r="2263">
      <c r="A2263" s="53" t="n">
        <v>46092</v>
      </c>
      <c r="B2263" t="inlineStr">
        <is>
          <t>2026-03-11</t>
        </is>
      </c>
      <c r="C2263" s="45" t="n">
        <v>104.0283</v>
      </c>
      <c r="D2263" t="inlineStr">
        <is>
          <t>€/MWh</t>
        </is>
      </c>
      <c r="E2263" s="54" t="n">
        <v>0.104028</v>
      </c>
      <c r="F2263" s="54" t="n"/>
      <c r="G2263" t="inlineStr">
        <is>
          <t>no aplica (precio mayorista)</t>
        </is>
      </c>
      <c r="J2263" t="inlineStr">
        <is>
          <t>2026-03-10</t>
        </is>
      </c>
      <c r="K2263" t="inlineStr">
        <is>
          <t>marginalpdbc_20260311.1</t>
        </is>
      </c>
      <c r="L2263" t="inlineStr">
        <is>
          <t>96 periodos; mín 13.00, máx 250.00 €/MWh</t>
        </is>
      </c>
    </row>
    <row r="2264">
      <c r="A2264" s="53" t="n">
        <v>46093</v>
      </c>
      <c r="B2264" t="inlineStr">
        <is>
          <t>2026-03-12</t>
        </is>
      </c>
      <c r="C2264" s="45" t="n">
        <v>71.19880000000001</v>
      </c>
      <c r="D2264" t="inlineStr">
        <is>
          <t>€/MWh</t>
        </is>
      </c>
      <c r="E2264" s="54" t="n">
        <v>0.071199</v>
      </c>
      <c r="F2264" s="54" t="n"/>
      <c r="G2264" t="inlineStr">
        <is>
          <t>no aplica (precio mayorista)</t>
        </is>
      </c>
      <c r="J2264" t="inlineStr">
        <is>
          <t>2026-03-11</t>
        </is>
      </c>
      <c r="K2264" t="inlineStr">
        <is>
          <t>marginalpdbc_20260312.1</t>
        </is>
      </c>
      <c r="L2264" t="inlineStr">
        <is>
          <t>96 periodos; mín -0.01, máx 180.00 €/MWh</t>
        </is>
      </c>
    </row>
    <row r="2265">
      <c r="A2265" s="53" t="n">
        <v>46094</v>
      </c>
      <c r="B2265" t="inlineStr">
        <is>
          <t>2026-03-13</t>
        </is>
      </c>
      <c r="C2265" s="45" t="n">
        <v>37.8857</v>
      </c>
      <c r="D2265" t="inlineStr">
        <is>
          <t>€/MWh</t>
        </is>
      </c>
      <c r="E2265" s="54" t="n">
        <v>0.037886</v>
      </c>
      <c r="F2265" s="54" t="n"/>
      <c r="G2265" t="inlineStr">
        <is>
          <t>no aplica (precio mayorista)</t>
        </is>
      </c>
      <c r="J2265" t="inlineStr">
        <is>
          <t>2026-03-12</t>
        </is>
      </c>
      <c r="K2265" t="inlineStr">
        <is>
          <t>marginalpdbc_20260313.1</t>
        </is>
      </c>
      <c r="L2265" t="inlineStr">
        <is>
          <t>96 periodos; mín -0.50, máx 100.11 €/MWh</t>
        </is>
      </c>
    </row>
    <row r="2266">
      <c r="A2266" s="53" t="n">
        <v>46095</v>
      </c>
      <c r="B2266" t="inlineStr">
        <is>
          <t>2026-03-14</t>
        </is>
      </c>
      <c r="C2266" s="45" t="n">
        <v>14.3919</v>
      </c>
      <c r="D2266" t="inlineStr">
        <is>
          <t>€/MWh</t>
        </is>
      </c>
      <c r="E2266" s="54" t="n">
        <v>0.014392</v>
      </c>
      <c r="F2266" s="54" t="n"/>
      <c r="G2266" t="inlineStr">
        <is>
          <t>no aplica (precio mayorista)</t>
        </is>
      </c>
      <c r="J2266" t="inlineStr">
        <is>
          <t>2026-03-13</t>
        </is>
      </c>
      <c r="K2266" t="inlineStr">
        <is>
          <t>marginalpdbc_20260314.1</t>
        </is>
      </c>
      <c r="L2266" t="inlineStr">
        <is>
          <t>96 periodos; mín -0.01, máx 46.16 €/MWh</t>
        </is>
      </c>
    </row>
    <row r="2267">
      <c r="A2267" s="53" t="n">
        <v>46096</v>
      </c>
      <c r="B2267" t="inlineStr">
        <is>
          <t>2026-03-15</t>
        </is>
      </c>
      <c r="C2267" s="45" t="n">
        <v>6.4436</v>
      </c>
      <c r="D2267" t="inlineStr">
        <is>
          <t>€/MWh</t>
        </is>
      </c>
      <c r="E2267" s="54" t="n">
        <v>0.006444</v>
      </c>
      <c r="F2267" s="54" t="n"/>
      <c r="G2267" t="inlineStr">
        <is>
          <t>no aplica (precio mayorista)</t>
        </is>
      </c>
      <c r="J2267" t="inlineStr">
        <is>
          <t>2026-03-14</t>
        </is>
      </c>
      <c r="K2267" t="inlineStr">
        <is>
          <t>marginalpdbc_20260315.1</t>
        </is>
      </c>
      <c r="L2267" t="inlineStr">
        <is>
          <t>96 periodos; mín -2.10, máx 35.01 €/MWh</t>
        </is>
      </c>
    </row>
    <row r="2268">
      <c r="A2268" s="53" t="n">
        <v>46097</v>
      </c>
      <c r="B2268" t="inlineStr">
        <is>
          <t>2026-03-16</t>
        </is>
      </c>
      <c r="C2268" s="45" t="n">
        <v>37.1818</v>
      </c>
      <c r="D2268" t="inlineStr">
        <is>
          <t>€/MWh</t>
        </is>
      </c>
      <c r="E2268" s="54" t="n">
        <v>0.037182</v>
      </c>
      <c r="F2268" s="54" t="n"/>
      <c r="G2268" t="inlineStr">
        <is>
          <t>no aplica (precio mayorista)</t>
        </is>
      </c>
      <c r="J2268" t="inlineStr">
        <is>
          <t>2026-03-15</t>
        </is>
      </c>
      <c r="K2268" t="inlineStr">
        <is>
          <t>marginalpdbc_20260316.1</t>
        </is>
      </c>
      <c r="L2268" t="inlineStr">
        <is>
          <t>96 periodos; mín -1.81, máx 200.00 €/MWh</t>
        </is>
      </c>
    </row>
    <row r="2269">
      <c r="A2269" s="53" t="n">
        <v>46098</v>
      </c>
      <c r="B2269" t="inlineStr">
        <is>
          <t>2026-03-17</t>
        </is>
      </c>
      <c r="C2269" s="45" t="n">
        <v>49.0498</v>
      </c>
      <c r="D2269" t="inlineStr">
        <is>
          <t>€/MWh</t>
        </is>
      </c>
      <c r="E2269" s="54" t="n">
        <v>0.04905</v>
      </c>
      <c r="F2269" s="54" t="n"/>
      <c r="G2269" t="inlineStr">
        <is>
          <t>no aplica (precio mayorista)</t>
        </is>
      </c>
      <c r="J2269" t="inlineStr">
        <is>
          <t>2026-03-16</t>
        </is>
      </c>
      <c r="K2269" t="inlineStr">
        <is>
          <t>marginalpdbc_20260317.1</t>
        </is>
      </c>
      <c r="L2269" t="inlineStr">
        <is>
          <t>96 periodos; mín -1.49, máx 146.20 €/MWh</t>
        </is>
      </c>
    </row>
    <row r="2270">
      <c r="A2270" s="53" t="n">
        <v>46099</v>
      </c>
      <c r="B2270" t="inlineStr">
        <is>
          <t>2026-03-18</t>
        </is>
      </c>
      <c r="C2270" s="45" t="n">
        <v>28.8781</v>
      </c>
      <c r="D2270" t="inlineStr">
        <is>
          <t>€/MWh</t>
        </is>
      </c>
      <c r="E2270" s="54" t="n">
        <v>0.028878</v>
      </c>
      <c r="F2270" s="54" t="n"/>
      <c r="G2270" t="inlineStr">
        <is>
          <t>no aplica (precio mayorista)</t>
        </is>
      </c>
      <c r="J2270" t="inlineStr">
        <is>
          <t>2026-03-17</t>
        </is>
      </c>
      <c r="K2270" t="inlineStr">
        <is>
          <t>marginalpdbc_20260318.1</t>
        </is>
      </c>
      <c r="L2270" t="inlineStr">
        <is>
          <t>96 periodos; mín -0.01, máx 81.29 €/MWh</t>
        </is>
      </c>
    </row>
    <row r="2271">
      <c r="A2271" s="53" t="n">
        <v>46100</v>
      </c>
      <c r="B2271" t="inlineStr">
        <is>
          <t>2026-03-19</t>
        </is>
      </c>
      <c r="C2271" s="45" t="n">
        <v>24.9531</v>
      </c>
      <c r="D2271" t="inlineStr">
        <is>
          <t>€/MWh</t>
        </is>
      </c>
      <c r="E2271" s="54" t="n">
        <v>0.024953</v>
      </c>
      <c r="F2271" s="54" t="n"/>
      <c r="G2271" t="inlineStr">
        <is>
          <t>no aplica (precio mayorista)</t>
        </is>
      </c>
      <c r="J2271" t="inlineStr">
        <is>
          <t>2026-03-18</t>
        </is>
      </c>
      <c r="K2271" t="inlineStr">
        <is>
          <t>marginalpdbc_20260319.1</t>
        </is>
      </c>
      <c r="L2271" t="inlineStr">
        <is>
          <t>96 periodos; mín -0.02, máx 90.64 €/MWh</t>
        </is>
      </c>
    </row>
    <row r="2272">
      <c r="A2272" s="53" t="n">
        <v>46101</v>
      </c>
      <c r="B2272" t="inlineStr">
        <is>
          <t>2026-03-20</t>
        </is>
      </c>
      <c r="C2272" s="45" t="n">
        <v>37.5664</v>
      </c>
      <c r="D2272" t="inlineStr">
        <is>
          <t>€/MWh</t>
        </is>
      </c>
      <c r="E2272" s="54" t="n">
        <v>0.037566</v>
      </c>
      <c r="F2272" s="54" t="n"/>
      <c r="G2272" t="inlineStr">
        <is>
          <t>no aplica (precio mayorista)</t>
        </is>
      </c>
      <c r="J2272" t="inlineStr">
        <is>
          <t>2026-03-19</t>
        </is>
      </c>
      <c r="K2272" t="inlineStr">
        <is>
          <t>marginalpdbc_20260320.1</t>
        </is>
      </c>
      <c r="L2272" t="inlineStr">
        <is>
          <t>96 periodos; mín 1.00, máx 105.00 €/MWh</t>
        </is>
      </c>
    </row>
    <row r="2273">
      <c r="A2273" s="53" t="n">
        <v>46102</v>
      </c>
      <c r="B2273" t="inlineStr">
        <is>
          <t>2026-03-21</t>
        </is>
      </c>
      <c r="C2273" s="45" t="n">
        <v>41.4669</v>
      </c>
      <c r="D2273" t="inlineStr">
        <is>
          <t>€/MWh</t>
        </is>
      </c>
      <c r="E2273" s="54" t="n">
        <v>0.041467</v>
      </c>
      <c r="F2273" s="54" t="n"/>
      <c r="G2273" t="inlineStr">
        <is>
          <t>no aplica (precio mayorista)</t>
        </is>
      </c>
      <c r="J2273" t="inlineStr">
        <is>
          <t>2026-03-20</t>
        </is>
      </c>
      <c r="K2273" t="inlineStr">
        <is>
          <t>marginalpdbc_20260321.1</t>
        </is>
      </c>
      <c r="L2273" t="inlineStr">
        <is>
          <t>96 periodos; mín 4.24, máx 103.72 €/MWh</t>
        </is>
      </c>
    </row>
    <row r="2274">
      <c r="A2274" s="53" t="n">
        <v>46103</v>
      </c>
      <c r="B2274" t="inlineStr">
        <is>
          <t>2026-03-22</t>
        </is>
      </c>
      <c r="C2274" s="45" t="n">
        <v>28.1506</v>
      </c>
      <c r="D2274" t="inlineStr">
        <is>
          <t>€/MWh</t>
        </is>
      </c>
      <c r="E2274" s="54" t="n">
        <v>0.028151</v>
      </c>
      <c r="F2274" s="54" t="n"/>
      <c r="G2274" t="inlineStr">
        <is>
          <t>no aplica (precio mayorista)</t>
        </is>
      </c>
      <c r="J2274" t="inlineStr">
        <is>
          <t>2026-03-21</t>
        </is>
      </c>
      <c r="K2274" t="inlineStr">
        <is>
          <t>marginalpdbc_20260322.1</t>
        </is>
      </c>
      <c r="L2274" t="inlineStr">
        <is>
          <t>96 periodos; mín -4.00, máx 95.00 €/MWh</t>
        </is>
      </c>
    </row>
    <row r="2275">
      <c r="A2275" s="53" t="n">
        <v>46104</v>
      </c>
      <c r="B2275" t="inlineStr">
        <is>
          <t>2026-03-23</t>
        </is>
      </c>
      <c r="C2275" s="45" t="n">
        <v>33.8139</v>
      </c>
      <c r="D2275" t="inlineStr">
        <is>
          <t>€/MWh</t>
        </is>
      </c>
      <c r="E2275" s="54" t="n">
        <v>0.033814</v>
      </c>
      <c r="F2275" s="54" t="n"/>
      <c r="G2275" t="inlineStr">
        <is>
          <t>no aplica (precio mayorista)</t>
        </is>
      </c>
      <c r="J2275" t="inlineStr">
        <is>
          <t>2026-03-22</t>
        </is>
      </c>
      <c r="K2275" t="inlineStr">
        <is>
          <t>marginalpdbc_20260323.1</t>
        </is>
      </c>
      <c r="L2275" t="inlineStr">
        <is>
          <t>96 periodos; mín -0.02, máx 156.80 €/MWh</t>
        </is>
      </c>
    </row>
    <row r="2276">
      <c r="A2276" s="53" t="n">
        <v>46105</v>
      </c>
      <c r="B2276" t="inlineStr">
        <is>
          <t>2026-03-24</t>
        </is>
      </c>
      <c r="C2276" s="45" t="n">
        <v>54.3373</v>
      </c>
      <c r="D2276" t="inlineStr">
        <is>
          <t>€/MWh</t>
        </is>
      </c>
      <c r="E2276" s="54" t="n">
        <v>0.054337</v>
      </c>
      <c r="F2276" s="54" t="n"/>
      <c r="G2276" t="inlineStr">
        <is>
          <t>no aplica (precio mayorista)</t>
        </is>
      </c>
      <c r="J2276" t="inlineStr">
        <is>
          <t>2026-03-23</t>
        </is>
      </c>
      <c r="K2276" t="inlineStr">
        <is>
          <t>marginalpdbc_20260324.1</t>
        </is>
      </c>
      <c r="L2276" t="inlineStr">
        <is>
          <t>96 periodos; mín -0.05, máx 155.10 €/MWh</t>
        </is>
      </c>
    </row>
    <row r="2277">
      <c r="A2277" s="53" t="n">
        <v>46106</v>
      </c>
      <c r="B2277" t="inlineStr">
        <is>
          <t>2026-03-25</t>
        </is>
      </c>
      <c r="C2277" s="45" t="n">
        <v>19.0532</v>
      </c>
      <c r="D2277" t="inlineStr">
        <is>
          <t>€/MWh</t>
        </is>
      </c>
      <c r="E2277" s="54" t="n">
        <v>0.019053</v>
      </c>
      <c r="F2277" s="54" t="n"/>
      <c r="G2277" t="inlineStr">
        <is>
          <t>no aplica (precio mayorista)</t>
        </is>
      </c>
      <c r="J2277" t="inlineStr">
        <is>
          <t>2026-03-24</t>
        </is>
      </c>
      <c r="K2277" t="inlineStr">
        <is>
          <t>marginalpdbc_20260325.1</t>
        </is>
      </c>
      <c r="L2277" t="inlineStr">
        <is>
          <t>96 periodos; mín -1.00, máx 50.80 €/MWh</t>
        </is>
      </c>
    </row>
    <row r="2278">
      <c r="A2278" s="53" t="n">
        <v>46107</v>
      </c>
      <c r="B2278" t="inlineStr">
        <is>
          <t>2026-03-26</t>
        </is>
      </c>
      <c r="C2278" s="45" t="n">
        <v>5.0215</v>
      </c>
      <c r="D2278" t="inlineStr">
        <is>
          <t>€/MWh</t>
        </is>
      </c>
      <c r="E2278" s="54" t="n">
        <v>0.005021</v>
      </c>
      <c r="F2278" s="54" t="n"/>
      <c r="G2278" t="inlineStr">
        <is>
          <t>no aplica (precio mayorista)</t>
        </is>
      </c>
      <c r="J2278" t="inlineStr">
        <is>
          <t>2026-03-25</t>
        </is>
      </c>
      <c r="K2278" t="inlineStr">
        <is>
          <t>marginalpdbc_20260326.1</t>
        </is>
      </c>
      <c r="L2278" t="inlineStr">
        <is>
          <t>96 periodos; mín -3.02, máx 35.00 €/MWh</t>
        </is>
      </c>
    </row>
    <row r="2279">
      <c r="A2279" s="53" t="n">
        <v>46108</v>
      </c>
      <c r="B2279" t="inlineStr">
        <is>
          <t>2026-03-27</t>
        </is>
      </c>
      <c r="C2279" s="45" t="n">
        <v>9.0442</v>
      </c>
      <c r="D2279" t="inlineStr">
        <is>
          <t>€/MWh</t>
        </is>
      </c>
      <c r="E2279" s="54" t="n">
        <v>0.009044</v>
      </c>
      <c r="F2279" s="54" t="n"/>
      <c r="G2279" t="inlineStr">
        <is>
          <t>no aplica (precio mayorista)</t>
        </is>
      </c>
      <c r="J2279" t="inlineStr">
        <is>
          <t>2026-03-26</t>
        </is>
      </c>
      <c r="K2279" t="inlineStr">
        <is>
          <t>marginalpdbc_20260327.1</t>
        </is>
      </c>
      <c r="L2279" t="inlineStr">
        <is>
          <t>96 periodos; mín -5.00, máx 66.45 €/MWh</t>
        </is>
      </c>
    </row>
    <row r="2280">
      <c r="A2280" s="53" t="n">
        <v>46109</v>
      </c>
      <c r="B2280" t="inlineStr">
        <is>
          <t>2026-03-28</t>
        </is>
      </c>
      <c r="C2280" s="45" t="n">
        <v>3.0283</v>
      </c>
      <c r="D2280" t="inlineStr">
        <is>
          <t>€/MWh</t>
        </is>
      </c>
      <c r="E2280" s="54" t="n">
        <v>0.003028</v>
      </c>
      <c r="F2280" s="54" t="n"/>
      <c r="G2280" t="inlineStr">
        <is>
          <t>no aplica (precio mayorista)</t>
        </is>
      </c>
      <c r="J2280" t="inlineStr">
        <is>
          <t>2026-03-27</t>
        </is>
      </c>
      <c r="K2280" t="inlineStr">
        <is>
          <t>marginalpdbc_20260328.1</t>
        </is>
      </c>
      <c r="L2280" t="inlineStr">
        <is>
          <t>96 periodos; mín -5.00, máx 14.00 €/MWh</t>
        </is>
      </c>
    </row>
    <row r="2281">
      <c r="A2281" s="53" t="n">
        <v>46110</v>
      </c>
      <c r="B2281" t="inlineStr">
        <is>
          <t>2026-03-29</t>
        </is>
      </c>
      <c r="C2281" s="45" t="n">
        <v>0.1778</v>
      </c>
      <c r="D2281" t="inlineStr">
        <is>
          <t>€/MWh</t>
        </is>
      </c>
      <c r="E2281" s="54" t="n">
        <v>0.000178</v>
      </c>
      <c r="F2281" s="54" t="n"/>
      <c r="G2281" t="inlineStr">
        <is>
          <t>no aplica (precio mayorista)</t>
        </is>
      </c>
      <c r="J2281" t="inlineStr">
        <is>
          <t>2026-03-28</t>
        </is>
      </c>
      <c r="K2281" t="inlineStr">
        <is>
          <t>marginalpdbc_20260329.1</t>
        </is>
      </c>
      <c r="L2281" t="inlineStr">
        <is>
          <t>92 periodos; mín -10.00, máx 14.00 €/MWh</t>
        </is>
      </c>
    </row>
    <row r="2282">
      <c r="A2282" s="53" t="n">
        <v>46111</v>
      </c>
      <c r="B2282" t="inlineStr">
        <is>
          <t>2026-03-30</t>
        </is>
      </c>
      <c r="C2282" s="45" t="n">
        <v>10.5847</v>
      </c>
      <c r="D2282" t="inlineStr">
        <is>
          <t>€/MWh</t>
        </is>
      </c>
      <c r="E2282" s="54" t="n">
        <v>0.010585</v>
      </c>
      <c r="F2282" s="54" t="n"/>
      <c r="G2282" t="inlineStr">
        <is>
          <t>no aplica (precio mayorista)</t>
        </is>
      </c>
      <c r="J2282" t="inlineStr">
        <is>
          <t>2026-03-29</t>
        </is>
      </c>
      <c r="K2282" t="inlineStr">
        <is>
          <t>marginalpdbc_20260330.1</t>
        </is>
      </c>
      <c r="L2282" t="inlineStr">
        <is>
          <t>96 periodos; mín -2.00, máx 74.52 €/MWh</t>
        </is>
      </c>
    </row>
    <row r="2283">
      <c r="A2283" s="53" t="n">
        <v>46112</v>
      </c>
      <c r="B2283" t="inlineStr">
        <is>
          <t>2026-03-31</t>
        </is>
      </c>
      <c r="C2283" s="45" t="n">
        <v>7.5553</v>
      </c>
      <c r="D2283" t="inlineStr">
        <is>
          <t>€/MWh</t>
        </is>
      </c>
      <c r="E2283" s="54" t="n">
        <v>0.007555</v>
      </c>
      <c r="F2283" s="54" t="n"/>
      <c r="G2283" t="inlineStr">
        <is>
          <t>no aplica (precio mayorista)</t>
        </is>
      </c>
      <c r="J2283" t="inlineStr">
        <is>
          <t>2026-03-30</t>
        </is>
      </c>
      <c r="K2283" t="inlineStr">
        <is>
          <t>marginalpdbc_20260331.1</t>
        </is>
      </c>
      <c r="L2283" t="inlineStr">
        <is>
          <t>96 periodos; mín -3.00, máx 51.20 €/MWh</t>
        </is>
      </c>
    </row>
    <row r="2284">
      <c r="A2284" s="53" t="n">
        <v>46113</v>
      </c>
      <c r="B2284" t="inlineStr">
        <is>
          <t>2026-04-01</t>
        </is>
      </c>
      <c r="C2284" s="45" t="n">
        <v>5.1518</v>
      </c>
      <c r="D2284" t="inlineStr">
        <is>
          <t>€/MWh</t>
        </is>
      </c>
      <c r="E2284" s="54" t="n">
        <v>0.005152</v>
      </c>
      <c r="F2284" s="54" t="n"/>
      <c r="G2284" t="inlineStr">
        <is>
          <t>no aplica (precio mayorista)</t>
        </is>
      </c>
      <c r="J2284" t="inlineStr">
        <is>
          <t>2026-03-31</t>
        </is>
      </c>
      <c r="K2284" t="inlineStr">
        <is>
          <t>marginalpdbc_20260401.1</t>
        </is>
      </c>
      <c r="L2284" t="inlineStr">
        <is>
          <t>96 periodos; mín -4.00, máx 35.02 €/MWh</t>
        </is>
      </c>
    </row>
    <row r="2285">
      <c r="A2285" s="53" t="n">
        <v>46114</v>
      </c>
      <c r="B2285" t="inlineStr">
        <is>
          <t>2026-04-02</t>
        </is>
      </c>
      <c r="C2285" s="45" t="n">
        <v>5.0045</v>
      </c>
      <c r="D2285" t="inlineStr">
        <is>
          <t>€/MWh</t>
        </is>
      </c>
      <c r="E2285" s="54" t="n">
        <v>0.005004</v>
      </c>
      <c r="F2285" s="54" t="n"/>
      <c r="G2285" t="inlineStr">
        <is>
          <t>no aplica (precio mayorista)</t>
        </is>
      </c>
      <c r="J2285" t="inlineStr">
        <is>
          <t>2026-04-01</t>
        </is>
      </c>
      <c r="K2285" t="inlineStr">
        <is>
          <t>marginalpdbc_20260402.1</t>
        </is>
      </c>
      <c r="L2285" t="inlineStr">
        <is>
          <t>96 periodos; mín -5.00, máx 35.02 €/MWh</t>
        </is>
      </c>
    </row>
    <row r="2286">
      <c r="A2286" s="53" t="n">
        <v>46115</v>
      </c>
      <c r="B2286" t="inlineStr">
        <is>
          <t>2026-04-03</t>
        </is>
      </c>
      <c r="C2286" s="45" t="n">
        <v>14.4386</v>
      </c>
      <c r="D2286" t="inlineStr">
        <is>
          <t>€/MWh</t>
        </is>
      </c>
      <c r="E2286" s="54" t="n">
        <v>0.014439</v>
      </c>
      <c r="F2286" s="54" t="n"/>
      <c r="G2286" t="inlineStr">
        <is>
          <t>no aplica (precio mayorista)</t>
        </is>
      </c>
      <c r="J2286" t="inlineStr">
        <is>
          <t>2026-04-02</t>
        </is>
      </c>
      <c r="K2286" t="inlineStr">
        <is>
          <t>marginalpdbc_20260403.1</t>
        </is>
      </c>
      <c r="L2286" t="inlineStr">
        <is>
          <t>96 periodos; mín -5.00, máx 85.01 €/MWh</t>
        </is>
      </c>
    </row>
    <row r="2287">
      <c r="A2287" s="53" t="n">
        <v>46116</v>
      </c>
      <c r="B2287" t="inlineStr">
        <is>
          <t>2026-04-04</t>
        </is>
      </c>
      <c r="C2287" s="45" t="n">
        <v>21.2139</v>
      </c>
      <c r="D2287" t="inlineStr">
        <is>
          <t>€/MWh</t>
        </is>
      </c>
      <c r="E2287" s="54" t="n">
        <v>0.021214</v>
      </c>
      <c r="F2287" s="54" t="n"/>
      <c r="G2287" t="inlineStr">
        <is>
          <t>no aplica (precio mayorista)</t>
        </is>
      </c>
      <c r="J2287" t="inlineStr">
        <is>
          <t>2026-04-03</t>
        </is>
      </c>
      <c r="K2287" t="inlineStr">
        <is>
          <t>marginalpdbc_20260404.1</t>
        </is>
      </c>
      <c r="L2287" t="inlineStr">
        <is>
          <t>96 periodos; mín -3.01, máx 79.02 €/MWh</t>
        </is>
      </c>
    </row>
    <row r="2288">
      <c r="A2288" s="53" t="n">
        <v>46117</v>
      </c>
      <c r="B2288" t="inlineStr">
        <is>
          <t>2026-04-05</t>
        </is>
      </c>
      <c r="C2288" s="45" t="n">
        <v>23.1461</v>
      </c>
      <c r="D2288" t="inlineStr">
        <is>
          <t>€/MWh</t>
        </is>
      </c>
      <c r="E2288" s="54" t="n">
        <v>0.023146</v>
      </c>
      <c r="F2288" s="54" t="n"/>
      <c r="G2288" t="inlineStr">
        <is>
          <t>no aplica (precio mayorista)</t>
        </is>
      </c>
      <c r="J2288" t="inlineStr">
        <is>
          <t>2026-04-04</t>
        </is>
      </c>
      <c r="K2288" t="inlineStr">
        <is>
          <t>marginalpdbc_20260405.1</t>
        </is>
      </c>
      <c r="L2288" t="inlineStr">
        <is>
          <t>96 periodos; mín -7.51, máx 79.02 €/MWh</t>
        </is>
      </c>
    </row>
    <row r="2289">
      <c r="A2289" s="53" t="n">
        <v>46118</v>
      </c>
      <c r="B2289" t="inlineStr">
        <is>
          <t>2026-04-06</t>
        </is>
      </c>
      <c r="C2289" s="45" t="n">
        <v>19.4042</v>
      </c>
      <c r="D2289" t="inlineStr">
        <is>
          <t>€/MWh</t>
        </is>
      </c>
      <c r="E2289" s="54" t="n">
        <v>0.019404</v>
      </c>
      <c r="F2289" s="54" t="n"/>
      <c r="G2289" t="inlineStr">
        <is>
          <t>no aplica (precio mayorista)</t>
        </is>
      </c>
      <c r="J2289" t="inlineStr">
        <is>
          <t>2026-04-05</t>
        </is>
      </c>
      <c r="K2289" t="inlineStr">
        <is>
          <t>marginalpdbc_20260406.1</t>
        </is>
      </c>
      <c r="L2289" t="inlineStr">
        <is>
          <t>96 periodos; mín -6.00, máx 54.40 €/MWh</t>
        </is>
      </c>
    </row>
    <row r="2290">
      <c r="A2290" s="53" t="n">
        <v>46119</v>
      </c>
      <c r="B2290" t="inlineStr">
        <is>
          <t>2026-04-07</t>
        </is>
      </c>
      <c r="C2290" s="45" t="n">
        <v>33.4748</v>
      </c>
      <c r="D2290" t="inlineStr">
        <is>
          <t>€/MWh</t>
        </is>
      </c>
      <c r="E2290" s="54" t="n">
        <v>0.033475</v>
      </c>
      <c r="F2290" s="54" t="n"/>
      <c r="G2290" t="inlineStr">
        <is>
          <t>no aplica (precio mayorista)</t>
        </is>
      </c>
      <c r="J2290" t="inlineStr">
        <is>
          <t>2026-04-06</t>
        </is>
      </c>
      <c r="K2290" t="inlineStr">
        <is>
          <t>marginalpdbc_20260407.1</t>
        </is>
      </c>
      <c r="L2290" t="inlineStr">
        <is>
          <t>96 periodos; mín 0.00, máx 135.00 €/MWh</t>
        </is>
      </c>
    </row>
    <row r="2291">
      <c r="A2291" s="53" t="n">
        <v>46120</v>
      </c>
      <c r="B2291" t="inlineStr">
        <is>
          <t>2026-04-08</t>
        </is>
      </c>
      <c r="C2291" s="45" t="n">
        <v>63.2059</v>
      </c>
      <c r="D2291" t="inlineStr">
        <is>
          <t>€/MWh</t>
        </is>
      </c>
      <c r="E2291" s="54" t="n">
        <v>0.063206</v>
      </c>
      <c r="F2291" s="54" t="n"/>
      <c r="G2291" t="inlineStr">
        <is>
          <t>no aplica (precio mayorista)</t>
        </is>
      </c>
      <c r="J2291" t="inlineStr">
        <is>
          <t>2026-04-07</t>
        </is>
      </c>
      <c r="K2291" t="inlineStr">
        <is>
          <t>marginalpdbc_20260408.1</t>
        </is>
      </c>
      <c r="L2291" t="inlineStr">
        <is>
          <t>96 periodos; mín 2.00, máx 153.81 €/MWh</t>
        </is>
      </c>
    </row>
    <row r="2292">
      <c r="A2292" s="53" t="n">
        <v>46121</v>
      </c>
      <c r="B2292" t="inlineStr">
        <is>
          <t>2026-04-09</t>
        </is>
      </c>
      <c r="C2292" s="45" t="n">
        <v>53.2011</v>
      </c>
      <c r="D2292" t="inlineStr">
        <is>
          <t>€/MWh</t>
        </is>
      </c>
      <c r="E2292" s="54" t="n">
        <v>0.053201</v>
      </c>
      <c r="F2292" s="54" t="n"/>
      <c r="G2292" t="inlineStr">
        <is>
          <t>no aplica (precio mayorista)</t>
        </is>
      </c>
      <c r="J2292" t="inlineStr">
        <is>
          <t>2026-04-08</t>
        </is>
      </c>
      <c r="K2292" t="inlineStr">
        <is>
          <t>marginalpdbc_20260409.1</t>
        </is>
      </c>
      <c r="L2292" t="inlineStr">
        <is>
          <t>96 periodos; mín -1.00, máx 139.44 €/MWh</t>
        </is>
      </c>
    </row>
    <row r="2293">
      <c r="A2293" s="53" t="n">
        <v>46122</v>
      </c>
      <c r="B2293" t="inlineStr">
        <is>
          <t>2026-04-10</t>
        </is>
      </c>
      <c r="C2293" s="45" t="n">
        <v>44.4841</v>
      </c>
      <c r="D2293" t="inlineStr">
        <is>
          <t>€/MWh</t>
        </is>
      </c>
      <c r="E2293" s="54" t="n">
        <v>0.044484</v>
      </c>
      <c r="F2293" s="54" t="n"/>
      <c r="G2293" t="inlineStr">
        <is>
          <t>no aplica (precio mayorista)</t>
        </is>
      </c>
      <c r="J2293" t="inlineStr">
        <is>
          <t>2026-04-09</t>
        </is>
      </c>
      <c r="K2293" t="inlineStr">
        <is>
          <t>marginalpdbc_20260410.1</t>
        </is>
      </c>
      <c r="L2293" t="inlineStr">
        <is>
          <t>96 periodos; mín 0.00, máx 113.98 €/MWh</t>
        </is>
      </c>
    </row>
    <row r="2294">
      <c r="A2294" s="53" t="n">
        <v>46123</v>
      </c>
      <c r="B2294" t="inlineStr">
        <is>
          <t>2026-04-11</t>
        </is>
      </c>
      <c r="C2294" s="45" t="n">
        <v>28.9091</v>
      </c>
      <c r="D2294" t="inlineStr">
        <is>
          <t>€/MWh</t>
        </is>
      </c>
      <c r="E2294" s="54" t="n">
        <v>0.028909</v>
      </c>
      <c r="F2294" s="54" t="n"/>
      <c r="G2294" t="inlineStr">
        <is>
          <t>no aplica (precio mayorista)</t>
        </is>
      </c>
      <c r="J2294" t="inlineStr">
        <is>
          <t>2026-04-10</t>
        </is>
      </c>
      <c r="K2294" t="inlineStr">
        <is>
          <t>marginalpdbc_20260411.1</t>
        </is>
      </c>
      <c r="L2294" t="inlineStr">
        <is>
          <t>96 periodos; mín -2.00, máx 92.00 €/MWh</t>
        </is>
      </c>
    </row>
    <row r="2295">
      <c r="A2295" s="53" t="n">
        <v>46124</v>
      </c>
      <c r="B2295" t="inlineStr">
        <is>
          <t>2026-04-12</t>
        </is>
      </c>
      <c r="C2295" s="45" t="n">
        <v>13.3285</v>
      </c>
      <c r="D2295" t="inlineStr">
        <is>
          <t>€/MWh</t>
        </is>
      </c>
      <c r="E2295" s="54" t="n">
        <v>0.013329</v>
      </c>
      <c r="F2295" s="54" t="n"/>
      <c r="G2295" t="inlineStr">
        <is>
          <t>no aplica (precio mayorista)</t>
        </is>
      </c>
      <c r="J2295" t="inlineStr">
        <is>
          <t>2026-04-11</t>
        </is>
      </c>
      <c r="K2295" t="inlineStr">
        <is>
          <t>marginalpdbc_20260412.1</t>
        </is>
      </c>
      <c r="L2295" t="inlineStr">
        <is>
          <t>96 periodos; mín -0.81, máx 80.11 €/MWh</t>
        </is>
      </c>
    </row>
    <row r="2296">
      <c r="A2296" s="53" t="n">
        <v>46125</v>
      </c>
      <c r="B2296" t="inlineStr">
        <is>
          <t>2026-04-13</t>
        </is>
      </c>
      <c r="C2296" s="45" t="n">
        <v>23.8046</v>
      </c>
      <c r="D2296" t="inlineStr">
        <is>
          <t>€/MWh</t>
        </is>
      </c>
      <c r="E2296" s="54" t="n">
        <v>0.023805</v>
      </c>
      <c r="F2296" s="54" t="n"/>
      <c r="G2296" t="inlineStr">
        <is>
          <t>no aplica (precio mayorista)</t>
        </is>
      </c>
      <c r="J2296" t="inlineStr">
        <is>
          <t>2026-04-12</t>
        </is>
      </c>
      <c r="K2296" t="inlineStr">
        <is>
          <t>marginalpdbc_20260413.1</t>
        </is>
      </c>
      <c r="L2296" t="inlineStr">
        <is>
          <t>96 periodos; mín -0.10, máx 100.70 €/MWh</t>
        </is>
      </c>
    </row>
    <row r="2297">
      <c r="A2297" s="53" t="n">
        <v>46126</v>
      </c>
      <c r="B2297" t="inlineStr">
        <is>
          <t>2026-04-14</t>
        </is>
      </c>
      <c r="C2297" s="45" t="n">
        <v>45.968</v>
      </c>
      <c r="D2297" t="inlineStr">
        <is>
          <t>€/MWh</t>
        </is>
      </c>
      <c r="E2297" s="54" t="n">
        <v>0.045968</v>
      </c>
      <c r="F2297" s="54" t="n"/>
      <c r="G2297" t="inlineStr">
        <is>
          <t>no aplica (precio mayorista)</t>
        </is>
      </c>
      <c r="J2297" t="inlineStr">
        <is>
          <t>2026-04-13</t>
        </is>
      </c>
      <c r="K2297" t="inlineStr">
        <is>
          <t>marginalpdbc_20260414.1</t>
        </is>
      </c>
      <c r="L2297" t="inlineStr">
        <is>
          <t>96 periodos; mín -0.60, máx 117.21 €/MWh</t>
        </is>
      </c>
    </row>
    <row r="2298">
      <c r="A2298" s="53" t="n">
        <v>46127</v>
      </c>
      <c r="B2298" t="inlineStr">
        <is>
          <t>2026-04-15</t>
        </is>
      </c>
      <c r="C2298" s="45" t="n">
        <v>59.9039</v>
      </c>
      <c r="D2298" t="inlineStr">
        <is>
          <t>€/MWh</t>
        </is>
      </c>
      <c r="E2298" s="54" t="n">
        <v>0.059904</v>
      </c>
      <c r="F2298" s="54" t="n"/>
      <c r="G2298" t="inlineStr">
        <is>
          <t>no aplica (precio mayorista)</t>
        </is>
      </c>
      <c r="J2298" t="inlineStr">
        <is>
          <t>2026-04-14</t>
        </is>
      </c>
      <c r="K2298" t="inlineStr">
        <is>
          <t>marginalpdbc_20260415.1</t>
        </is>
      </c>
      <c r="L2298" t="inlineStr">
        <is>
          <t>96 periodos; mín -0.81, máx 152.24 €/MWh</t>
        </is>
      </c>
    </row>
    <row r="2299">
      <c r="A2299" s="53" t="n">
        <v>46128</v>
      </c>
      <c r="B2299" t="inlineStr">
        <is>
          <t>2026-04-16</t>
        </is>
      </c>
      <c r="C2299" s="45" t="n">
        <v>69.3322</v>
      </c>
      <c r="D2299" t="inlineStr">
        <is>
          <t>€/MWh</t>
        </is>
      </c>
      <c r="E2299" s="54" t="n">
        <v>0.069332</v>
      </c>
      <c r="F2299" s="54" t="n"/>
      <c r="G2299" t="inlineStr">
        <is>
          <t>no aplica (precio mayorista)</t>
        </is>
      </c>
      <c r="J2299" t="inlineStr">
        <is>
          <t>2026-04-15</t>
        </is>
      </c>
      <c r="K2299" t="inlineStr">
        <is>
          <t>marginalpdbc_20260416.1</t>
        </is>
      </c>
      <c r="L2299" t="inlineStr">
        <is>
          <t>96 periodos; mín -0.01, máx 157.47 €/MWh</t>
        </is>
      </c>
    </row>
    <row r="2300">
      <c r="A2300" s="53" t="n">
        <v>46129</v>
      </c>
      <c r="B2300" t="inlineStr">
        <is>
          <t>2026-04-17</t>
        </is>
      </c>
      <c r="C2300" s="45" t="n">
        <v>70.87</v>
      </c>
      <c r="D2300" t="inlineStr">
        <is>
          <t>€/MWh</t>
        </is>
      </c>
      <c r="E2300" s="54" t="n">
        <v>0.07087</v>
      </c>
      <c r="F2300" s="54" t="n"/>
      <c r="G2300" t="inlineStr">
        <is>
          <t>no aplica (precio mayorista)</t>
        </is>
      </c>
      <c r="J2300" t="inlineStr">
        <is>
          <t>2026-04-16</t>
        </is>
      </c>
      <c r="K2300" t="inlineStr">
        <is>
          <t>marginalpdbc_20260417.1</t>
        </is>
      </c>
      <c r="L2300" t="inlineStr">
        <is>
          <t>96 periodos; mín 0.00, máx 132.20 €/MWh</t>
        </is>
      </c>
    </row>
    <row r="2301">
      <c r="A2301" s="53" t="n">
        <v>46130</v>
      </c>
      <c r="B2301" t="inlineStr">
        <is>
          <t>2026-04-18</t>
        </is>
      </c>
      <c r="C2301" s="45" t="n">
        <v>46.5619</v>
      </c>
      <c r="D2301" t="inlineStr">
        <is>
          <t>€/MWh</t>
        </is>
      </c>
      <c r="E2301" s="54" t="n">
        <v>0.046562</v>
      </c>
      <c r="F2301" s="54" t="n"/>
      <c r="G2301" t="inlineStr">
        <is>
          <t>no aplica (precio mayorista)</t>
        </is>
      </c>
      <c r="J2301" t="inlineStr">
        <is>
          <t>2026-04-17</t>
        </is>
      </c>
      <c r="K2301" t="inlineStr">
        <is>
          <t>marginalpdbc_20260418.1</t>
        </is>
      </c>
      <c r="L2301" t="inlineStr">
        <is>
          <t>96 periodos; mín -2.10, máx 107.65 €/MWh</t>
        </is>
      </c>
    </row>
    <row r="2302">
      <c r="A2302" s="53" t="n">
        <v>46131</v>
      </c>
      <c r="B2302" t="inlineStr">
        <is>
          <t>2026-04-19</t>
        </is>
      </c>
      <c r="C2302" s="45" t="n">
        <v>36.2193</v>
      </c>
      <c r="D2302" t="inlineStr">
        <is>
          <t>€/MWh</t>
        </is>
      </c>
      <c r="E2302" s="54" t="n">
        <v>0.036219</v>
      </c>
      <c r="F2302" s="54" t="n"/>
      <c r="G2302" t="inlineStr">
        <is>
          <t>no aplica (precio mayorista)</t>
        </is>
      </c>
      <c r="J2302" t="inlineStr">
        <is>
          <t>2026-04-18</t>
        </is>
      </c>
      <c r="K2302" t="inlineStr">
        <is>
          <t>marginalpdbc_20260419.1</t>
        </is>
      </c>
      <c r="L2302" t="inlineStr">
        <is>
          <t>96 periodos; mín -6.00, máx 87.99 €/MWh</t>
        </is>
      </c>
    </row>
    <row r="2303">
      <c r="A2303" s="53" t="n">
        <v>46132</v>
      </c>
      <c r="B2303" t="inlineStr">
        <is>
          <t>2026-04-20</t>
        </is>
      </c>
      <c r="C2303" s="45" t="n">
        <v>50.8465</v>
      </c>
      <c r="D2303" t="inlineStr">
        <is>
          <t>€/MWh</t>
        </is>
      </c>
      <c r="E2303" s="54" t="n">
        <v>0.050846</v>
      </c>
      <c r="F2303" s="54" t="n"/>
      <c r="G2303" t="inlineStr">
        <is>
          <t>no aplica (precio mayorista)</t>
        </is>
      </c>
      <c r="J2303" t="inlineStr">
        <is>
          <t>2026-04-19</t>
        </is>
      </c>
      <c r="K2303" t="inlineStr">
        <is>
          <t>marginalpdbc_20260420.1</t>
        </is>
      </c>
      <c r="L2303" t="inlineStr">
        <is>
          <t>96 periodos; mín 0.00, máx 110.99 €/MWh</t>
        </is>
      </c>
    </row>
    <row r="2304">
      <c r="A2304" s="53" t="n">
        <v>46133</v>
      </c>
      <c r="B2304" t="inlineStr">
        <is>
          <t>2026-04-21</t>
        </is>
      </c>
      <c r="C2304" s="45" t="n">
        <v>45.2782</v>
      </c>
      <c r="D2304" t="inlineStr">
        <is>
          <t>€/MWh</t>
        </is>
      </c>
      <c r="E2304" s="54" t="n">
        <v>0.045278</v>
      </c>
      <c r="F2304" s="54" t="n"/>
      <c r="G2304" t="inlineStr">
        <is>
          <t>no aplica (precio mayorista)</t>
        </is>
      </c>
      <c r="J2304" t="inlineStr">
        <is>
          <t>2026-04-20</t>
        </is>
      </c>
      <c r="K2304" t="inlineStr">
        <is>
          <t>marginalpdbc_20260421.1</t>
        </is>
      </c>
      <c r="L2304" t="inlineStr">
        <is>
          <t>96 periodos; mín -0.11, máx 92.98 €/MWh</t>
        </is>
      </c>
    </row>
    <row r="2305">
      <c r="A2305" s="53" t="n">
        <v>46134</v>
      </c>
      <c r="B2305" t="inlineStr">
        <is>
          <t>2026-04-22</t>
        </is>
      </c>
      <c r="C2305" s="45" t="n">
        <v>48.9971</v>
      </c>
      <c r="D2305" t="inlineStr">
        <is>
          <t>€/MWh</t>
        </is>
      </c>
      <c r="E2305" s="54" t="n">
        <v>0.048997</v>
      </c>
      <c r="F2305" s="54" t="n"/>
      <c r="G2305" t="inlineStr">
        <is>
          <t>no aplica (precio mayorista)</t>
        </is>
      </c>
      <c r="J2305" t="inlineStr">
        <is>
          <t>2026-04-21</t>
        </is>
      </c>
      <c r="K2305" t="inlineStr">
        <is>
          <t>marginalpdbc_20260422.1</t>
        </is>
      </c>
      <c r="L2305" t="inlineStr">
        <is>
          <t>96 periodos; mín -1.00, máx 112.07 €/MWh</t>
        </is>
      </c>
    </row>
    <row r="2306">
      <c r="A2306" s="53" t="n">
        <v>46135</v>
      </c>
      <c r="B2306" t="inlineStr">
        <is>
          <t>2026-04-23</t>
        </is>
      </c>
      <c r="C2306" s="45" t="n">
        <v>49.0835</v>
      </c>
      <c r="D2306" t="inlineStr">
        <is>
          <t>€/MWh</t>
        </is>
      </c>
      <c r="E2306" s="54" t="n">
        <v>0.049084</v>
      </c>
      <c r="F2306" s="54" t="n"/>
      <c r="G2306" t="inlineStr">
        <is>
          <t>no aplica (precio mayorista)</t>
        </is>
      </c>
      <c r="J2306" t="inlineStr">
        <is>
          <t>2026-04-22</t>
        </is>
      </c>
      <c r="K2306" t="inlineStr">
        <is>
          <t>marginalpdbc_20260423.1</t>
        </is>
      </c>
      <c r="L2306" t="inlineStr">
        <is>
          <t>96 periodos; mín -0.81, máx 100.22 €/MWh</t>
        </is>
      </c>
    </row>
    <row r="2307">
      <c r="A2307" s="53" t="n">
        <v>46136</v>
      </c>
      <c r="B2307" t="inlineStr">
        <is>
          <t>2026-04-24</t>
        </is>
      </c>
      <c r="C2307" s="45" t="n">
        <v>72.6408</v>
      </c>
      <c r="D2307" t="inlineStr">
        <is>
          <t>€/MWh</t>
        </is>
      </c>
      <c r="E2307" s="54" t="n">
        <v>0.072641</v>
      </c>
      <c r="F2307" s="54" t="n"/>
      <c r="G2307" t="inlineStr">
        <is>
          <t>no aplica (precio mayorista)</t>
        </is>
      </c>
      <c r="J2307" t="inlineStr">
        <is>
          <t>2026-04-23</t>
        </is>
      </c>
      <c r="K2307" t="inlineStr">
        <is>
          <t>marginalpdbc_20260424.1</t>
        </is>
      </c>
      <c r="L2307" t="inlineStr">
        <is>
          <t>96 periodos; mín 14.00, máx 115.01 €/MWh</t>
        </is>
      </c>
    </row>
    <row r="2308">
      <c r="A2308" s="53" t="n">
        <v>46137</v>
      </c>
      <c r="B2308" t="inlineStr">
        <is>
          <t>2026-04-25</t>
        </is>
      </c>
      <c r="C2308" s="45" t="n">
        <v>50.7884</v>
      </c>
      <c r="D2308" t="inlineStr">
        <is>
          <t>€/MWh</t>
        </is>
      </c>
      <c r="E2308" s="54" t="n">
        <v>0.050788</v>
      </c>
      <c r="F2308" s="54" t="n"/>
      <c r="G2308" t="inlineStr">
        <is>
          <t>no aplica (precio mayorista)</t>
        </is>
      </c>
      <c r="J2308" t="inlineStr">
        <is>
          <t>2026-04-24</t>
        </is>
      </c>
      <c r="K2308" t="inlineStr">
        <is>
          <t>marginalpdbc_20260425.1</t>
        </is>
      </c>
      <c r="L2308" t="inlineStr">
        <is>
          <t>96 periodos; mín -0.01, máx 95.47 €/MWh</t>
        </is>
      </c>
    </row>
    <row r="2309">
      <c r="A2309" s="53" t="n">
        <v>46138</v>
      </c>
      <c r="B2309" t="inlineStr">
        <is>
          <t>2026-04-26</t>
        </is>
      </c>
      <c r="C2309" s="45" t="n">
        <v>35.3001</v>
      </c>
      <c r="D2309" t="inlineStr">
        <is>
          <t>€/MWh</t>
        </is>
      </c>
      <c r="E2309" s="54" t="n">
        <v>0.0353</v>
      </c>
      <c r="F2309" s="54" t="n"/>
      <c r="G2309" t="inlineStr">
        <is>
          <t>no aplica (precio mayorista)</t>
        </is>
      </c>
      <c r="J2309" t="inlineStr">
        <is>
          <t>2026-04-25</t>
        </is>
      </c>
      <c r="K2309" t="inlineStr">
        <is>
          <t>marginalpdbc_20260426.1</t>
        </is>
      </c>
      <c r="L2309" t="inlineStr">
        <is>
          <t>96 periodos; mín -5.25, máx 98.55 €/MWh</t>
        </is>
      </c>
    </row>
    <row r="2310">
      <c r="A2310" s="53" t="n">
        <v>46139</v>
      </c>
      <c r="B2310" t="inlineStr">
        <is>
          <t>2026-04-27</t>
        </is>
      </c>
      <c r="C2310" s="45" t="n">
        <v>46.9852</v>
      </c>
      <c r="D2310" t="inlineStr">
        <is>
          <t>€/MWh</t>
        </is>
      </c>
      <c r="E2310" s="54" t="n">
        <v>0.046985</v>
      </c>
      <c r="F2310" s="54" t="n"/>
      <c r="G2310" t="inlineStr">
        <is>
          <t>no aplica (precio mayorista)</t>
        </is>
      </c>
      <c r="J2310" t="inlineStr">
        <is>
          <t>2026-04-26</t>
        </is>
      </c>
      <c r="K2310" t="inlineStr">
        <is>
          <t>marginalpdbc_20260427.1</t>
        </is>
      </c>
      <c r="L2310" t="inlineStr">
        <is>
          <t>96 periodos; mín -1.00, máx 107.84 €/MWh</t>
        </is>
      </c>
    </row>
    <row r="2311">
      <c r="A2311" s="53" t="n">
        <v>46140</v>
      </c>
      <c r="B2311" t="inlineStr">
        <is>
          <t>2026-04-28</t>
        </is>
      </c>
      <c r="C2311" s="45" t="n">
        <v>55.6712</v>
      </c>
      <c r="D2311" t="inlineStr">
        <is>
          <t>€/MWh</t>
        </is>
      </c>
      <c r="E2311" s="54" t="n">
        <v>0.055671</v>
      </c>
      <c r="F2311" s="54" t="n"/>
      <c r="G2311" t="inlineStr">
        <is>
          <t>no aplica (precio mayorista)</t>
        </is>
      </c>
      <c r="J2311" t="inlineStr">
        <is>
          <t>2026-04-27</t>
        </is>
      </c>
      <c r="K2311" t="inlineStr">
        <is>
          <t>marginalpdbc_20260428.1</t>
        </is>
      </c>
      <c r="L2311" t="inlineStr">
        <is>
          <t>96 periodos; mín 0.00, máx 110.69 €/MWh</t>
        </is>
      </c>
    </row>
    <row r="2312">
      <c r="A2312" s="53" t="n">
        <v>46141</v>
      </c>
      <c r="B2312" t="inlineStr">
        <is>
          <t>2026-04-29</t>
        </is>
      </c>
      <c r="C2312" s="45" t="n">
        <v>75.7208</v>
      </c>
      <c r="D2312" t="inlineStr">
        <is>
          <t>€/MWh</t>
        </is>
      </c>
      <c r="E2312" s="54" t="n">
        <v>0.075721</v>
      </c>
      <c r="F2312" s="54" t="n"/>
      <c r="G2312" t="inlineStr">
        <is>
          <t>no aplica (precio mayorista)</t>
        </is>
      </c>
      <c r="J2312" t="inlineStr">
        <is>
          <t>2026-04-28</t>
        </is>
      </c>
      <c r="K2312" t="inlineStr">
        <is>
          <t>marginalpdbc_20260429.1</t>
        </is>
      </c>
      <c r="L2312" t="inlineStr">
        <is>
          <t>96 periodos; mín 12.56, máx 114.75 €/MWh</t>
        </is>
      </c>
    </row>
    <row r="2313">
      <c r="A2313" s="53" t="n">
        <v>46142</v>
      </c>
      <c r="B2313" t="inlineStr">
        <is>
          <t>2026-04-30</t>
        </is>
      </c>
      <c r="C2313" s="45" t="n">
        <v>64.3865</v>
      </c>
      <c r="D2313" t="inlineStr">
        <is>
          <t>€/MWh</t>
        </is>
      </c>
      <c r="E2313" s="54" t="n">
        <v>0.064386</v>
      </c>
      <c r="F2313" s="54" t="n"/>
      <c r="G2313" t="inlineStr">
        <is>
          <t>no aplica (precio mayorista)</t>
        </is>
      </c>
      <c r="J2313" t="inlineStr">
        <is>
          <t>2026-04-29</t>
        </is>
      </c>
      <c r="K2313" t="inlineStr">
        <is>
          <t>marginalpdbc_20260430.1</t>
        </is>
      </c>
      <c r="L2313" t="inlineStr">
        <is>
          <t>96 periodos; mín 0.00, máx 125.54 €/MWh</t>
        </is>
      </c>
    </row>
    <row r="2314">
      <c r="A2314" s="53" t="n">
        <v>46143</v>
      </c>
      <c r="B2314" t="inlineStr">
        <is>
          <t>2026-05-01</t>
        </is>
      </c>
      <c r="C2314" s="45" t="n">
        <v>57.8746</v>
      </c>
      <c r="D2314" t="inlineStr">
        <is>
          <t>€/MWh</t>
        </is>
      </c>
      <c r="E2314" s="54" t="n">
        <v>0.057875</v>
      </c>
      <c r="F2314" s="54" t="n"/>
      <c r="G2314" t="inlineStr">
        <is>
          <t>no aplica (precio mayorista)</t>
        </is>
      </c>
      <c r="J2314" t="inlineStr">
        <is>
          <t>2026-04-30</t>
        </is>
      </c>
      <c r="K2314" t="inlineStr">
        <is>
          <t>marginalpdbc_20260501.1</t>
        </is>
      </c>
      <c r="L2314" t="inlineStr">
        <is>
          <t>96 periodos; mín -2.10, máx 109.54 €/MWh</t>
        </is>
      </c>
    </row>
    <row r="2315">
      <c r="A2315" s="53" t="n">
        <v>46144</v>
      </c>
      <c r="B2315" t="inlineStr">
        <is>
          <t>2026-05-02</t>
        </is>
      </c>
      <c r="C2315" s="45" t="n">
        <v>43.635</v>
      </c>
      <c r="D2315" t="inlineStr">
        <is>
          <t>€/MWh</t>
        </is>
      </c>
      <c r="E2315" s="54" t="n">
        <v>0.043635</v>
      </c>
      <c r="F2315" s="54" t="n"/>
      <c r="G2315" t="inlineStr">
        <is>
          <t>no aplica (precio mayorista)</t>
        </is>
      </c>
      <c r="J2315" t="inlineStr">
        <is>
          <t>2026-05-01</t>
        </is>
      </c>
      <c r="K2315" t="inlineStr">
        <is>
          <t>marginalpdbc_20260502.1</t>
        </is>
      </c>
      <c r="L2315" t="inlineStr">
        <is>
          <t>96 periodos; mín -0.01, máx 94.71 €/MWh</t>
        </is>
      </c>
    </row>
    <row r="2316">
      <c r="A2316" s="53" t="n">
        <v>46145</v>
      </c>
      <c r="B2316" t="inlineStr">
        <is>
          <t>2026-05-03</t>
        </is>
      </c>
      <c r="C2316" s="45" t="n">
        <v>48.1296</v>
      </c>
      <c r="D2316" t="inlineStr">
        <is>
          <t>€/MWh</t>
        </is>
      </c>
      <c r="E2316" s="54" t="n">
        <v>0.04813</v>
      </c>
      <c r="F2316" s="54" t="n"/>
      <c r="G2316" t="inlineStr">
        <is>
          <t>no aplica (precio mayorista)</t>
        </is>
      </c>
      <c r="J2316" t="inlineStr">
        <is>
          <t>2026-05-02</t>
        </is>
      </c>
      <c r="K2316" t="inlineStr">
        <is>
          <t>marginalpdbc_20260503.1</t>
        </is>
      </c>
      <c r="L2316" t="inlineStr">
        <is>
          <t>96 periodos; mín -0.02, máx 107.00 €/MWh</t>
        </is>
      </c>
    </row>
    <row r="2317">
      <c r="A2317" s="53" t="n">
        <v>46146</v>
      </c>
      <c r="B2317" t="inlineStr">
        <is>
          <t>2026-05-04</t>
        </is>
      </c>
      <c r="C2317" s="45" t="n">
        <v>69.7084</v>
      </c>
      <c r="D2317" t="inlineStr">
        <is>
          <t>€/MWh</t>
        </is>
      </c>
      <c r="E2317" s="54" t="n">
        <v>0.06970800000000001</v>
      </c>
      <c r="F2317" s="54" t="n"/>
      <c r="G2317" t="inlineStr">
        <is>
          <t>no aplica (precio mayorista)</t>
        </is>
      </c>
      <c r="J2317" t="inlineStr">
        <is>
          <t>2026-05-03</t>
        </is>
      </c>
      <c r="K2317" t="inlineStr">
        <is>
          <t>marginalpdbc_20260504.1</t>
        </is>
      </c>
      <c r="L2317" t="inlineStr">
        <is>
          <t>96 periodos; mín 0.00, máx 163.83 €/MWh</t>
        </is>
      </c>
    </row>
    <row r="2318">
      <c r="A2318" s="53" t="n">
        <v>46147</v>
      </c>
      <c r="B2318" t="inlineStr">
        <is>
          <t>2026-05-05</t>
        </is>
      </c>
      <c r="C2318" s="45" t="n">
        <v>64.34139999999999</v>
      </c>
      <c r="D2318" t="inlineStr">
        <is>
          <t>€/MWh</t>
        </is>
      </c>
      <c r="E2318" s="54" t="n">
        <v>0.064341</v>
      </c>
      <c r="F2318" s="54" t="n"/>
      <c r="G2318" t="inlineStr">
        <is>
          <t>no aplica (precio mayorista)</t>
        </is>
      </c>
      <c r="J2318" t="inlineStr">
        <is>
          <t>2026-05-04</t>
        </is>
      </c>
      <c r="K2318" t="inlineStr">
        <is>
          <t>marginalpdbc_20260505.1</t>
        </is>
      </c>
      <c r="L2318" t="inlineStr">
        <is>
          <t>96 periodos; mín 0.01, máx 120.99 €/MWh</t>
        </is>
      </c>
    </row>
    <row r="2319">
      <c r="A2319" s="53" t="n">
        <v>46148</v>
      </c>
      <c r="B2319" t="inlineStr">
        <is>
          <t>2026-05-06</t>
        </is>
      </c>
      <c r="C2319" s="45" t="n">
        <v>78.0243</v>
      </c>
      <c r="D2319" t="inlineStr">
        <is>
          <t>€/MWh</t>
        </is>
      </c>
      <c r="E2319" s="54" t="n">
        <v>0.078024</v>
      </c>
      <c r="F2319" s="54" t="n"/>
      <c r="G2319" t="inlineStr">
        <is>
          <t>no aplica (precio mayorista)</t>
        </is>
      </c>
      <c r="J2319" t="inlineStr">
        <is>
          <t>2026-05-05</t>
        </is>
      </c>
      <c r="K2319" t="inlineStr">
        <is>
          <t>marginalpdbc_20260506.1</t>
        </is>
      </c>
      <c r="L2319" t="inlineStr">
        <is>
          <t>96 periodos; mín 1.00, máx 170.67 €/MWh</t>
        </is>
      </c>
    </row>
    <row r="2320">
      <c r="A2320" s="53" t="n">
        <v>46149</v>
      </c>
      <c r="B2320" t="inlineStr">
        <is>
          <t>2026-05-07</t>
        </is>
      </c>
      <c r="C2320" s="45" t="n">
        <v>86.8969</v>
      </c>
      <c r="D2320" t="inlineStr">
        <is>
          <t>€/MWh</t>
        </is>
      </c>
      <c r="E2320" s="54" t="n">
        <v>0.086897</v>
      </c>
      <c r="F2320" s="54" t="n"/>
      <c r="G2320" t="inlineStr">
        <is>
          <t>no aplica (precio mayorista)</t>
        </is>
      </c>
      <c r="J2320" t="inlineStr">
        <is>
          <t>2026-05-06</t>
        </is>
      </c>
      <c r="K2320" t="inlineStr">
        <is>
          <t>marginalpdbc_20260507.1</t>
        </is>
      </c>
      <c r="L2320" t="inlineStr">
        <is>
          <t>96 periodos; mín 16.94, máx 155.63 €/MWh</t>
        </is>
      </c>
    </row>
    <row r="2321">
      <c r="A2321" s="53" t="n">
        <v>46150</v>
      </c>
      <c r="B2321" t="inlineStr">
        <is>
          <t>2026-05-08</t>
        </is>
      </c>
      <c r="C2321" s="45" t="n">
        <v>64.6842</v>
      </c>
      <c r="D2321" t="inlineStr">
        <is>
          <t>€/MWh</t>
        </is>
      </c>
      <c r="E2321" s="54" t="n">
        <v>0.06468400000000001</v>
      </c>
      <c r="F2321" s="54" t="n"/>
      <c r="G2321" t="inlineStr">
        <is>
          <t>no aplica (precio mayorista)</t>
        </is>
      </c>
      <c r="J2321" t="inlineStr">
        <is>
          <t>2026-05-07</t>
        </is>
      </c>
      <c r="K2321" t="inlineStr">
        <is>
          <t>marginalpdbc_20260508.1</t>
        </is>
      </c>
      <c r="L2321" t="inlineStr">
        <is>
          <t>96 periodos; mín 0.01, máx 111.85 €/MWh</t>
        </is>
      </c>
    </row>
    <row r="2322">
      <c r="A2322" s="53" t="n">
        <v>46151</v>
      </c>
      <c r="B2322" t="inlineStr">
        <is>
          <t>2026-05-09</t>
        </is>
      </c>
      <c r="C2322" s="45" t="n">
        <v>33.7972</v>
      </c>
      <c r="D2322" t="inlineStr">
        <is>
          <t>€/MWh</t>
        </is>
      </c>
      <c r="E2322" s="54" t="n">
        <v>0.033797</v>
      </c>
      <c r="F2322" s="54" t="n"/>
      <c r="G2322" t="inlineStr">
        <is>
          <t>no aplica (precio mayorista)</t>
        </is>
      </c>
      <c r="J2322" t="inlineStr">
        <is>
          <t>2026-05-08</t>
        </is>
      </c>
      <c r="K2322" t="inlineStr">
        <is>
          <t>marginalpdbc_20260509.1</t>
        </is>
      </c>
      <c r="L2322" t="inlineStr">
        <is>
          <t>96 periodos; mín 0.00, máx 84.85 €/MWh</t>
        </is>
      </c>
    </row>
    <row r="2323">
      <c r="A2323" s="53" t="n">
        <v>46152</v>
      </c>
      <c r="B2323" t="inlineStr">
        <is>
          <t>2026-05-10</t>
        </is>
      </c>
      <c r="C2323" s="45" t="n">
        <v>20.8448</v>
      </c>
      <c r="D2323" t="inlineStr">
        <is>
          <t>€/MWh</t>
        </is>
      </c>
      <c r="E2323" s="54" t="n">
        <v>0.020845</v>
      </c>
      <c r="F2323" s="54" t="n"/>
      <c r="G2323" t="inlineStr">
        <is>
          <t>no aplica (precio mayorista)</t>
        </is>
      </c>
      <c r="J2323" t="inlineStr">
        <is>
          <t>2026-05-09</t>
        </is>
      </c>
      <c r="K2323" t="inlineStr">
        <is>
          <t>marginalpdbc_20260510.1</t>
        </is>
      </c>
      <c r="L2323" t="inlineStr">
        <is>
          <t>96 periodos; mín -0.82, máx 96.55 €/MWh</t>
        </is>
      </c>
    </row>
    <row r="2324">
      <c r="A2324" s="53" t="n">
        <v>46153</v>
      </c>
      <c r="B2324" t="inlineStr">
        <is>
          <t>2026-05-11</t>
        </is>
      </c>
      <c r="C2324" s="45" t="n">
        <v>52.6595</v>
      </c>
      <c r="D2324" t="inlineStr">
        <is>
          <t>€/MWh</t>
        </is>
      </c>
      <c r="E2324" s="54" t="n">
        <v>0.052659</v>
      </c>
      <c r="F2324" s="54" t="n"/>
      <c r="G2324" t="inlineStr">
        <is>
          <t>no aplica (precio mayorista)</t>
        </is>
      </c>
      <c r="J2324" t="inlineStr">
        <is>
          <t>2026-05-10</t>
        </is>
      </c>
      <c r="K2324" t="inlineStr">
        <is>
          <t>marginalpdbc_20260511.1</t>
        </is>
      </c>
      <c r="L2324" t="inlineStr">
        <is>
          <t>96 periodos; mín 0.01, máx 210.00 €/MWh</t>
        </is>
      </c>
    </row>
    <row r="2325">
      <c r="A2325" s="53" t="n">
        <v>46154</v>
      </c>
      <c r="B2325" t="inlineStr">
        <is>
          <t>2026-05-12</t>
        </is>
      </c>
      <c r="C2325" s="45" t="n">
        <v>69.2333</v>
      </c>
      <c r="D2325" t="inlineStr">
        <is>
          <t>€/MWh</t>
        </is>
      </c>
      <c r="E2325" s="54" t="n">
        <v>0.069233</v>
      </c>
      <c r="F2325" s="54" t="n"/>
      <c r="G2325" t="inlineStr">
        <is>
          <t>no aplica (precio mayorista)</t>
        </is>
      </c>
      <c r="J2325" t="inlineStr">
        <is>
          <t>2026-05-11</t>
        </is>
      </c>
      <c r="K2325" t="inlineStr">
        <is>
          <t>marginalpdbc_20260512.1</t>
        </is>
      </c>
      <c r="L2325" t="inlineStr">
        <is>
          <t>96 periodos; mín 0.01, máx 126.53 €/MWh</t>
        </is>
      </c>
    </row>
    <row r="2326">
      <c r="A2326" s="53" t="n">
        <v>46155</v>
      </c>
      <c r="B2326" t="inlineStr">
        <is>
          <t>2026-05-13</t>
        </is>
      </c>
      <c r="C2326" s="45" t="n">
        <v>48.2616</v>
      </c>
      <c r="D2326" t="inlineStr">
        <is>
          <t>€/MWh</t>
        </is>
      </c>
      <c r="E2326" s="54" t="n">
        <v>0.048262</v>
      </c>
      <c r="F2326" s="54" t="n"/>
      <c r="G2326" t="inlineStr">
        <is>
          <t>no aplica (precio mayorista)</t>
        </is>
      </c>
      <c r="J2326" t="inlineStr">
        <is>
          <t>2026-05-12</t>
        </is>
      </c>
      <c r="K2326" t="inlineStr">
        <is>
          <t>marginalpdbc_20260513.1</t>
        </is>
      </c>
      <c r="L2326" t="inlineStr">
        <is>
          <t>96 periodos; mín -0.01, máx 110.00 €/MWh</t>
        </is>
      </c>
    </row>
    <row r="2327">
      <c r="A2327" s="53" t="n">
        <v>46156</v>
      </c>
      <c r="B2327" t="inlineStr">
        <is>
          <t>2026-05-14</t>
        </is>
      </c>
      <c r="C2327" s="45" t="n">
        <v>53.3395</v>
      </c>
      <c r="D2327" t="inlineStr">
        <is>
          <t>€/MWh</t>
        </is>
      </c>
      <c r="E2327" s="54" t="n">
        <v>0.053339</v>
      </c>
      <c r="F2327" s="54" t="n"/>
      <c r="G2327" t="inlineStr">
        <is>
          <t>no aplica (precio mayorista)</t>
        </is>
      </c>
      <c r="J2327" t="inlineStr">
        <is>
          <t>2026-05-13</t>
        </is>
      </c>
      <c r="K2327" t="inlineStr">
        <is>
          <t>marginalpdbc_20260514.1</t>
        </is>
      </c>
      <c r="L2327" t="inlineStr">
        <is>
          <t>96 periodos; mín -0.01, máx 111.03 €/MWh</t>
        </is>
      </c>
    </row>
    <row r="2328">
      <c r="A2328" s="53" t="n">
        <v>46157</v>
      </c>
      <c r="B2328" t="inlineStr">
        <is>
          <t>2026-05-15</t>
        </is>
      </c>
      <c r="C2328" s="45" t="n">
        <v>37.7285</v>
      </c>
      <c r="D2328" t="inlineStr">
        <is>
          <t>€/MWh</t>
        </is>
      </c>
      <c r="E2328" s="54" t="n">
        <v>0.037729</v>
      </c>
      <c r="F2328" s="54" t="n"/>
      <c r="G2328" t="inlineStr">
        <is>
          <t>no aplica (precio mayorista)</t>
        </is>
      </c>
      <c r="J2328" t="inlineStr">
        <is>
          <t>2026-05-14</t>
        </is>
      </c>
      <c r="K2328" t="inlineStr">
        <is>
          <t>marginalpdbc_20260515.1</t>
        </is>
      </c>
      <c r="L2328" t="inlineStr">
        <is>
          <t>96 periodos; mín -0.01, máx 94.80 €/MWh</t>
        </is>
      </c>
    </row>
    <row r="2329">
      <c r="A2329" s="53" t="n">
        <v>46158</v>
      </c>
      <c r="B2329" t="inlineStr">
        <is>
          <t>2026-05-16</t>
        </is>
      </c>
      <c r="C2329" s="45" t="n">
        <v>41.7775</v>
      </c>
      <c r="D2329" t="inlineStr">
        <is>
          <t>€/MWh</t>
        </is>
      </c>
      <c r="E2329" s="54" t="n">
        <v>0.041777</v>
      </c>
      <c r="F2329" s="54" t="n"/>
      <c r="G2329" t="inlineStr">
        <is>
          <t>no aplica (precio mayorista)</t>
        </is>
      </c>
      <c r="J2329" t="inlineStr">
        <is>
          <t>2026-05-15</t>
        </is>
      </c>
      <c r="K2329" t="inlineStr">
        <is>
          <t>marginalpdbc_20260516.1</t>
        </is>
      </c>
      <c r="L2329" t="inlineStr">
        <is>
          <t>96 periodos; mín -1.00, máx 113.69 €/MWh</t>
        </is>
      </c>
    </row>
    <row r="2330">
      <c r="A2330" s="53" t="n">
        <v>46159</v>
      </c>
      <c r="B2330" t="inlineStr">
        <is>
          <t>2026-05-17</t>
        </is>
      </c>
      <c r="C2330" s="45" t="n">
        <v>45.8149</v>
      </c>
      <c r="D2330" t="inlineStr">
        <is>
          <t>€/MWh</t>
        </is>
      </c>
      <c r="E2330" s="54" t="n">
        <v>0.045815</v>
      </c>
      <c r="F2330" s="54" t="n"/>
      <c r="G2330" t="inlineStr">
        <is>
          <t>no aplica (precio mayorista)</t>
        </is>
      </c>
      <c r="J2330" t="inlineStr">
        <is>
          <t>2026-05-16</t>
        </is>
      </c>
      <c r="K2330" t="inlineStr">
        <is>
          <t>marginalpdbc_20260517.1</t>
        </is>
      </c>
      <c r="L2330" t="inlineStr">
        <is>
          <t>96 periodos; mín -0.01, máx 120.67 €/MWh</t>
        </is>
      </c>
    </row>
    <row r="2331">
      <c r="A2331" s="53" t="n">
        <v>46160</v>
      </c>
      <c r="B2331" t="inlineStr">
        <is>
          <t>2026-05-18</t>
        </is>
      </c>
      <c r="C2331" s="45" t="n">
        <v>60.7154</v>
      </c>
      <c r="D2331" t="inlineStr">
        <is>
          <t>€/MWh</t>
        </is>
      </c>
      <c r="E2331" s="54" t="n">
        <v>0.060715</v>
      </c>
      <c r="F2331" s="54" t="n"/>
      <c r="G2331" t="inlineStr">
        <is>
          <t>no aplica (precio mayorista)</t>
        </is>
      </c>
      <c r="J2331" t="inlineStr">
        <is>
          <t>2026-05-17</t>
        </is>
      </c>
      <c r="K2331" t="inlineStr">
        <is>
          <t>marginalpdbc_20260518.1</t>
        </is>
      </c>
      <c r="L2331" t="inlineStr">
        <is>
          <t>96 periodos; mín 0.00, máx 133.04 €/MWh</t>
        </is>
      </c>
    </row>
    <row r="2332">
      <c r="A2332" s="53" t="n">
        <v>46161</v>
      </c>
      <c r="B2332" t="inlineStr">
        <is>
          <t>2026-05-19</t>
        </is>
      </c>
      <c r="C2332" s="45" t="n">
        <v>45.8537</v>
      </c>
      <c r="D2332" t="inlineStr">
        <is>
          <t>€/MWh</t>
        </is>
      </c>
      <c r="E2332" s="54" t="n">
        <v>0.045854</v>
      </c>
      <c r="F2332" s="54" t="n"/>
      <c r="G2332" t="inlineStr">
        <is>
          <t>no aplica (precio mayorista)</t>
        </is>
      </c>
      <c r="J2332" t="inlineStr">
        <is>
          <t>2026-05-18</t>
        </is>
      </c>
      <c r="K2332" t="inlineStr">
        <is>
          <t>marginalpdbc_20260519.1</t>
        </is>
      </c>
      <c r="L2332" t="inlineStr">
        <is>
          <t>96 periodos; mín 0.00, máx 120.04 €/MWh</t>
        </is>
      </c>
    </row>
    <row r="2333">
      <c r="A2333" s="53" t="n">
        <v>46162</v>
      </c>
      <c r="B2333" t="inlineStr">
        <is>
          <t>2026-05-20</t>
        </is>
      </c>
      <c r="C2333" s="45" t="n">
        <v>56.0316</v>
      </c>
      <c r="D2333" t="inlineStr">
        <is>
          <t>€/MWh</t>
        </is>
      </c>
      <c r="E2333" s="54" t="n">
        <v>0.056032</v>
      </c>
      <c r="F2333" s="54" t="n"/>
      <c r="G2333" t="inlineStr">
        <is>
          <t>no aplica (precio mayorista)</t>
        </is>
      </c>
      <c r="J2333" t="inlineStr">
        <is>
          <t>2026-05-19</t>
        </is>
      </c>
      <c r="K2333" t="inlineStr">
        <is>
          <t>marginalpdbc_20260520.1</t>
        </is>
      </c>
      <c r="L2333" t="inlineStr">
        <is>
          <t>96 periodos; mín -0.81, máx 139.39 €/MWh</t>
        </is>
      </c>
    </row>
    <row r="2334">
      <c r="A2334" s="53" t="n">
        <v>46163</v>
      </c>
      <c r="B2334" t="inlineStr">
        <is>
          <t>2026-05-21</t>
        </is>
      </c>
      <c r="C2334" s="45" t="n">
        <v>57.7545</v>
      </c>
      <c r="D2334" t="inlineStr">
        <is>
          <t>€/MWh</t>
        </is>
      </c>
      <c r="E2334" s="54" t="n">
        <v>0.057754</v>
      </c>
      <c r="F2334" s="54" t="n"/>
      <c r="G2334" t="inlineStr">
        <is>
          <t>no aplica (precio mayorista)</t>
        </is>
      </c>
      <c r="J2334" t="inlineStr">
        <is>
          <t>2026-05-20</t>
        </is>
      </c>
      <c r="K2334" t="inlineStr">
        <is>
          <t>marginalpdbc_20260521.1</t>
        </is>
      </c>
      <c r="L2334" t="inlineStr">
        <is>
          <t>96 periodos; mín -0.50, máx 125.01 €/MWh</t>
        </is>
      </c>
    </row>
    <row r="2335">
      <c r="A2335" s="53" t="n">
        <v>46164</v>
      </c>
      <c r="B2335" t="inlineStr">
        <is>
          <t>2026-05-22</t>
        </is>
      </c>
      <c r="C2335" s="45" t="n">
        <v>56.1351</v>
      </c>
      <c r="D2335" t="inlineStr">
        <is>
          <t>€/MWh</t>
        </is>
      </c>
      <c r="E2335" s="54" t="n">
        <v>0.056135</v>
      </c>
      <c r="F2335" s="54" t="n"/>
      <c r="G2335" t="inlineStr">
        <is>
          <t>no aplica (precio mayorista)</t>
        </is>
      </c>
      <c r="J2335" t="inlineStr">
        <is>
          <t>2026-05-21</t>
        </is>
      </c>
      <c r="K2335" t="inlineStr">
        <is>
          <t>marginalpdbc_20260522.1</t>
        </is>
      </c>
      <c r="L2335" t="inlineStr">
        <is>
          <t>96 periodos; mín -0.01, máx 125.01 €/MWh</t>
        </is>
      </c>
    </row>
    <row r="2336">
      <c r="A2336" s="53" t="n">
        <v>46165</v>
      </c>
      <c r="B2336" t="inlineStr">
        <is>
          <t>2026-05-23</t>
        </is>
      </c>
      <c r="C2336" s="45" t="n">
        <v>36.5217</v>
      </c>
      <c r="D2336" t="inlineStr">
        <is>
          <t>€/MWh</t>
        </is>
      </c>
      <c r="E2336" s="54" t="n">
        <v>0.036522</v>
      </c>
      <c r="F2336" s="54" t="n"/>
      <c r="G2336" t="inlineStr">
        <is>
          <t>no aplica (precio mayorista)</t>
        </is>
      </c>
      <c r="J2336" t="inlineStr">
        <is>
          <t>2026-05-22</t>
        </is>
      </c>
      <c r="K2336" t="inlineStr">
        <is>
          <t>marginalpdbc_20260523.1</t>
        </is>
      </c>
      <c r="L2336" t="inlineStr">
        <is>
          <t>96 periodos; mín -3.00, máx 115.00 €/MWh</t>
        </is>
      </c>
    </row>
    <row r="2337">
      <c r="A2337" s="53" t="n">
        <v>46166</v>
      </c>
      <c r="B2337" t="inlineStr">
        <is>
          <t>2026-05-24</t>
        </is>
      </c>
      <c r="C2337" s="45" t="n">
        <v>26.3163</v>
      </c>
      <c r="D2337" t="inlineStr">
        <is>
          <t>€/MWh</t>
        </is>
      </c>
      <c r="E2337" s="54" t="n">
        <v>0.026316</v>
      </c>
      <c r="F2337" s="54" t="n"/>
      <c r="G2337" t="inlineStr">
        <is>
          <t>no aplica (precio mayorista)</t>
        </is>
      </c>
      <c r="J2337" t="inlineStr">
        <is>
          <t>2026-05-23</t>
        </is>
      </c>
      <c r="K2337" t="inlineStr">
        <is>
          <t>marginalpdbc_20260524.1</t>
        </is>
      </c>
      <c r="L2337" t="inlineStr">
        <is>
          <t>96 periodos; mín -2.10, máx 91.62 €/MWh</t>
        </is>
      </c>
    </row>
    <row r="2338">
      <c r="A2338" s="53" t="n">
        <v>46167</v>
      </c>
      <c r="B2338" t="inlineStr">
        <is>
          <t>2026-05-25</t>
        </is>
      </c>
      <c r="C2338" s="45" t="n">
        <v>31.716</v>
      </c>
      <c r="D2338" t="inlineStr">
        <is>
          <t>€/MWh</t>
        </is>
      </c>
      <c r="E2338" s="54" t="n">
        <v>0.031716</v>
      </c>
      <c r="F2338" s="54" t="n"/>
      <c r="G2338" t="inlineStr">
        <is>
          <t>no aplica (precio mayorista)</t>
        </is>
      </c>
      <c r="J2338" t="inlineStr">
        <is>
          <t>2026-05-24</t>
        </is>
      </c>
      <c r="K2338" t="inlineStr">
        <is>
          <t>marginalpdbc_20260525.1</t>
        </is>
      </c>
      <c r="L2338" t="inlineStr">
        <is>
          <t>96 periodos; mín -2.10, máx 110.00 €/MWh</t>
        </is>
      </c>
    </row>
    <row r="2339">
      <c r="A2339" s="53" t="n">
        <v>46168</v>
      </c>
      <c r="B2339" t="inlineStr">
        <is>
          <t>2026-05-26</t>
        </is>
      </c>
      <c r="C2339" s="45" t="n">
        <v>60.3668</v>
      </c>
      <c r="D2339" t="inlineStr">
        <is>
          <t>€/MWh</t>
        </is>
      </c>
      <c r="E2339" s="54" t="n">
        <v>0.060367</v>
      </c>
      <c r="F2339" s="54" t="n"/>
      <c r="G2339" t="inlineStr">
        <is>
          <t>no aplica (precio mayorista)</t>
        </is>
      </c>
      <c r="J2339" t="inlineStr">
        <is>
          <t>2026-05-25</t>
        </is>
      </c>
      <c r="K2339" t="inlineStr">
        <is>
          <t>marginalpdbc_20260526.1</t>
        </is>
      </c>
      <c r="L2339" t="inlineStr">
        <is>
          <t>96 periodos; mín -0.39, máx 167.20 €/MWh</t>
        </is>
      </c>
    </row>
    <row r="2340">
      <c r="A2340" s="53" t="n">
        <v>46169</v>
      </c>
      <c r="B2340" t="inlineStr">
        <is>
          <t>2026-05-27</t>
        </is>
      </c>
      <c r="C2340" s="45" t="n">
        <v>71.44199999999999</v>
      </c>
      <c r="D2340" t="inlineStr">
        <is>
          <t>€/MWh</t>
        </is>
      </c>
      <c r="E2340" s="54" t="n">
        <v>0.07144200000000001</v>
      </c>
      <c r="F2340" s="54" t="n"/>
      <c r="G2340" t="inlineStr">
        <is>
          <t>no aplica (precio mayorista)</t>
        </is>
      </c>
      <c r="J2340" t="inlineStr">
        <is>
          <t>2026-05-26</t>
        </is>
      </c>
      <c r="K2340" t="inlineStr">
        <is>
          <t>marginalpdbc_20260527.1</t>
        </is>
      </c>
      <c r="L2340" t="inlineStr">
        <is>
          <t>96 periodos; mín -0.01, máx 146.00 €/MWh</t>
        </is>
      </c>
    </row>
    <row r="2341">
      <c r="A2341" s="53" t="n">
        <v>46170</v>
      </c>
      <c r="B2341" t="inlineStr">
        <is>
          <t>2026-05-28</t>
        </is>
      </c>
      <c r="C2341" s="45" t="n">
        <v>74.9836</v>
      </c>
      <c r="D2341" t="inlineStr">
        <is>
          <t>€/MWh</t>
        </is>
      </c>
      <c r="E2341" s="54" t="n">
        <v>0.074984</v>
      </c>
      <c r="F2341" s="54" t="n"/>
      <c r="G2341" t="inlineStr">
        <is>
          <t>no aplica (precio mayorista)</t>
        </is>
      </c>
      <c r="J2341" t="inlineStr">
        <is>
          <t>2026-05-27</t>
        </is>
      </c>
      <c r="K2341" t="inlineStr">
        <is>
          <t>marginalpdbc_20260528.1</t>
        </is>
      </c>
      <c r="L2341" t="inlineStr">
        <is>
          <t>96 periodos; mín 0.00, máx 172.50 €/MWh</t>
        </is>
      </c>
    </row>
    <row r="2342">
      <c r="A2342" s="53" t="n">
        <v>46171</v>
      </c>
      <c r="B2342" t="inlineStr">
        <is>
          <t>2026-05-29</t>
        </is>
      </c>
      <c r="C2342" s="45" t="n">
        <v>79.59269999999999</v>
      </c>
      <c r="D2342" t="inlineStr">
        <is>
          <t>€/MWh</t>
        </is>
      </c>
      <c r="E2342" s="54" t="n">
        <v>0.079593</v>
      </c>
      <c r="F2342" s="54" t="n"/>
      <c r="G2342" t="inlineStr">
        <is>
          <t>no aplica (precio mayorista)</t>
        </is>
      </c>
      <c r="J2342" t="inlineStr">
        <is>
          <t>2026-05-28</t>
        </is>
      </c>
      <c r="K2342" t="inlineStr">
        <is>
          <t>marginalpdbc_20260529.1</t>
        </is>
      </c>
      <c r="L2342" t="inlineStr">
        <is>
          <t>96 periodos; mín 0.02, máx 164.53 €/MWh</t>
        </is>
      </c>
    </row>
    <row r="2343">
      <c r="A2343" s="53" t="n">
        <v>46172</v>
      </c>
      <c r="B2343" t="inlineStr">
        <is>
          <t>2026-05-30</t>
        </is>
      </c>
      <c r="C2343" s="45" t="n">
        <v>62.3167</v>
      </c>
      <c r="D2343" t="inlineStr">
        <is>
          <t>€/MWh</t>
        </is>
      </c>
      <c r="E2343" s="54" t="n">
        <v>0.062317</v>
      </c>
      <c r="F2343" s="54" t="n"/>
      <c r="G2343" t="inlineStr">
        <is>
          <t>no aplica (precio mayorista)</t>
        </is>
      </c>
      <c r="J2343" t="inlineStr">
        <is>
          <t>2026-05-29</t>
        </is>
      </c>
      <c r="K2343" t="inlineStr">
        <is>
          <t>marginalpdbc_20260530.1</t>
        </is>
      </c>
      <c r="L2343" t="inlineStr">
        <is>
          <t>96 periodos; mín -0.11, máx 130.00 €/MWh</t>
        </is>
      </c>
    </row>
    <row r="2344">
      <c r="A2344" s="53" t="n">
        <v>46173</v>
      </c>
      <c r="B2344" t="inlineStr">
        <is>
          <t>2026-05-31</t>
        </is>
      </c>
      <c r="C2344" s="45" t="n">
        <v>44.4903</v>
      </c>
      <c r="D2344" t="inlineStr">
        <is>
          <t>€/MWh</t>
        </is>
      </c>
      <c r="E2344" s="54" t="n">
        <v>0.04449</v>
      </c>
      <c r="F2344" s="54" t="n"/>
      <c r="G2344" t="inlineStr">
        <is>
          <t>no aplica (precio mayorista)</t>
        </is>
      </c>
      <c r="J2344" t="inlineStr">
        <is>
          <t>2026-05-30</t>
        </is>
      </c>
      <c r="K2344" t="inlineStr">
        <is>
          <t>marginalpdbc_20260531.1</t>
        </is>
      </c>
      <c r="L2344" t="inlineStr">
        <is>
          <t>96 periodos; mín -0.49, máx 104.67 €/MWh</t>
        </is>
      </c>
    </row>
    <row r="2345">
      <c r="A2345" s="53" t="n">
        <v>46174</v>
      </c>
      <c r="B2345" t="inlineStr">
        <is>
          <t>2026-06-01</t>
        </is>
      </c>
      <c r="C2345" s="45" t="n">
        <v>69.6849</v>
      </c>
      <c r="D2345" t="inlineStr">
        <is>
          <t>€/MWh</t>
        </is>
      </c>
      <c r="E2345" s="54" t="n">
        <v>0.069685</v>
      </c>
      <c r="F2345" s="54" t="n"/>
      <c r="G2345" t="inlineStr">
        <is>
          <t>no aplica (precio mayorista)</t>
        </is>
      </c>
      <c r="J2345" t="inlineStr">
        <is>
          <t>2026-05-31</t>
        </is>
      </c>
      <c r="K2345" t="inlineStr">
        <is>
          <t>marginalpdbc_20260601.1</t>
        </is>
      </c>
      <c r="L2345" t="inlineStr">
        <is>
          <t>96 periodos; mín 1.20, máx 152.43 €/MWh</t>
        </is>
      </c>
    </row>
    <row r="2346">
      <c r="A2346" s="53" t="n">
        <v>46175</v>
      </c>
      <c r="B2346" t="inlineStr">
        <is>
          <t>2026-06-02</t>
        </is>
      </c>
      <c r="C2346" s="45" t="n">
        <v>51.0804</v>
      </c>
      <c r="D2346" t="inlineStr">
        <is>
          <t>€/MWh</t>
        </is>
      </c>
      <c r="E2346" s="54" t="n">
        <v>0.05108</v>
      </c>
      <c r="F2346" s="54" t="n"/>
      <c r="G2346" t="inlineStr">
        <is>
          <t>no aplica (precio mayorista)</t>
        </is>
      </c>
      <c r="J2346" t="inlineStr">
        <is>
          <t>2026-06-01</t>
        </is>
      </c>
      <c r="K2346" t="inlineStr">
        <is>
          <t>marginalpdbc_20260602.1</t>
        </is>
      </c>
      <c r="L2346" t="inlineStr">
        <is>
          <t>96 periodos; mín -0.10, máx 122.77 €/MWh</t>
        </is>
      </c>
    </row>
    <row r="2347">
      <c r="A2347" s="53" t="n">
        <v>46176</v>
      </c>
      <c r="B2347" t="inlineStr">
        <is>
          <t>2026-06-03</t>
        </is>
      </c>
      <c r="C2347" s="45" t="n">
        <v>55.9349</v>
      </c>
      <c r="D2347" t="inlineStr">
        <is>
          <t>€/MWh</t>
        </is>
      </c>
      <c r="E2347" s="54" t="n">
        <v>0.055935</v>
      </c>
      <c r="F2347" s="54" t="n"/>
      <c r="G2347" t="inlineStr">
        <is>
          <t>no aplica (precio mayorista)</t>
        </is>
      </c>
      <c r="J2347" t="inlineStr">
        <is>
          <t>2026-06-02</t>
        </is>
      </c>
      <c r="K2347" t="inlineStr">
        <is>
          <t>marginalpdbc_20260603.1</t>
        </is>
      </c>
      <c r="L2347" t="inlineStr">
        <is>
          <t>96 periodos; mín -0.11, máx 138.05 €/MWh</t>
        </is>
      </c>
    </row>
    <row r="2348">
      <c r="A2348" s="53" t="n">
        <v>46177</v>
      </c>
      <c r="B2348" t="inlineStr">
        <is>
          <t>2026-06-04</t>
        </is>
      </c>
      <c r="C2348" s="45" t="n">
        <v>55.6209</v>
      </c>
      <c r="D2348" t="inlineStr">
        <is>
          <t>€/MWh</t>
        </is>
      </c>
      <c r="E2348" s="54" t="n">
        <v>0.055621</v>
      </c>
      <c r="F2348" s="54" t="n"/>
      <c r="G2348" t="inlineStr">
        <is>
          <t>no aplica (precio mayorista)</t>
        </is>
      </c>
      <c r="J2348" t="inlineStr">
        <is>
          <t>2026-06-03</t>
        </is>
      </c>
      <c r="K2348" t="inlineStr">
        <is>
          <t>marginalpdbc_20260604.1</t>
        </is>
      </c>
      <c r="L2348" t="inlineStr">
        <is>
          <t>96 periodos; mín -0.50, máx 135.01 €/MWh</t>
        </is>
      </c>
    </row>
    <row r="2349">
      <c r="A2349" s="53" t="n">
        <v>46178</v>
      </c>
      <c r="B2349" t="inlineStr">
        <is>
          <t>2026-06-05</t>
        </is>
      </c>
      <c r="C2349" s="45" t="n">
        <v>57.7473</v>
      </c>
      <c r="D2349" t="inlineStr">
        <is>
          <t>€/MWh</t>
        </is>
      </c>
      <c r="E2349" s="54" t="n">
        <v>0.057747</v>
      </c>
      <c r="F2349" s="54" t="n"/>
      <c r="G2349" t="inlineStr">
        <is>
          <t>no aplica (precio mayorista)</t>
        </is>
      </c>
      <c r="J2349" t="inlineStr">
        <is>
          <t>2026-06-04</t>
        </is>
      </c>
      <c r="K2349" t="inlineStr">
        <is>
          <t>marginalpdbc_20260605.1</t>
        </is>
      </c>
      <c r="L2349" t="inlineStr">
        <is>
          <t>96 periodos; mín 0.51, máx 131.00 €/MWh</t>
        </is>
      </c>
    </row>
    <row r="2350">
      <c r="A2350" s="53" t="n">
        <v>46179</v>
      </c>
      <c r="B2350" t="inlineStr">
        <is>
          <t>2026-06-06</t>
        </is>
      </c>
      <c r="C2350" s="45" t="n">
        <v>55.4771</v>
      </c>
      <c r="D2350" t="inlineStr">
        <is>
          <t>€/MWh</t>
        </is>
      </c>
      <c r="E2350" s="54" t="n">
        <v>0.055477</v>
      </c>
      <c r="F2350" s="54" t="n"/>
      <c r="G2350" t="inlineStr">
        <is>
          <t>no aplica (precio mayorista)</t>
        </is>
      </c>
      <c r="J2350" t="inlineStr">
        <is>
          <t>2026-06-05</t>
        </is>
      </c>
      <c r="K2350" t="inlineStr">
        <is>
          <t>marginalpdbc_20260606.1</t>
        </is>
      </c>
      <c r="L2350" t="inlineStr">
        <is>
          <t>96 periodos; mín -0.11, máx 127.45 €/MWh</t>
        </is>
      </c>
    </row>
    <row r="2351">
      <c r="A2351" s="53" t="n">
        <v>46180</v>
      </c>
      <c r="B2351" t="inlineStr">
        <is>
          <t>2026-06-07</t>
        </is>
      </c>
      <c r="C2351" s="45" t="n">
        <v>51.8413</v>
      </c>
      <c r="D2351" t="inlineStr">
        <is>
          <t>€/MWh</t>
        </is>
      </c>
      <c r="E2351" s="54" t="n">
        <v>0.051841</v>
      </c>
      <c r="F2351" s="54" t="n"/>
      <c r="G2351" t="inlineStr">
        <is>
          <t>no aplica (precio mayorista)</t>
        </is>
      </c>
      <c r="J2351" t="inlineStr">
        <is>
          <t>2026-06-06</t>
        </is>
      </c>
      <c r="K2351" t="inlineStr">
        <is>
          <t>marginalpdbc_20260607.1</t>
        </is>
      </c>
      <c r="L2351" t="inlineStr">
        <is>
          <t>96 periodos; mín -2.10, máx 125.54 €/MWh</t>
        </is>
      </c>
    </row>
    <row r="2352">
      <c r="A2352" s="53" t="n">
        <v>46181</v>
      </c>
      <c r="B2352" t="inlineStr">
        <is>
          <t>2026-06-08</t>
        </is>
      </c>
      <c r="C2352" s="45" t="n">
        <v>58.0827</v>
      </c>
      <c r="D2352" t="inlineStr">
        <is>
          <t>€/MWh</t>
        </is>
      </c>
      <c r="E2352" s="54" t="n">
        <v>0.058083</v>
      </c>
      <c r="F2352" s="54" t="n"/>
      <c r="G2352" t="inlineStr">
        <is>
          <t>no aplica (precio mayorista)</t>
        </is>
      </c>
      <c r="J2352" t="inlineStr">
        <is>
          <t>2026-06-07</t>
        </is>
      </c>
      <c r="K2352" t="inlineStr">
        <is>
          <t>marginalpdbc_20260608.1</t>
        </is>
      </c>
      <c r="L2352" t="inlineStr">
        <is>
          <t>96 periodos; mín 0.00, máx 123.08 €/MWh</t>
        </is>
      </c>
    </row>
    <row r="2353">
      <c r="A2353" s="53" t="n">
        <v>46182</v>
      </c>
      <c r="B2353" t="inlineStr">
        <is>
          <t>2026-06-09</t>
        </is>
      </c>
      <c r="C2353" s="45" t="n">
        <v>50.8119</v>
      </c>
      <c r="D2353" t="inlineStr">
        <is>
          <t>€/MWh</t>
        </is>
      </c>
      <c r="E2353" s="54" t="n">
        <v>0.050812</v>
      </c>
      <c r="F2353" s="54" t="n"/>
      <c r="G2353" t="inlineStr">
        <is>
          <t>no aplica (precio mayorista)</t>
        </is>
      </c>
      <c r="J2353" t="inlineStr">
        <is>
          <t>2026-06-08</t>
        </is>
      </c>
      <c r="K2353" t="inlineStr">
        <is>
          <t>marginalpdbc_20260609.1</t>
        </is>
      </c>
      <c r="L2353" t="inlineStr">
        <is>
          <t>96 periodos; mín -0.03, máx 130.01 €/MWh</t>
        </is>
      </c>
    </row>
    <row r="2354">
      <c r="A2354" s="53" t="n">
        <v>46183</v>
      </c>
      <c r="B2354" t="inlineStr">
        <is>
          <t>2026-06-10</t>
        </is>
      </c>
      <c r="C2354" s="45" t="n">
        <v>38.9563</v>
      </c>
      <c r="D2354" t="inlineStr">
        <is>
          <t>€/MWh</t>
        </is>
      </c>
      <c r="E2354" s="54" t="n">
        <v>0.038956</v>
      </c>
      <c r="F2354" s="54" t="n"/>
      <c r="G2354" t="inlineStr">
        <is>
          <t>no aplica (precio mayorista)</t>
        </is>
      </c>
      <c r="J2354" t="inlineStr">
        <is>
          <t>2026-06-09</t>
        </is>
      </c>
      <c r="K2354" t="inlineStr">
        <is>
          <t>marginalpdbc_20260610.1</t>
        </is>
      </c>
      <c r="L2354" t="inlineStr">
        <is>
          <t>96 periodos; mín -0.66, máx 97.50 €/MWh</t>
        </is>
      </c>
    </row>
    <row r="2355">
      <c r="A2355" s="53" t="n">
        <v>46184</v>
      </c>
      <c r="B2355" t="inlineStr">
        <is>
          <t>2026-06-11</t>
        </is>
      </c>
      <c r="C2355" s="45" t="n">
        <v>34.8594</v>
      </c>
      <c r="D2355" t="inlineStr">
        <is>
          <t>€/MWh</t>
        </is>
      </c>
      <c r="E2355" s="54" t="n">
        <v>0.034859</v>
      </c>
      <c r="F2355" s="54" t="n"/>
      <c r="G2355" t="inlineStr">
        <is>
          <t>no aplica (precio mayorista)</t>
        </is>
      </c>
      <c r="J2355" t="inlineStr">
        <is>
          <t>2026-06-10</t>
        </is>
      </c>
      <c r="K2355" t="inlineStr">
        <is>
          <t>marginalpdbc_20260611.1</t>
        </is>
      </c>
      <c r="L2355" t="inlineStr">
        <is>
          <t>96 periodos; mín -0.01, máx 124.40 €/MWh</t>
        </is>
      </c>
    </row>
    <row r="2356">
      <c r="A2356" s="53" t="n">
        <v>46185</v>
      </c>
      <c r="B2356" t="inlineStr">
        <is>
          <t>2026-06-12</t>
        </is>
      </c>
      <c r="C2356" s="45" t="n">
        <v>29.5493</v>
      </c>
      <c r="D2356" t="inlineStr">
        <is>
          <t>€/MWh</t>
        </is>
      </c>
      <c r="E2356" s="54" t="n">
        <v>0.029549</v>
      </c>
      <c r="F2356" s="54" t="n"/>
      <c r="G2356" t="inlineStr">
        <is>
          <t>no aplica (precio mayorista)</t>
        </is>
      </c>
      <c r="J2356" t="inlineStr">
        <is>
          <t>2026-06-11</t>
        </is>
      </c>
      <c r="K2356" t="inlineStr">
        <is>
          <t>marginalpdbc_20260612.1</t>
        </is>
      </c>
      <c r="L2356" t="inlineStr">
        <is>
          <t>96 periodos; mín -0.09, máx 117.45 €/MWh</t>
        </is>
      </c>
    </row>
    <row r="2357">
      <c r="A2357" s="53" t="n">
        <v>46186</v>
      </c>
      <c r="B2357" t="inlineStr">
        <is>
          <t>2026-06-13</t>
        </is>
      </c>
      <c r="C2357" s="45" t="n">
        <v>45.1931</v>
      </c>
      <c r="D2357" t="inlineStr">
        <is>
          <t>€/MWh</t>
        </is>
      </c>
      <c r="E2357" s="54" t="n">
        <v>0.045193</v>
      </c>
      <c r="F2357" s="54" t="n"/>
      <c r="G2357" t="inlineStr">
        <is>
          <t>no aplica (precio mayorista)</t>
        </is>
      </c>
      <c r="J2357" t="inlineStr">
        <is>
          <t>2026-06-12</t>
        </is>
      </c>
      <c r="K2357" t="inlineStr">
        <is>
          <t>marginalpdbc_20260613.1</t>
        </is>
      </c>
      <c r="L2357" t="inlineStr">
        <is>
          <t>96 periodos; mín -2.10, máx 129.46 €/MWh</t>
        </is>
      </c>
    </row>
    <row r="2358">
      <c r="A2358" s="53" t="n">
        <v>46187</v>
      </c>
      <c r="B2358" t="inlineStr">
        <is>
          <t>2026-06-14</t>
        </is>
      </c>
      <c r="C2358" s="45" t="n">
        <v>60.4785</v>
      </c>
      <c r="D2358" t="inlineStr">
        <is>
          <t>€/MWh</t>
        </is>
      </c>
      <c r="E2358" s="54" t="n">
        <v>0.060479</v>
      </c>
      <c r="F2358" s="54" t="n"/>
      <c r="G2358" t="inlineStr">
        <is>
          <t>no aplica (precio mayorista)</t>
        </is>
      </c>
      <c r="J2358" t="inlineStr">
        <is>
          <t>2026-06-13</t>
        </is>
      </c>
      <c r="K2358" t="inlineStr">
        <is>
          <t>marginalpdbc_20260614.1</t>
        </is>
      </c>
      <c r="L2358" t="inlineStr">
        <is>
          <t>96 periodos; mín -2.10, máx 137.43 €/MWh</t>
        </is>
      </c>
    </row>
    <row r="2359">
      <c r="A2359" s="53" t="n">
        <v>46188</v>
      </c>
      <c r="B2359" t="inlineStr">
        <is>
          <t>2026-06-15</t>
        </is>
      </c>
      <c r="C2359" s="45" t="n">
        <v>87.754</v>
      </c>
      <c r="D2359" t="inlineStr">
        <is>
          <t>€/MWh</t>
        </is>
      </c>
      <c r="E2359" s="54" t="n">
        <v>0.087754</v>
      </c>
      <c r="F2359" s="54" t="n"/>
      <c r="G2359" t="inlineStr">
        <is>
          <t>no aplica (precio mayorista)</t>
        </is>
      </c>
      <c r="J2359" t="inlineStr">
        <is>
          <t>2026-06-14</t>
        </is>
      </c>
      <c r="K2359" t="inlineStr">
        <is>
          <t>marginalpdbc_20260615.1</t>
        </is>
      </c>
      <c r="L2359" t="inlineStr">
        <is>
          <t>96 periodos; mín 0.84, máx 165.20 €/MWh</t>
        </is>
      </c>
    </row>
    <row r="2360">
      <c r="A2360" s="53" t="n">
        <v>46189</v>
      </c>
      <c r="B2360" t="inlineStr">
        <is>
          <t>2026-06-16</t>
        </is>
      </c>
      <c r="C2360" s="45" t="n">
        <v>98.3034</v>
      </c>
      <c r="D2360" t="inlineStr">
        <is>
          <t>€/MWh</t>
        </is>
      </c>
      <c r="E2360" s="54" t="n">
        <v>0.098303</v>
      </c>
      <c r="F2360" s="54" t="n"/>
      <c r="G2360" t="inlineStr">
        <is>
          <t>no aplica (precio mayorista)</t>
        </is>
      </c>
      <c r="J2360" t="inlineStr">
        <is>
          <t>2026-06-15</t>
        </is>
      </c>
      <c r="K2360" t="inlineStr">
        <is>
          <t>marginalpdbc_20260616.1</t>
        </is>
      </c>
      <c r="L2360" t="inlineStr">
        <is>
          <t>96 periodos; mín 18.08, máx 159.16 €/MWh</t>
        </is>
      </c>
    </row>
    <row r="2361">
      <c r="A2361" s="53" t="n">
        <v>46190</v>
      </c>
      <c r="B2361" t="inlineStr">
        <is>
          <t>2026-06-17</t>
        </is>
      </c>
      <c r="C2361" s="45" t="n">
        <v>94.90009999999999</v>
      </c>
      <c r="D2361" t="inlineStr">
        <is>
          <t>€/MWh</t>
        </is>
      </c>
      <c r="E2361" s="54" t="n">
        <v>0.0949</v>
      </c>
      <c r="F2361" s="54" t="n"/>
      <c r="G2361" t="inlineStr">
        <is>
          <t>no aplica (precio mayorista)</t>
        </is>
      </c>
      <c r="J2361" t="inlineStr">
        <is>
          <t>2026-06-16</t>
        </is>
      </c>
      <c r="K2361" t="inlineStr">
        <is>
          <t>marginalpdbc_20260617.1</t>
        </is>
      </c>
      <c r="L2361" t="inlineStr">
        <is>
          <t>96 periodos; mín 4.10, máx 158.02 €/MWh</t>
        </is>
      </c>
    </row>
    <row r="2362">
      <c r="A2362" s="53" t="n">
        <v>46191</v>
      </c>
      <c r="B2362" t="inlineStr">
        <is>
          <t>2026-06-18</t>
        </is>
      </c>
      <c r="C2362" s="45" t="n">
        <v>92.6412</v>
      </c>
      <c r="D2362" t="inlineStr">
        <is>
          <t>€/MWh</t>
        </is>
      </c>
      <c r="E2362" s="54" t="n">
        <v>0.092641</v>
      </c>
      <c r="F2362" s="54" t="n"/>
      <c r="G2362" t="inlineStr">
        <is>
          <t>no aplica (precio mayorista)</t>
        </is>
      </c>
      <c r="J2362" t="inlineStr">
        <is>
          <t>2026-06-17</t>
        </is>
      </c>
      <c r="K2362" t="inlineStr">
        <is>
          <t>marginalpdbc_20260618.1</t>
        </is>
      </c>
      <c r="L2362" t="inlineStr">
        <is>
          <t>96 periodos; mín 11.01, máx 142.67 €/MWh</t>
        </is>
      </c>
    </row>
    <row r="2363">
      <c r="A2363" s="53" t="n">
        <v>46192</v>
      </c>
      <c r="B2363" t="inlineStr">
        <is>
          <t>2026-06-19</t>
        </is>
      </c>
      <c r="C2363" s="45" t="n">
        <v>85.2835</v>
      </c>
      <c r="D2363" t="inlineStr">
        <is>
          <t>€/MWh</t>
        </is>
      </c>
      <c r="E2363" s="54" t="n">
        <v>0.085284</v>
      </c>
      <c r="F2363" s="54" t="n"/>
      <c r="G2363" t="inlineStr">
        <is>
          <t>no aplica (precio mayorista)</t>
        </is>
      </c>
      <c r="J2363" t="inlineStr">
        <is>
          <t>2026-06-18</t>
        </is>
      </c>
      <c r="K2363" t="inlineStr">
        <is>
          <t>marginalpdbc_20260619.1</t>
        </is>
      </c>
      <c r="L2363" t="inlineStr">
        <is>
          <t>96 periodos; mín 0.84, máx 150.01 €/MWh</t>
        </is>
      </c>
    </row>
    <row r="2364">
      <c r="A2364" s="53" t="n">
        <v>46193</v>
      </c>
      <c r="B2364" t="inlineStr">
        <is>
          <t>2026-06-20</t>
        </is>
      </c>
      <c r="C2364" s="45" t="n">
        <v>66.3541</v>
      </c>
      <c r="D2364" t="inlineStr">
        <is>
          <t>€/MWh</t>
        </is>
      </c>
      <c r="E2364" s="54" t="n">
        <v>0.066354</v>
      </c>
      <c r="F2364" s="54" t="n"/>
      <c r="G2364" t="inlineStr">
        <is>
          <t>no aplica (precio mayorista)</t>
        </is>
      </c>
      <c r="J2364" t="inlineStr">
        <is>
          <t>2026-06-19</t>
        </is>
      </c>
      <c r="K2364" t="inlineStr">
        <is>
          <t>marginalpdbc_20260620.1</t>
        </is>
      </c>
      <c r="L2364" t="inlineStr">
        <is>
          <t>96 periodos; mín -0.02, máx 129.45 €/MWh</t>
        </is>
      </c>
    </row>
    <row r="2365">
      <c r="A2365" s="53" t="n">
        <v>46194</v>
      </c>
      <c r="B2365" t="inlineStr">
        <is>
          <t>2026-06-21</t>
        </is>
      </c>
      <c r="C2365" s="45" t="n">
        <v>56.7689</v>
      </c>
      <c r="D2365" t="inlineStr">
        <is>
          <t>€/MWh</t>
        </is>
      </c>
      <c r="E2365" s="54" t="n">
        <v>0.056769</v>
      </c>
      <c r="F2365" s="54" t="n"/>
      <c r="G2365" t="inlineStr">
        <is>
          <t>no aplica (precio mayorista)</t>
        </is>
      </c>
      <c r="J2365" t="inlineStr">
        <is>
          <t>2026-06-20</t>
        </is>
      </c>
      <c r="K2365" t="inlineStr">
        <is>
          <t>marginalpdbc_20260621.1</t>
        </is>
      </c>
      <c r="L2365" t="inlineStr">
        <is>
          <t>96 periodos; mín -0.81, máx 143.31 €/MWh</t>
        </is>
      </c>
    </row>
    <row r="2366">
      <c r="A2366" s="53" t="n">
        <v>46195</v>
      </c>
      <c r="B2366" t="inlineStr">
        <is>
          <t>2026-06-22</t>
        </is>
      </c>
      <c r="C2366" s="45" t="n">
        <v>99.8852</v>
      </c>
      <c r="D2366" t="inlineStr">
        <is>
          <t>€/MWh</t>
        </is>
      </c>
      <c r="E2366" s="54" t="n">
        <v>0.099885</v>
      </c>
      <c r="F2366" s="54" t="n"/>
      <c r="G2366" t="inlineStr">
        <is>
          <t>no aplica (precio mayorista)</t>
        </is>
      </c>
      <c r="J2366" t="inlineStr">
        <is>
          <t>2026-06-21</t>
        </is>
      </c>
      <c r="K2366" t="inlineStr">
        <is>
          <t>marginalpdbc_20260622.1</t>
        </is>
      </c>
      <c r="L2366" t="inlineStr">
        <is>
          <t>96 periodos; mín 30.01, máx 185.90 €/MWh</t>
        </is>
      </c>
    </row>
    <row r="2367">
      <c r="A2367" s="53" t="n">
        <v>46196</v>
      </c>
      <c r="B2367" t="inlineStr">
        <is>
          <t>2026-06-23</t>
        </is>
      </c>
      <c r="C2367" s="45" t="n">
        <v>112.4216</v>
      </c>
      <c r="D2367" t="inlineStr">
        <is>
          <t>€/MWh</t>
        </is>
      </c>
      <c r="E2367" s="54" t="n">
        <v>0.112422</v>
      </c>
      <c r="F2367" s="54" t="n"/>
      <c r="G2367" t="inlineStr">
        <is>
          <t>no aplica (precio mayorista)</t>
        </is>
      </c>
      <c r="J2367" t="inlineStr">
        <is>
          <t>2026-06-22</t>
        </is>
      </c>
      <c r="K2367" t="inlineStr">
        <is>
          <t>marginalpdbc_20260623.1</t>
        </is>
      </c>
      <c r="L2367" t="inlineStr">
        <is>
          <t>96 periodos; mín 71.40, máx 185.01 €/MWh</t>
        </is>
      </c>
    </row>
    <row r="2368">
      <c r="A2368" s="53" t="n">
        <v>46197</v>
      </c>
      <c r="B2368" t="inlineStr">
        <is>
          <t>2026-06-24</t>
        </is>
      </c>
      <c r="C2368" s="45" t="n">
        <v>95.5656</v>
      </c>
      <c r="D2368" t="inlineStr">
        <is>
          <t>€/MWh</t>
        </is>
      </c>
      <c r="E2368" s="54" t="n">
        <v>0.095566</v>
      </c>
      <c r="F2368" s="54" t="n"/>
      <c r="G2368" t="inlineStr">
        <is>
          <t>no aplica (precio mayorista)</t>
        </is>
      </c>
      <c r="J2368" t="inlineStr">
        <is>
          <t>2026-06-23</t>
        </is>
      </c>
      <c r="K2368" t="inlineStr">
        <is>
          <t>marginalpdbc_20260624.1</t>
        </is>
      </c>
      <c r="L2368" t="inlineStr">
        <is>
          <t>96 periodos; mín 28.00, máx 146.50 €/MWh</t>
        </is>
      </c>
    </row>
    <row r="2369">
      <c r="A2369" s="53" t="n">
        <v>46198</v>
      </c>
      <c r="B2369" t="inlineStr">
        <is>
          <t>2026-06-25</t>
        </is>
      </c>
      <c r="C2369" s="45" t="n">
        <v>79.56310000000001</v>
      </c>
      <c r="D2369" t="inlineStr">
        <is>
          <t>€/MWh</t>
        </is>
      </c>
      <c r="E2369" s="54" t="n">
        <v>0.07956299999999999</v>
      </c>
      <c r="F2369" s="54" t="n"/>
      <c r="G2369" t="inlineStr">
        <is>
          <t>no aplica (precio mayorista)</t>
        </is>
      </c>
      <c r="J2369" t="inlineStr">
        <is>
          <t>2026-06-24</t>
        </is>
      </c>
      <c r="K2369" t="inlineStr">
        <is>
          <t>marginalpdbc_20260625.1</t>
        </is>
      </c>
      <c r="L2369" t="inlineStr">
        <is>
          <t>96 periodos; mín 1.00, máx 150.01 €/MWh</t>
        </is>
      </c>
    </row>
    <row r="2370">
      <c r="A2370" s="53" t="n">
        <v>46199</v>
      </c>
      <c r="B2370" t="inlineStr">
        <is>
          <t>2026-06-26</t>
        </is>
      </c>
      <c r="C2370" s="45" t="n">
        <v>87.49930000000001</v>
      </c>
      <c r="D2370" t="inlineStr">
        <is>
          <t>€/MWh</t>
        </is>
      </c>
      <c r="E2370" s="54" t="n">
        <v>0.08749899999999999</v>
      </c>
      <c r="F2370" s="54" t="n"/>
      <c r="G2370" t="inlineStr">
        <is>
          <t>no aplica (precio mayorista)</t>
        </is>
      </c>
      <c r="J2370" t="inlineStr">
        <is>
          <t>2026-06-25</t>
        </is>
      </c>
      <c r="K2370" t="inlineStr">
        <is>
          <t>marginalpdbc_20260626.1</t>
        </is>
      </c>
      <c r="L2370" t="inlineStr">
        <is>
          <t>96 periodos; mín 3.08, máx 151.43 €/MWh</t>
        </is>
      </c>
    </row>
    <row r="2371">
      <c r="A2371" s="53" t="n">
        <v>46200</v>
      </c>
      <c r="B2371" t="inlineStr">
        <is>
          <t>2026-06-27</t>
        </is>
      </c>
      <c r="C2371" s="45" t="n">
        <v>70.1931</v>
      </c>
      <c r="D2371" t="inlineStr">
        <is>
          <t>€/MWh</t>
        </is>
      </c>
      <c r="E2371" s="54" t="n">
        <v>0.07019300000000001</v>
      </c>
      <c r="F2371" s="54" t="n"/>
      <c r="G2371" t="inlineStr">
        <is>
          <t>no aplica (precio mayorista)</t>
        </is>
      </c>
      <c r="J2371" t="inlineStr">
        <is>
          <t>2026-06-26</t>
        </is>
      </c>
      <c r="K2371" t="inlineStr">
        <is>
          <t>marginalpdbc_20260627.1</t>
        </is>
      </c>
      <c r="L2371" t="inlineStr">
        <is>
          <t>96 periodos; mín -0.01, máx 161.45 €/MWh</t>
        </is>
      </c>
    </row>
    <row r="2372">
      <c r="A2372" s="53" t="n">
        <v>46201</v>
      </c>
      <c r="B2372" t="inlineStr">
        <is>
          <t>2026-06-28</t>
        </is>
      </c>
      <c r="C2372" s="45" t="n">
        <v>66.4605</v>
      </c>
      <c r="D2372" t="inlineStr">
        <is>
          <t>€/MWh</t>
        </is>
      </c>
      <c r="E2372" s="54" t="n">
        <v>0.06646100000000001</v>
      </c>
      <c r="F2372" s="54" t="n"/>
      <c r="G2372" t="inlineStr">
        <is>
          <t>no aplica (precio mayorista)</t>
        </is>
      </c>
      <c r="J2372" t="inlineStr">
        <is>
          <t>2026-06-27</t>
        </is>
      </c>
      <c r="K2372" t="inlineStr">
        <is>
          <t>marginalpdbc_20260628.1</t>
        </is>
      </c>
      <c r="L2372" t="inlineStr">
        <is>
          <t>96 periodos; mín 0.00, máx 141.99 €/MWh</t>
        </is>
      </c>
    </row>
    <row r="2373">
      <c r="A2373" s="53" t="n">
        <v>46202</v>
      </c>
      <c r="B2373" t="inlineStr">
        <is>
          <t>2026-06-29</t>
        </is>
      </c>
      <c r="C2373" s="45" t="n">
        <v>83.5119</v>
      </c>
      <c r="D2373" t="inlineStr">
        <is>
          <t>€/MWh</t>
        </is>
      </c>
      <c r="E2373" s="54" t="n">
        <v>0.083512</v>
      </c>
      <c r="F2373" s="54" t="n"/>
      <c r="G2373" t="inlineStr">
        <is>
          <t>no aplica (precio mayorista)</t>
        </is>
      </c>
      <c r="J2373" t="inlineStr">
        <is>
          <t>2026-06-28</t>
        </is>
      </c>
      <c r="K2373" t="inlineStr">
        <is>
          <t>marginalpdbc_20260629.1</t>
        </is>
      </c>
      <c r="L2373" t="inlineStr">
        <is>
          <t>96 periodos; mín 4.53, máx 151.53 €/MWh</t>
        </is>
      </c>
    </row>
    <row r="2374">
      <c r="A2374" s="53" t="n">
        <v>46203</v>
      </c>
      <c r="B2374" t="inlineStr">
        <is>
          <t>2026-06-30</t>
        </is>
      </c>
      <c r="C2374" s="45" t="n">
        <v>95.3549</v>
      </c>
      <c r="D2374" t="inlineStr">
        <is>
          <t>€/MWh</t>
        </is>
      </c>
      <c r="E2374" s="54" t="n">
        <v>0.095355</v>
      </c>
      <c r="F2374" s="54" t="n"/>
      <c r="G2374" t="inlineStr">
        <is>
          <t>no aplica (precio mayorista)</t>
        </is>
      </c>
      <c r="J2374" t="inlineStr">
        <is>
          <t>2026-06-29</t>
        </is>
      </c>
      <c r="K2374" t="inlineStr">
        <is>
          <t>marginalpdbc_20260630.1</t>
        </is>
      </c>
      <c r="L2374" t="inlineStr">
        <is>
          <t>96 periodos; mín 45.50, máx 136.75 €/MWh</t>
        </is>
      </c>
    </row>
    <row r="2375">
      <c r="A2375" s="53" t="n">
        <v>46204</v>
      </c>
      <c r="B2375" t="inlineStr">
        <is>
          <t>2026-07-01</t>
        </is>
      </c>
      <c r="C2375" s="45" t="n">
        <v>56.7722</v>
      </c>
      <c r="D2375" t="inlineStr">
        <is>
          <t>€/MWh</t>
        </is>
      </c>
      <c r="E2375" s="54" t="n">
        <v>0.056772</v>
      </c>
      <c r="F2375" s="54" t="n"/>
      <c r="G2375" t="inlineStr">
        <is>
          <t>no aplica (precio mayorista)</t>
        </is>
      </c>
      <c r="J2375" t="inlineStr">
        <is>
          <t>2026-06-30</t>
        </is>
      </c>
      <c r="K2375" t="inlineStr">
        <is>
          <t>marginalpdbc_20260701.1</t>
        </is>
      </c>
      <c r="L2375" t="inlineStr">
        <is>
          <t>96 periodos; mín 0.00, máx 125.98 €/MWh</t>
        </is>
      </c>
    </row>
    <row r="2376">
      <c r="A2376" s="53" t="n">
        <v>46205</v>
      </c>
      <c r="B2376" t="inlineStr">
        <is>
          <t>2026-07-02</t>
        </is>
      </c>
      <c r="C2376" s="45" t="n">
        <v>46.7875</v>
      </c>
      <c r="D2376" t="inlineStr">
        <is>
          <t>€/MWh</t>
        </is>
      </c>
      <c r="E2376" s="54" t="n">
        <v>0.046788</v>
      </c>
      <c r="F2376" s="54" t="n"/>
      <c r="G2376" t="inlineStr">
        <is>
          <t>no aplica (precio mayorista)</t>
        </is>
      </c>
      <c r="J2376" t="inlineStr">
        <is>
          <t>2026-07-01</t>
        </is>
      </c>
      <c r="K2376" t="inlineStr">
        <is>
          <t>marginalpdbc_20260702.1</t>
        </is>
      </c>
      <c r="L2376" t="inlineStr">
        <is>
          <t>96 periodos; mín -0.01, máx 123.84 €/MWh</t>
        </is>
      </c>
    </row>
    <row r="2377">
      <c r="A2377" s="53" t="n">
        <v>46206</v>
      </c>
      <c r="B2377" t="inlineStr">
        <is>
          <t>2026-07-03</t>
        </is>
      </c>
      <c r="C2377" s="45" t="n">
        <v>47.3109</v>
      </c>
      <c r="D2377" t="inlineStr">
        <is>
          <t>€/MWh</t>
        </is>
      </c>
      <c r="E2377" s="54" t="n">
        <v>0.047311</v>
      </c>
      <c r="F2377" s="54" t="n"/>
      <c r="G2377" t="inlineStr">
        <is>
          <t>no aplica (precio mayorista)</t>
        </is>
      </c>
      <c r="J2377" t="inlineStr">
        <is>
          <t>2026-07-02</t>
        </is>
      </c>
      <c r="K2377" t="inlineStr">
        <is>
          <t>marginalpdbc_20260703.1</t>
        </is>
      </c>
      <c r="L2377" t="inlineStr">
        <is>
          <t>96 periodos; mín -0.11, máx 131.12 €/MWh</t>
        </is>
      </c>
    </row>
    <row r="2378">
      <c r="A2378" s="53" t="n">
        <v>46207</v>
      </c>
      <c r="B2378" t="inlineStr">
        <is>
          <t>2026-07-04</t>
        </is>
      </c>
      <c r="C2378" s="45" t="n">
        <v>48.8533</v>
      </c>
      <c r="D2378" t="inlineStr">
        <is>
          <t>€/MWh</t>
        </is>
      </c>
      <c r="E2378" s="54" t="n">
        <v>0.048853</v>
      </c>
      <c r="F2378" s="54" t="n"/>
      <c r="G2378" t="inlineStr">
        <is>
          <t>no aplica (precio mayorista)</t>
        </is>
      </c>
      <c r="J2378" t="inlineStr">
        <is>
          <t>2026-07-03</t>
        </is>
      </c>
      <c r="K2378" t="inlineStr">
        <is>
          <t>marginalpdbc_20260704.1</t>
        </is>
      </c>
      <c r="L2378" t="inlineStr">
        <is>
          <t>96 periodos; mín -0.81, máx 128.84 €/MWh</t>
        </is>
      </c>
    </row>
    <row r="2379">
      <c r="A2379" s="53" t="n">
        <v>46208</v>
      </c>
      <c r="B2379" t="inlineStr">
        <is>
          <t>2026-07-05</t>
        </is>
      </c>
      <c r="C2379" s="45" t="n">
        <v>63.8077</v>
      </c>
      <c r="D2379" t="inlineStr">
        <is>
          <t>€/MWh</t>
        </is>
      </c>
      <c r="E2379" s="54" t="n">
        <v>0.063808</v>
      </c>
      <c r="F2379" s="54" t="n"/>
      <c r="G2379" t="inlineStr">
        <is>
          <t>no aplica (precio mayorista)</t>
        </is>
      </c>
      <c r="J2379" t="inlineStr">
        <is>
          <t>2026-07-04</t>
        </is>
      </c>
      <c r="K2379" t="inlineStr">
        <is>
          <t>marginalpdbc_20260705.1</t>
        </is>
      </c>
      <c r="L2379" t="inlineStr">
        <is>
          <t>96 periodos; mín -0.19, máx 160.72 €/MWh</t>
        </is>
      </c>
    </row>
    <row r="2380">
      <c r="A2380" s="53" t="n">
        <v>46209</v>
      </c>
      <c r="B2380" t="inlineStr">
        <is>
          <t>2026-07-06</t>
        </is>
      </c>
      <c r="C2380" s="45" t="n">
        <v>100.5532</v>
      </c>
      <c r="D2380" t="inlineStr">
        <is>
          <t>€/MWh</t>
        </is>
      </c>
      <c r="E2380" s="54" t="n">
        <v>0.100553</v>
      </c>
      <c r="F2380" s="54" t="n"/>
      <c r="G2380" t="inlineStr">
        <is>
          <t>no aplica (precio mayorista)</t>
        </is>
      </c>
      <c r="J2380" t="inlineStr">
        <is>
          <t>2026-07-05</t>
        </is>
      </c>
      <c r="K2380" t="inlineStr">
        <is>
          <t>marginalpdbc_20260706.1</t>
        </is>
      </c>
      <c r="L2380" t="inlineStr">
        <is>
          <t>96 periodos; mín 10.00, máx 165.00 €/MWh</t>
        </is>
      </c>
    </row>
    <row r="2381">
      <c r="A2381" s="53" t="n">
        <v>46210</v>
      </c>
      <c r="B2381" t="inlineStr">
        <is>
          <t>2026-07-07</t>
        </is>
      </c>
      <c r="C2381" s="45" t="n">
        <v>113.9534</v>
      </c>
      <c r="D2381" t="inlineStr">
        <is>
          <t>€/MWh</t>
        </is>
      </c>
      <c r="E2381" s="54" t="n">
        <v>0.113953</v>
      </c>
      <c r="F2381" s="54" t="n"/>
      <c r="G2381" t="inlineStr">
        <is>
          <t>no aplica (precio mayorista)</t>
        </is>
      </c>
      <c r="J2381" t="inlineStr">
        <is>
          <t>2026-07-06</t>
        </is>
      </c>
      <c r="K2381" t="inlineStr">
        <is>
          <t>marginalpdbc_20260707.1</t>
        </is>
      </c>
      <c r="L2381" t="inlineStr">
        <is>
          <t>96 periodos; mín 70.00, máx 171.11 €/MWh</t>
        </is>
      </c>
    </row>
    <row r="2382">
      <c r="A2382" s="53" t="n">
        <v>46211</v>
      </c>
      <c r="B2382" t="inlineStr">
        <is>
          <t>2026-07-08</t>
        </is>
      </c>
      <c r="C2382" s="45" t="n">
        <v>109.8486</v>
      </c>
      <c r="D2382" t="inlineStr">
        <is>
          <t>€/MWh</t>
        </is>
      </c>
      <c r="E2382" s="54" t="n">
        <v>0.109849</v>
      </c>
      <c r="F2382" s="54" t="n"/>
      <c r="G2382" t="inlineStr">
        <is>
          <t>no aplica (precio mayorista)</t>
        </is>
      </c>
      <c r="J2382" t="inlineStr">
        <is>
          <t>2026-07-07</t>
        </is>
      </c>
      <c r="K2382" t="inlineStr">
        <is>
          <t>marginalpdbc_20260708.1</t>
        </is>
      </c>
      <c r="L2382" t="inlineStr">
        <is>
          <t>96 periodos; mín 38.95, máx 175.41 €/MWh</t>
        </is>
      </c>
    </row>
    <row r="2383">
      <c r="A2383" s="53" t="n">
        <v>46212</v>
      </c>
      <c r="B2383" t="inlineStr">
        <is>
          <t>2026-07-09</t>
        </is>
      </c>
      <c r="C2383" s="45" t="n">
        <v>112.7701</v>
      </c>
      <c r="D2383" t="inlineStr">
        <is>
          <t>€/MWh</t>
        </is>
      </c>
      <c r="E2383" s="54" t="n">
        <v>0.11277</v>
      </c>
      <c r="F2383" s="54" t="n"/>
      <c r="G2383" t="inlineStr">
        <is>
          <t>no aplica (precio mayorista)</t>
        </is>
      </c>
      <c r="J2383" t="inlineStr">
        <is>
          <t>2026-07-08</t>
        </is>
      </c>
      <c r="K2383" t="inlineStr">
        <is>
          <t>marginalpdbc_20260709.1</t>
        </is>
      </c>
      <c r="L2383" t="inlineStr">
        <is>
          <t>96 periodos; mín 15.57, máx 181.99 €/MWh</t>
        </is>
      </c>
    </row>
    <row r="2384">
      <c r="A2384" s="53" t="n">
        <v>46213</v>
      </c>
      <c r="B2384" t="inlineStr">
        <is>
          <t>2026-07-10</t>
        </is>
      </c>
      <c r="C2384" s="45" t="n">
        <v>117.8523</v>
      </c>
      <c r="D2384" t="inlineStr">
        <is>
          <t>€/MWh</t>
        </is>
      </c>
      <c r="E2384" s="54" t="n">
        <v>0.117852</v>
      </c>
      <c r="F2384" s="54" t="n"/>
      <c r="G2384" t="inlineStr">
        <is>
          <t>no aplica (precio mayorista)</t>
        </is>
      </c>
      <c r="J2384" t="inlineStr">
        <is>
          <t>2026-07-09</t>
        </is>
      </c>
      <c r="K2384" t="inlineStr">
        <is>
          <t>marginalpdbc_20260710.1</t>
        </is>
      </c>
      <c r="L2384" t="inlineStr">
        <is>
          <t>96 periodos; mín 30.00, máx 172.70 €/MWh</t>
        </is>
      </c>
    </row>
    <row r="2385">
      <c r="A2385" s="53" t="n">
        <v>46214</v>
      </c>
      <c r="B2385" t="inlineStr">
        <is>
          <t>2026-07-11</t>
        </is>
      </c>
      <c r="C2385" s="45" t="n">
        <v>87.3152</v>
      </c>
      <c r="D2385" t="inlineStr">
        <is>
          <t>€/MWh</t>
        </is>
      </c>
      <c r="E2385" s="54" t="n">
        <v>0.087315</v>
      </c>
      <c r="F2385" s="54" t="n"/>
      <c r="G2385" t="inlineStr">
        <is>
          <t>no aplica (precio mayorista)</t>
        </is>
      </c>
      <c r="J2385" t="inlineStr">
        <is>
          <t>2026-07-10</t>
        </is>
      </c>
      <c r="K2385" t="inlineStr">
        <is>
          <t>marginalpdbc_20260711.1</t>
        </is>
      </c>
      <c r="L2385" t="inlineStr">
        <is>
          <t>96 periodos; mín -0.01, máx 160.31 €/MWh</t>
        </is>
      </c>
    </row>
    <row r="2386">
      <c r="A2386" s="53" t="n">
        <v>46215</v>
      </c>
      <c r="B2386" t="inlineStr">
        <is>
          <t>2026-07-12</t>
        </is>
      </c>
      <c r="C2386" s="45" t="n">
        <v>72.00409999999999</v>
      </c>
      <c r="D2386" t="inlineStr">
        <is>
          <t>€/MWh</t>
        </is>
      </c>
      <c r="E2386" s="54" t="n">
        <v>0.072004</v>
      </c>
      <c r="F2386" s="54" t="n"/>
      <c r="G2386" t="inlineStr">
        <is>
          <t>no aplica (precio mayorista)</t>
        </is>
      </c>
      <c r="J2386" t="inlineStr">
        <is>
          <t>2026-07-11</t>
        </is>
      </c>
      <c r="K2386" t="inlineStr">
        <is>
          <t>marginalpdbc_20260712.1</t>
        </is>
      </c>
      <c r="L2386" t="inlineStr">
        <is>
          <t>96 periodos; mín -1.43, máx 153.42 €/MWh</t>
        </is>
      </c>
    </row>
    <row r="2387">
      <c r="A2387" s="53" t="n">
        <v>46216</v>
      </c>
      <c r="B2387" t="inlineStr">
        <is>
          <t>2026-07-13</t>
        </is>
      </c>
      <c r="C2387" s="45" t="n">
        <v>124.9571</v>
      </c>
      <c r="D2387" t="inlineStr">
        <is>
          <t>€/MWh</t>
        </is>
      </c>
      <c r="E2387" s="54" t="n">
        <v>0.124957</v>
      </c>
      <c r="F2387" s="54" t="n"/>
      <c r="G2387" t="inlineStr">
        <is>
          <t>no aplica (precio mayorista)</t>
        </is>
      </c>
      <c r="J2387" t="inlineStr">
        <is>
          <t>2026-07-12</t>
        </is>
      </c>
      <c r="K2387" t="inlineStr">
        <is>
          <t>marginalpdbc_20260713.1</t>
        </is>
      </c>
      <c r="L2387" t="inlineStr">
        <is>
          <t>96 periodos; mín 47.58, máx 220.00 €/MWh</t>
        </is>
      </c>
    </row>
    <row r="2388">
      <c r="A2388" s="53" t="n">
        <v>46217</v>
      </c>
      <c r="B2388" t="inlineStr">
        <is>
          <t>2026-07-14</t>
        </is>
      </c>
      <c r="C2388" s="45" t="n">
        <v>124.0778</v>
      </c>
      <c r="D2388" t="inlineStr">
        <is>
          <t>€/MWh</t>
        </is>
      </c>
      <c r="E2388" s="54" t="n">
        <v>0.124078</v>
      </c>
      <c r="F2388" s="54" t="n"/>
      <c r="G2388" t="inlineStr">
        <is>
          <t>no aplica (precio mayorista)</t>
        </is>
      </c>
      <c r="J2388" t="inlineStr">
        <is>
          <t>2026-07-13</t>
        </is>
      </c>
      <c r="K2388" t="inlineStr">
        <is>
          <t>marginalpdbc_20260714.1</t>
        </is>
      </c>
      <c r="L2388" t="inlineStr">
        <is>
          <t>96 periodos; mín 60.44, máx 178.44 €/MWh</t>
        </is>
      </c>
    </row>
    <row r="2389">
      <c r="A2389" s="53" t="n">
        <v>46218</v>
      </c>
      <c r="B2389" t="inlineStr">
        <is>
          <t>2026-07-15</t>
        </is>
      </c>
      <c r="C2389" s="45" t="n">
        <v>138.1052</v>
      </c>
      <c r="D2389" t="inlineStr">
        <is>
          <t>€/MWh</t>
        </is>
      </c>
      <c r="E2389" s="54" t="n">
        <v>0.138105</v>
      </c>
      <c r="F2389" s="54" t="n"/>
      <c r="G2389" t="inlineStr">
        <is>
          <t>no aplica (precio mayorista)</t>
        </is>
      </c>
      <c r="J2389" t="inlineStr">
        <is>
          <t>2026-07-14</t>
        </is>
      </c>
      <c r="K2389" t="inlineStr">
        <is>
          <t>marginalpdbc_20260715.1</t>
        </is>
      </c>
      <c r="L2389" t="inlineStr">
        <is>
          <t>96 periodos; mín 88.31, máx 199.99 €/MWh</t>
        </is>
      </c>
    </row>
    <row r="2390">
      <c r="A2390" s="53" t="n">
        <v>46219</v>
      </c>
      <c r="B2390" t="inlineStr">
        <is>
          <t>2026-07-16</t>
        </is>
      </c>
      <c r="C2390" s="45" t="n">
        <v>135.2666</v>
      </c>
      <c r="D2390" t="inlineStr">
        <is>
          <t>€/MWh</t>
        </is>
      </c>
      <c r="E2390" s="54" t="n">
        <v>0.135267</v>
      </c>
      <c r="F2390" s="54" t="n"/>
      <c r="G2390" t="inlineStr">
        <is>
          <t>no aplica (precio mayorista)</t>
        </is>
      </c>
      <c r="J2390" t="inlineStr">
        <is>
          <t>2026-07-15</t>
        </is>
      </c>
      <c r="K2390" t="inlineStr">
        <is>
          <t>marginalpdbc_20260716.1</t>
        </is>
      </c>
      <c r="L2390" t="inlineStr">
        <is>
          <t>96 periodos; mín 70.79, máx 189.51 €/MWh</t>
        </is>
      </c>
    </row>
    <row r="2391">
      <c r="A2391" s="53" t="n">
        <v>46220</v>
      </c>
      <c r="B2391" t="inlineStr">
        <is>
          <t>2026-07-17</t>
        </is>
      </c>
      <c r="C2391" s="45" t="n">
        <v>137.5343</v>
      </c>
      <c r="D2391" t="inlineStr">
        <is>
          <t>€/MWh</t>
        </is>
      </c>
      <c r="E2391" s="54" t="n">
        <v>0.137534</v>
      </c>
      <c r="F2391" s="54" t="n"/>
      <c r="G2391" t="inlineStr">
        <is>
          <t>no aplica (precio mayorista)</t>
        </is>
      </c>
      <c r="J2391" t="inlineStr">
        <is>
          <t>2026-07-16</t>
        </is>
      </c>
      <c r="K2391" t="inlineStr">
        <is>
          <t>marginalpdbc_20260717.1</t>
        </is>
      </c>
      <c r="L2391" t="inlineStr">
        <is>
          <t>96 periodos; mín 97.68, máx 175.00 €/MWh</t>
        </is>
      </c>
    </row>
    <row r="2392">
      <c r="A2392" s="53" t="n">
        <v>46221</v>
      </c>
      <c r="B2392" t="inlineStr">
        <is>
          <t>2026-07-18</t>
        </is>
      </c>
      <c r="C2392" s="45" t="n">
        <v>90.7433</v>
      </c>
      <c r="D2392" t="inlineStr">
        <is>
          <t>€/MWh</t>
        </is>
      </c>
      <c r="E2392" s="54" t="n">
        <v>0.090743</v>
      </c>
      <c r="F2392" s="54" t="n"/>
      <c r="G2392" t="inlineStr">
        <is>
          <t>no aplica (precio mayorista)</t>
        </is>
      </c>
      <c r="J2392" t="inlineStr">
        <is>
          <t>2026-07-17</t>
        </is>
      </c>
      <c r="K2392" t="inlineStr">
        <is>
          <t>marginalpdbc_20260718.1</t>
        </is>
      </c>
      <c r="L2392" t="inlineStr">
        <is>
          <t>96 periodos; mín 0.00, máx 168.41 €/MWh</t>
        </is>
      </c>
    </row>
    <row r="2393">
      <c r="A2393" s="53" t="n">
        <v>46222</v>
      </c>
      <c r="B2393" t="inlineStr">
        <is>
          <t>2026-07-19</t>
        </is>
      </c>
      <c r="C2393" s="45" t="n">
        <v>90.98099999999999</v>
      </c>
      <c r="D2393" t="inlineStr">
        <is>
          <t>€/MWh</t>
        </is>
      </c>
      <c r="E2393" s="54" t="n">
        <v>0.09098100000000001</v>
      </c>
      <c r="F2393" s="54" t="n"/>
      <c r="G2393" t="inlineStr">
        <is>
          <t>no aplica (precio mayorista)</t>
        </is>
      </c>
      <c r="J2393" t="inlineStr">
        <is>
          <t>2026-07-18</t>
        </is>
      </c>
      <c r="K2393" t="inlineStr">
        <is>
          <t>marginalpdbc_20260719.1</t>
        </is>
      </c>
      <c r="L2393" t="inlineStr">
        <is>
          <t>96 periodos; mín -0.07, máx 178.01 €/MWh</t>
        </is>
      </c>
    </row>
    <row r="2394">
      <c r="A2394" s="53" t="n">
        <v>46223</v>
      </c>
      <c r="B2394" t="inlineStr">
        <is>
          <t>2026-07-20</t>
        </is>
      </c>
      <c r="C2394" s="45" t="n">
        <v>131.3642</v>
      </c>
      <c r="D2394" t="inlineStr">
        <is>
          <t>€/MWh</t>
        </is>
      </c>
      <c r="E2394" s="54" t="n">
        <v>0.131364</v>
      </c>
      <c r="F2394" s="54" t="n"/>
      <c r="G2394" t="inlineStr">
        <is>
          <t>no aplica (precio mayorista)</t>
        </is>
      </c>
      <c r="J2394" t="inlineStr">
        <is>
          <t>2026-07-19</t>
        </is>
      </c>
      <c r="K2394" t="inlineStr">
        <is>
          <t>marginalpdbc_20260720.1</t>
        </is>
      </c>
      <c r="L2394" t="inlineStr">
        <is>
          <t>96 periodos; mín 60.00, máx 186.34 €/MWh</t>
        </is>
      </c>
    </row>
    <row r="2395">
      <c r="A2395" s="53" t="n">
        <v>46224</v>
      </c>
      <c r="B2395" t="inlineStr">
        <is>
          <t>2026-07-21</t>
        </is>
      </c>
      <c r="C2395" s="45" t="n">
        <v>136.2413</v>
      </c>
      <c r="D2395" t="inlineStr">
        <is>
          <t>€/MWh</t>
        </is>
      </c>
      <c r="E2395" s="54" t="n">
        <v>0.136241</v>
      </c>
      <c r="F2395" s="54" t="n"/>
      <c r="G2395" t="inlineStr">
        <is>
          <t>no aplica (precio mayorista)</t>
        </is>
      </c>
      <c r="J2395" t="inlineStr">
        <is>
          <t>2026-07-20</t>
        </is>
      </c>
      <c r="K2395" t="inlineStr">
        <is>
          <t>marginalpdbc_20260721.1</t>
        </is>
      </c>
      <c r="L2395" t="inlineStr">
        <is>
          <t>96 periodos; mín 82.40, máx 176.67 €/MWh</t>
        </is>
      </c>
    </row>
    <row r="2396">
      <c r="A2396" s="53" t="n">
        <v>46225</v>
      </c>
      <c r="B2396" t="inlineStr">
        <is>
          <t>2026-07-22</t>
        </is>
      </c>
      <c r="C2396" s="45" t="n">
        <v>150.3156</v>
      </c>
      <c r="D2396" t="inlineStr">
        <is>
          <t>€/MWh</t>
        </is>
      </c>
      <c r="E2396" s="54" t="n">
        <v>0.150316</v>
      </c>
      <c r="F2396" s="54" t="n"/>
      <c r="G2396" t="inlineStr">
        <is>
          <t>no aplica (precio mayorista)</t>
        </is>
      </c>
      <c r="J2396" t="inlineStr">
        <is>
          <t>2026-07-21</t>
        </is>
      </c>
      <c r="K2396" t="inlineStr">
        <is>
          <t>marginalpdbc_20260722.1</t>
        </is>
      </c>
      <c r="L2396" t="inlineStr">
        <is>
          <t>96 periodos; mín 90.00, máx 287.90 €/MWh</t>
        </is>
      </c>
    </row>
    <row r="2397">
      <c r="A2397" s="53" t="n">
        <v>46226</v>
      </c>
      <c r="B2397" t="inlineStr">
        <is>
          <t>2026-07-23</t>
        </is>
      </c>
      <c r="C2397" s="45" t="n">
        <v>136.7331</v>
      </c>
      <c r="D2397" t="inlineStr">
        <is>
          <t>€/MWh</t>
        </is>
      </c>
      <c r="E2397" s="54" t="n">
        <v>0.136733</v>
      </c>
      <c r="F2397" s="54" t="n"/>
      <c r="G2397" t="inlineStr">
        <is>
          <t>no aplica (precio mayorista)</t>
        </is>
      </c>
      <c r="J2397" t="inlineStr">
        <is>
          <t>2026-07-22</t>
        </is>
      </c>
      <c r="K2397" t="inlineStr">
        <is>
          <t>marginalpdbc_20260723.1</t>
        </is>
      </c>
      <c r="L2397" t="inlineStr">
        <is>
          <t>96 periodos; mín 34.98, máx 290.00 €/MWh</t>
        </is>
      </c>
    </row>
    <row r="2398">
      <c r="A2398" s="53" t="n">
        <v>46227</v>
      </c>
      <c r="B2398" t="inlineStr">
        <is>
          <t>2026-07-24</t>
        </is>
      </c>
      <c r="C2398" s="45" t="n">
        <v>110.8679</v>
      </c>
      <c r="D2398" t="inlineStr">
        <is>
          <t>€/MWh</t>
        </is>
      </c>
      <c r="E2398" s="54" t="n">
        <v>0.110868</v>
      </c>
      <c r="F2398" s="54" t="n"/>
      <c r="G2398" t="inlineStr">
        <is>
          <t>no aplica (precio mayorista)</t>
        </is>
      </c>
      <c r="J2398" t="inlineStr">
        <is>
          <t>2026-07-23</t>
        </is>
      </c>
      <c r="K2398" t="inlineStr">
        <is>
          <t>marginalpdbc_20260724.1</t>
        </is>
      </c>
      <c r="L2398" t="inlineStr">
        <is>
          <t>96 periodos; mín 0.01, máx 190.93 €/MWh</t>
        </is>
      </c>
    </row>
    <row r="2399">
      <c r="A2399" s="53" t="n">
        <v>46228</v>
      </c>
      <c r="B2399" t="inlineStr">
        <is>
          <t>2026-07-25</t>
        </is>
      </c>
      <c r="C2399" s="45" t="n">
        <v>82.0616</v>
      </c>
      <c r="D2399" t="inlineStr">
        <is>
          <t>€/MWh</t>
        </is>
      </c>
      <c r="E2399" s="54" t="n">
        <v>0.082062</v>
      </c>
      <c r="F2399" s="54" t="n"/>
      <c r="G2399" t="inlineStr">
        <is>
          <t>no aplica (precio mayorista)</t>
        </is>
      </c>
      <c r="J2399" t="inlineStr">
        <is>
          <t>2026-07-24</t>
        </is>
      </c>
      <c r="K2399" t="inlineStr">
        <is>
          <t>marginalpdbc_20260725.1</t>
        </is>
      </c>
      <c r="L2399" t="inlineStr">
        <is>
          <t>96 periodos; mín -2.00, máx 175.92 €/MWh</t>
        </is>
      </c>
    </row>
    <row r="2400">
      <c r="A2400" s="53" t="n">
        <v>46229</v>
      </c>
      <c r="B2400" t="inlineStr">
        <is>
          <t>2026-07-26</t>
        </is>
      </c>
      <c r="C2400" s="45" t="n">
        <v>69.3749</v>
      </c>
      <c r="D2400" t="inlineStr">
        <is>
          <t>€/MWh</t>
        </is>
      </c>
      <c r="E2400" s="54" t="n">
        <v>0.06937500000000001</v>
      </c>
      <c r="F2400" s="54" t="n"/>
      <c r="G2400" t="inlineStr">
        <is>
          <t>no aplica (precio mayorista)</t>
        </is>
      </c>
      <c r="J2400" t="inlineStr">
        <is>
          <t>2026-07-25</t>
        </is>
      </c>
      <c r="K2400" t="inlineStr">
        <is>
          <t>marginalpdbc_20260726.1</t>
        </is>
      </c>
      <c r="L2400" t="inlineStr">
        <is>
          <t>96 periodos; mín -1.00, máx 177.46 €/MWh</t>
        </is>
      </c>
    </row>
    <row r="2401">
      <c r="A2401" s="53" t="n">
        <v>46230</v>
      </c>
      <c r="B2401" t="inlineStr">
        <is>
          <t>2026-07-27</t>
        </is>
      </c>
      <c r="C2401" s="45" t="n">
        <v>98.0194</v>
      </c>
      <c r="D2401" t="inlineStr">
        <is>
          <t>€/MWh</t>
        </is>
      </c>
      <c r="E2401" s="54" t="n">
        <v>0.098019</v>
      </c>
      <c r="F2401" s="54" t="n"/>
      <c r="G2401" t="inlineStr">
        <is>
          <t>no aplica (precio mayorista)</t>
        </is>
      </c>
      <c r="J2401" t="inlineStr">
        <is>
          <t>2026-07-26</t>
        </is>
      </c>
      <c r="K2401" t="inlineStr">
        <is>
          <t>marginalpdbc_20260727.1</t>
        </is>
      </c>
      <c r="L2401" t="inlineStr">
        <is>
          <t>96 periodos; mín 0.00, máx 250.00 €/MWh</t>
        </is>
      </c>
    </row>
    <row r="2402">
      <c r="A2402" s="53" t="n">
        <v>46231</v>
      </c>
      <c r="B2402" t="inlineStr">
        <is>
          <t>2026-07-28</t>
        </is>
      </c>
      <c r="C2402" s="45" t="n">
        <v>123.6809</v>
      </c>
      <c r="D2402" t="inlineStr">
        <is>
          <t>€/MWh</t>
        </is>
      </c>
      <c r="E2402" s="54" t="n">
        <v>0.123681</v>
      </c>
      <c r="F2402" s="54" t="n"/>
      <c r="G2402" t="inlineStr">
        <is>
          <t>no aplica (precio mayorista)</t>
        </is>
      </c>
      <c r="J2402" t="inlineStr">
        <is>
          <t>2026-07-27</t>
        </is>
      </c>
      <c r="K2402" t="inlineStr">
        <is>
          <t>marginalpdbc_20260728.1</t>
        </is>
      </c>
      <c r="L2402" t="inlineStr">
        <is>
          <t>96 periodos; mín 1.08, máx 234.46 €/MWh</t>
        </is>
      </c>
    </row>
    <row r="2403">
      <c r="A2403" s="53" t="n">
        <v>46232</v>
      </c>
      <c r="B2403" t="inlineStr">
        <is>
          <t>2026-07-29</t>
        </is>
      </c>
      <c r="C2403" s="45" t="n">
        <v>120.4254</v>
      </c>
      <c r="D2403" t="inlineStr">
        <is>
          <t>€/MWh</t>
        </is>
      </c>
      <c r="E2403" s="54" t="n">
        <v>0.120425</v>
      </c>
      <c r="F2403" s="54" t="n"/>
      <c r="G2403" t="inlineStr">
        <is>
          <t>no aplica (precio mayorista)</t>
        </is>
      </c>
      <c r="J2403" t="inlineStr">
        <is>
          <t>2026-07-28</t>
        </is>
      </c>
      <c r="K2403" t="inlineStr">
        <is>
          <t>marginalpdbc_20260729.1</t>
        </is>
      </c>
      <c r="L2403" t="inlineStr">
        <is>
          <t>96 periodos; mín 2.20, máx 225.09 €/MWh</t>
        </is>
      </c>
    </row>
    <row r="2404">
      <c r="A2404" s="53" t="n">
        <v>46233</v>
      </c>
      <c r="B2404" t="inlineStr">
        <is>
          <t>2026-07-30</t>
        </is>
      </c>
      <c r="C2404" s="45" t="n">
        <v>128.5523</v>
      </c>
      <c r="D2404" t="inlineStr">
        <is>
          <t>€/MWh</t>
        </is>
      </c>
      <c r="E2404" s="54" t="n">
        <v>0.128552</v>
      </c>
      <c r="F2404" s="54" t="n"/>
      <c r="G2404" t="inlineStr">
        <is>
          <t>no aplica (precio mayorista)</t>
        </is>
      </c>
      <c r="J2404" t="inlineStr">
        <is>
          <t>2026-07-29</t>
        </is>
      </c>
      <c r="K2404" t="inlineStr">
        <is>
          <t>marginalpdbc_20260730.1</t>
        </is>
      </c>
      <c r="L2404" t="inlineStr">
        <is>
          <t>96 periodos; mín 4.20, máx 220.00 €/MWh</t>
        </is>
      </c>
    </row>
    <row r="2405">
      <c r="A2405" s="53" t="n">
        <v>46234</v>
      </c>
      <c r="B2405" t="inlineStr">
        <is>
          <t>2026-07-31</t>
        </is>
      </c>
      <c r="C2405" s="45" t="n">
        <v>140.0139</v>
      </c>
      <c r="D2405" t="inlineStr">
        <is>
          <t>€/MWh</t>
        </is>
      </c>
      <c r="E2405" s="54" t="n">
        <v>0.140014</v>
      </c>
      <c r="F2405" s="54" t="n"/>
      <c r="G2405" t="inlineStr">
        <is>
          <t>no aplica (precio mayorista)</t>
        </is>
      </c>
      <c r="J2405" t="inlineStr">
        <is>
          <t>2026-07-30</t>
        </is>
      </c>
      <c r="K2405" t="inlineStr">
        <is>
          <t>marginalpdbc_20260731.1</t>
        </is>
      </c>
      <c r="L2405" t="inlineStr">
        <is>
          <t>96 periodos; mín 60.00, máx 182.60 €/MWh</t>
        </is>
      </c>
    </row>
    <row r="2406">
      <c r="A2406" s="53" t="n">
        <v>46235</v>
      </c>
      <c r="B2406" t="inlineStr">
        <is>
          <t>2026-08-01</t>
        </is>
      </c>
      <c r="C2406" s="45" t="n">
        <v>111.6836</v>
      </c>
      <c r="D2406" t="inlineStr">
        <is>
          <t>€/MWh</t>
        </is>
      </c>
      <c r="E2406" s="54" t="n">
        <v>0.111684</v>
      </c>
      <c r="F2406" s="54" t="n"/>
      <c r="G2406" t="inlineStr">
        <is>
          <t>no aplica (precio mayorista)</t>
        </is>
      </c>
      <c r="J2406" t="inlineStr">
        <is>
          <t>2026-07-31</t>
        </is>
      </c>
      <c r="K2406" t="inlineStr">
        <is>
          <t>marginalpdbc_20260801.1</t>
        </is>
      </c>
      <c r="L2406" t="inlineStr">
        <is>
          <t>96 periodos; mín 0.29, máx 198.69 €/MWh</t>
        </is>
      </c>
    </row>
    <row r="2407">
      <c r="A2407" s="53" t="n">
        <v>46236</v>
      </c>
      <c r="B2407" t="inlineStr">
        <is>
          <t>2026-08-02</t>
        </is>
      </c>
      <c r="C2407" s="45" t="n">
        <v>106.1967</v>
      </c>
      <c r="D2407" t="inlineStr">
        <is>
          <t>€/MWh</t>
        </is>
      </c>
      <c r="E2407" s="54" t="n">
        <v>0.106197</v>
      </c>
      <c r="F2407" s="54" t="n"/>
      <c r="G2407" t="inlineStr">
        <is>
          <t>no aplica (precio mayorista)</t>
        </is>
      </c>
      <c r="J2407" t="inlineStr">
        <is>
          <t>2026-08-01</t>
        </is>
      </c>
      <c r="K2407" t="inlineStr">
        <is>
          <t>marginalpdbc_20260802.1</t>
        </is>
      </c>
      <c r="L2407" t="inlineStr">
        <is>
          <t>96 periodos; mín -0.30, máx 210.30 €/MWh</t>
        </is>
      </c>
    </row>
    <row r="2408">
      <c r="A2408" s="53" t="n">
        <v>46237</v>
      </c>
      <c r="B2408" t="inlineStr">
        <is>
          <t>2026-08-03</t>
        </is>
      </c>
      <c r="C2408" s="45" t="n">
        <v>151.8669</v>
      </c>
      <c r="D2408" t="inlineStr">
        <is>
          <t>€/MWh</t>
        </is>
      </c>
      <c r="E2408" s="54" t="n">
        <v>0.151867</v>
      </c>
      <c r="F2408" s="54" t="n"/>
      <c r="G2408" t="inlineStr">
        <is>
          <t>no aplica (precio mayorista)</t>
        </is>
      </c>
      <c r="J2408" t="inlineStr">
        <is>
          <t>2026-08-02</t>
        </is>
      </c>
      <c r="K2408" t="inlineStr">
        <is>
          <t>marginalpdbc_20260803.1</t>
        </is>
      </c>
      <c r="L2408" t="inlineStr">
        <is>
          <t>96 periodos; mín 75.00, máx 222.69 €/MWh</t>
        </is>
      </c>
    </row>
    <row r="2409">
      <c r="A2409" s="53" t="n">
        <v>46238</v>
      </c>
      <c r="B2409" t="inlineStr">
        <is>
          <t>2026-08-04</t>
        </is>
      </c>
      <c r="C2409" s="45" t="n">
        <v>146.3708</v>
      </c>
      <c r="D2409" t="inlineStr">
        <is>
          <t>€/MWh</t>
        </is>
      </c>
      <c r="E2409" s="54" t="n">
        <v>0.146371</v>
      </c>
      <c r="F2409" s="54" t="n"/>
      <c r="G2409" t="inlineStr">
        <is>
          <t>no aplica (precio mayorista)</t>
        </is>
      </c>
      <c r="J2409" t="inlineStr">
        <is>
          <t>2026-08-03</t>
        </is>
      </c>
      <c r="K2409" t="inlineStr">
        <is>
          <t>marginalpdbc_20260804.1</t>
        </is>
      </c>
      <c r="L2409" t="inlineStr">
        <is>
          <t>96 periodos; mín 69.00, máx 212.52 €/MWh</t>
        </is>
      </c>
    </row>
    <row r="2410">
      <c r="A2410" s="53" t="n">
        <v>46239</v>
      </c>
      <c r="B2410" t="inlineStr">
        <is>
          <t>2026-08-05</t>
        </is>
      </c>
      <c r="C2410" s="45" t="n">
        <v>118.9145</v>
      </c>
      <c r="D2410" t="inlineStr">
        <is>
          <t>€/MWh</t>
        </is>
      </c>
      <c r="E2410" s="54" t="n">
        <v>0.118914</v>
      </c>
      <c r="F2410" s="54" t="n"/>
      <c r="G2410" t="inlineStr">
        <is>
          <t>no aplica (precio mayorista)</t>
        </is>
      </c>
      <c r="J2410" t="inlineStr">
        <is>
          <t>2026-08-04</t>
        </is>
      </c>
      <c r="K2410" t="inlineStr">
        <is>
          <t>marginalpdbc_20260805.1</t>
        </is>
      </c>
      <c r="L2410" t="inlineStr">
        <is>
          <t>96 periodos; mín 4.00, máx 199.47 €/MWh</t>
        </is>
      </c>
    </row>
    <row r="2411">
      <c r="A2411" s="53" t="n">
        <v>46240</v>
      </c>
      <c r="B2411" t="inlineStr">
        <is>
          <t>2026-08-06</t>
        </is>
      </c>
      <c r="C2411" s="45" t="n">
        <v>109.5099</v>
      </c>
      <c r="D2411" t="inlineStr">
        <is>
          <t>€/MWh</t>
        </is>
      </c>
      <c r="E2411" s="54" t="n">
        <v>0.10951</v>
      </c>
      <c r="F2411" s="54" t="n"/>
      <c r="G2411" t="inlineStr">
        <is>
          <t>no aplica (precio mayorista)</t>
        </is>
      </c>
      <c r="J2411" t="inlineStr">
        <is>
          <t>2026-08-05</t>
        </is>
      </c>
      <c r="K2411" t="inlineStr">
        <is>
          <t>marginalpdbc_20260806.1</t>
        </is>
      </c>
      <c r="L2411" t="inlineStr">
        <is>
          <t>96 periodos; mín 1.50, máx 209.61 €/MWh</t>
        </is>
      </c>
    </row>
    <row r="2412">
      <c r="A2412" s="53" t="n">
        <v>46241</v>
      </c>
      <c r="B2412" t="inlineStr">
        <is>
          <t>2026-08-07</t>
        </is>
      </c>
      <c r="C2412" s="45" t="n">
        <v>119.0307</v>
      </c>
      <c r="D2412" t="inlineStr">
        <is>
          <t>€/MWh</t>
        </is>
      </c>
      <c r="E2412" s="54" t="n">
        <v>0.119031</v>
      </c>
      <c r="F2412" s="54" t="n"/>
      <c r="G2412" t="inlineStr">
        <is>
          <t>no aplica (precio mayorista)</t>
        </is>
      </c>
      <c r="J2412" t="inlineStr">
        <is>
          <t>2026-08-06</t>
        </is>
      </c>
      <c r="K2412" t="inlineStr">
        <is>
          <t>marginalpdbc_20260807.1</t>
        </is>
      </c>
      <c r="L2412" t="inlineStr">
        <is>
          <t>96 periodos; mín 5.00, máx 220.00 €/MWh</t>
        </is>
      </c>
    </row>
    <row r="2413">
      <c r="A2413" s="53" t="n">
        <v>46242</v>
      </c>
      <c r="B2413" t="inlineStr">
        <is>
          <t>2026-08-08</t>
        </is>
      </c>
      <c r="C2413" s="45" t="n">
        <v>108.6095</v>
      </c>
      <c r="D2413" t="inlineStr">
        <is>
          <t>€/MWh</t>
        </is>
      </c>
      <c r="E2413" s="54" t="n">
        <v>0.108609</v>
      </c>
      <c r="F2413" s="54" t="n"/>
      <c r="G2413" t="inlineStr">
        <is>
          <t>no aplica (precio mayorista)</t>
        </is>
      </c>
      <c r="J2413" t="inlineStr">
        <is>
          <t>2026-08-07</t>
        </is>
      </c>
      <c r="K2413" t="inlineStr">
        <is>
          <t>marginalpdbc_20260808.1</t>
        </is>
      </c>
      <c r="L2413" t="inlineStr">
        <is>
          <t>96 periodos; mín 0.00, máx 191.01 €/MWh</t>
        </is>
      </c>
    </row>
    <row r="2414">
      <c r="A2414" s="53" t="n">
        <v>46243</v>
      </c>
      <c r="B2414" t="inlineStr">
        <is>
          <t>2026-08-09</t>
        </is>
      </c>
      <c r="C2414" s="45" t="n">
        <v>94.38809999999999</v>
      </c>
      <c r="D2414" t="inlineStr">
        <is>
          <t>€/MWh</t>
        </is>
      </c>
      <c r="E2414" s="54" t="n">
        <v>0.094388</v>
      </c>
      <c r="F2414" s="54" t="n"/>
      <c r="G2414" t="inlineStr">
        <is>
          <t>no aplica (precio mayorista)</t>
        </is>
      </c>
      <c r="J2414" t="inlineStr">
        <is>
          <t>2026-08-08</t>
        </is>
      </c>
      <c r="K2414" t="inlineStr">
        <is>
          <t>marginalpdbc_20260809.1</t>
        </is>
      </c>
      <c r="L2414" t="inlineStr">
        <is>
          <t>96 periodos; mín -0.11, máx 175.73 €/MWh</t>
        </is>
      </c>
    </row>
    <row r="2415">
      <c r="A2415" s="53" t="n">
        <v>46244</v>
      </c>
      <c r="B2415" t="inlineStr">
        <is>
          <t>2026-08-10</t>
        </is>
      </c>
      <c r="C2415" s="45" t="n">
        <v>126.7553</v>
      </c>
      <c r="D2415" t="inlineStr">
        <is>
          <t>€/MWh</t>
        </is>
      </c>
      <c r="E2415" s="54" t="n">
        <v>0.126755</v>
      </c>
      <c r="F2415" s="54" t="n"/>
      <c r="G2415" t="inlineStr">
        <is>
          <t>no aplica (precio mayorista)</t>
        </is>
      </c>
      <c r="J2415" t="inlineStr">
        <is>
          <t>2026-08-09</t>
        </is>
      </c>
      <c r="K2415" t="inlineStr">
        <is>
          <t>marginalpdbc_20260810.1</t>
        </is>
      </c>
      <c r="L2415" t="inlineStr">
        <is>
          <t>96 periodos; mín 21.00, máx 233.76 €/MWh</t>
        </is>
      </c>
    </row>
    <row r="2416">
      <c r="A2416" s="53" t="n">
        <v>46245</v>
      </c>
      <c r="B2416" t="inlineStr">
        <is>
          <t>2026-08-11</t>
        </is>
      </c>
      <c r="C2416" s="45" t="n">
        <v>128.8501</v>
      </c>
      <c r="D2416" t="inlineStr">
        <is>
          <t>€/MWh</t>
        </is>
      </c>
      <c r="E2416" s="54" t="n">
        <v>0.12885</v>
      </c>
      <c r="F2416" s="54" t="n"/>
      <c r="G2416" t="inlineStr">
        <is>
          <t>no aplica (precio mayorista)</t>
        </is>
      </c>
      <c r="J2416" t="inlineStr">
        <is>
          <t>2026-08-10</t>
        </is>
      </c>
      <c r="K2416" t="inlineStr">
        <is>
          <t>marginalpdbc_20260811.1</t>
        </is>
      </c>
      <c r="L2416" t="inlineStr">
        <is>
          <t>96 periodos; mín 12.14, máx 235.51 €/MWh</t>
        </is>
      </c>
    </row>
    <row r="2417">
      <c r="A2417" s="53" t="n">
        <v>46246</v>
      </c>
      <c r="B2417" t="inlineStr">
        <is>
          <t>2026-08-12</t>
        </is>
      </c>
      <c r="C2417" s="45" t="n">
        <v>135.3084</v>
      </c>
      <c r="D2417" t="inlineStr">
        <is>
          <t>€/MWh</t>
        </is>
      </c>
      <c r="E2417" s="54" t="n">
        <v>0.135308</v>
      </c>
      <c r="F2417" s="54" t="n"/>
      <c r="G2417" t="inlineStr">
        <is>
          <t>no aplica (precio mayorista)</t>
        </is>
      </c>
      <c r="J2417" t="inlineStr">
        <is>
          <t>2026-08-11</t>
        </is>
      </c>
      <c r="K2417" t="inlineStr">
        <is>
          <t>marginalpdbc_20260812.1</t>
        </is>
      </c>
      <c r="L2417" t="inlineStr">
        <is>
          <t>96 periodos; mín 12.00, máx 250.00 €/MWh</t>
        </is>
      </c>
    </row>
    <row r="2418">
      <c r="A2418" s="53" t="n">
        <v>46247</v>
      </c>
      <c r="B2418" t="inlineStr">
        <is>
          <t>2026-08-13</t>
        </is>
      </c>
      <c r="C2418" s="45" t="n">
        <v>138.9007</v>
      </c>
      <c r="D2418" t="inlineStr">
        <is>
          <t>€/MWh</t>
        </is>
      </c>
      <c r="E2418" s="54" t="n">
        <v>0.138901</v>
      </c>
      <c r="F2418" s="54" t="n"/>
      <c r="G2418" t="inlineStr">
        <is>
          <t>no aplica (precio mayorista)</t>
        </is>
      </c>
      <c r="J2418" t="inlineStr">
        <is>
          <t>2026-08-12</t>
        </is>
      </c>
      <c r="K2418" t="inlineStr">
        <is>
          <t>marginalpdbc_20260813.1</t>
        </is>
      </c>
      <c r="L2418" t="inlineStr">
        <is>
          <t>96 periodos; mín 21.00, máx 268.97 €/MWh</t>
        </is>
      </c>
    </row>
    <row r="2419">
      <c r="A2419" s="53" t="n">
        <v>46248</v>
      </c>
      <c r="B2419" t="inlineStr">
        <is>
          <t>2026-08-14</t>
        </is>
      </c>
      <c r="C2419" s="45" t="n">
        <v>140.086</v>
      </c>
      <c r="D2419" t="inlineStr">
        <is>
          <t>€/MWh</t>
        </is>
      </c>
      <c r="E2419" s="54" t="n">
        <v>0.140086</v>
      </c>
      <c r="F2419" s="54" t="n"/>
      <c r="G2419" t="inlineStr">
        <is>
          <t>no aplica (precio mayorista)</t>
        </is>
      </c>
      <c r="J2419" t="inlineStr">
        <is>
          <t>2026-08-13</t>
        </is>
      </c>
      <c r="K2419" t="inlineStr">
        <is>
          <t>marginalpdbc_20260814.1</t>
        </is>
      </c>
      <c r="L2419" t="inlineStr">
        <is>
          <t>96 periodos; mín 30.00, máx 252.50 €/MWh</t>
        </is>
      </c>
    </row>
    <row r="2420">
      <c r="A2420" s="53" t="n">
        <v>46249</v>
      </c>
      <c r="B2420" t="inlineStr">
        <is>
          <t>2026-08-15</t>
        </is>
      </c>
      <c r="C2420" s="45" t="n">
        <v>116.512</v>
      </c>
      <c r="D2420" t="inlineStr">
        <is>
          <t>€/MWh</t>
        </is>
      </c>
      <c r="E2420" s="54" t="n">
        <v>0.116512</v>
      </c>
      <c r="F2420" s="54" t="n"/>
      <c r="G2420" t="inlineStr">
        <is>
          <t>no aplica (precio mayorista)</t>
        </is>
      </c>
      <c r="J2420" t="inlineStr">
        <is>
          <t>2026-08-14</t>
        </is>
      </c>
      <c r="K2420" t="inlineStr">
        <is>
          <t>marginalpdbc_20260815.1</t>
        </is>
      </c>
      <c r="L2420" t="inlineStr">
        <is>
          <t>96 periodos; mín 0.51, máx 209.95 €/MWh</t>
        </is>
      </c>
    </row>
    <row r="2421">
      <c r="A2421" s="53" t="n">
        <v>46250</v>
      </c>
      <c r="B2421" t="inlineStr">
        <is>
          <t>2026-08-16</t>
        </is>
      </c>
      <c r="C2421" s="45" t="n">
        <v>116.0229</v>
      </c>
      <c r="D2421" t="inlineStr">
        <is>
          <t>€/MWh</t>
        </is>
      </c>
      <c r="E2421" s="54" t="n">
        <v>0.116023</v>
      </c>
      <c r="F2421" s="54" t="n"/>
      <c r="G2421" t="inlineStr">
        <is>
          <t>no aplica (precio mayorista)</t>
        </is>
      </c>
      <c r="J2421" t="inlineStr">
        <is>
          <t>2026-08-15</t>
        </is>
      </c>
      <c r="K2421" t="inlineStr">
        <is>
          <t>marginalpdbc_20260816.1</t>
        </is>
      </c>
      <c r="L2421" t="inlineStr">
        <is>
          <t>96 periodos; mín 0.00, máx 215.04 €/MWh</t>
        </is>
      </c>
    </row>
    <row r="2422">
      <c r="A2422" s="53" t="n">
        <v>46251</v>
      </c>
      <c r="B2422" t="inlineStr">
        <is>
          <t>2026-08-17</t>
        </is>
      </c>
      <c r="C2422" s="45" t="n">
        <v>157.3459</v>
      </c>
      <c r="D2422" t="inlineStr">
        <is>
          <t>€/MWh</t>
        </is>
      </c>
      <c r="E2422" s="54" t="n">
        <v>0.157346</v>
      </c>
      <c r="F2422" s="54" t="n"/>
      <c r="G2422" t="inlineStr">
        <is>
          <t>no aplica (precio mayorista)</t>
        </is>
      </c>
      <c r="J2422" t="inlineStr">
        <is>
          <t>2026-08-16</t>
        </is>
      </c>
      <c r="K2422" t="inlineStr">
        <is>
          <t>marginalpdbc_20260817.1</t>
        </is>
      </c>
      <c r="L2422" t="inlineStr">
        <is>
          <t>96 periodos; mín 39.10, máx 240.00 €/MWh</t>
        </is>
      </c>
    </row>
    <row r="2423">
      <c r="A2423" s="53" t="n">
        <v>46252</v>
      </c>
      <c r="B2423" t="inlineStr">
        <is>
          <t>2026-08-18</t>
        </is>
      </c>
      <c r="C2423" s="45" t="n">
        <v>127.6404</v>
      </c>
      <c r="D2423" t="inlineStr">
        <is>
          <t>€/MWh</t>
        </is>
      </c>
      <c r="E2423" s="54" t="n">
        <v>0.12764</v>
      </c>
      <c r="F2423" s="54" t="n"/>
      <c r="G2423" t="inlineStr">
        <is>
          <t>no aplica (precio mayorista)</t>
        </is>
      </c>
      <c r="J2423" t="inlineStr">
        <is>
          <t>2026-08-17</t>
        </is>
      </c>
      <c r="K2423" t="inlineStr">
        <is>
          <t>marginalpdbc_20260818.1</t>
        </is>
      </c>
      <c r="L2423" t="inlineStr">
        <is>
          <t>96 periodos; mín 0.89, máx 248.00 €/MWh</t>
        </is>
      </c>
    </row>
    <row r="2424">
      <c r="A2424" s="53" t="n">
        <v>46253</v>
      </c>
      <c r="B2424" t="inlineStr">
        <is>
          <t>2026-08-19</t>
        </is>
      </c>
      <c r="C2424" s="45" t="n">
        <v>127.55</v>
      </c>
      <c r="D2424" t="inlineStr">
        <is>
          <t>€/MWh</t>
        </is>
      </c>
      <c r="E2424" s="54" t="n">
        <v>0.12755</v>
      </c>
      <c r="F2424" s="54" t="n"/>
      <c r="G2424" t="inlineStr">
        <is>
          <t>no aplica (precio mayorista)</t>
        </is>
      </c>
      <c r="J2424" t="inlineStr">
        <is>
          <t>2026-08-18</t>
        </is>
      </c>
      <c r="K2424" t="inlineStr">
        <is>
          <t>marginalpdbc_20260819.1</t>
        </is>
      </c>
      <c r="L2424" t="inlineStr">
        <is>
          <t>96 periodos; mín 2.00, máx 216.74 €/MWh</t>
        </is>
      </c>
    </row>
    <row r="2425">
      <c r="A2425" s="53" t="n">
        <v>46254</v>
      </c>
      <c r="B2425" t="inlineStr">
        <is>
          <t>2026-08-20</t>
        </is>
      </c>
      <c r="C2425" s="45" t="n">
        <v>138.6865</v>
      </c>
      <c r="D2425" t="inlineStr">
        <is>
          <t>€/MWh</t>
        </is>
      </c>
      <c r="E2425" s="54" t="n">
        <v>0.138686</v>
      </c>
      <c r="F2425" s="54" t="n"/>
      <c r="G2425" t="inlineStr">
        <is>
          <t>no aplica (precio mayorista)</t>
        </is>
      </c>
      <c r="J2425" t="inlineStr">
        <is>
          <t>2026-08-19</t>
        </is>
      </c>
      <c r="K2425" t="inlineStr">
        <is>
          <t>marginalpdbc_20260820.1</t>
        </is>
      </c>
      <c r="L2425" t="inlineStr">
        <is>
          <t>96 periodos; mín 46.52, máx 202.04 €/MWh</t>
        </is>
      </c>
    </row>
    <row r="2426">
      <c r="A2426" s="53" t="n">
        <v>46255</v>
      </c>
      <c r="B2426" t="inlineStr">
        <is>
          <t>2026-08-21</t>
        </is>
      </c>
      <c r="C2426" s="45" t="n">
        <v>113.9798</v>
      </c>
      <c r="D2426" t="inlineStr">
        <is>
          <t>€/MWh</t>
        </is>
      </c>
      <c r="E2426" s="54" t="n">
        <v>0.11398</v>
      </c>
      <c r="F2426" s="54" t="n"/>
      <c r="G2426" t="inlineStr">
        <is>
          <t>no aplica (precio mayorista)</t>
        </is>
      </c>
      <c r="J2426" t="inlineStr">
        <is>
          <t>2026-08-20</t>
        </is>
      </c>
      <c r="K2426" t="inlineStr">
        <is>
          <t>marginalpdbc_20260821.1</t>
        </is>
      </c>
      <c r="L2426" t="inlineStr">
        <is>
          <t>96 periodos; mín 1.80, máx 211.88 €/MWh</t>
        </is>
      </c>
    </row>
    <row r="2427">
      <c r="A2427" s="53" t="n">
        <v>46256</v>
      </c>
      <c r="B2427" t="inlineStr">
        <is>
          <t>2026-08-22</t>
        </is>
      </c>
      <c r="C2427" s="45" t="n">
        <v>94.5656</v>
      </c>
      <c r="D2427" t="inlineStr">
        <is>
          <t>€/MWh</t>
        </is>
      </c>
      <c r="E2427" s="54" t="n">
        <v>0.094566</v>
      </c>
      <c r="F2427" s="54" t="n"/>
      <c r="G2427" t="inlineStr">
        <is>
          <t>no aplica (precio mayorista)</t>
        </is>
      </c>
      <c r="J2427" t="inlineStr">
        <is>
          <t>2026-08-21</t>
        </is>
      </c>
      <c r="K2427" t="inlineStr">
        <is>
          <t>marginalpdbc_20260822.1</t>
        </is>
      </c>
      <c r="L2427" t="inlineStr">
        <is>
          <t>96 periodos; mín -0.01, máx 188.00 €/MWh</t>
        </is>
      </c>
    </row>
    <row r="2428">
      <c r="A2428" s="53" t="n">
        <v>46257</v>
      </c>
      <c r="B2428" t="inlineStr">
        <is>
          <t>2026-08-23</t>
        </is>
      </c>
      <c r="C2428" s="45" t="n">
        <v>85.1014</v>
      </c>
      <c r="D2428" t="inlineStr">
        <is>
          <t>€/MWh</t>
        </is>
      </c>
      <c r="E2428" s="54" t="n">
        <v>0.085101</v>
      </c>
      <c r="F2428" s="54" t="n"/>
      <c r="G2428" t="inlineStr">
        <is>
          <t>no aplica (precio mayorista)</t>
        </is>
      </c>
      <c r="J2428" t="inlineStr">
        <is>
          <t>2026-08-22</t>
        </is>
      </c>
      <c r="K2428" t="inlineStr">
        <is>
          <t>marginalpdbc_20260823.1</t>
        </is>
      </c>
      <c r="L2428" t="inlineStr">
        <is>
          <t>96 periodos; mín -2.10, máx 166.93 €/MWh</t>
        </is>
      </c>
    </row>
    <row r="2429">
      <c r="A2429" s="53" t="n">
        <v>46258</v>
      </c>
      <c r="B2429" t="inlineStr">
        <is>
          <t>2026-08-24</t>
        </is>
      </c>
      <c r="C2429" s="45" t="n">
        <v>95.0325</v>
      </c>
      <c r="D2429" t="inlineStr">
        <is>
          <t>€/MWh</t>
        </is>
      </c>
      <c r="E2429" s="54" t="n">
        <v>0.09503300000000001</v>
      </c>
      <c r="F2429" s="54" t="n"/>
      <c r="G2429" t="inlineStr">
        <is>
          <t>no aplica (precio mayorista)</t>
        </is>
      </c>
      <c r="J2429" t="inlineStr">
        <is>
          <t>2026-08-23</t>
        </is>
      </c>
      <c r="K2429" t="inlineStr">
        <is>
          <t>marginalpdbc_20260824.1</t>
        </is>
      </c>
      <c r="L2429" t="inlineStr">
        <is>
          <t>96 periodos; mín 0.10, máx 197.12 €/MWh</t>
        </is>
      </c>
    </row>
    <row r="2430">
      <c r="A2430" s="53" t="n">
        <v>46259</v>
      </c>
      <c r="B2430" t="inlineStr">
        <is>
          <t>2026-08-25</t>
        </is>
      </c>
      <c r="C2430" s="45" t="n">
        <v>120.3471</v>
      </c>
      <c r="D2430" t="inlineStr">
        <is>
          <t>€/MWh</t>
        </is>
      </c>
      <c r="E2430" s="54" t="n">
        <v>0.120347</v>
      </c>
      <c r="F2430" s="54" t="n"/>
      <c r="G2430" t="inlineStr">
        <is>
          <t>no aplica (precio mayorista)</t>
        </is>
      </c>
      <c r="J2430" t="inlineStr">
        <is>
          <t>2026-08-24</t>
        </is>
      </c>
      <c r="K2430" t="inlineStr">
        <is>
          <t>marginalpdbc_20260825.1</t>
        </is>
      </c>
      <c r="L2430" t="inlineStr">
        <is>
          <t>96 periodos; mín 3.43, máx 226.83 €/MWh</t>
        </is>
      </c>
    </row>
    <row r="2431">
      <c r="A2431" s="53" t="n">
        <v>46260</v>
      </c>
      <c r="B2431" t="inlineStr">
        <is>
          <t>2026-08-26</t>
        </is>
      </c>
      <c r="C2431" s="45" t="n">
        <v>110.8598</v>
      </c>
      <c r="D2431" t="inlineStr">
        <is>
          <t>€/MWh</t>
        </is>
      </c>
      <c r="E2431" s="54" t="n">
        <v>0.11086</v>
      </c>
      <c r="F2431" s="54" t="n"/>
      <c r="G2431" t="inlineStr">
        <is>
          <t>no aplica (precio mayorista)</t>
        </is>
      </c>
      <c r="J2431" t="inlineStr">
        <is>
          <t>2026-08-25</t>
        </is>
      </c>
      <c r="K2431" t="inlineStr">
        <is>
          <t>marginalpdbc_20260826.1</t>
        </is>
      </c>
      <c r="L2431" t="inlineStr">
        <is>
          <t>96 periodos; mín 0.00, máx 214.00 €/MWh</t>
        </is>
      </c>
    </row>
    <row r="2432">
      <c r="A2432" s="53" t="n">
        <v>46261</v>
      </c>
      <c r="B2432" t="inlineStr">
        <is>
          <t>2026-08-27</t>
        </is>
      </c>
      <c r="C2432" s="45" t="n">
        <v>110.841</v>
      </c>
      <c r="D2432" t="inlineStr">
        <is>
          <t>€/MWh</t>
        </is>
      </c>
      <c r="E2432" s="54" t="n">
        <v>0.110841</v>
      </c>
      <c r="F2432" s="54" t="n"/>
      <c r="G2432" t="inlineStr">
        <is>
          <t>no aplica (precio mayorista)</t>
        </is>
      </c>
      <c r="J2432" t="inlineStr">
        <is>
          <t>2026-08-26</t>
        </is>
      </c>
      <c r="K2432" t="inlineStr">
        <is>
          <t>marginalpdbc_20260827.1</t>
        </is>
      </c>
      <c r="L2432" t="inlineStr">
        <is>
          <t>96 periodos; mín 0.51, máx 188.55 €/MWh</t>
        </is>
      </c>
    </row>
    <row r="2433">
      <c r="A2433" s="53" t="n">
        <v>46262</v>
      </c>
      <c r="B2433" t="inlineStr">
        <is>
          <t>2026-08-28</t>
        </is>
      </c>
      <c r="C2433" s="45" t="n">
        <v>103.7761</v>
      </c>
      <c r="D2433" t="inlineStr">
        <is>
          <t>€/MWh</t>
        </is>
      </c>
      <c r="E2433" s="54" t="n">
        <v>0.103776</v>
      </c>
      <c r="F2433" s="54" t="n"/>
      <c r="G2433" t="inlineStr">
        <is>
          <t>no aplica (precio mayorista)</t>
        </is>
      </c>
      <c r="J2433" t="inlineStr">
        <is>
          <t>2026-08-27</t>
        </is>
      </c>
      <c r="K2433" t="inlineStr">
        <is>
          <t>marginalpdbc_20260828.1</t>
        </is>
      </c>
      <c r="L2433" t="inlineStr">
        <is>
          <t>96 periodos; mín 0.00, máx 216.00 €/MWh</t>
        </is>
      </c>
    </row>
    <row r="2434">
      <c r="A2434" s="53" t="n">
        <v>46263</v>
      </c>
      <c r="B2434" t="inlineStr">
        <is>
          <t>2026-08-29</t>
        </is>
      </c>
      <c r="C2434" s="45" t="n">
        <v>103.3708</v>
      </c>
      <c r="D2434" t="inlineStr">
        <is>
          <t>€/MWh</t>
        </is>
      </c>
      <c r="E2434" s="54" t="n">
        <v>0.103371</v>
      </c>
      <c r="F2434" s="54" t="n"/>
      <c r="G2434" t="inlineStr">
        <is>
          <t>no aplica (precio mayorista)</t>
        </is>
      </c>
      <c r="J2434" t="inlineStr">
        <is>
          <t>2026-08-28</t>
        </is>
      </c>
      <c r="K2434" t="inlineStr">
        <is>
          <t>marginalpdbc_20260829.1</t>
        </is>
      </c>
      <c r="L2434" t="inlineStr">
        <is>
          <t>96 periodos; mín -0.77, máx 217.00 €/MWh</t>
        </is>
      </c>
    </row>
    <row r="2435">
      <c r="A2435" s="53" t="n">
        <v>46264</v>
      </c>
      <c r="B2435" t="inlineStr">
        <is>
          <t>2026-08-30</t>
        </is>
      </c>
      <c r="C2435" s="45" t="n">
        <v>100.9785</v>
      </c>
      <c r="D2435" t="inlineStr">
        <is>
          <t>€/MWh</t>
        </is>
      </c>
      <c r="E2435" s="54" t="n">
        <v>0.100979</v>
      </c>
      <c r="F2435" s="54" t="n"/>
      <c r="G2435" t="inlineStr">
        <is>
          <t>no aplica (precio mayorista)</t>
        </is>
      </c>
      <c r="J2435" t="inlineStr">
        <is>
          <t>2026-08-29</t>
        </is>
      </c>
      <c r="K2435" t="inlineStr">
        <is>
          <t>marginalpdbc_20260830.1</t>
        </is>
      </c>
      <c r="L2435" t="inlineStr">
        <is>
          <t>96 periodos; mín -1.05, máx 212.82 €/MWh</t>
        </is>
      </c>
    </row>
    <row r="2436">
      <c r="A2436" s="53" t="n">
        <v>46265</v>
      </c>
      <c r="B2436" t="inlineStr">
        <is>
          <t>2026-08-31</t>
        </is>
      </c>
      <c r="C2436" s="45" t="n">
        <v>106.5119</v>
      </c>
      <c r="D2436" t="inlineStr">
        <is>
          <t>€/MWh</t>
        </is>
      </c>
      <c r="E2436" s="54" t="n">
        <v>0.106512</v>
      </c>
      <c r="F2436" s="54" t="n"/>
      <c r="G2436" t="inlineStr">
        <is>
          <t>no aplica (precio mayorista)</t>
        </is>
      </c>
      <c r="J2436" t="inlineStr">
        <is>
          <t>2026-08-30</t>
        </is>
      </c>
      <c r="K2436" t="inlineStr">
        <is>
          <t>marginalpdbc_20260831.1</t>
        </is>
      </c>
      <c r="L2436" t="inlineStr">
        <is>
          <t>96 periodos; mín 0.00, máx 217.00 €/MWh</t>
        </is>
      </c>
    </row>
    <row r="2437">
      <c r="A2437" s="53" t="n">
        <v>46266</v>
      </c>
      <c r="B2437" t="inlineStr">
        <is>
          <t>2026-09-01</t>
        </is>
      </c>
      <c r="C2437" s="45" t="n">
        <v>141.5444</v>
      </c>
      <c r="D2437" t="inlineStr">
        <is>
          <t>€/MWh</t>
        </is>
      </c>
      <c r="E2437" s="54" t="n">
        <v>0.141544</v>
      </c>
      <c r="F2437" s="54" t="n"/>
      <c r="G2437" t="inlineStr">
        <is>
          <t>no aplica (precio mayorista)</t>
        </is>
      </c>
      <c r="J2437" t="inlineStr">
        <is>
          <t>2026-08-31</t>
        </is>
      </c>
      <c r="K2437" t="inlineStr">
        <is>
          <t>marginalpdbc_20260901.1</t>
        </is>
      </c>
      <c r="L2437" t="inlineStr">
        <is>
          <t>96 periodos; mín 24.75, máx 238.74 €/MWh</t>
        </is>
      </c>
    </row>
    <row r="2438">
      <c r="A2438" s="53" t="n">
        <v>46267</v>
      </c>
      <c r="B2438" t="inlineStr">
        <is>
          <t>2026-09-02</t>
        </is>
      </c>
      <c r="C2438" s="45" t="n">
        <v>159.9089</v>
      </c>
      <c r="D2438" t="inlineStr">
        <is>
          <t>€/MWh</t>
        </is>
      </c>
      <c r="E2438" s="54" t="n">
        <v>0.159909</v>
      </c>
      <c r="F2438" s="54" t="n"/>
      <c r="G2438" t="inlineStr">
        <is>
          <t>no aplica (precio mayorista)</t>
        </is>
      </c>
      <c r="J2438" t="inlineStr">
        <is>
          <t>2026-09-01</t>
        </is>
      </c>
      <c r="K2438" t="inlineStr">
        <is>
          <t>marginalpdbc_20260902.1</t>
        </is>
      </c>
      <c r="L2438" t="inlineStr">
        <is>
          <t>96 periodos; mín 58.23, máx 247.27 €/MWh</t>
        </is>
      </c>
    </row>
    <row r="2439">
      <c r="A2439" s="53" t="n">
        <v>46268</v>
      </c>
      <c r="B2439" t="inlineStr">
        <is>
          <t>2026-09-03</t>
        </is>
      </c>
      <c r="C2439" s="45" t="n">
        <v>155.9868</v>
      </c>
      <c r="D2439" t="inlineStr">
        <is>
          <t>€/MWh</t>
        </is>
      </c>
      <c r="E2439" s="54" t="n">
        <v>0.155987</v>
      </c>
      <c r="F2439" s="54" t="n"/>
      <c r="G2439" t="inlineStr">
        <is>
          <t>no aplica (precio mayorista)</t>
        </is>
      </c>
      <c r="J2439" t="inlineStr">
        <is>
          <t>2026-09-02</t>
        </is>
      </c>
      <c r="K2439" t="inlineStr">
        <is>
          <t>marginalpdbc_20260903.1</t>
        </is>
      </c>
      <c r="L2439" t="inlineStr">
        <is>
          <t>96 periodos; mín 27.00, máx 300.00 €/MWh</t>
        </is>
      </c>
    </row>
    <row r="2440">
      <c r="A2440" s="53" t="n">
        <v>46269</v>
      </c>
      <c r="B2440" t="inlineStr">
        <is>
          <t>2026-09-04</t>
        </is>
      </c>
      <c r="C2440" s="45" t="n">
        <v>169.4972</v>
      </c>
      <c r="D2440" t="inlineStr">
        <is>
          <t>€/MWh</t>
        </is>
      </c>
      <c r="E2440" s="54" t="n">
        <v>0.169497</v>
      </c>
      <c r="F2440" s="54" t="n"/>
      <c r="G2440" t="inlineStr">
        <is>
          <t>no aplica (precio mayorista)</t>
        </is>
      </c>
      <c r="J2440" t="inlineStr">
        <is>
          <t>2026-09-03</t>
        </is>
      </c>
      <c r="K2440" t="inlineStr">
        <is>
          <t>marginalpdbc_20260904.1</t>
        </is>
      </c>
      <c r="L2440" t="inlineStr">
        <is>
          <t>96 periodos; mín 82.50, máx 260.27 €/MWh</t>
        </is>
      </c>
    </row>
    <row r="2441">
      <c r="A2441" s="53" t="n">
        <v>46270</v>
      </c>
      <c r="B2441" t="inlineStr">
        <is>
          <t>2026-09-05</t>
        </is>
      </c>
      <c r="C2441" s="45" t="n">
        <v>138.1056</v>
      </c>
      <c r="D2441" t="inlineStr">
        <is>
          <t>€/MWh</t>
        </is>
      </c>
      <c r="E2441" s="54" t="n">
        <v>0.138106</v>
      </c>
      <c r="F2441" s="54" t="n"/>
      <c r="G2441" t="inlineStr">
        <is>
          <t>no aplica (precio mayorista)</t>
        </is>
      </c>
      <c r="J2441" t="inlineStr">
        <is>
          <t>2026-09-04</t>
        </is>
      </c>
      <c r="K2441" t="inlineStr">
        <is>
          <t>marginalpdbc_20260905.1</t>
        </is>
      </c>
      <c r="L2441" t="inlineStr">
        <is>
          <t>96 periodos; mín 2.81, máx 225.01 €/MWh</t>
        </is>
      </c>
    </row>
    <row r="2442">
      <c r="A2442" s="53" t="n">
        <v>46271</v>
      </c>
      <c r="B2442" t="inlineStr">
        <is>
          <t>2026-09-06</t>
        </is>
      </c>
      <c r="C2442" s="45" t="n">
        <v>140.0127</v>
      </c>
      <c r="D2442" t="inlineStr">
        <is>
          <t>€/MWh</t>
        </is>
      </c>
      <c r="E2442" s="54" t="n">
        <v>0.140013</v>
      </c>
      <c r="F2442" s="54" t="n"/>
      <c r="G2442" t="inlineStr">
        <is>
          <t>no aplica (precio mayorista)</t>
        </is>
      </c>
      <c r="J2442" t="inlineStr">
        <is>
          <t>2026-09-05</t>
        </is>
      </c>
      <c r="K2442" t="inlineStr">
        <is>
          <t>marginalpdbc_20260906.1</t>
        </is>
      </c>
      <c r="L2442" t="inlineStr">
        <is>
          <t>96 periodos; mín 0.00, máx 249.30 €/MWh</t>
        </is>
      </c>
    </row>
    <row r="2443">
      <c r="A2443" s="53" t="n">
        <v>46272</v>
      </c>
      <c r="B2443" t="inlineStr">
        <is>
          <t>2026-09-07</t>
        </is>
      </c>
      <c r="C2443" s="45" t="n">
        <v>172.0693</v>
      </c>
      <c r="D2443" t="inlineStr">
        <is>
          <t>€/MWh</t>
        </is>
      </c>
      <c r="E2443" s="54" t="n">
        <v>0.172069</v>
      </c>
      <c r="F2443" s="54" t="n"/>
      <c r="G2443" t="inlineStr">
        <is>
          <t>no aplica (precio mayorista)</t>
        </is>
      </c>
      <c r="J2443" t="inlineStr">
        <is>
          <t>2026-09-06</t>
        </is>
      </c>
      <c r="K2443" t="inlineStr">
        <is>
          <t>marginalpdbc_20260907.1</t>
        </is>
      </c>
      <c r="L2443" t="inlineStr">
        <is>
          <t>96 periodos; mín 57.00, máx 265.00 €/MWh</t>
        </is>
      </c>
    </row>
    <row r="2444">
      <c r="A2444" s="53" t="n">
        <v>46273</v>
      </c>
      <c r="B2444" t="inlineStr">
        <is>
          <t>2026-09-08</t>
        </is>
      </c>
      <c r="C2444" s="45" t="n">
        <v>151.7277</v>
      </c>
      <c r="D2444" t="inlineStr">
        <is>
          <t>€/MWh</t>
        </is>
      </c>
      <c r="E2444" s="54" t="n">
        <v>0.151728</v>
      </c>
      <c r="F2444" s="54" t="n"/>
      <c r="G2444" t="inlineStr">
        <is>
          <t>no aplica (precio mayorista)</t>
        </is>
      </c>
      <c r="J2444" t="inlineStr">
        <is>
          <t>2026-09-07</t>
        </is>
      </c>
      <c r="K2444" t="inlineStr">
        <is>
          <t>marginalpdbc_20260908.1</t>
        </is>
      </c>
      <c r="L2444" t="inlineStr">
        <is>
          <t>96 periodos; mín 33.62, máx 230.01 €/MWh</t>
        </is>
      </c>
    </row>
    <row r="2445">
      <c r="A2445" s="53" t="n">
        <v>46274</v>
      </c>
      <c r="B2445" t="inlineStr">
        <is>
          <t>2026-09-09</t>
        </is>
      </c>
      <c r="C2445" s="45" t="n">
        <v>107.7555</v>
      </c>
      <c r="D2445" t="inlineStr">
        <is>
          <t>€/MWh</t>
        </is>
      </c>
      <c r="E2445" s="54" t="n">
        <v>0.107756</v>
      </c>
      <c r="F2445" s="54" t="n"/>
      <c r="G2445" t="inlineStr">
        <is>
          <t>no aplica (precio mayorista)</t>
        </is>
      </c>
      <c r="J2445" t="inlineStr">
        <is>
          <t>2026-09-08</t>
        </is>
      </c>
      <c r="K2445" t="inlineStr">
        <is>
          <t>marginalpdbc_20260909.1</t>
        </is>
      </c>
      <c r="L2445" t="inlineStr">
        <is>
          <t>96 periodos; mín 0.00, máx 212.09 €/MWh</t>
        </is>
      </c>
    </row>
    <row r="2446">
      <c r="A2446" s="53" t="n">
        <v>46275</v>
      </c>
      <c r="B2446" t="inlineStr">
        <is>
          <t>2026-09-10</t>
        </is>
      </c>
      <c r="C2446" s="45" t="n">
        <v>145.2141</v>
      </c>
      <c r="D2446" t="inlineStr">
        <is>
          <t>€/MWh</t>
        </is>
      </c>
      <c r="E2446" s="54" t="n">
        <v>0.145214</v>
      </c>
      <c r="F2446" s="54" t="n"/>
      <c r="G2446" t="inlineStr">
        <is>
          <t>no aplica (precio mayorista)</t>
        </is>
      </c>
      <c r="J2446" t="inlineStr">
        <is>
          <t>2026-09-09</t>
        </is>
      </c>
      <c r="K2446" t="inlineStr">
        <is>
          <t>marginalpdbc_20260910.1</t>
        </is>
      </c>
      <c r="L2446" t="inlineStr">
        <is>
          <t>96 periodos; mín 2.50, máx 278.48 €/MWh</t>
        </is>
      </c>
    </row>
    <row r="2447">
      <c r="A2447" s="53" t="n">
        <v>46276</v>
      </c>
      <c r="B2447" t="inlineStr">
        <is>
          <t>2026-09-11</t>
        </is>
      </c>
      <c r="C2447" s="45" t="n">
        <v>144.5042</v>
      </c>
      <c r="D2447" t="inlineStr">
        <is>
          <t>€/MWh</t>
        </is>
      </c>
      <c r="E2447" s="54" t="n">
        <v>0.144504</v>
      </c>
      <c r="F2447" s="54" t="n"/>
      <c r="G2447" t="inlineStr">
        <is>
          <t>no aplica (precio mayorista)</t>
        </is>
      </c>
      <c r="J2447" t="inlineStr">
        <is>
          <t>2026-09-10</t>
        </is>
      </c>
      <c r="K2447" t="inlineStr">
        <is>
          <t>marginalpdbc_20260911.1</t>
        </is>
      </c>
      <c r="L2447" t="inlineStr">
        <is>
          <t>96 periodos; mín 10.01, máx 250.01 €/MWh</t>
        </is>
      </c>
    </row>
    <row r="2448">
      <c r="A2448" s="53" t="n">
        <v>46277</v>
      </c>
      <c r="B2448" t="inlineStr">
        <is>
          <t>2026-09-12</t>
        </is>
      </c>
      <c r="C2448" s="45" t="n">
        <v>118.2779</v>
      </c>
      <c r="D2448" t="inlineStr">
        <is>
          <t>€/MWh</t>
        </is>
      </c>
      <c r="E2448" s="54" t="n">
        <v>0.118278</v>
      </c>
      <c r="F2448" s="54" t="n"/>
      <c r="G2448" t="inlineStr">
        <is>
          <t>no aplica (precio mayorista)</t>
        </is>
      </c>
      <c r="J2448" t="inlineStr">
        <is>
          <t>2026-09-11</t>
        </is>
      </c>
      <c r="K2448" t="inlineStr">
        <is>
          <t>marginalpdbc_20260912.1</t>
        </is>
      </c>
      <c r="L2448" t="inlineStr">
        <is>
          <t>96 periodos; mín 0.00, máx 213.63 €/MWh</t>
        </is>
      </c>
    </row>
    <row r="2449">
      <c r="A2449" s="53" t="n">
        <v>46278</v>
      </c>
      <c r="B2449" t="inlineStr">
        <is>
          <t>2026-09-13</t>
        </is>
      </c>
      <c r="C2449" s="45" t="n">
        <v>121.3904</v>
      </c>
      <c r="D2449" t="inlineStr">
        <is>
          <t>€/MWh</t>
        </is>
      </c>
      <c r="E2449" s="54" t="n">
        <v>0.12139</v>
      </c>
      <c r="F2449" s="54" t="n"/>
      <c r="G2449" t="inlineStr">
        <is>
          <t>no aplica (precio mayorista)</t>
        </is>
      </c>
      <c r="J2449" t="inlineStr">
        <is>
          <t>2026-09-12</t>
        </is>
      </c>
      <c r="K2449" t="inlineStr">
        <is>
          <t>marginalpdbc_20260913.1</t>
        </is>
      </c>
      <c r="L2449" t="inlineStr">
        <is>
          <t>96 periodos; mín -0.50, máx 237.53 €/MWh</t>
        </is>
      </c>
    </row>
    <row r="2450">
      <c r="A2450" s="53" t="n">
        <v>46279</v>
      </c>
      <c r="B2450" t="inlineStr">
        <is>
          <t>2026-09-14</t>
        </is>
      </c>
      <c r="C2450" s="45" t="n">
        <v>177.4365</v>
      </c>
      <c r="D2450" t="inlineStr">
        <is>
          <t>€/MWh</t>
        </is>
      </c>
      <c r="E2450" s="54" t="n">
        <v>0.177436</v>
      </c>
      <c r="F2450" s="54" t="n"/>
      <c r="G2450" t="inlineStr">
        <is>
          <t>no aplica (precio mayorista)</t>
        </is>
      </c>
      <c r="J2450" t="inlineStr">
        <is>
          <t>2026-09-13</t>
        </is>
      </c>
      <c r="K2450" t="inlineStr">
        <is>
          <t>marginalpdbc_20260914.1</t>
        </is>
      </c>
      <c r="L2450" t="inlineStr">
        <is>
          <t>96 periodos; mín 40.53, máx 300.00 €/MWh</t>
        </is>
      </c>
    </row>
    <row r="2451">
      <c r="A2451" s="53" t="n">
        <v>46280</v>
      </c>
      <c r="B2451" t="inlineStr">
        <is>
          <t>2026-09-15</t>
        </is>
      </c>
      <c r="C2451" s="45" t="n">
        <v>167.3261</v>
      </c>
      <c r="D2451" t="inlineStr">
        <is>
          <t>€/MWh</t>
        </is>
      </c>
      <c r="E2451" s="54" t="n">
        <v>0.167326</v>
      </c>
      <c r="F2451" s="54" t="n"/>
      <c r="G2451" t="inlineStr">
        <is>
          <t>no aplica (precio mayorista)</t>
        </is>
      </c>
      <c r="J2451" t="inlineStr">
        <is>
          <t>2026-09-14</t>
        </is>
      </c>
      <c r="K2451" t="inlineStr">
        <is>
          <t>marginalpdbc_20260915.1</t>
        </is>
      </c>
      <c r="L2451" t="inlineStr">
        <is>
          <t>96 periodos; mín 35.67, máx 268.06 €/MWh</t>
        </is>
      </c>
    </row>
    <row r="2452">
      <c r="A2452" s="53" t="n">
        <v>46281</v>
      </c>
      <c r="B2452" t="inlineStr">
        <is>
          <t>2026-09-16</t>
        </is>
      </c>
      <c r="C2452" s="45" t="n">
        <v>104.6327</v>
      </c>
      <c r="D2452" t="inlineStr">
        <is>
          <t>€/MWh</t>
        </is>
      </c>
      <c r="E2452" s="54" t="n">
        <v>0.104633</v>
      </c>
      <c r="F2452" s="54" t="n"/>
      <c r="G2452" t="inlineStr">
        <is>
          <t>no aplica (precio mayorista)</t>
        </is>
      </c>
      <c r="J2452" t="inlineStr">
        <is>
          <t>2026-09-15</t>
        </is>
      </c>
      <c r="K2452" t="inlineStr">
        <is>
          <t>marginalpdbc_20260916.1</t>
        </is>
      </c>
      <c r="L2452" t="inlineStr">
        <is>
          <t>96 periodos; mín 0.00, máx 196.18 €/MWh</t>
        </is>
      </c>
    </row>
    <row r="2453">
      <c r="A2453" s="53" t="n">
        <v>46282</v>
      </c>
      <c r="B2453" t="inlineStr">
        <is>
          <t>2026-09-17</t>
        </is>
      </c>
      <c r="C2453" s="45" t="n">
        <v>127.4146</v>
      </c>
      <c r="D2453" t="inlineStr">
        <is>
          <t>€/MWh</t>
        </is>
      </c>
      <c r="E2453" s="54" t="n">
        <v>0.127415</v>
      </c>
      <c r="F2453" s="54" t="n"/>
      <c r="G2453" t="inlineStr">
        <is>
          <t>no aplica (precio mayorista)</t>
        </is>
      </c>
      <c r="J2453" t="inlineStr">
        <is>
          <t>2026-09-16</t>
        </is>
      </c>
      <c r="K2453" t="inlineStr">
        <is>
          <t>marginalpdbc_20260917.1</t>
        </is>
      </c>
      <c r="L2453" t="inlineStr">
        <is>
          <t>96 periodos; mín 0.51, máx 244.11 €/MWh</t>
        </is>
      </c>
    </row>
    <row r="2454">
      <c r="A2454" s="53" t="n">
        <v>46283</v>
      </c>
      <c r="B2454" t="inlineStr">
        <is>
          <t>2026-09-18</t>
        </is>
      </c>
      <c r="C2454" s="45" t="n">
        <v>124.7795</v>
      </c>
      <c r="D2454" t="inlineStr">
        <is>
          <t>€/MWh</t>
        </is>
      </c>
      <c r="E2454" s="54" t="n">
        <v>0.124779</v>
      </c>
      <c r="F2454" s="54" t="n"/>
      <c r="G2454" t="inlineStr">
        <is>
          <t>no aplica (precio mayorista)</t>
        </is>
      </c>
      <c r="J2454" t="inlineStr">
        <is>
          <t>2026-09-17</t>
        </is>
      </c>
      <c r="K2454" t="inlineStr">
        <is>
          <t>marginalpdbc_20260918.1</t>
        </is>
      </c>
      <c r="L2454" t="inlineStr">
        <is>
          <t>96 periodos; mín 0.00, máx 228.78 €/MWh</t>
        </is>
      </c>
    </row>
    <row r="2455">
      <c r="A2455" s="53" t="n">
        <v>46284</v>
      </c>
      <c r="B2455" t="inlineStr">
        <is>
          <t>2026-09-19</t>
        </is>
      </c>
      <c r="C2455" s="45" t="n">
        <v>110.2555</v>
      </c>
      <c r="D2455" t="inlineStr">
        <is>
          <t>€/MWh</t>
        </is>
      </c>
      <c r="E2455" s="54" t="n">
        <v>0.110256</v>
      </c>
      <c r="F2455" s="54" t="n"/>
      <c r="G2455" t="inlineStr">
        <is>
          <t>no aplica (precio mayorista)</t>
        </is>
      </c>
      <c r="J2455" t="inlineStr">
        <is>
          <t>2026-09-18</t>
        </is>
      </c>
      <c r="K2455" t="inlineStr">
        <is>
          <t>marginalpdbc_20260919.1</t>
        </is>
      </c>
      <c r="L2455" t="inlineStr">
        <is>
          <t>96 periodos; mín -1.00, máx 201.15 €/MWh</t>
        </is>
      </c>
    </row>
    <row r="2456">
      <c r="A2456" s="53" t="n">
        <v>46285</v>
      </c>
      <c r="B2456" t="inlineStr">
        <is>
          <t>2026-09-20</t>
        </is>
      </c>
      <c r="C2456" s="45" t="n">
        <v>112.5618</v>
      </c>
      <c r="D2456" t="inlineStr">
        <is>
          <t>€/MWh</t>
        </is>
      </c>
      <c r="E2456" s="54" t="n">
        <v>0.112562</v>
      </c>
      <c r="F2456" s="54" t="n"/>
      <c r="G2456" t="inlineStr">
        <is>
          <t>no aplica (precio mayorista)</t>
        </is>
      </c>
      <c r="J2456" t="inlineStr">
        <is>
          <t>2026-09-19</t>
        </is>
      </c>
      <c r="K2456" t="inlineStr">
        <is>
          <t>marginalpdbc_20260920.1</t>
        </is>
      </c>
      <c r="L2456" t="inlineStr">
        <is>
          <t>96 periodos; mín -1.14, máx 225.57 €/MWh</t>
        </is>
      </c>
    </row>
    <row r="2457">
      <c r="A2457" s="53" t="n">
        <v>46286</v>
      </c>
      <c r="B2457" t="inlineStr">
        <is>
          <t>2026-09-21</t>
        </is>
      </c>
      <c r="C2457" s="45" t="n">
        <v>138.7734</v>
      </c>
      <c r="D2457" t="inlineStr">
        <is>
          <t>€/MWh</t>
        </is>
      </c>
      <c r="E2457" s="54" t="n">
        <v>0.138773</v>
      </c>
      <c r="F2457" s="54" t="n"/>
      <c r="G2457" t="inlineStr">
        <is>
          <t>no aplica (precio mayorista)</t>
        </is>
      </c>
      <c r="J2457" t="inlineStr">
        <is>
          <t>2026-09-20</t>
        </is>
      </c>
      <c r="K2457" t="inlineStr">
        <is>
          <t>marginalpdbc_20260921.1</t>
        </is>
      </c>
      <c r="L2457" t="inlineStr">
        <is>
          <t>96 periodos; mín 1.49, máx 276.54 €/MWh</t>
        </is>
      </c>
    </row>
    <row r="2458">
      <c r="A2458" s="53" t="n">
        <v>46287</v>
      </c>
      <c r="B2458" t="inlineStr">
        <is>
          <t>2026-09-22</t>
        </is>
      </c>
      <c r="C2458" s="45" t="n">
        <v>156.0193</v>
      </c>
      <c r="D2458" t="inlineStr">
        <is>
          <t>€/MWh</t>
        </is>
      </c>
      <c r="E2458" s="54" t="n">
        <v>0.156019</v>
      </c>
      <c r="F2458" s="54" t="n"/>
      <c r="G2458" t="inlineStr">
        <is>
          <t>no aplica (precio mayorista)</t>
        </is>
      </c>
      <c r="J2458" t="inlineStr">
        <is>
          <t>2026-09-21</t>
        </is>
      </c>
      <c r="K2458" t="inlineStr">
        <is>
          <t>marginalpdbc_20260922.1</t>
        </is>
      </c>
      <c r="L2458" t="inlineStr">
        <is>
          <t>96 periodos; mín 1.99, máx 300.00 €/MWh</t>
        </is>
      </c>
    </row>
    <row r="2459">
      <c r="A2459" s="53" t="n">
        <v>46288</v>
      </c>
      <c r="B2459" t="inlineStr">
        <is>
          <t>2026-09-23</t>
        </is>
      </c>
      <c r="C2459" s="45" t="n">
        <v>158.8762</v>
      </c>
      <c r="D2459" t="inlineStr">
        <is>
          <t>€/MWh</t>
        </is>
      </c>
      <c r="E2459" s="54" t="n">
        <v>0.158876</v>
      </c>
      <c r="F2459" s="54" t="n"/>
      <c r="G2459" t="inlineStr">
        <is>
          <t>no aplica (precio mayorista)</t>
        </is>
      </c>
      <c r="J2459" t="inlineStr">
        <is>
          <t>2026-09-22</t>
        </is>
      </c>
      <c r="K2459" t="inlineStr">
        <is>
          <t>marginalpdbc_20260923.1</t>
        </is>
      </c>
      <c r="L2459" t="inlineStr">
        <is>
          <t>96 periodos; mín 10.02, máx 274.36 €/MWh</t>
        </is>
      </c>
    </row>
    <row r="2460">
      <c r="A2460" s="53" t="n">
        <v>46289</v>
      </c>
      <c r="B2460" t="inlineStr">
        <is>
          <t>2026-09-24</t>
        </is>
      </c>
      <c r="C2460" s="45" t="n">
        <v>157.2409</v>
      </c>
      <c r="D2460" t="inlineStr">
        <is>
          <t>€/MWh</t>
        </is>
      </c>
      <c r="E2460" s="54" t="n">
        <v>0.157241</v>
      </c>
      <c r="F2460" s="54" t="n"/>
      <c r="G2460" t="inlineStr">
        <is>
          <t>no aplica (precio mayorista)</t>
        </is>
      </c>
      <c r="J2460" t="inlineStr">
        <is>
          <t>2026-09-23</t>
        </is>
      </c>
      <c r="K2460" t="inlineStr">
        <is>
          <t>marginalpdbc_20260924.1</t>
        </is>
      </c>
      <c r="L2460" t="inlineStr">
        <is>
          <t>96 periodos; mín 17.62, máx 288.23 €/MWh</t>
        </is>
      </c>
    </row>
    <row r="2461">
      <c r="A2461" s="53" t="n">
        <v>46290</v>
      </c>
      <c r="B2461" t="inlineStr">
        <is>
          <t>2026-09-25</t>
        </is>
      </c>
      <c r="C2461" s="45" t="n">
        <v>158.9191</v>
      </c>
      <c r="D2461" t="inlineStr">
        <is>
          <t>€/MWh</t>
        </is>
      </c>
      <c r="E2461" s="54" t="n">
        <v>0.158919</v>
      </c>
      <c r="F2461" s="54" t="n"/>
      <c r="G2461" t="inlineStr">
        <is>
          <t>no aplica (precio mayorista)</t>
        </is>
      </c>
      <c r="J2461" t="inlineStr">
        <is>
          <t>2026-09-24</t>
        </is>
      </c>
      <c r="K2461" t="inlineStr">
        <is>
          <t>marginalpdbc_20260925.1</t>
        </is>
      </c>
      <c r="L2461" t="inlineStr">
        <is>
          <t>96 periodos; mín 19.17, máx 287.13 €/MWh</t>
        </is>
      </c>
    </row>
    <row r="2462">
      <c r="A2462" s="53" t="n">
        <v>46291</v>
      </c>
      <c r="B2462" t="inlineStr">
        <is>
          <t>2026-09-26</t>
        </is>
      </c>
      <c r="C2462" s="45" t="n">
        <v>130.6152</v>
      </c>
      <c r="D2462" t="inlineStr">
        <is>
          <t>€/MWh</t>
        </is>
      </c>
      <c r="E2462" s="54" t="n">
        <v>0.130615</v>
      </c>
      <c r="F2462" s="54" t="n"/>
      <c r="G2462" t="inlineStr">
        <is>
          <t>no aplica (precio mayorista)</t>
        </is>
      </c>
      <c r="J2462" t="inlineStr">
        <is>
          <t>2026-09-25</t>
        </is>
      </c>
      <c r="K2462" t="inlineStr">
        <is>
          <t>marginalpdbc_20260926.1</t>
        </is>
      </c>
      <c r="L2462" t="inlineStr">
        <is>
          <t>96 periodos; mín 0.45, máx 251.08 €/MWh</t>
        </is>
      </c>
    </row>
    <row r="2463">
      <c r="A2463" s="53" t="n">
        <v>46292</v>
      </c>
      <c r="B2463" t="inlineStr">
        <is>
          <t>2026-09-27</t>
        </is>
      </c>
      <c r="C2463" s="45" t="n">
        <v>113.6544</v>
      </c>
      <c r="D2463" t="inlineStr">
        <is>
          <t>€/MWh</t>
        </is>
      </c>
      <c r="E2463" s="54" t="n">
        <v>0.113654</v>
      </c>
      <c r="F2463" s="54" t="n"/>
      <c r="G2463" t="inlineStr">
        <is>
          <t>no aplica (precio mayorista)</t>
        </is>
      </c>
      <c r="J2463" t="inlineStr">
        <is>
          <t>2026-09-26</t>
        </is>
      </c>
      <c r="K2463" t="inlineStr">
        <is>
          <t>marginalpdbc_20260927.1</t>
        </is>
      </c>
      <c r="L2463" t="inlineStr">
        <is>
          <t>96 periodos; mín -0.07, máx 210.26 €/MWh</t>
        </is>
      </c>
    </row>
    <row r="2464">
      <c r="A2464" s="53" t="n">
        <v>46293</v>
      </c>
      <c r="B2464" t="inlineStr">
        <is>
          <t>2026-09-28</t>
        </is>
      </c>
      <c r="C2464" s="45" t="n">
        <v>198.0488</v>
      </c>
      <c r="D2464" t="inlineStr">
        <is>
          <t>€/MWh</t>
        </is>
      </c>
      <c r="E2464" s="54" t="n">
        <v>0.198049</v>
      </c>
      <c r="F2464" s="54" t="n"/>
      <c r="G2464" t="inlineStr">
        <is>
          <t>no aplica (precio mayorista)</t>
        </is>
      </c>
      <c r="J2464" t="inlineStr">
        <is>
          <t>2026-09-27</t>
        </is>
      </c>
      <c r="K2464" t="inlineStr">
        <is>
          <t>marginalpdbc_20260928.1</t>
        </is>
      </c>
      <c r="L2464" t="inlineStr">
        <is>
          <t>96 periodos; mín 147.32, máx 280.59 €/MWh</t>
        </is>
      </c>
    </row>
    <row r="2465">
      <c r="A2465" s="53" t="n">
        <v>46294</v>
      </c>
      <c r="B2465" t="inlineStr">
        <is>
          <t>2026-09-29</t>
        </is>
      </c>
      <c r="C2465" s="45" t="n">
        <v>130.0965</v>
      </c>
      <c r="D2465" t="inlineStr">
        <is>
          <t>€/MWh</t>
        </is>
      </c>
      <c r="E2465" s="54" t="n">
        <v>0.130096</v>
      </c>
      <c r="F2465" s="54" t="n"/>
      <c r="G2465" t="inlineStr">
        <is>
          <t>no aplica (precio mayorista)</t>
        </is>
      </c>
      <c r="J2465" t="inlineStr">
        <is>
          <t>2026-09-28</t>
        </is>
      </c>
      <c r="K2465" t="inlineStr">
        <is>
          <t>marginalpdbc_20260929.1</t>
        </is>
      </c>
      <c r="L2465" t="inlineStr">
        <is>
          <t>96 periodos; mín 1.08, máx 239.17 €/MWh</t>
        </is>
      </c>
    </row>
    <row r="2466">
      <c r="A2466" s="53" t="n">
        <v>46295</v>
      </c>
      <c r="B2466" t="inlineStr">
        <is>
          <t>2026-09-30</t>
        </is>
      </c>
      <c r="C2466" s="45" t="n">
        <v>164.9761</v>
      </c>
      <c r="D2466" t="inlineStr">
        <is>
          <t>€/MWh</t>
        </is>
      </c>
      <c r="E2466" s="54" t="n">
        <v>0.164976</v>
      </c>
      <c r="F2466" s="54" t="n"/>
      <c r="G2466" t="inlineStr">
        <is>
          <t>no aplica (precio mayorista)</t>
        </is>
      </c>
      <c r="J2466" t="inlineStr">
        <is>
          <t>2026-09-29</t>
        </is>
      </c>
      <c r="K2466" t="inlineStr">
        <is>
          <t>marginalpdbc_20260930.1</t>
        </is>
      </c>
      <c r="L2466" t="inlineStr">
        <is>
          <t>96 periodos; mín 85.60, máx 261.03 €/MWh</t>
        </is>
      </c>
    </row>
    <row r="2467">
      <c r="A2467" s="53" t="n">
        <v>46296</v>
      </c>
      <c r="B2467" t="inlineStr">
        <is>
          <t>2026-10-01</t>
        </is>
      </c>
      <c r="C2467" s="45" t="n">
        <v>152.0091</v>
      </c>
      <c r="D2467" t="inlineStr">
        <is>
          <t>€/MWh</t>
        </is>
      </c>
      <c r="E2467" s="54" t="n">
        <v>0.152009</v>
      </c>
      <c r="F2467" s="54" t="n"/>
      <c r="G2467" t="inlineStr">
        <is>
          <t>no aplica (precio mayorista)</t>
        </is>
      </c>
      <c r="J2467" t="inlineStr">
        <is>
          <t>2026-09-30</t>
        </is>
      </c>
      <c r="K2467" t="inlineStr">
        <is>
          <t>marginalpdbc_20261001.1</t>
        </is>
      </c>
      <c r="L2467" t="inlineStr">
        <is>
          <t>96 periodos; mín 38.95, máx 258.32 €/MWh</t>
        </is>
      </c>
    </row>
    <row r="2468">
      <c r="A2468" s="53" t="n">
        <v>46297</v>
      </c>
      <c r="B2468" t="inlineStr">
        <is>
          <t>2026-10-02</t>
        </is>
      </c>
      <c r="C2468" s="45" t="n">
        <v>177.7189</v>
      </c>
      <c r="D2468" t="inlineStr">
        <is>
          <t>€/MWh</t>
        </is>
      </c>
      <c r="E2468" s="54" t="n">
        <v>0.177719</v>
      </c>
      <c r="F2468" s="54" t="n"/>
      <c r="G2468" t="inlineStr">
        <is>
          <t>no aplica (precio mayorista)</t>
        </is>
      </c>
      <c r="J2468" t="inlineStr">
        <is>
          <t>2026-10-01</t>
        </is>
      </c>
      <c r="K2468" t="inlineStr">
        <is>
          <t>marginalpdbc_20261002.1</t>
        </is>
      </c>
      <c r="L2468" t="inlineStr">
        <is>
          <t>96 periodos; mín 112.50, máx 279.83 €/MWh</t>
        </is>
      </c>
    </row>
    <row r="2469">
      <c r="A2469" s="53" t="n">
        <v>46298</v>
      </c>
      <c r="B2469" t="inlineStr">
        <is>
          <t>2026-10-03</t>
        </is>
      </c>
      <c r="C2469" s="45" t="n">
        <v>166.6015</v>
      </c>
      <c r="D2469" t="inlineStr">
        <is>
          <t>€/MWh</t>
        </is>
      </c>
      <c r="E2469" s="54" t="n">
        <v>0.166601</v>
      </c>
      <c r="F2469" s="54" t="n"/>
      <c r="G2469" t="inlineStr">
        <is>
          <t>no aplica (precio mayorista)</t>
        </is>
      </c>
      <c r="J2469" t="inlineStr">
        <is>
          <t>2026-10-02</t>
        </is>
      </c>
      <c r="K2469" t="inlineStr">
        <is>
          <t>marginalpdbc_20261003.1</t>
        </is>
      </c>
      <c r="L2469" t="inlineStr">
        <is>
          <t>96 periodos; mín 63.94, máx 238.70 €/MWh</t>
        </is>
      </c>
    </row>
    <row r="2470">
      <c r="A2470" s="53" t="n">
        <v>46299</v>
      </c>
      <c r="B2470" t="inlineStr">
        <is>
          <t>2026-10-04</t>
        </is>
      </c>
      <c r="C2470" s="45" t="n">
        <v>171.8477</v>
      </c>
      <c r="D2470" t="inlineStr">
        <is>
          <t>€/MWh</t>
        </is>
      </c>
      <c r="E2470" s="54" t="n">
        <v>0.171848</v>
      </c>
      <c r="F2470" s="54" t="n"/>
      <c r="G2470" t="inlineStr">
        <is>
          <t>no aplica (precio mayorista)</t>
        </is>
      </c>
      <c r="J2470" t="inlineStr">
        <is>
          <t>2026-10-03</t>
        </is>
      </c>
      <c r="K2470" t="inlineStr">
        <is>
          <t>marginalpdbc_20261004.1</t>
        </is>
      </c>
      <c r="L2470" t="inlineStr">
        <is>
          <t>96 periodos; mín 70.69, máx 245.07 €/MWh</t>
        </is>
      </c>
    </row>
    <row r="2471">
      <c r="A2471" s="53" t="n">
        <v>46300</v>
      </c>
      <c r="B2471" t="inlineStr">
        <is>
          <t>2026-10-05</t>
        </is>
      </c>
      <c r="C2471" s="45" t="n">
        <v>196.8797</v>
      </c>
      <c r="D2471" t="inlineStr">
        <is>
          <t>€/MWh</t>
        </is>
      </c>
      <c r="E2471" s="54" t="n">
        <v>0.19688</v>
      </c>
      <c r="F2471" s="54" t="n"/>
      <c r="G2471" t="inlineStr">
        <is>
          <t>no aplica (precio mayorista)</t>
        </is>
      </c>
      <c r="J2471" t="inlineStr">
        <is>
          <t>2026-10-04</t>
        </is>
      </c>
      <c r="K2471" t="inlineStr">
        <is>
          <t>marginalpdbc_20261005.1</t>
        </is>
      </c>
      <c r="L2471" t="inlineStr">
        <is>
          <t>96 periodos; mín 130.00, máx 271.93 €/MWh</t>
        </is>
      </c>
    </row>
    <row r="2472">
      <c r="A2472" s="53" t="n">
        <v>46301</v>
      </c>
      <c r="B2472" t="inlineStr">
        <is>
          <t>2026-10-06</t>
        </is>
      </c>
      <c r="C2472" s="45" t="n">
        <v>201.9911</v>
      </c>
      <c r="D2472" t="inlineStr">
        <is>
          <t>€/MWh</t>
        </is>
      </c>
      <c r="E2472" s="54" t="n">
        <v>0.201991</v>
      </c>
      <c r="F2472" s="54" t="n"/>
      <c r="G2472" t="inlineStr">
        <is>
          <t>no aplica (precio mayorista)</t>
        </is>
      </c>
      <c r="J2472" t="inlineStr">
        <is>
          <t>2026-10-05</t>
        </is>
      </c>
      <c r="K2472" t="inlineStr">
        <is>
          <t>marginalpdbc_20261006.1</t>
        </is>
      </c>
      <c r="L2472" t="inlineStr">
        <is>
          <t>96 periodos; mín 147.09, máx 281.31 €/MWh</t>
        </is>
      </c>
    </row>
    <row r="2473">
      <c r="A2473" s="53" t="n">
        <v>46302</v>
      </c>
      <c r="B2473" t="inlineStr">
        <is>
          <t>2026-10-07</t>
        </is>
      </c>
      <c r="C2473" s="45" t="n">
        <v>182.3338</v>
      </c>
      <c r="D2473" t="inlineStr">
        <is>
          <t>€/MWh</t>
        </is>
      </c>
      <c r="E2473" s="54" t="n">
        <v>0.182334</v>
      </c>
      <c r="F2473" s="54" t="n"/>
      <c r="G2473" t="inlineStr">
        <is>
          <t>no aplica (precio mayorista)</t>
        </is>
      </c>
      <c r="J2473" t="inlineStr">
        <is>
          <t>2026-10-06</t>
        </is>
      </c>
      <c r="K2473" t="inlineStr">
        <is>
          <t>marginalpdbc_20261007.1</t>
        </is>
      </c>
      <c r="L2473" t="inlineStr">
        <is>
          <t>96 periodos; mín 80.80, máx 245.90 €/MWh</t>
        </is>
      </c>
    </row>
    <row r="2474">
      <c r="A2474" s="53" t="n">
        <v>46303</v>
      </c>
      <c r="B2474" t="inlineStr">
        <is>
          <t>2026-10-08</t>
        </is>
      </c>
      <c r="C2474" s="45" t="n">
        <v>106.8959</v>
      </c>
      <c r="D2474" t="inlineStr">
        <is>
          <t>€/MWh</t>
        </is>
      </c>
      <c r="E2474" s="54" t="n">
        <v>0.106896</v>
      </c>
      <c r="F2474" s="54" t="n"/>
      <c r="G2474" t="inlineStr">
        <is>
          <t>no aplica (precio mayorista)</t>
        </is>
      </c>
      <c r="J2474" t="inlineStr">
        <is>
          <t>2026-10-07</t>
        </is>
      </c>
      <c r="K2474" t="inlineStr">
        <is>
          <t>marginalpdbc_20261008.1</t>
        </is>
      </c>
      <c r="L2474" t="inlineStr">
        <is>
          <t>96 periodos; mín 0.00, máx 204.50 €/MWh</t>
        </is>
      </c>
    </row>
    <row r="2475">
      <c r="A2475" s="53" t="n">
        <v>46304</v>
      </c>
      <c r="B2475" t="inlineStr">
        <is>
          <t>2026-10-09</t>
        </is>
      </c>
      <c r="C2475" s="45" t="n">
        <v>107.3684</v>
      </c>
      <c r="D2475" t="inlineStr">
        <is>
          <t>€/MWh</t>
        </is>
      </c>
      <c r="E2475" s="54" t="n">
        <v>0.107368</v>
      </c>
      <c r="F2475" s="54" t="n"/>
      <c r="G2475" t="inlineStr">
        <is>
          <t>no aplica (precio mayorista)</t>
        </is>
      </c>
      <c r="J2475" t="inlineStr">
        <is>
          <t>2026-10-08</t>
        </is>
      </c>
      <c r="K2475" t="inlineStr">
        <is>
          <t>marginalpdbc_20261009.1</t>
        </is>
      </c>
      <c r="L2475" t="inlineStr">
        <is>
          <t>96 periodos; mín 0.00, máx 205.00 €/MWh</t>
        </is>
      </c>
    </row>
    <row r="2476">
      <c r="A2476" s="53" t="n">
        <v>46305</v>
      </c>
      <c r="B2476" t="inlineStr">
        <is>
          <t>2026-10-10</t>
        </is>
      </c>
      <c r="C2476" s="45" t="n">
        <v>129.9959</v>
      </c>
      <c r="D2476" t="inlineStr">
        <is>
          <t>€/MWh</t>
        </is>
      </c>
      <c r="E2476" s="54" t="n">
        <v>0.129996</v>
      </c>
      <c r="F2476" s="54" t="n"/>
      <c r="G2476" t="inlineStr">
        <is>
          <t>no aplica (precio mayorista)</t>
        </is>
      </c>
      <c r="J2476" t="inlineStr">
        <is>
          <t>2026-10-09</t>
        </is>
      </c>
      <c r="K2476" t="inlineStr">
        <is>
          <t>marginalpdbc_20261010.1</t>
        </is>
      </c>
      <c r="L2476" t="inlineStr">
        <is>
          <t>96 periodos; mín -0.01, máx 219.66 €/MWh</t>
        </is>
      </c>
    </row>
    <row r="2477">
      <c r="A2477" s="53" t="n">
        <v>46306</v>
      </c>
      <c r="B2477" t="inlineStr">
        <is>
          <t>2026-10-11</t>
        </is>
      </c>
      <c r="C2477" s="45" t="n">
        <v>141.491</v>
      </c>
      <c r="D2477" t="inlineStr">
        <is>
          <t>€/MWh</t>
        </is>
      </c>
      <c r="E2477" s="54" t="n">
        <v>0.141491</v>
      </c>
      <c r="F2477" s="54" t="n"/>
      <c r="G2477" t="inlineStr">
        <is>
          <t>no aplica (precio mayorista)</t>
        </is>
      </c>
      <c r="J2477" t="inlineStr">
        <is>
          <t>2026-10-10</t>
        </is>
      </c>
      <c r="K2477" t="inlineStr">
        <is>
          <t>marginalpdbc_20261011.1</t>
        </is>
      </c>
      <c r="L2477" t="inlineStr">
        <is>
          <t>96 periodos; mín 0.51, máx 241.59 €/MWh</t>
        </is>
      </c>
    </row>
    <row r="2478">
      <c r="A2478" s="53" t="n">
        <v>46307</v>
      </c>
      <c r="B2478" t="inlineStr">
        <is>
          <t>2026-10-12</t>
        </is>
      </c>
      <c r="C2478" s="45" t="n">
        <v>151.7624</v>
      </c>
      <c r="D2478" t="inlineStr">
        <is>
          <t>€/MWh</t>
        </is>
      </c>
      <c r="E2478" s="54" t="n">
        <v>0.151762</v>
      </c>
      <c r="F2478" s="54" t="n"/>
      <c r="G2478" t="inlineStr">
        <is>
          <t>no aplica (precio mayorista)</t>
        </is>
      </c>
      <c r="J2478" t="inlineStr">
        <is>
          <t>2026-10-11</t>
        </is>
      </c>
      <c r="K2478" t="inlineStr">
        <is>
          <t>marginalpdbc_20261012.1</t>
        </is>
      </c>
      <c r="L2478" t="inlineStr">
        <is>
          <t>96 periodos; mín 0.00, máx 273.01 €/MWh</t>
        </is>
      </c>
    </row>
    <row r="2479">
      <c r="A2479" s="53" t="n">
        <v>46308</v>
      </c>
      <c r="B2479" t="inlineStr">
        <is>
          <t>2026-10-13</t>
        </is>
      </c>
      <c r="C2479" s="45" t="n">
        <v>166.6302</v>
      </c>
      <c r="D2479" t="inlineStr">
        <is>
          <t>€/MWh</t>
        </is>
      </c>
      <c r="E2479" s="54" t="n">
        <v>0.16663</v>
      </c>
      <c r="F2479" s="54" t="n"/>
      <c r="G2479" t="inlineStr">
        <is>
          <t>no aplica (precio mayorista)</t>
        </is>
      </c>
      <c r="J2479" t="inlineStr">
        <is>
          <t>2026-10-12</t>
        </is>
      </c>
      <c r="K2479" t="inlineStr">
        <is>
          <t>marginalpdbc_20261013.1</t>
        </is>
      </c>
      <c r="L2479" t="inlineStr">
        <is>
          <t>96 periodos; mín 25.00, máx 269.29 €/MWh</t>
        </is>
      </c>
    </row>
    <row r="2480">
      <c r="A2480" s="53" t="n">
        <v>46309</v>
      </c>
      <c r="B2480" t="inlineStr">
        <is>
          <t>2026-10-14</t>
        </is>
      </c>
      <c r="C2480" s="45" t="n">
        <v>186.4441</v>
      </c>
      <c r="D2480" t="inlineStr">
        <is>
          <t>€/MWh</t>
        </is>
      </c>
      <c r="E2480" s="54" t="n">
        <v>0.186444</v>
      </c>
      <c r="F2480" s="54" t="n"/>
      <c r="G2480" t="inlineStr">
        <is>
          <t>no aplica (precio mayorista)</t>
        </is>
      </c>
      <c r="J2480" t="inlineStr">
        <is>
          <t>2026-10-13</t>
        </is>
      </c>
      <c r="K2480" t="inlineStr">
        <is>
          <t>marginalpdbc_20261014.1</t>
        </is>
      </c>
      <c r="L2480" t="inlineStr">
        <is>
          <t>96 periodos; mín 57.66, máx 299.00 €/MWh</t>
        </is>
      </c>
    </row>
    <row r="2481">
      <c r="A2481" s="53" t="n">
        <v>46310</v>
      </c>
      <c r="B2481" t="inlineStr">
        <is>
          <t>2026-10-15</t>
        </is>
      </c>
      <c r="C2481" s="45" t="n">
        <v>193.1058</v>
      </c>
      <c r="D2481" t="inlineStr">
        <is>
          <t>€/MWh</t>
        </is>
      </c>
      <c r="E2481" s="54" t="n">
        <v>0.193106</v>
      </c>
      <c r="F2481" s="54" t="n"/>
      <c r="G2481" t="inlineStr">
        <is>
          <t>no aplica (precio mayorista)</t>
        </is>
      </c>
      <c r="J2481" t="inlineStr">
        <is>
          <t>2026-10-14</t>
        </is>
      </c>
      <c r="K2481" t="inlineStr">
        <is>
          <t>marginalpdbc_20261015.1</t>
        </is>
      </c>
      <c r="L2481" t="inlineStr">
        <is>
          <t>96 periodos; mín 60.00, máx 297.50 €/MWh</t>
        </is>
      </c>
    </row>
    <row r="2482">
      <c r="A2482" s="53" t="n">
        <v>46311</v>
      </c>
      <c r="B2482" t="inlineStr">
        <is>
          <t>2026-10-16</t>
        </is>
      </c>
      <c r="C2482" s="45" t="n">
        <v>191.6428</v>
      </c>
      <c r="D2482" t="inlineStr">
        <is>
          <t>€/MWh</t>
        </is>
      </c>
      <c r="E2482" s="54" t="n">
        <v>0.191643</v>
      </c>
      <c r="F2482" s="54" t="n"/>
      <c r="G2482" t="inlineStr">
        <is>
          <t>no aplica (precio mayorista)</t>
        </is>
      </c>
      <c r="J2482" t="inlineStr">
        <is>
          <t>2026-10-15</t>
        </is>
      </c>
      <c r="K2482" t="inlineStr">
        <is>
          <t>marginalpdbc_20261016.1</t>
        </is>
      </c>
      <c r="L2482" t="inlineStr">
        <is>
          <t>96 periodos; mín 79.26, máx 285.95 €/MWh</t>
        </is>
      </c>
    </row>
    <row r="2483">
      <c r="A2483" s="53" t="n">
        <v>46312</v>
      </c>
      <c r="B2483" t="inlineStr">
        <is>
          <t>2026-10-17</t>
        </is>
      </c>
      <c r="C2483" s="45" t="n">
        <v>107.1542</v>
      </c>
      <c r="D2483" t="inlineStr">
        <is>
          <t>€/MWh</t>
        </is>
      </c>
      <c r="E2483" s="54" t="n">
        <v>0.107154</v>
      </c>
      <c r="F2483" s="54" t="n"/>
      <c r="G2483" t="inlineStr">
        <is>
          <t>no aplica (precio mayorista)</t>
        </is>
      </c>
      <c r="J2483" t="inlineStr">
        <is>
          <t>2026-10-16</t>
        </is>
      </c>
      <c r="K2483" t="inlineStr">
        <is>
          <t>marginalpdbc_20261017.1</t>
        </is>
      </c>
      <c r="L2483" t="inlineStr">
        <is>
          <t>96 periodos; mín 0.99, máx 212.04 €/MWh</t>
        </is>
      </c>
    </row>
    <row r="2484">
      <c r="A2484" s="53" t="n">
        <v>46313</v>
      </c>
      <c r="B2484" t="inlineStr">
        <is>
          <t>2026-10-18</t>
        </is>
      </c>
      <c r="C2484" s="45" t="n">
        <v>76.2848</v>
      </c>
      <c r="D2484" t="inlineStr">
        <is>
          <t>€/MWh</t>
        </is>
      </c>
      <c r="E2484" s="54" t="n">
        <v>0.07628500000000001</v>
      </c>
      <c r="F2484" s="54" t="n"/>
      <c r="G2484" t="inlineStr">
        <is>
          <t>no aplica (precio mayorista)</t>
        </is>
      </c>
      <c r="J2484" t="inlineStr">
        <is>
          <t>2026-10-17</t>
        </is>
      </c>
      <c r="K2484" t="inlineStr">
        <is>
          <t>marginalpdbc_20261018.1</t>
        </is>
      </c>
      <c r="L2484" t="inlineStr">
        <is>
          <t>96 periodos; mín 0.00, máx 185.80 €/MWh</t>
        </is>
      </c>
    </row>
    <row r="2485">
      <c r="A2485" s="53" t="n">
        <v>46314</v>
      </c>
      <c r="B2485" t="inlineStr">
        <is>
          <t>2026-10-19</t>
        </is>
      </c>
      <c r="C2485" s="45" t="n">
        <v>215.1142</v>
      </c>
      <c r="D2485" t="inlineStr">
        <is>
          <t>€/MWh</t>
        </is>
      </c>
      <c r="E2485" s="54" t="n">
        <v>0.215114</v>
      </c>
      <c r="F2485" s="54" t="n"/>
      <c r="G2485" t="inlineStr">
        <is>
          <t>no aplica (precio mayorista)</t>
        </is>
      </c>
      <c r="J2485" t="inlineStr">
        <is>
          <t>2026-10-18</t>
        </is>
      </c>
      <c r="K2485" t="inlineStr">
        <is>
          <t>marginalpdbc_20261019.1</t>
        </is>
      </c>
      <c r="L2485" t="inlineStr">
        <is>
          <t>96 periodos; mín 168.50, máx 299.00 €/MWh</t>
        </is>
      </c>
    </row>
    <row r="2486">
      <c r="A2486" s="53" t="n">
        <v>46315</v>
      </c>
      <c r="B2486" t="inlineStr">
        <is>
          <t>2026-10-20</t>
        </is>
      </c>
      <c r="C2486" s="45" t="n">
        <v>195.5215</v>
      </c>
      <c r="D2486" t="inlineStr">
        <is>
          <t>€/MWh</t>
        </is>
      </c>
      <c r="E2486" s="54" t="n">
        <v>0.195521</v>
      </c>
      <c r="F2486" s="54" t="n"/>
      <c r="G2486" t="inlineStr">
        <is>
          <t>no aplica (precio mayorista)</t>
        </is>
      </c>
      <c r="J2486" t="inlineStr">
        <is>
          <t>2026-10-19</t>
        </is>
      </c>
      <c r="K2486" t="inlineStr">
        <is>
          <t>marginalpdbc_20261020.1</t>
        </is>
      </c>
      <c r="L2486" t="inlineStr">
        <is>
          <t>96 periodos; mín 58.10, máx 278.87 €/MWh</t>
        </is>
      </c>
    </row>
    <row r="2487">
      <c r="A2487" s="53" t="n">
        <v>46316</v>
      </c>
      <c r="B2487" t="inlineStr">
        <is>
          <t>2026-10-21</t>
        </is>
      </c>
      <c r="C2487" s="45" t="n">
        <v>146.9661</v>
      </c>
      <c r="D2487" t="inlineStr">
        <is>
          <t>€/MWh</t>
        </is>
      </c>
      <c r="E2487" s="54" t="n">
        <v>0.146966</v>
      </c>
      <c r="F2487" s="54" t="n"/>
      <c r="G2487" t="inlineStr">
        <is>
          <t>no aplica (precio mayorista)</t>
        </is>
      </c>
      <c r="J2487" t="inlineStr">
        <is>
          <t>2026-10-20</t>
        </is>
      </c>
      <c r="K2487" t="inlineStr">
        <is>
          <t>marginalpdbc_20261021.1</t>
        </is>
      </c>
      <c r="L2487" t="inlineStr">
        <is>
          <t>96 periodos; mín 0.30, máx 299.00 €/MWh</t>
        </is>
      </c>
    </row>
    <row r="2488">
      <c r="A2488" s="53" t="n">
        <v>46317</v>
      </c>
      <c r="B2488" t="inlineStr">
        <is>
          <t>2026-10-22</t>
        </is>
      </c>
      <c r="C2488" s="45" t="n">
        <v>155.6276</v>
      </c>
      <c r="D2488" t="inlineStr">
        <is>
          <t>€/MWh</t>
        </is>
      </c>
      <c r="E2488" s="54" t="n">
        <v>0.155628</v>
      </c>
      <c r="F2488" s="54" t="n"/>
      <c r="G2488" t="inlineStr">
        <is>
          <t>no aplica (precio mayorista)</t>
        </is>
      </c>
      <c r="J2488" t="inlineStr">
        <is>
          <t>2026-10-21</t>
        </is>
      </c>
      <c r="K2488" t="inlineStr">
        <is>
          <t>marginalpdbc_20261022.1</t>
        </is>
      </c>
      <c r="L2488" t="inlineStr">
        <is>
          <t>96 periodos; mín 0.28, máx 286.76 €/MWh</t>
        </is>
      </c>
    </row>
    <row r="2489">
      <c r="A2489" s="53" t="n">
        <v>46318</v>
      </c>
      <c r="B2489" t="inlineStr">
        <is>
          <t>2026-10-23</t>
        </is>
      </c>
      <c r="C2489" s="45" t="n">
        <v>110.0906</v>
      </c>
      <c r="D2489" t="inlineStr">
        <is>
          <t>€/MWh</t>
        </is>
      </c>
      <c r="E2489" s="54" t="n">
        <v>0.110091</v>
      </c>
      <c r="F2489" s="54" t="n"/>
      <c r="G2489" t="inlineStr">
        <is>
          <t>no aplica (precio mayorista)</t>
        </is>
      </c>
      <c r="J2489" t="inlineStr">
        <is>
          <t>2026-10-22</t>
        </is>
      </c>
      <c r="K2489" t="inlineStr">
        <is>
          <t>marginalpdbc_20261023.1</t>
        </is>
      </c>
      <c r="L2489" t="inlineStr">
        <is>
          <t>96 periodos; mín 0.66, máx 224.00 €/MWh</t>
        </is>
      </c>
    </row>
    <row r="2490">
      <c r="A2490" s="53" t="n">
        <v>46319</v>
      </c>
      <c r="B2490" t="inlineStr">
        <is>
          <t>2026-10-24</t>
        </is>
      </c>
      <c r="C2490" s="45" t="n">
        <v>137.1925</v>
      </c>
      <c r="D2490" t="inlineStr">
        <is>
          <t>€/MWh</t>
        </is>
      </c>
      <c r="E2490" s="54" t="n">
        <v>0.137192</v>
      </c>
      <c r="F2490" s="54" t="n"/>
      <c r="G2490" t="inlineStr">
        <is>
          <t>no aplica (precio mayorista)</t>
        </is>
      </c>
      <c r="J2490" t="inlineStr">
        <is>
          <t>2026-10-23</t>
        </is>
      </c>
      <c r="K2490" t="inlineStr">
        <is>
          <t>marginalpdbc_20261024.1</t>
        </is>
      </c>
      <c r="L2490" t="inlineStr">
        <is>
          <t>96 periodos; mín -0.01, máx 226.00 €/MWh</t>
        </is>
      </c>
    </row>
    <row r="2491">
      <c r="A2491" s="53" t="n">
        <v>46320</v>
      </c>
      <c r="B2491" t="inlineStr">
        <is>
          <t>2026-10-25</t>
        </is>
      </c>
      <c r="C2491" s="45" t="n">
        <v>111.8823</v>
      </c>
      <c r="D2491" t="inlineStr">
        <is>
          <t>€/MWh</t>
        </is>
      </c>
      <c r="E2491" s="54" t="n">
        <v>0.111882</v>
      </c>
      <c r="F2491" s="54" t="n"/>
      <c r="G2491" t="inlineStr">
        <is>
          <t>no aplica (precio mayorista)</t>
        </is>
      </c>
      <c r="J2491" t="inlineStr">
        <is>
          <t>2026-10-24</t>
        </is>
      </c>
      <c r="K2491" t="inlineStr">
        <is>
          <t>marginalpdbc_20261025.1</t>
        </is>
      </c>
      <c r="L2491" t="inlineStr">
        <is>
          <t>100 periodos; mín -1.46, máx 250.59 €/MWh</t>
        </is>
      </c>
    </row>
    <row r="2492">
      <c r="A2492" s="53" t="n">
        <v>46321</v>
      </c>
      <c r="B2492" t="inlineStr">
        <is>
          <t>2026-10-26</t>
        </is>
      </c>
      <c r="C2492" s="45" t="n">
        <v>196.8615</v>
      </c>
      <c r="D2492" t="inlineStr">
        <is>
          <t>€/MWh</t>
        </is>
      </c>
      <c r="E2492" s="54" t="n">
        <v>0.196861</v>
      </c>
      <c r="F2492" s="54" t="n"/>
      <c r="G2492" t="inlineStr">
        <is>
          <t>no aplica (precio mayorista)</t>
        </is>
      </c>
      <c r="J2492" t="inlineStr">
        <is>
          <t>2026-10-25</t>
        </is>
      </c>
      <c r="K2492" t="inlineStr">
        <is>
          <t>marginalpdbc_20261026.1</t>
        </is>
      </c>
      <c r="L2492" t="inlineStr">
        <is>
          <t>96 periodos; mín 55.00, máx 300.00 €/MWh</t>
        </is>
      </c>
    </row>
    <row r="2493">
      <c r="A2493" s="53" t="n">
        <v>46322</v>
      </c>
      <c r="B2493" t="inlineStr">
        <is>
          <t>2026-10-27</t>
        </is>
      </c>
      <c r="C2493" s="45" t="n">
        <v>206.8894</v>
      </c>
      <c r="D2493" t="inlineStr">
        <is>
          <t>€/MWh</t>
        </is>
      </c>
      <c r="E2493" s="54" t="n">
        <v>0.206889</v>
      </c>
      <c r="F2493" s="54" t="n"/>
      <c r="G2493" t="inlineStr">
        <is>
          <t>no aplica (precio mayorista)</t>
        </is>
      </c>
      <c r="J2493" t="inlineStr">
        <is>
          <t>2026-10-26</t>
        </is>
      </c>
      <c r="K2493" t="inlineStr">
        <is>
          <t>marginalpdbc_20261027.1</t>
        </is>
      </c>
      <c r="L2493" t="inlineStr">
        <is>
          <t>96 periodos; mín 100.00, máx 290.00 €/MWh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49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16" customWidth="1" min="4" max="4"/>
    <col width="13" customWidth="1" min="5" max="5"/>
    <col width="13" customWidth="1" min="6" max="6"/>
    <col width="24" customWidth="1" min="7" max="7"/>
    <col width="55" customWidth="1" min="8" max="8"/>
    <col width="30" customWidth="1" min="9" max="9"/>
    <col width="15" customWidth="1" min="10" max="10"/>
    <col width="30" customWidth="1" min="11" max="11"/>
    <col width="55" customWidth="1" min="12" max="12"/>
  </cols>
  <sheetData>
    <row r="1">
      <c r="A1" s="25" t="inlineStr">
        <is>
          <t>2. Gas natural: MIBGAS-ES Index</t>
        </is>
      </c>
    </row>
    <row r="2">
      <c r="A2" s="2" t="inlineStr">
        <is>
          <t>Fuente: MIBGAS, fichero anual MIBGAS_Data (hoja de índices), MIBGAS-ES Index. Unidad original: €/MWh. Frecuencia: diaria (por día de gas). Impuestos del dato original: sin impuestos (precio mayorista). Conversión: €/MWh ÷ 1.000 = €/kWh (el índice se expresa sobre PCS, como todo el mercado gasista)</t>
        </is>
      </c>
    </row>
    <row r="4">
      <c r="A4" t="inlineStr">
        <is>
          <t>Fecha</t>
        </is>
      </c>
      <c r="B4" t="inlineStr">
        <is>
          <t>Periodo</t>
        </is>
      </c>
      <c r="C4" t="inlineStr">
        <is>
          <t>Valor original</t>
        </is>
      </c>
      <c r="D4" t="inlineStr">
        <is>
          <t>Unidad</t>
        </is>
      </c>
      <c r="E4" t="inlineStr">
        <is>
          <t>€/kWh sin impuestos</t>
        </is>
      </c>
      <c r="F4" t="inlineStr">
        <is>
          <t>€/kWh con impuestos</t>
        </is>
      </c>
      <c r="G4" t="inlineStr">
        <is>
          <t>Origen del precio con impuestos</t>
        </is>
      </c>
      <c r="H4" t="inlineStr">
        <is>
          <t>Impuestos aplicados</t>
        </is>
      </c>
      <c r="I4" t="inlineStr">
        <is>
          <t>Pendiente</t>
        </is>
      </c>
      <c r="J4" t="inlineStr">
        <is>
          <t>Fecha de publicación</t>
        </is>
      </c>
      <c r="K4" t="inlineStr">
        <is>
          <t>Referencia (fichero / BOE / PDF)</t>
        </is>
      </c>
      <c r="L4" t="inlineStr">
        <is>
          <t>Nota</t>
        </is>
      </c>
    </row>
    <row r="5">
      <c r="A5" s="53" t="n">
        <v>43831</v>
      </c>
      <c r="B5" t="inlineStr">
        <is>
          <t>2020-01-01</t>
        </is>
      </c>
      <c r="C5" s="45" t="n">
        <v>11.27</v>
      </c>
      <c r="D5" t="inlineStr">
        <is>
          <t>€/MWh</t>
        </is>
      </c>
      <c r="E5" s="54" t="n">
        <v>0.01127</v>
      </c>
      <c r="F5" s="54" t="n"/>
      <c r="G5" t="inlineStr">
        <is>
          <t>no aplica (precio mayorista)</t>
        </is>
      </c>
      <c r="J5" t="inlineStr">
        <is>
          <t>2020-01-01</t>
        </is>
      </c>
      <c r="K5" t="inlineStr">
        <is>
          <t>MIBGAS_Data_2020.xlsx</t>
        </is>
      </c>
      <c r="L5" t="inlineStr">
        <is>
          <t>volumen 91328 MWh</t>
        </is>
      </c>
    </row>
    <row r="6">
      <c r="A6" s="53" t="n">
        <v>43832</v>
      </c>
      <c r="B6" t="inlineStr">
        <is>
          <t>2020-01-02</t>
        </is>
      </c>
      <c r="C6" s="45" t="n">
        <v>11.61</v>
      </c>
      <c r="D6" t="inlineStr">
        <is>
          <t>€/MWh</t>
        </is>
      </c>
      <c r="E6" s="54" t="n">
        <v>0.01161</v>
      </c>
      <c r="F6" s="54" t="n"/>
      <c r="G6" t="inlineStr">
        <is>
          <t>no aplica (precio mayorista)</t>
        </is>
      </c>
      <c r="J6" t="inlineStr">
        <is>
          <t>2020-01-02</t>
        </is>
      </c>
      <c r="K6" t="inlineStr">
        <is>
          <t>MIBGAS_Data_2020.xlsx</t>
        </is>
      </c>
      <c r="L6" t="inlineStr">
        <is>
          <t>volumen 79149 MWh</t>
        </is>
      </c>
    </row>
    <row r="7">
      <c r="A7" s="53" t="n">
        <v>43833</v>
      </c>
      <c r="B7" t="inlineStr">
        <is>
          <t>2020-01-03</t>
        </is>
      </c>
      <c r="C7" s="45" t="n">
        <v>11.68</v>
      </c>
      <c r="D7" t="inlineStr">
        <is>
          <t>€/MWh</t>
        </is>
      </c>
      <c r="E7" s="54" t="n">
        <v>0.01168</v>
      </c>
      <c r="F7" s="54" t="n"/>
      <c r="G7" t="inlineStr">
        <is>
          <t>no aplica (precio mayorista)</t>
        </is>
      </c>
      <c r="J7" t="inlineStr">
        <is>
          <t>2020-01-03</t>
        </is>
      </c>
      <c r="K7" t="inlineStr">
        <is>
          <t>MIBGAS_Data_2020.xlsx</t>
        </is>
      </c>
      <c r="L7" t="inlineStr">
        <is>
          <t>volumen 95254 MWh</t>
        </is>
      </c>
    </row>
    <row r="8">
      <c r="A8" s="53" t="n">
        <v>43834</v>
      </c>
      <c r="B8" t="inlineStr">
        <is>
          <t>2020-01-04</t>
        </is>
      </c>
      <c r="C8" s="45" t="n">
        <v>11.77</v>
      </c>
      <c r="D8" t="inlineStr">
        <is>
          <t>€/MWh</t>
        </is>
      </c>
      <c r="E8" s="54" t="n">
        <v>0.01177</v>
      </c>
      <c r="F8" s="54" t="n"/>
      <c r="G8" t="inlineStr">
        <is>
          <t>no aplica (precio mayorista)</t>
        </is>
      </c>
      <c r="J8" t="inlineStr">
        <is>
          <t>2020-01-04</t>
        </is>
      </c>
      <c r="K8" t="inlineStr">
        <is>
          <t>MIBGAS_Data_2020.xlsx</t>
        </is>
      </c>
      <c r="L8" t="inlineStr">
        <is>
          <t>volumen 95479 MWh</t>
        </is>
      </c>
    </row>
    <row r="9">
      <c r="A9" s="53" t="n">
        <v>43835</v>
      </c>
      <c r="B9" t="inlineStr">
        <is>
          <t>2020-01-05</t>
        </is>
      </c>
      <c r="C9" s="45" t="n">
        <v>11.77</v>
      </c>
      <c r="D9" t="inlineStr">
        <is>
          <t>€/MWh</t>
        </is>
      </c>
      <c r="E9" s="54" t="n">
        <v>0.01177</v>
      </c>
      <c r="F9" s="54" t="n"/>
      <c r="G9" t="inlineStr">
        <is>
          <t>no aplica (precio mayorista)</t>
        </is>
      </c>
      <c r="J9" t="inlineStr">
        <is>
          <t>2020-01-05</t>
        </is>
      </c>
      <c r="K9" t="inlineStr">
        <is>
          <t>MIBGAS_Data_2020.xlsx</t>
        </is>
      </c>
      <c r="L9" t="inlineStr">
        <is>
          <t>volumen 97181 MWh</t>
        </is>
      </c>
    </row>
    <row r="10">
      <c r="A10" s="53" t="n">
        <v>43836</v>
      </c>
      <c r="B10" t="inlineStr">
        <is>
          <t>2020-01-06</t>
        </is>
      </c>
      <c r="C10" s="45" t="n">
        <v>11.99</v>
      </c>
      <c r="D10" t="inlineStr">
        <is>
          <t>€/MWh</t>
        </is>
      </c>
      <c r="E10" s="54" t="n">
        <v>0.01199</v>
      </c>
      <c r="F10" s="54" t="n"/>
      <c r="G10" t="inlineStr">
        <is>
          <t>no aplica (precio mayorista)</t>
        </is>
      </c>
      <c r="J10" t="inlineStr">
        <is>
          <t>2020-01-06</t>
        </is>
      </c>
      <c r="K10" t="inlineStr">
        <is>
          <t>MIBGAS_Data_2020.xlsx</t>
        </is>
      </c>
      <c r="L10" t="inlineStr">
        <is>
          <t>volumen 92656 MWh</t>
        </is>
      </c>
    </row>
    <row r="11">
      <c r="A11" s="53" t="n">
        <v>43837</v>
      </c>
      <c r="B11" t="inlineStr">
        <is>
          <t>2020-01-07</t>
        </is>
      </c>
      <c r="C11" s="45" t="n">
        <v>13.34</v>
      </c>
      <c r="D11" t="inlineStr">
        <is>
          <t>€/MWh</t>
        </is>
      </c>
      <c r="E11" s="54" t="n">
        <v>0.01334</v>
      </c>
      <c r="F11" s="54" t="n"/>
      <c r="G11" t="inlineStr">
        <is>
          <t>no aplica (precio mayorista)</t>
        </is>
      </c>
      <c r="J11" t="inlineStr">
        <is>
          <t>2020-01-07</t>
        </is>
      </c>
      <c r="K11" t="inlineStr">
        <is>
          <t>MIBGAS_Data_2020.xlsx</t>
        </is>
      </c>
      <c r="L11" t="inlineStr">
        <is>
          <t>volumen 101084 MWh</t>
        </is>
      </c>
    </row>
    <row r="12">
      <c r="A12" s="53" t="n">
        <v>43838</v>
      </c>
      <c r="B12" t="inlineStr">
        <is>
          <t>2020-01-08</t>
        </is>
      </c>
      <c r="C12" s="45" t="n">
        <v>14.48</v>
      </c>
      <c r="D12" t="inlineStr">
        <is>
          <t>€/MWh</t>
        </is>
      </c>
      <c r="E12" s="54" t="n">
        <v>0.01448</v>
      </c>
      <c r="F12" s="54" t="n"/>
      <c r="G12" t="inlineStr">
        <is>
          <t>no aplica (precio mayorista)</t>
        </is>
      </c>
      <c r="J12" t="inlineStr">
        <is>
          <t>2020-01-08</t>
        </is>
      </c>
      <c r="K12" t="inlineStr">
        <is>
          <t>MIBGAS_Data_2020.xlsx</t>
        </is>
      </c>
      <c r="L12" t="inlineStr">
        <is>
          <t>volumen 148954 MWh</t>
        </is>
      </c>
    </row>
    <row r="13">
      <c r="A13" s="53" t="n">
        <v>43839</v>
      </c>
      <c r="B13" t="inlineStr">
        <is>
          <t>2020-01-09</t>
        </is>
      </c>
      <c r="C13" s="45" t="n">
        <v>13.56</v>
      </c>
      <c r="D13" t="inlineStr">
        <is>
          <t>€/MWh</t>
        </is>
      </c>
      <c r="E13" s="54" t="n">
        <v>0.01356</v>
      </c>
      <c r="F13" s="54" t="n"/>
      <c r="G13" t="inlineStr">
        <is>
          <t>no aplica (precio mayorista)</t>
        </is>
      </c>
      <c r="J13" t="inlineStr">
        <is>
          <t>2020-01-09</t>
        </is>
      </c>
      <c r="K13" t="inlineStr">
        <is>
          <t>MIBGAS_Data_2020.xlsx</t>
        </is>
      </c>
      <c r="L13" t="inlineStr">
        <is>
          <t>volumen 142949 MWh</t>
        </is>
      </c>
    </row>
    <row r="14">
      <c r="A14" s="53" t="n">
        <v>43840</v>
      </c>
      <c r="B14" t="inlineStr">
        <is>
          <t>2020-01-10</t>
        </is>
      </c>
      <c r="C14" s="45" t="n">
        <v>12.15</v>
      </c>
      <c r="D14" t="inlineStr">
        <is>
          <t>€/MWh</t>
        </is>
      </c>
      <c r="E14" s="54" t="n">
        <v>0.01215</v>
      </c>
      <c r="F14" s="54" t="n"/>
      <c r="G14" t="inlineStr">
        <is>
          <t>no aplica (precio mayorista)</t>
        </is>
      </c>
      <c r="J14" t="inlineStr">
        <is>
          <t>2020-01-10</t>
        </is>
      </c>
      <c r="K14" t="inlineStr">
        <is>
          <t>MIBGAS_Data_2020.xlsx</t>
        </is>
      </c>
      <c r="L14" t="inlineStr">
        <is>
          <t>volumen 64454 MWh</t>
        </is>
      </c>
    </row>
    <row r="15">
      <c r="A15" s="53" t="n">
        <v>43841</v>
      </c>
      <c r="B15" t="inlineStr">
        <is>
          <t>2020-01-11</t>
        </is>
      </c>
      <c r="C15" s="45" t="n">
        <v>11.61</v>
      </c>
      <c r="D15" t="inlineStr">
        <is>
          <t>€/MWh</t>
        </is>
      </c>
      <c r="E15" s="54" t="n">
        <v>0.01161</v>
      </c>
      <c r="F15" s="54" t="n"/>
      <c r="G15" t="inlineStr">
        <is>
          <t>no aplica (precio mayorista)</t>
        </is>
      </c>
      <c r="J15" t="inlineStr">
        <is>
          <t>2020-01-11</t>
        </is>
      </c>
      <c r="K15" t="inlineStr">
        <is>
          <t>MIBGAS_Data_2020.xlsx</t>
        </is>
      </c>
      <c r="L15" t="inlineStr">
        <is>
          <t>volumen 46540 MWh</t>
        </is>
      </c>
    </row>
    <row r="16">
      <c r="A16" s="53" t="n">
        <v>43842</v>
      </c>
      <c r="B16" t="inlineStr">
        <is>
          <t>2020-01-12</t>
        </is>
      </c>
      <c r="C16" s="45" t="n">
        <v>11.87</v>
      </c>
      <c r="D16" t="inlineStr">
        <is>
          <t>€/MWh</t>
        </is>
      </c>
      <c r="E16" s="54" t="n">
        <v>0.01187</v>
      </c>
      <c r="F16" s="54" t="n"/>
      <c r="G16" t="inlineStr">
        <is>
          <t>no aplica (precio mayorista)</t>
        </is>
      </c>
      <c r="J16" t="inlineStr">
        <is>
          <t>2020-01-12</t>
        </is>
      </c>
      <c r="K16" t="inlineStr">
        <is>
          <t>MIBGAS_Data_2020.xlsx</t>
        </is>
      </c>
      <c r="L16" t="inlineStr">
        <is>
          <t>volumen 53278 MWh</t>
        </is>
      </c>
    </row>
    <row r="17">
      <c r="A17" s="53" t="n">
        <v>43843</v>
      </c>
      <c r="B17" t="inlineStr">
        <is>
          <t>2020-01-13</t>
        </is>
      </c>
      <c r="C17" s="45" t="n">
        <v>13.12</v>
      </c>
      <c r="D17" t="inlineStr">
        <is>
          <t>€/MWh</t>
        </is>
      </c>
      <c r="E17" s="54" t="n">
        <v>0.01312</v>
      </c>
      <c r="F17" s="54" t="n"/>
      <c r="G17" t="inlineStr">
        <is>
          <t>no aplica (precio mayorista)</t>
        </is>
      </c>
      <c r="J17" t="inlineStr">
        <is>
          <t>2020-01-13</t>
        </is>
      </c>
      <c r="K17" t="inlineStr">
        <is>
          <t>MIBGAS_Data_2020.xlsx</t>
        </is>
      </c>
      <c r="L17" t="inlineStr">
        <is>
          <t>volumen 138312 MWh</t>
        </is>
      </c>
    </row>
    <row r="18">
      <c r="A18" s="53" t="n">
        <v>43844</v>
      </c>
      <c r="B18" t="inlineStr">
        <is>
          <t>2020-01-14</t>
        </is>
      </c>
      <c r="C18" s="45" t="n">
        <v>12.03</v>
      </c>
      <c r="D18" t="inlineStr">
        <is>
          <t>€/MWh</t>
        </is>
      </c>
      <c r="E18" s="54" t="n">
        <v>0.01203</v>
      </c>
      <c r="F18" s="54" t="n"/>
      <c r="G18" t="inlineStr">
        <is>
          <t>no aplica (precio mayorista)</t>
        </is>
      </c>
      <c r="J18" t="inlineStr">
        <is>
          <t>2020-01-14</t>
        </is>
      </c>
      <c r="K18" t="inlineStr">
        <is>
          <t>MIBGAS_Data_2020.xlsx</t>
        </is>
      </c>
      <c r="L18" t="inlineStr">
        <is>
          <t>volumen 69195 MWh</t>
        </is>
      </c>
    </row>
    <row r="19">
      <c r="A19" s="53" t="n">
        <v>43845</v>
      </c>
      <c r="B19" t="inlineStr">
        <is>
          <t>2020-01-15</t>
        </is>
      </c>
      <c r="C19" s="45" t="n">
        <v>11.55</v>
      </c>
      <c r="D19" t="inlineStr">
        <is>
          <t>€/MWh</t>
        </is>
      </c>
      <c r="E19" s="54" t="n">
        <v>0.01155</v>
      </c>
      <c r="F19" s="54" t="n"/>
      <c r="G19" t="inlineStr">
        <is>
          <t>no aplica (precio mayorista)</t>
        </is>
      </c>
      <c r="J19" t="inlineStr">
        <is>
          <t>2020-01-15</t>
        </is>
      </c>
      <c r="K19" t="inlineStr">
        <is>
          <t>MIBGAS_Data_2020.xlsx</t>
        </is>
      </c>
      <c r="L19" t="inlineStr">
        <is>
          <t>volumen 62973 MWh</t>
        </is>
      </c>
    </row>
    <row r="20">
      <c r="A20" s="53" t="n">
        <v>43846</v>
      </c>
      <c r="B20" t="inlineStr">
        <is>
          <t>2020-01-16</t>
        </is>
      </c>
      <c r="C20" s="45" t="n">
        <v>11.41</v>
      </c>
      <c r="D20" t="inlineStr">
        <is>
          <t>€/MWh</t>
        </is>
      </c>
      <c r="E20" s="54" t="n">
        <v>0.01141</v>
      </c>
      <c r="F20" s="54" t="n"/>
      <c r="G20" t="inlineStr">
        <is>
          <t>no aplica (precio mayorista)</t>
        </is>
      </c>
      <c r="J20" t="inlineStr">
        <is>
          <t>2020-01-16</t>
        </is>
      </c>
      <c r="K20" t="inlineStr">
        <is>
          <t>MIBGAS_Data_2020.xlsx</t>
        </is>
      </c>
      <c r="L20" t="inlineStr">
        <is>
          <t>volumen 63342 MWh</t>
        </is>
      </c>
    </row>
    <row r="21">
      <c r="A21" s="53" t="n">
        <v>43847</v>
      </c>
      <c r="B21" t="inlineStr">
        <is>
          <t>2020-01-17</t>
        </is>
      </c>
      <c r="C21" s="45" t="n">
        <v>11.29</v>
      </c>
      <c r="D21" t="inlineStr">
        <is>
          <t>€/MWh</t>
        </is>
      </c>
      <c r="E21" s="54" t="n">
        <v>0.01129</v>
      </c>
      <c r="F21" s="54" t="n"/>
      <c r="G21" t="inlineStr">
        <is>
          <t>no aplica (precio mayorista)</t>
        </is>
      </c>
      <c r="J21" t="inlineStr">
        <is>
          <t>2020-01-17</t>
        </is>
      </c>
      <c r="K21" t="inlineStr">
        <is>
          <t>MIBGAS_Data_2020.xlsx</t>
        </is>
      </c>
      <c r="L21" t="inlineStr">
        <is>
          <t>volumen 54825 MWh</t>
        </is>
      </c>
    </row>
    <row r="22">
      <c r="A22" s="53" t="n">
        <v>43848</v>
      </c>
      <c r="B22" t="inlineStr">
        <is>
          <t>2020-01-18</t>
        </is>
      </c>
      <c r="C22" s="45" t="n">
        <v>11.1</v>
      </c>
      <c r="D22" t="inlineStr">
        <is>
          <t>€/MWh</t>
        </is>
      </c>
      <c r="E22" s="54" t="n">
        <v>0.0111</v>
      </c>
      <c r="F22" s="54" t="n"/>
      <c r="G22" t="inlineStr">
        <is>
          <t>no aplica (precio mayorista)</t>
        </is>
      </c>
      <c r="J22" t="inlineStr">
        <is>
          <t>2020-01-18</t>
        </is>
      </c>
      <c r="K22" t="inlineStr">
        <is>
          <t>MIBGAS_Data_2020.xlsx</t>
        </is>
      </c>
      <c r="L22" t="inlineStr">
        <is>
          <t>volumen 78802 MWh</t>
        </is>
      </c>
    </row>
    <row r="23">
      <c r="A23" s="53" t="n">
        <v>43849</v>
      </c>
      <c r="B23" t="inlineStr">
        <is>
          <t>2020-01-19</t>
        </is>
      </c>
      <c r="C23" s="45" t="n">
        <v>10.99</v>
      </c>
      <c r="D23" t="inlineStr">
        <is>
          <t>€/MWh</t>
        </is>
      </c>
      <c r="E23" s="54" t="n">
        <v>0.01099</v>
      </c>
      <c r="F23" s="54" t="n"/>
      <c r="G23" t="inlineStr">
        <is>
          <t>no aplica (precio mayorista)</t>
        </is>
      </c>
      <c r="J23" t="inlineStr">
        <is>
          <t>2020-01-19</t>
        </is>
      </c>
      <c r="K23" t="inlineStr">
        <is>
          <t>MIBGAS_Data_2020.xlsx</t>
        </is>
      </c>
      <c r="L23" t="inlineStr">
        <is>
          <t>volumen 92672 MWh</t>
        </is>
      </c>
    </row>
    <row r="24">
      <c r="A24" s="53" t="n">
        <v>43850</v>
      </c>
      <c r="B24" t="inlineStr">
        <is>
          <t>2020-01-20</t>
        </is>
      </c>
      <c r="C24" s="45" t="n">
        <v>11.48</v>
      </c>
      <c r="D24" t="inlineStr">
        <is>
          <t>€/MWh</t>
        </is>
      </c>
      <c r="E24" s="54" t="n">
        <v>0.01148</v>
      </c>
      <c r="F24" s="54" t="n"/>
      <c r="G24" t="inlineStr">
        <is>
          <t>no aplica (precio mayorista)</t>
        </is>
      </c>
      <c r="J24" t="inlineStr">
        <is>
          <t>2020-01-20</t>
        </is>
      </c>
      <c r="K24" t="inlineStr">
        <is>
          <t>MIBGAS_Data_2020.xlsx</t>
        </is>
      </c>
      <c r="L24" t="inlineStr">
        <is>
          <t>volumen 62165 MWh</t>
        </is>
      </c>
    </row>
    <row r="25">
      <c r="A25" s="53" t="n">
        <v>43851</v>
      </c>
      <c r="B25" t="inlineStr">
        <is>
          <t>2020-01-21</t>
        </is>
      </c>
      <c r="C25" s="45" t="n">
        <v>12.18</v>
      </c>
      <c r="D25" t="inlineStr">
        <is>
          <t>€/MWh</t>
        </is>
      </c>
      <c r="E25" s="54" t="n">
        <v>0.01218</v>
      </c>
      <c r="F25" s="54" t="n"/>
      <c r="G25" t="inlineStr">
        <is>
          <t>no aplica (precio mayorista)</t>
        </is>
      </c>
      <c r="J25" t="inlineStr">
        <is>
          <t>2020-01-21</t>
        </is>
      </c>
      <c r="K25" t="inlineStr">
        <is>
          <t>MIBGAS_Data_2020.xlsx</t>
        </is>
      </c>
      <c r="L25" t="inlineStr">
        <is>
          <t>volumen 102651 MWh</t>
        </is>
      </c>
    </row>
    <row r="26">
      <c r="A26" s="53" t="n">
        <v>43852</v>
      </c>
      <c r="B26" t="inlineStr">
        <is>
          <t>2020-01-22</t>
        </is>
      </c>
      <c r="C26" s="45" t="n">
        <v>13.06</v>
      </c>
      <c r="D26" t="inlineStr">
        <is>
          <t>€/MWh</t>
        </is>
      </c>
      <c r="E26" s="54" t="n">
        <v>0.01306</v>
      </c>
      <c r="F26" s="54" t="n"/>
      <c r="G26" t="inlineStr">
        <is>
          <t>no aplica (precio mayorista)</t>
        </is>
      </c>
      <c r="J26" t="inlineStr">
        <is>
          <t>2020-01-22</t>
        </is>
      </c>
      <c r="K26" t="inlineStr">
        <is>
          <t>MIBGAS_Data_2020.xlsx</t>
        </is>
      </c>
      <c r="L26" t="inlineStr">
        <is>
          <t>volumen 94626 MWh</t>
        </is>
      </c>
    </row>
    <row r="27">
      <c r="A27" s="53" t="n">
        <v>43853</v>
      </c>
      <c r="B27" t="inlineStr">
        <is>
          <t>2020-01-23</t>
        </is>
      </c>
      <c r="C27" s="45" t="n">
        <v>13.7</v>
      </c>
      <c r="D27" t="inlineStr">
        <is>
          <t>€/MWh</t>
        </is>
      </c>
      <c r="E27" s="54" t="n">
        <v>0.0137</v>
      </c>
      <c r="F27" s="54" t="n"/>
      <c r="G27" t="inlineStr">
        <is>
          <t>no aplica (precio mayorista)</t>
        </is>
      </c>
      <c r="J27" t="inlineStr">
        <is>
          <t>2020-01-23</t>
        </is>
      </c>
      <c r="K27" t="inlineStr">
        <is>
          <t>MIBGAS_Data_2020.xlsx</t>
        </is>
      </c>
      <c r="L27" t="inlineStr">
        <is>
          <t>volumen 163671 MWh</t>
        </is>
      </c>
    </row>
    <row r="28">
      <c r="A28" s="53" t="n">
        <v>43854</v>
      </c>
      <c r="B28" t="inlineStr">
        <is>
          <t>2020-01-24</t>
        </is>
      </c>
      <c r="C28" s="45" t="n">
        <v>13.45</v>
      </c>
      <c r="D28" t="inlineStr">
        <is>
          <t>€/MWh</t>
        </is>
      </c>
      <c r="E28" s="54" t="n">
        <v>0.01345</v>
      </c>
      <c r="F28" s="54" t="n"/>
      <c r="G28" t="inlineStr">
        <is>
          <t>no aplica (precio mayorista)</t>
        </is>
      </c>
      <c r="J28" t="inlineStr">
        <is>
          <t>2020-01-24</t>
        </is>
      </c>
      <c r="K28" t="inlineStr">
        <is>
          <t>MIBGAS_Data_2020.xlsx</t>
        </is>
      </c>
      <c r="L28" t="inlineStr">
        <is>
          <t>volumen 173768 MWh</t>
        </is>
      </c>
    </row>
    <row r="29">
      <c r="A29" s="53" t="n">
        <v>43855</v>
      </c>
      <c r="B29" t="inlineStr">
        <is>
          <t>2020-01-25</t>
        </is>
      </c>
      <c r="C29" s="45" t="n">
        <v>11.65</v>
      </c>
      <c r="D29" t="inlineStr">
        <is>
          <t>€/MWh</t>
        </is>
      </c>
      <c r="E29" s="54" t="n">
        <v>0.01165</v>
      </c>
      <c r="F29" s="54" t="n"/>
      <c r="G29" t="inlineStr">
        <is>
          <t>no aplica (precio mayorista)</t>
        </is>
      </c>
      <c r="J29" t="inlineStr">
        <is>
          <t>2020-01-25</t>
        </is>
      </c>
      <c r="K29" t="inlineStr">
        <is>
          <t>MIBGAS_Data_2020.xlsx</t>
        </is>
      </c>
      <c r="L29" t="inlineStr">
        <is>
          <t>volumen 87560 MWh</t>
        </is>
      </c>
    </row>
    <row r="30">
      <c r="A30" s="53" t="n">
        <v>43856</v>
      </c>
      <c r="B30" t="inlineStr">
        <is>
          <t>2020-01-26</t>
        </is>
      </c>
      <c r="C30" s="45" t="n">
        <v>11.2</v>
      </c>
      <c r="D30" t="inlineStr">
        <is>
          <t>€/MWh</t>
        </is>
      </c>
      <c r="E30" s="54" t="n">
        <v>0.0112</v>
      </c>
      <c r="F30" s="54" t="n"/>
      <c r="G30" t="inlineStr">
        <is>
          <t>no aplica (precio mayorista)</t>
        </is>
      </c>
      <c r="J30" t="inlineStr">
        <is>
          <t>2020-01-26</t>
        </is>
      </c>
      <c r="K30" t="inlineStr">
        <is>
          <t>MIBGAS_Data_2020.xlsx</t>
        </is>
      </c>
      <c r="L30" t="inlineStr">
        <is>
          <t>volumen 82687 MWh</t>
        </is>
      </c>
    </row>
    <row r="31">
      <c r="A31" s="53" t="n">
        <v>43857</v>
      </c>
      <c r="B31" t="inlineStr">
        <is>
          <t>2020-01-27</t>
        </is>
      </c>
      <c r="C31" s="45" t="n">
        <v>11.36</v>
      </c>
      <c r="D31" t="inlineStr">
        <is>
          <t>€/MWh</t>
        </is>
      </c>
      <c r="E31" s="54" t="n">
        <v>0.01136</v>
      </c>
      <c r="F31" s="54" t="n"/>
      <c r="G31" t="inlineStr">
        <is>
          <t>no aplica (precio mayorista)</t>
        </is>
      </c>
      <c r="J31" t="inlineStr">
        <is>
          <t>2020-01-27</t>
        </is>
      </c>
      <c r="K31" t="inlineStr">
        <is>
          <t>MIBGAS_Data_2020.xlsx</t>
        </is>
      </c>
      <c r="L31" t="inlineStr">
        <is>
          <t>volumen 76172 MWh</t>
        </is>
      </c>
    </row>
    <row r="32">
      <c r="A32" s="53" t="n">
        <v>43858</v>
      </c>
      <c r="B32" t="inlineStr">
        <is>
          <t>2020-01-28</t>
        </is>
      </c>
      <c r="C32" s="45" t="n">
        <v>10.91</v>
      </c>
      <c r="D32" t="inlineStr">
        <is>
          <t>€/MWh</t>
        </is>
      </c>
      <c r="E32" s="54" t="n">
        <v>0.01091</v>
      </c>
      <c r="F32" s="54" t="n"/>
      <c r="G32" t="inlineStr">
        <is>
          <t>no aplica (precio mayorista)</t>
        </is>
      </c>
      <c r="J32" t="inlineStr">
        <is>
          <t>2020-01-28</t>
        </is>
      </c>
      <c r="K32" t="inlineStr">
        <is>
          <t>MIBGAS_Data_2020.xlsx</t>
        </is>
      </c>
      <c r="L32" t="inlineStr">
        <is>
          <t>volumen 83738 MWh</t>
        </is>
      </c>
    </row>
    <row r="33">
      <c r="A33" s="53" t="n">
        <v>43859</v>
      </c>
      <c r="B33" t="inlineStr">
        <is>
          <t>2020-01-29</t>
        </is>
      </c>
      <c r="C33" s="45" t="n">
        <v>10.83</v>
      </c>
      <c r="D33" t="inlineStr">
        <is>
          <t>€/MWh</t>
        </is>
      </c>
      <c r="E33" s="54" t="n">
        <v>0.01083</v>
      </c>
      <c r="F33" s="54" t="n"/>
      <c r="G33" t="inlineStr">
        <is>
          <t>no aplica (precio mayorista)</t>
        </is>
      </c>
      <c r="J33" t="inlineStr">
        <is>
          <t>2020-01-29</t>
        </is>
      </c>
      <c r="K33" t="inlineStr">
        <is>
          <t>MIBGAS_Data_2020.xlsx</t>
        </is>
      </c>
      <c r="L33" t="inlineStr">
        <is>
          <t>volumen 109840 MWh</t>
        </is>
      </c>
    </row>
    <row r="34">
      <c r="A34" s="53" t="n">
        <v>43860</v>
      </c>
      <c r="B34" t="inlineStr">
        <is>
          <t>2020-01-30</t>
        </is>
      </c>
      <c r="C34" s="45" t="n">
        <v>10.43</v>
      </c>
      <c r="D34" t="inlineStr">
        <is>
          <t>€/MWh</t>
        </is>
      </c>
      <c r="E34" s="54" t="n">
        <v>0.01043</v>
      </c>
      <c r="F34" s="54" t="n"/>
      <c r="G34" t="inlineStr">
        <is>
          <t>no aplica (precio mayorista)</t>
        </is>
      </c>
      <c r="J34" t="inlineStr">
        <is>
          <t>2020-01-30</t>
        </is>
      </c>
      <c r="K34" t="inlineStr">
        <is>
          <t>MIBGAS_Data_2020.xlsx</t>
        </is>
      </c>
      <c r="L34" t="inlineStr">
        <is>
          <t>volumen 72203 MWh</t>
        </is>
      </c>
    </row>
    <row r="35">
      <c r="A35" s="53" t="n">
        <v>43861</v>
      </c>
      <c r="B35" t="inlineStr">
        <is>
          <t>2020-01-31</t>
        </is>
      </c>
      <c r="C35" s="45" t="n">
        <v>9.42</v>
      </c>
      <c r="D35" t="inlineStr">
        <is>
          <t>€/MWh</t>
        </is>
      </c>
      <c r="E35" s="54" t="n">
        <v>0.00942</v>
      </c>
      <c r="F35" s="54" t="n"/>
      <c r="G35" t="inlineStr">
        <is>
          <t>no aplica (precio mayorista)</t>
        </is>
      </c>
      <c r="J35" t="inlineStr">
        <is>
          <t>2020-01-31</t>
        </is>
      </c>
      <c r="K35" t="inlineStr">
        <is>
          <t>MIBGAS_Data_2020.xlsx</t>
        </is>
      </c>
      <c r="L35" t="inlineStr">
        <is>
          <t>volumen 112401 MWh</t>
        </is>
      </c>
    </row>
    <row r="36">
      <c r="A36" s="53" t="n">
        <v>43862</v>
      </c>
      <c r="B36" t="inlineStr">
        <is>
          <t>2020-02-01</t>
        </is>
      </c>
      <c r="C36" s="45" t="n">
        <v>9.48</v>
      </c>
      <c r="D36" t="inlineStr">
        <is>
          <t>€/MWh</t>
        </is>
      </c>
      <c r="E36" s="54" t="n">
        <v>0.009480000000000001</v>
      </c>
      <c r="F36" s="54" t="n"/>
      <c r="G36" t="inlineStr">
        <is>
          <t>no aplica (precio mayorista)</t>
        </is>
      </c>
      <c r="J36" t="inlineStr">
        <is>
          <t>2020-02-01</t>
        </is>
      </c>
      <c r="K36" t="inlineStr">
        <is>
          <t>MIBGAS_Data_2020.xlsx</t>
        </is>
      </c>
      <c r="L36" t="inlineStr">
        <is>
          <t>volumen 103489 MWh</t>
        </is>
      </c>
    </row>
    <row r="37">
      <c r="A37" s="53" t="n">
        <v>43863</v>
      </c>
      <c r="B37" t="inlineStr">
        <is>
          <t>2020-02-02</t>
        </is>
      </c>
      <c r="C37" s="45" t="n">
        <v>9.32</v>
      </c>
      <c r="D37" t="inlineStr">
        <is>
          <t>€/MWh</t>
        </is>
      </c>
      <c r="E37" s="54" t="n">
        <v>0.00932</v>
      </c>
      <c r="F37" s="54" t="n"/>
      <c r="G37" t="inlineStr">
        <is>
          <t>no aplica (precio mayorista)</t>
        </is>
      </c>
      <c r="J37" t="inlineStr">
        <is>
          <t>2020-02-02</t>
        </is>
      </c>
      <c r="K37" t="inlineStr">
        <is>
          <t>MIBGAS_Data_2020.xlsx</t>
        </is>
      </c>
      <c r="L37" t="inlineStr">
        <is>
          <t>volumen 106986 MWh</t>
        </is>
      </c>
    </row>
    <row r="38">
      <c r="A38" s="53" t="n">
        <v>43864</v>
      </c>
      <c r="B38" t="inlineStr">
        <is>
          <t>2020-02-03</t>
        </is>
      </c>
      <c r="C38" s="45" t="n">
        <v>10.21</v>
      </c>
      <c r="D38" t="inlineStr">
        <is>
          <t>€/MWh</t>
        </is>
      </c>
      <c r="E38" s="54" t="n">
        <v>0.01021</v>
      </c>
      <c r="F38" s="54" t="n"/>
      <c r="G38" t="inlineStr">
        <is>
          <t>no aplica (precio mayorista)</t>
        </is>
      </c>
      <c r="J38" t="inlineStr">
        <is>
          <t>2020-02-03</t>
        </is>
      </c>
      <c r="K38" t="inlineStr">
        <is>
          <t>MIBGAS_Data_2020.xlsx</t>
        </is>
      </c>
      <c r="L38" t="inlineStr">
        <is>
          <t>volumen 90218 MWh</t>
        </is>
      </c>
    </row>
    <row r="39">
      <c r="A39" s="53" t="n">
        <v>43865</v>
      </c>
      <c r="B39" t="inlineStr">
        <is>
          <t>2020-02-04</t>
        </is>
      </c>
      <c r="C39" s="45" t="n">
        <v>9.5</v>
      </c>
      <c r="D39" t="inlineStr">
        <is>
          <t>€/MWh</t>
        </is>
      </c>
      <c r="E39" s="54" t="n">
        <v>0.0095</v>
      </c>
      <c r="F39" s="54" t="n"/>
      <c r="G39" t="inlineStr">
        <is>
          <t>no aplica (precio mayorista)</t>
        </is>
      </c>
      <c r="J39" t="inlineStr">
        <is>
          <t>2020-02-04</t>
        </is>
      </c>
      <c r="K39" t="inlineStr">
        <is>
          <t>MIBGAS_Data_2020.xlsx</t>
        </is>
      </c>
      <c r="L39" t="inlineStr">
        <is>
          <t>volumen 96126 MWh</t>
        </is>
      </c>
    </row>
    <row r="40">
      <c r="A40" s="53" t="n">
        <v>43866</v>
      </c>
      <c r="B40" t="inlineStr">
        <is>
          <t>2020-02-05</t>
        </is>
      </c>
      <c r="C40" s="45" t="n">
        <v>10.1</v>
      </c>
      <c r="D40" t="inlineStr">
        <is>
          <t>€/MWh</t>
        </is>
      </c>
      <c r="E40" s="54" t="n">
        <v>0.0101</v>
      </c>
      <c r="F40" s="54" t="n"/>
      <c r="G40" t="inlineStr">
        <is>
          <t>no aplica (precio mayorista)</t>
        </is>
      </c>
      <c r="J40" t="inlineStr">
        <is>
          <t>2020-02-05</t>
        </is>
      </c>
      <c r="K40" t="inlineStr">
        <is>
          <t>MIBGAS_Data_2020.xlsx</t>
        </is>
      </c>
      <c r="L40" t="inlineStr">
        <is>
          <t>volumen 54613 MWh</t>
        </is>
      </c>
    </row>
    <row r="41">
      <c r="A41" s="53" t="n">
        <v>43867</v>
      </c>
      <c r="B41" t="inlineStr">
        <is>
          <t>2020-02-06</t>
        </is>
      </c>
      <c r="C41" s="45" t="n">
        <v>10.31</v>
      </c>
      <c r="D41" t="inlineStr">
        <is>
          <t>€/MWh</t>
        </is>
      </c>
      <c r="E41" s="54" t="n">
        <v>0.01031</v>
      </c>
      <c r="F41" s="54" t="n"/>
      <c r="G41" t="inlineStr">
        <is>
          <t>no aplica (precio mayorista)</t>
        </is>
      </c>
      <c r="J41" t="inlineStr">
        <is>
          <t>2020-02-06</t>
        </is>
      </c>
      <c r="K41" t="inlineStr">
        <is>
          <t>MIBGAS_Data_2020.xlsx</t>
        </is>
      </c>
      <c r="L41" t="inlineStr">
        <is>
          <t>volumen 74146 MWh</t>
        </is>
      </c>
    </row>
    <row r="42">
      <c r="A42" s="53" t="n">
        <v>43868</v>
      </c>
      <c r="B42" t="inlineStr">
        <is>
          <t>2020-02-07</t>
        </is>
      </c>
      <c r="C42" s="45" t="n">
        <v>10.13</v>
      </c>
      <c r="D42" t="inlineStr">
        <is>
          <t>€/MWh</t>
        </is>
      </c>
      <c r="E42" s="54" t="n">
        <v>0.01013</v>
      </c>
      <c r="F42" s="54" t="n"/>
      <c r="G42" t="inlineStr">
        <is>
          <t>no aplica (precio mayorista)</t>
        </is>
      </c>
      <c r="J42" t="inlineStr">
        <is>
          <t>2020-02-07</t>
        </is>
      </c>
      <c r="K42" t="inlineStr">
        <is>
          <t>MIBGAS_Data_2020.xlsx</t>
        </is>
      </c>
      <c r="L42" t="inlineStr">
        <is>
          <t>volumen 64696 MWh</t>
        </is>
      </c>
    </row>
    <row r="43">
      <c r="A43" s="53" t="n">
        <v>43869</v>
      </c>
      <c r="B43" t="inlineStr">
        <is>
          <t>2020-02-08</t>
        </is>
      </c>
      <c r="C43" s="45" t="n">
        <v>9.92</v>
      </c>
      <c r="D43" t="inlineStr">
        <is>
          <t>€/MWh</t>
        </is>
      </c>
      <c r="E43" s="54" t="n">
        <v>0.00992</v>
      </c>
      <c r="F43" s="54" t="n"/>
      <c r="G43" t="inlineStr">
        <is>
          <t>no aplica (precio mayorista)</t>
        </is>
      </c>
      <c r="J43" t="inlineStr">
        <is>
          <t>2020-02-08</t>
        </is>
      </c>
      <c r="K43" t="inlineStr">
        <is>
          <t>MIBGAS_Data_2020.xlsx</t>
        </is>
      </c>
      <c r="L43" t="inlineStr">
        <is>
          <t>volumen 63454 MWh</t>
        </is>
      </c>
    </row>
    <row r="44">
      <c r="A44" s="53" t="n">
        <v>43870</v>
      </c>
      <c r="B44" t="inlineStr">
        <is>
          <t>2020-02-09</t>
        </is>
      </c>
      <c r="C44" s="45" t="n">
        <v>9.699999999999999</v>
      </c>
      <c r="D44" t="inlineStr">
        <is>
          <t>€/MWh</t>
        </is>
      </c>
      <c r="E44" s="54" t="n">
        <v>0.0097</v>
      </c>
      <c r="F44" s="54" t="n"/>
      <c r="G44" t="inlineStr">
        <is>
          <t>no aplica (precio mayorista)</t>
        </is>
      </c>
      <c r="J44" t="inlineStr">
        <is>
          <t>2020-02-09</t>
        </is>
      </c>
      <c r="K44" t="inlineStr">
        <is>
          <t>MIBGAS_Data_2020.xlsx</t>
        </is>
      </c>
      <c r="L44" t="inlineStr">
        <is>
          <t>volumen 67933 MWh</t>
        </is>
      </c>
    </row>
    <row r="45">
      <c r="A45" s="53" t="n">
        <v>43871</v>
      </c>
      <c r="B45" t="inlineStr">
        <is>
          <t>2020-02-10</t>
        </is>
      </c>
      <c r="C45" s="45" t="n">
        <v>9.699999999999999</v>
      </c>
      <c r="D45" t="inlineStr">
        <is>
          <t>€/MWh</t>
        </is>
      </c>
      <c r="E45" s="54" t="n">
        <v>0.0097</v>
      </c>
      <c r="F45" s="54" t="n"/>
      <c r="G45" t="inlineStr">
        <is>
          <t>no aplica (precio mayorista)</t>
        </is>
      </c>
      <c r="J45" t="inlineStr">
        <is>
          <t>2020-02-10</t>
        </is>
      </c>
      <c r="K45" t="inlineStr">
        <is>
          <t>MIBGAS_Data_2020.xlsx</t>
        </is>
      </c>
      <c r="L45" t="inlineStr">
        <is>
          <t>volumen 52888 MWh</t>
        </is>
      </c>
    </row>
    <row r="46">
      <c r="A46" s="53" t="n">
        <v>43872</v>
      </c>
      <c r="B46" t="inlineStr">
        <is>
          <t>2020-02-11</t>
        </is>
      </c>
      <c r="C46" s="45" t="n">
        <v>9.880000000000001</v>
      </c>
      <c r="D46" t="inlineStr">
        <is>
          <t>€/MWh</t>
        </is>
      </c>
      <c r="E46" s="54" t="n">
        <v>0.00988</v>
      </c>
      <c r="F46" s="54" t="n"/>
      <c r="G46" t="inlineStr">
        <is>
          <t>no aplica (precio mayorista)</t>
        </is>
      </c>
      <c r="J46" t="inlineStr">
        <is>
          <t>2020-02-11</t>
        </is>
      </c>
      <c r="K46" t="inlineStr">
        <is>
          <t>MIBGAS_Data_2020.xlsx</t>
        </is>
      </c>
      <c r="L46" t="inlineStr">
        <is>
          <t>volumen 77722 MWh</t>
        </is>
      </c>
    </row>
    <row r="47">
      <c r="A47" s="53" t="n">
        <v>43873</v>
      </c>
      <c r="B47" t="inlineStr">
        <is>
          <t>2020-02-12</t>
        </is>
      </c>
      <c r="C47" s="45" t="n">
        <v>10.06</v>
      </c>
      <c r="D47" t="inlineStr">
        <is>
          <t>€/MWh</t>
        </is>
      </c>
      <c r="E47" s="54" t="n">
        <v>0.01006</v>
      </c>
      <c r="F47" s="54" t="n"/>
      <c r="G47" t="inlineStr">
        <is>
          <t>no aplica (precio mayorista)</t>
        </is>
      </c>
      <c r="J47" t="inlineStr">
        <is>
          <t>2020-02-12</t>
        </is>
      </c>
      <c r="K47" t="inlineStr">
        <is>
          <t>MIBGAS_Data_2020.xlsx</t>
        </is>
      </c>
      <c r="L47" t="inlineStr">
        <is>
          <t>volumen 105213 MWh</t>
        </is>
      </c>
    </row>
    <row r="48">
      <c r="A48" s="53" t="n">
        <v>43874</v>
      </c>
      <c r="B48" t="inlineStr">
        <is>
          <t>2020-02-13</t>
        </is>
      </c>
      <c r="C48" s="45" t="n">
        <v>9.9</v>
      </c>
      <c r="D48" t="inlineStr">
        <is>
          <t>€/MWh</t>
        </is>
      </c>
      <c r="E48" s="54" t="n">
        <v>0.009900000000000001</v>
      </c>
      <c r="F48" s="54" t="n"/>
      <c r="G48" t="inlineStr">
        <is>
          <t>no aplica (precio mayorista)</t>
        </is>
      </c>
      <c r="J48" t="inlineStr">
        <is>
          <t>2020-02-13</t>
        </is>
      </c>
      <c r="K48" t="inlineStr">
        <is>
          <t>MIBGAS_Data_2020.xlsx</t>
        </is>
      </c>
      <c r="L48" t="inlineStr">
        <is>
          <t>volumen 78794 MWh</t>
        </is>
      </c>
    </row>
    <row r="49">
      <c r="A49" s="53" t="n">
        <v>43875</v>
      </c>
      <c r="B49" t="inlineStr">
        <is>
          <t>2020-02-14</t>
        </is>
      </c>
      <c r="C49" s="45" t="n">
        <v>10.14</v>
      </c>
      <c r="D49" t="inlineStr">
        <is>
          <t>€/MWh</t>
        </is>
      </c>
      <c r="E49" s="54" t="n">
        <v>0.01014</v>
      </c>
      <c r="F49" s="54" t="n"/>
      <c r="G49" t="inlineStr">
        <is>
          <t>no aplica (precio mayorista)</t>
        </is>
      </c>
      <c r="J49" t="inlineStr">
        <is>
          <t>2020-02-14</t>
        </is>
      </c>
      <c r="K49" t="inlineStr">
        <is>
          <t>MIBGAS_Data_2020.xlsx</t>
        </is>
      </c>
      <c r="L49" t="inlineStr">
        <is>
          <t>volumen 75682 MWh</t>
        </is>
      </c>
    </row>
    <row r="50">
      <c r="A50" s="53" t="n">
        <v>43876</v>
      </c>
      <c r="B50" t="inlineStr">
        <is>
          <t>2020-02-15</t>
        </is>
      </c>
      <c r="C50" s="45" t="n">
        <v>9.33</v>
      </c>
      <c r="D50" t="inlineStr">
        <is>
          <t>€/MWh</t>
        </is>
      </c>
      <c r="E50" s="54" t="n">
        <v>0.00933</v>
      </c>
      <c r="F50" s="54" t="n"/>
      <c r="G50" t="inlineStr">
        <is>
          <t>no aplica (precio mayorista)</t>
        </is>
      </c>
      <c r="J50" t="inlineStr">
        <is>
          <t>2020-02-15</t>
        </is>
      </c>
      <c r="K50" t="inlineStr">
        <is>
          <t>MIBGAS_Data_2020.xlsx</t>
        </is>
      </c>
      <c r="L50" t="inlineStr">
        <is>
          <t>volumen 63054 MWh</t>
        </is>
      </c>
    </row>
    <row r="51">
      <c r="A51" s="53" t="n">
        <v>43877</v>
      </c>
      <c r="B51" t="inlineStr">
        <is>
          <t>2020-02-16</t>
        </is>
      </c>
      <c r="C51" s="45" t="n">
        <v>9.17</v>
      </c>
      <c r="D51" t="inlineStr">
        <is>
          <t>€/MWh</t>
        </is>
      </c>
      <c r="E51" s="54" t="n">
        <v>0.009169999999999999</v>
      </c>
      <c r="F51" s="54" t="n"/>
      <c r="G51" t="inlineStr">
        <is>
          <t>no aplica (precio mayorista)</t>
        </is>
      </c>
      <c r="J51" t="inlineStr">
        <is>
          <t>2020-02-16</t>
        </is>
      </c>
      <c r="K51" t="inlineStr">
        <is>
          <t>MIBGAS_Data_2020.xlsx</t>
        </is>
      </c>
      <c r="L51" t="inlineStr">
        <is>
          <t>volumen 74026 MWh</t>
        </is>
      </c>
    </row>
    <row r="52">
      <c r="A52" s="53" t="n">
        <v>43878</v>
      </c>
      <c r="B52" t="inlineStr">
        <is>
          <t>2020-02-17</t>
        </is>
      </c>
      <c r="C52" s="45" t="n">
        <v>9.529999999999999</v>
      </c>
      <c r="D52" t="inlineStr">
        <is>
          <t>€/MWh</t>
        </is>
      </c>
      <c r="E52" s="54" t="n">
        <v>0.00953</v>
      </c>
      <c r="F52" s="54" t="n"/>
      <c r="G52" t="inlineStr">
        <is>
          <t>no aplica (precio mayorista)</t>
        </is>
      </c>
      <c r="J52" t="inlineStr">
        <is>
          <t>2020-02-17</t>
        </is>
      </c>
      <c r="K52" t="inlineStr">
        <is>
          <t>MIBGAS_Data_2020.xlsx</t>
        </is>
      </c>
      <c r="L52" t="inlineStr">
        <is>
          <t>volumen 63407 MWh</t>
        </is>
      </c>
    </row>
    <row r="53">
      <c r="A53" s="53" t="n">
        <v>43879</v>
      </c>
      <c r="B53" t="inlineStr">
        <is>
          <t>2020-02-18</t>
        </is>
      </c>
      <c r="C53" s="45" t="n">
        <v>10.06</v>
      </c>
      <c r="D53" t="inlineStr">
        <is>
          <t>€/MWh</t>
        </is>
      </c>
      <c r="E53" s="54" t="n">
        <v>0.01006</v>
      </c>
      <c r="F53" s="54" t="n"/>
      <c r="G53" t="inlineStr">
        <is>
          <t>no aplica (precio mayorista)</t>
        </is>
      </c>
      <c r="J53" t="inlineStr">
        <is>
          <t>2020-02-18</t>
        </is>
      </c>
      <c r="K53" t="inlineStr">
        <is>
          <t>MIBGAS_Data_2020.xlsx</t>
        </is>
      </c>
      <c r="L53" t="inlineStr">
        <is>
          <t>volumen 74627 MWh</t>
        </is>
      </c>
    </row>
    <row r="54">
      <c r="A54" s="53" t="n">
        <v>43880</v>
      </c>
      <c r="B54" t="inlineStr">
        <is>
          <t>2020-02-19</t>
        </is>
      </c>
      <c r="C54" s="45" t="n">
        <v>11.12</v>
      </c>
      <c r="D54" t="inlineStr">
        <is>
          <t>€/MWh</t>
        </is>
      </c>
      <c r="E54" s="54" t="n">
        <v>0.01112</v>
      </c>
      <c r="F54" s="54" t="n"/>
      <c r="G54" t="inlineStr">
        <is>
          <t>no aplica (precio mayorista)</t>
        </is>
      </c>
      <c r="J54" t="inlineStr">
        <is>
          <t>2020-02-19</t>
        </is>
      </c>
      <c r="K54" t="inlineStr">
        <is>
          <t>MIBGAS_Data_2020.xlsx</t>
        </is>
      </c>
      <c r="L54" t="inlineStr">
        <is>
          <t>volumen 63895 MWh</t>
        </is>
      </c>
    </row>
    <row r="55">
      <c r="A55" s="53" t="n">
        <v>43881</v>
      </c>
      <c r="B55" t="inlineStr">
        <is>
          <t>2020-02-20</t>
        </is>
      </c>
      <c r="C55" s="45" t="n">
        <v>10.96</v>
      </c>
      <c r="D55" t="inlineStr">
        <is>
          <t>€/MWh</t>
        </is>
      </c>
      <c r="E55" s="54" t="n">
        <v>0.01096</v>
      </c>
      <c r="F55" s="54" t="n"/>
      <c r="G55" t="inlineStr">
        <is>
          <t>no aplica (precio mayorista)</t>
        </is>
      </c>
      <c r="J55" t="inlineStr">
        <is>
          <t>2020-02-20</t>
        </is>
      </c>
      <c r="K55" t="inlineStr">
        <is>
          <t>MIBGAS_Data_2020.xlsx</t>
        </is>
      </c>
      <c r="L55" t="inlineStr">
        <is>
          <t>volumen 98281 MWh</t>
        </is>
      </c>
    </row>
    <row r="56">
      <c r="A56" s="53" t="n">
        <v>43882</v>
      </c>
      <c r="B56" t="inlineStr">
        <is>
          <t>2020-02-21</t>
        </is>
      </c>
      <c r="C56" s="45" t="n">
        <v>10.85</v>
      </c>
      <c r="D56" t="inlineStr">
        <is>
          <t>€/MWh</t>
        </is>
      </c>
      <c r="E56" s="54" t="n">
        <v>0.01085</v>
      </c>
      <c r="F56" s="54" t="n"/>
      <c r="G56" t="inlineStr">
        <is>
          <t>no aplica (precio mayorista)</t>
        </is>
      </c>
      <c r="J56" t="inlineStr">
        <is>
          <t>2020-02-21</t>
        </is>
      </c>
      <c r="K56" t="inlineStr">
        <is>
          <t>MIBGAS_Data_2020.xlsx</t>
        </is>
      </c>
      <c r="L56" t="inlineStr">
        <is>
          <t>volumen 85912 MWh</t>
        </is>
      </c>
    </row>
    <row r="57">
      <c r="A57" s="53" t="n">
        <v>43883</v>
      </c>
      <c r="B57" t="inlineStr">
        <is>
          <t>2020-02-22</t>
        </is>
      </c>
      <c r="C57" s="45" t="n">
        <v>10</v>
      </c>
      <c r="D57" t="inlineStr">
        <is>
          <t>€/MWh</t>
        </is>
      </c>
      <c r="E57" s="54" t="n">
        <v>0.01</v>
      </c>
      <c r="F57" s="54" t="n"/>
      <c r="G57" t="inlineStr">
        <is>
          <t>no aplica (precio mayorista)</t>
        </is>
      </c>
      <c r="J57" t="inlineStr">
        <is>
          <t>2020-02-22</t>
        </is>
      </c>
      <c r="K57" t="inlineStr">
        <is>
          <t>MIBGAS_Data_2020.xlsx</t>
        </is>
      </c>
      <c r="L57" t="inlineStr">
        <is>
          <t>volumen 74248 MWh</t>
        </is>
      </c>
    </row>
    <row r="58">
      <c r="A58" s="53" t="n">
        <v>43884</v>
      </c>
      <c r="B58" t="inlineStr">
        <is>
          <t>2020-02-23</t>
        </is>
      </c>
      <c r="C58" s="45" t="n">
        <v>10</v>
      </c>
      <c r="D58" t="inlineStr">
        <is>
          <t>€/MWh</t>
        </is>
      </c>
      <c r="E58" s="54" t="n">
        <v>0.01</v>
      </c>
      <c r="F58" s="54" t="n"/>
      <c r="G58" t="inlineStr">
        <is>
          <t>no aplica (precio mayorista)</t>
        </is>
      </c>
      <c r="J58" t="inlineStr">
        <is>
          <t>2020-02-23</t>
        </is>
      </c>
      <c r="K58" t="inlineStr">
        <is>
          <t>MIBGAS_Data_2020.xlsx</t>
        </is>
      </c>
      <c r="L58" t="inlineStr">
        <is>
          <t>volumen 70730 MWh</t>
        </is>
      </c>
    </row>
    <row r="59">
      <c r="A59" s="53" t="n">
        <v>43885</v>
      </c>
      <c r="B59" t="inlineStr">
        <is>
          <t>2020-02-24</t>
        </is>
      </c>
      <c r="C59" s="45" t="n">
        <v>10.24</v>
      </c>
      <c r="D59" t="inlineStr">
        <is>
          <t>€/MWh</t>
        </is>
      </c>
      <c r="E59" s="54" t="n">
        <v>0.01024</v>
      </c>
      <c r="F59" s="54" t="n"/>
      <c r="G59" t="inlineStr">
        <is>
          <t>no aplica (precio mayorista)</t>
        </is>
      </c>
      <c r="J59" t="inlineStr">
        <is>
          <t>2020-02-24</t>
        </is>
      </c>
      <c r="K59" t="inlineStr">
        <is>
          <t>MIBGAS_Data_2020.xlsx</t>
        </is>
      </c>
      <c r="L59" t="inlineStr">
        <is>
          <t>volumen 55196 MWh</t>
        </is>
      </c>
    </row>
    <row r="60">
      <c r="A60" s="53" t="n">
        <v>43886</v>
      </c>
      <c r="B60" t="inlineStr">
        <is>
          <t>2020-02-25</t>
        </is>
      </c>
      <c r="C60" s="45" t="n">
        <v>9.210000000000001</v>
      </c>
      <c r="D60" t="inlineStr">
        <is>
          <t>€/MWh</t>
        </is>
      </c>
      <c r="E60" s="54" t="n">
        <v>0.009209999999999999</v>
      </c>
      <c r="F60" s="54" t="n"/>
      <c r="G60" t="inlineStr">
        <is>
          <t>no aplica (precio mayorista)</t>
        </is>
      </c>
      <c r="J60" t="inlineStr">
        <is>
          <t>2020-02-25</t>
        </is>
      </c>
      <c r="K60" t="inlineStr">
        <is>
          <t>MIBGAS_Data_2020.xlsx</t>
        </is>
      </c>
      <c r="L60" t="inlineStr">
        <is>
          <t>volumen 66868 MWh</t>
        </is>
      </c>
    </row>
    <row r="61">
      <c r="A61" s="53" t="n">
        <v>43887</v>
      </c>
      <c r="B61" t="inlineStr">
        <is>
          <t>2020-02-26</t>
        </is>
      </c>
      <c r="C61" s="45" t="n">
        <v>9.140000000000001</v>
      </c>
      <c r="D61" t="inlineStr">
        <is>
          <t>€/MWh</t>
        </is>
      </c>
      <c r="E61" s="54" t="n">
        <v>0.009140000000000001</v>
      </c>
      <c r="F61" s="54" t="n"/>
      <c r="G61" t="inlineStr">
        <is>
          <t>no aplica (precio mayorista)</t>
        </is>
      </c>
      <c r="J61" t="inlineStr">
        <is>
          <t>2020-02-26</t>
        </is>
      </c>
      <c r="K61" t="inlineStr">
        <is>
          <t>MIBGAS_Data_2020.xlsx</t>
        </is>
      </c>
      <c r="L61" t="inlineStr">
        <is>
          <t>volumen 65469 MWh</t>
        </is>
      </c>
    </row>
    <row r="62">
      <c r="A62" s="53" t="n">
        <v>43888</v>
      </c>
      <c r="B62" t="inlineStr">
        <is>
          <t>2020-02-27</t>
        </is>
      </c>
      <c r="C62" s="45" t="n">
        <v>9.01</v>
      </c>
      <c r="D62" t="inlineStr">
        <is>
          <t>€/MWh</t>
        </is>
      </c>
      <c r="E62" s="54" t="n">
        <v>0.009010000000000001</v>
      </c>
      <c r="F62" s="54" t="n"/>
      <c r="G62" t="inlineStr">
        <is>
          <t>no aplica (precio mayorista)</t>
        </is>
      </c>
      <c r="J62" t="inlineStr">
        <is>
          <t>2020-02-27</t>
        </is>
      </c>
      <c r="K62" t="inlineStr">
        <is>
          <t>MIBGAS_Data_2020.xlsx</t>
        </is>
      </c>
      <c r="L62" t="inlineStr">
        <is>
          <t>volumen 77829 MWh</t>
        </is>
      </c>
    </row>
    <row r="63">
      <c r="A63" s="53" t="n">
        <v>43889</v>
      </c>
      <c r="B63" t="inlineStr">
        <is>
          <t>2020-02-28</t>
        </is>
      </c>
      <c r="C63" s="45" t="n">
        <v>8.98</v>
      </c>
      <c r="D63" t="inlineStr">
        <is>
          <t>€/MWh</t>
        </is>
      </c>
      <c r="E63" s="54" t="n">
        <v>0.00898</v>
      </c>
      <c r="F63" s="54" t="n"/>
      <c r="G63" t="inlineStr">
        <is>
          <t>no aplica (precio mayorista)</t>
        </is>
      </c>
      <c r="J63" t="inlineStr">
        <is>
          <t>2020-02-28</t>
        </is>
      </c>
      <c r="K63" t="inlineStr">
        <is>
          <t>MIBGAS_Data_2020.xlsx</t>
        </is>
      </c>
      <c r="L63" t="inlineStr">
        <is>
          <t>volumen 85297 MWh</t>
        </is>
      </c>
    </row>
    <row r="64">
      <c r="A64" s="53" t="n">
        <v>43890</v>
      </c>
      <c r="B64" t="inlineStr">
        <is>
          <t>2020-02-29</t>
        </is>
      </c>
      <c r="C64" s="45" t="n">
        <v>8.75</v>
      </c>
      <c r="D64" t="inlineStr">
        <is>
          <t>€/MWh</t>
        </is>
      </c>
      <c r="E64" s="54" t="n">
        <v>0.008750000000000001</v>
      </c>
      <c r="F64" s="54" t="n"/>
      <c r="G64" t="inlineStr">
        <is>
          <t>no aplica (precio mayorista)</t>
        </is>
      </c>
      <c r="J64" t="inlineStr">
        <is>
          <t>2020-02-29</t>
        </is>
      </c>
      <c r="K64" t="inlineStr">
        <is>
          <t>MIBGAS_Data_2020.xlsx</t>
        </is>
      </c>
      <c r="L64" t="inlineStr">
        <is>
          <t>volumen 76139 MWh</t>
        </is>
      </c>
    </row>
    <row r="65">
      <c r="A65" s="53" t="n">
        <v>43891</v>
      </c>
      <c r="B65" t="inlineStr">
        <is>
          <t>2020-03-01</t>
        </is>
      </c>
      <c r="C65" s="45" t="n">
        <v>8.699999999999999</v>
      </c>
      <c r="D65" t="inlineStr">
        <is>
          <t>€/MWh</t>
        </is>
      </c>
      <c r="E65" s="54" t="n">
        <v>0.008699999999999999</v>
      </c>
      <c r="F65" s="54" t="n"/>
      <c r="G65" t="inlineStr">
        <is>
          <t>no aplica (precio mayorista)</t>
        </is>
      </c>
      <c r="J65" t="inlineStr">
        <is>
          <t>2020-03-01</t>
        </is>
      </c>
      <c r="K65" t="inlineStr">
        <is>
          <t>MIBGAS_Data_2020.xlsx</t>
        </is>
      </c>
      <c r="L65" t="inlineStr">
        <is>
          <t>volumen 48239 MWh</t>
        </is>
      </c>
    </row>
    <row r="66">
      <c r="A66" s="53" t="n">
        <v>43892</v>
      </c>
      <c r="B66" t="inlineStr">
        <is>
          <t>2020-03-02</t>
        </is>
      </c>
      <c r="C66" s="45" t="n">
        <v>8.44</v>
      </c>
      <c r="D66" t="inlineStr">
        <is>
          <t>€/MWh</t>
        </is>
      </c>
      <c r="E66" s="54" t="n">
        <v>0.00844</v>
      </c>
      <c r="F66" s="54" t="n"/>
      <c r="G66" t="inlineStr">
        <is>
          <t>no aplica (precio mayorista)</t>
        </is>
      </c>
      <c r="J66" t="inlineStr">
        <is>
          <t>2020-03-02</t>
        </is>
      </c>
      <c r="K66" t="inlineStr">
        <is>
          <t>MIBGAS_Data_2020.xlsx</t>
        </is>
      </c>
      <c r="L66" t="inlineStr">
        <is>
          <t>volumen 82764 MWh</t>
        </is>
      </c>
    </row>
    <row r="67">
      <c r="A67" s="53" t="n">
        <v>43893</v>
      </c>
      <c r="B67" t="inlineStr">
        <is>
          <t>2020-03-03</t>
        </is>
      </c>
      <c r="C67" s="45" t="n">
        <v>8.74</v>
      </c>
      <c r="D67" t="inlineStr">
        <is>
          <t>€/MWh</t>
        </is>
      </c>
      <c r="E67" s="54" t="n">
        <v>0.00874</v>
      </c>
      <c r="F67" s="54" t="n"/>
      <c r="G67" t="inlineStr">
        <is>
          <t>no aplica (precio mayorista)</t>
        </is>
      </c>
      <c r="J67" t="inlineStr">
        <is>
          <t>2020-03-03</t>
        </is>
      </c>
      <c r="K67" t="inlineStr">
        <is>
          <t>MIBGAS_Data_2020.xlsx</t>
        </is>
      </c>
      <c r="L67" t="inlineStr">
        <is>
          <t>volumen 67107 MWh</t>
        </is>
      </c>
    </row>
    <row r="68">
      <c r="A68" s="53" t="n">
        <v>43894</v>
      </c>
      <c r="B68" t="inlineStr">
        <is>
          <t>2020-03-04</t>
        </is>
      </c>
      <c r="C68" s="45" t="n">
        <v>8.960000000000001</v>
      </c>
      <c r="D68" t="inlineStr">
        <is>
          <t>€/MWh</t>
        </is>
      </c>
      <c r="E68" s="54" t="n">
        <v>0.008959999999999999</v>
      </c>
      <c r="F68" s="54" t="n"/>
      <c r="G68" t="inlineStr">
        <is>
          <t>no aplica (precio mayorista)</t>
        </is>
      </c>
      <c r="J68" t="inlineStr">
        <is>
          <t>2020-03-04</t>
        </is>
      </c>
      <c r="K68" t="inlineStr">
        <is>
          <t>MIBGAS_Data_2020.xlsx</t>
        </is>
      </c>
      <c r="L68" t="inlineStr">
        <is>
          <t>volumen 76367 MWh</t>
        </is>
      </c>
    </row>
    <row r="69">
      <c r="A69" s="53" t="n">
        <v>43895</v>
      </c>
      <c r="B69" t="inlineStr">
        <is>
          <t>2020-03-05</t>
        </is>
      </c>
      <c r="C69" s="45" t="n">
        <v>8.890000000000001</v>
      </c>
      <c r="D69" t="inlineStr">
        <is>
          <t>€/MWh</t>
        </is>
      </c>
      <c r="E69" s="54" t="n">
        <v>0.00889</v>
      </c>
      <c r="F69" s="54" t="n"/>
      <c r="G69" t="inlineStr">
        <is>
          <t>no aplica (precio mayorista)</t>
        </is>
      </c>
      <c r="J69" t="inlineStr">
        <is>
          <t>2020-03-05</t>
        </is>
      </c>
      <c r="K69" t="inlineStr">
        <is>
          <t>MIBGAS_Data_2020.xlsx</t>
        </is>
      </c>
      <c r="L69" t="inlineStr">
        <is>
          <t>volumen 72554 MWh</t>
        </is>
      </c>
    </row>
    <row r="70">
      <c r="A70" s="53" t="n">
        <v>43896</v>
      </c>
      <c r="B70" t="inlineStr">
        <is>
          <t>2020-03-06</t>
        </is>
      </c>
      <c r="C70" s="45" t="n">
        <v>8.890000000000001</v>
      </c>
      <c r="D70" t="inlineStr">
        <is>
          <t>€/MWh</t>
        </is>
      </c>
      <c r="E70" s="54" t="n">
        <v>0.00889</v>
      </c>
      <c r="F70" s="54" t="n"/>
      <c r="G70" t="inlineStr">
        <is>
          <t>no aplica (precio mayorista)</t>
        </is>
      </c>
      <c r="J70" t="inlineStr">
        <is>
          <t>2020-03-06</t>
        </is>
      </c>
      <c r="K70" t="inlineStr">
        <is>
          <t>MIBGAS_Data_2020.xlsx</t>
        </is>
      </c>
      <c r="L70" t="inlineStr">
        <is>
          <t>volumen 59308 MWh</t>
        </is>
      </c>
    </row>
    <row r="71">
      <c r="A71" s="53" t="n">
        <v>43897</v>
      </c>
      <c r="B71" t="inlineStr">
        <is>
          <t>2020-03-07</t>
        </is>
      </c>
      <c r="C71" s="45" t="n">
        <v>8.67</v>
      </c>
      <c r="D71" t="inlineStr">
        <is>
          <t>€/MWh</t>
        </is>
      </c>
      <c r="E71" s="54" t="n">
        <v>0.008670000000000001</v>
      </c>
      <c r="F71" s="54" t="n"/>
      <c r="G71" t="inlineStr">
        <is>
          <t>no aplica (precio mayorista)</t>
        </is>
      </c>
      <c r="J71" t="inlineStr">
        <is>
          <t>2020-03-07</t>
        </is>
      </c>
      <c r="K71" t="inlineStr">
        <is>
          <t>MIBGAS_Data_2020.xlsx</t>
        </is>
      </c>
      <c r="L71" t="inlineStr">
        <is>
          <t>volumen 89221 MWh</t>
        </is>
      </c>
    </row>
    <row r="72">
      <c r="A72" s="53" t="n">
        <v>43898</v>
      </c>
      <c r="B72" t="inlineStr">
        <is>
          <t>2020-03-08</t>
        </is>
      </c>
      <c r="C72" s="45" t="n">
        <v>8.77</v>
      </c>
      <c r="D72" t="inlineStr">
        <is>
          <t>€/MWh</t>
        </is>
      </c>
      <c r="E72" s="54" t="n">
        <v>0.00877</v>
      </c>
      <c r="F72" s="54" t="n"/>
      <c r="G72" t="inlineStr">
        <is>
          <t>no aplica (precio mayorista)</t>
        </is>
      </c>
      <c r="J72" t="inlineStr">
        <is>
          <t>2020-03-08</t>
        </is>
      </c>
      <c r="K72" t="inlineStr">
        <is>
          <t>MIBGAS_Data_2020.xlsx</t>
        </is>
      </c>
      <c r="L72" t="inlineStr">
        <is>
          <t>volumen 83370 MWh</t>
        </is>
      </c>
    </row>
    <row r="73">
      <c r="A73" s="53" t="n">
        <v>43899</v>
      </c>
      <c r="B73" t="inlineStr">
        <is>
          <t>2020-03-09</t>
        </is>
      </c>
      <c r="C73" s="45" t="n">
        <v>9.25</v>
      </c>
      <c r="D73" t="inlineStr">
        <is>
          <t>€/MWh</t>
        </is>
      </c>
      <c r="E73" s="54" t="n">
        <v>0.00925</v>
      </c>
      <c r="F73" s="54" t="n"/>
      <c r="G73" t="inlineStr">
        <is>
          <t>no aplica (precio mayorista)</t>
        </is>
      </c>
      <c r="J73" t="inlineStr">
        <is>
          <t>2020-03-09</t>
        </is>
      </c>
      <c r="K73" t="inlineStr">
        <is>
          <t>MIBGAS_Data_2020.xlsx</t>
        </is>
      </c>
      <c r="L73" t="inlineStr">
        <is>
          <t>volumen 61571 MWh</t>
        </is>
      </c>
    </row>
    <row r="74">
      <c r="A74" s="53" t="n">
        <v>43900</v>
      </c>
      <c r="B74" t="inlineStr">
        <is>
          <t>2020-03-10</t>
        </is>
      </c>
      <c r="C74" s="45" t="n">
        <v>9.029999999999999</v>
      </c>
      <c r="D74" t="inlineStr">
        <is>
          <t>€/MWh</t>
        </is>
      </c>
      <c r="E74" s="54" t="n">
        <v>0.00903</v>
      </c>
      <c r="F74" s="54" t="n"/>
      <c r="G74" t="inlineStr">
        <is>
          <t>no aplica (precio mayorista)</t>
        </is>
      </c>
      <c r="J74" t="inlineStr">
        <is>
          <t>2020-03-10</t>
        </is>
      </c>
      <c r="K74" t="inlineStr">
        <is>
          <t>MIBGAS_Data_2020.xlsx</t>
        </is>
      </c>
      <c r="L74" t="inlineStr">
        <is>
          <t>volumen 51707 MWh</t>
        </is>
      </c>
    </row>
    <row r="75">
      <c r="A75" s="53" t="n">
        <v>43901</v>
      </c>
      <c r="B75" t="inlineStr">
        <is>
          <t>2020-03-11</t>
        </is>
      </c>
      <c r="C75" s="45" t="n">
        <v>9.23</v>
      </c>
      <c r="D75" t="inlineStr">
        <is>
          <t>€/MWh</t>
        </is>
      </c>
      <c r="E75" s="54" t="n">
        <v>0.00923</v>
      </c>
      <c r="F75" s="54" t="n"/>
      <c r="G75" t="inlineStr">
        <is>
          <t>no aplica (precio mayorista)</t>
        </is>
      </c>
      <c r="J75" t="inlineStr">
        <is>
          <t>2020-03-11</t>
        </is>
      </c>
      <c r="K75" t="inlineStr">
        <is>
          <t>MIBGAS_Data_2020.xlsx</t>
        </is>
      </c>
      <c r="L75" t="inlineStr">
        <is>
          <t>volumen 56473 MWh</t>
        </is>
      </c>
    </row>
    <row r="76">
      <c r="A76" s="53" t="n">
        <v>43902</v>
      </c>
      <c r="B76" t="inlineStr">
        <is>
          <t>2020-03-12</t>
        </is>
      </c>
      <c r="C76" s="45" t="n">
        <v>9.26</v>
      </c>
      <c r="D76" t="inlineStr">
        <is>
          <t>€/MWh</t>
        </is>
      </c>
      <c r="E76" s="54" t="n">
        <v>0.009259999999999999</v>
      </c>
      <c r="F76" s="54" t="n"/>
      <c r="G76" t="inlineStr">
        <is>
          <t>no aplica (precio mayorista)</t>
        </is>
      </c>
      <c r="J76" t="inlineStr">
        <is>
          <t>2020-03-12</t>
        </is>
      </c>
      <c r="K76" t="inlineStr">
        <is>
          <t>MIBGAS_Data_2020.xlsx</t>
        </is>
      </c>
      <c r="L76" t="inlineStr">
        <is>
          <t>volumen 67028 MWh</t>
        </is>
      </c>
    </row>
    <row r="77">
      <c r="A77" s="53" t="n">
        <v>43903</v>
      </c>
      <c r="B77" t="inlineStr">
        <is>
          <t>2020-03-13</t>
        </is>
      </c>
      <c r="C77" s="45" t="n">
        <v>9.26</v>
      </c>
      <c r="D77" t="inlineStr">
        <is>
          <t>€/MWh</t>
        </is>
      </c>
      <c r="E77" s="54" t="n">
        <v>0.009259999999999999</v>
      </c>
      <c r="F77" s="54" t="n"/>
      <c r="G77" t="inlineStr">
        <is>
          <t>no aplica (precio mayorista)</t>
        </is>
      </c>
      <c r="J77" t="inlineStr">
        <is>
          <t>2020-03-13</t>
        </is>
      </c>
      <c r="K77" t="inlineStr">
        <is>
          <t>MIBGAS_Data_2020.xlsx</t>
        </is>
      </c>
      <c r="L77" t="inlineStr">
        <is>
          <t>volumen 72403 MWh</t>
        </is>
      </c>
    </row>
    <row r="78">
      <c r="A78" s="53" t="n">
        <v>43904</v>
      </c>
      <c r="B78" t="inlineStr">
        <is>
          <t>2020-03-14</t>
        </is>
      </c>
      <c r="C78" s="45" t="n">
        <v>9.130000000000001</v>
      </c>
      <c r="D78" t="inlineStr">
        <is>
          <t>€/MWh</t>
        </is>
      </c>
      <c r="E78" s="54" t="n">
        <v>0.009129999999999999</v>
      </c>
      <c r="F78" s="54" t="n"/>
      <c r="G78" t="inlineStr">
        <is>
          <t>no aplica (precio mayorista)</t>
        </is>
      </c>
      <c r="J78" t="inlineStr">
        <is>
          <t>2020-03-14</t>
        </is>
      </c>
      <c r="K78" t="inlineStr">
        <is>
          <t>MIBGAS_Data_2020.xlsx</t>
        </is>
      </c>
      <c r="L78" t="inlineStr">
        <is>
          <t>volumen 95132 MWh</t>
        </is>
      </c>
    </row>
    <row r="79">
      <c r="A79" s="53" t="n">
        <v>43905</v>
      </c>
      <c r="B79" t="inlineStr">
        <is>
          <t>2020-03-15</t>
        </is>
      </c>
      <c r="C79" s="45" t="n">
        <v>9.16</v>
      </c>
      <c r="D79" t="inlineStr">
        <is>
          <t>€/MWh</t>
        </is>
      </c>
      <c r="E79" s="54" t="n">
        <v>0.00916</v>
      </c>
      <c r="F79" s="54" t="n"/>
      <c r="G79" t="inlineStr">
        <is>
          <t>no aplica (precio mayorista)</t>
        </is>
      </c>
      <c r="J79" t="inlineStr">
        <is>
          <t>2020-03-15</t>
        </is>
      </c>
      <c r="K79" t="inlineStr">
        <is>
          <t>MIBGAS_Data_2020.xlsx</t>
        </is>
      </c>
      <c r="L79" t="inlineStr">
        <is>
          <t>volumen 77462 MWh</t>
        </is>
      </c>
    </row>
    <row r="80">
      <c r="A80" s="53" t="n">
        <v>43906</v>
      </c>
      <c r="B80" t="inlineStr">
        <is>
          <t>2020-03-16</t>
        </is>
      </c>
      <c r="C80" s="45" t="n">
        <v>10.09</v>
      </c>
      <c r="D80" t="inlineStr">
        <is>
          <t>€/MWh</t>
        </is>
      </c>
      <c r="E80" s="54" t="n">
        <v>0.01009</v>
      </c>
      <c r="F80" s="54" t="n"/>
      <c r="G80" t="inlineStr">
        <is>
          <t>no aplica (precio mayorista)</t>
        </is>
      </c>
      <c r="J80" t="inlineStr">
        <is>
          <t>2020-03-16</t>
        </is>
      </c>
      <c r="K80" t="inlineStr">
        <is>
          <t>MIBGAS_Data_2020.xlsx</t>
        </is>
      </c>
      <c r="L80" t="inlineStr">
        <is>
          <t>volumen 55246 MWh</t>
        </is>
      </c>
    </row>
    <row r="81">
      <c r="A81" s="53" t="n">
        <v>43907</v>
      </c>
      <c r="B81" t="inlineStr">
        <is>
          <t>2020-03-17</t>
        </is>
      </c>
      <c r="C81" s="45" t="n">
        <v>9.66</v>
      </c>
      <c r="D81" t="inlineStr">
        <is>
          <t>€/MWh</t>
        </is>
      </c>
      <c r="E81" s="54" t="n">
        <v>0.00966</v>
      </c>
      <c r="F81" s="54" t="n"/>
      <c r="G81" t="inlineStr">
        <is>
          <t>no aplica (precio mayorista)</t>
        </is>
      </c>
      <c r="J81" t="inlineStr">
        <is>
          <t>2020-03-17</t>
        </is>
      </c>
      <c r="K81" t="inlineStr">
        <is>
          <t>MIBGAS_Data_2020.xlsx</t>
        </is>
      </c>
      <c r="L81" t="inlineStr">
        <is>
          <t>volumen 37135 MWh</t>
        </is>
      </c>
    </row>
    <row r="82">
      <c r="A82" s="53" t="n">
        <v>43908</v>
      </c>
      <c r="B82" t="inlineStr">
        <is>
          <t>2020-03-18</t>
        </is>
      </c>
      <c r="C82" s="45" t="n">
        <v>9.08</v>
      </c>
      <c r="D82" t="inlineStr">
        <is>
          <t>€/MWh</t>
        </is>
      </c>
      <c r="E82" s="54" t="n">
        <v>0.00908</v>
      </c>
      <c r="F82" s="54" t="n"/>
      <c r="G82" t="inlineStr">
        <is>
          <t>no aplica (precio mayorista)</t>
        </is>
      </c>
      <c r="J82" t="inlineStr">
        <is>
          <t>2020-03-18</t>
        </is>
      </c>
      <c r="K82" t="inlineStr">
        <is>
          <t>MIBGAS_Data_2020.xlsx</t>
        </is>
      </c>
      <c r="L82" t="inlineStr">
        <is>
          <t>volumen 48675 MWh</t>
        </is>
      </c>
    </row>
    <row r="83">
      <c r="A83" s="53" t="n">
        <v>43909</v>
      </c>
      <c r="B83" t="inlineStr">
        <is>
          <t>2020-03-19</t>
        </is>
      </c>
      <c r="C83" s="45" t="n">
        <v>8.59</v>
      </c>
      <c r="D83" t="inlineStr">
        <is>
          <t>€/MWh</t>
        </is>
      </c>
      <c r="E83" s="54" t="n">
        <v>0.00859</v>
      </c>
      <c r="F83" s="54" t="n"/>
      <c r="G83" t="inlineStr">
        <is>
          <t>no aplica (precio mayorista)</t>
        </is>
      </c>
      <c r="J83" t="inlineStr">
        <is>
          <t>2020-03-19</t>
        </is>
      </c>
      <c r="K83" t="inlineStr">
        <is>
          <t>MIBGAS_Data_2020.xlsx</t>
        </is>
      </c>
      <c r="L83" t="inlineStr">
        <is>
          <t>volumen 55641 MWh</t>
        </is>
      </c>
    </row>
    <row r="84">
      <c r="A84" s="53" t="n">
        <v>43910</v>
      </c>
      <c r="B84" t="inlineStr">
        <is>
          <t>2020-03-20</t>
        </is>
      </c>
      <c r="C84" s="45" t="n">
        <v>8.029999999999999</v>
      </c>
      <c r="D84" t="inlineStr">
        <is>
          <t>€/MWh</t>
        </is>
      </c>
      <c r="E84" s="54" t="n">
        <v>0.008030000000000001</v>
      </c>
      <c r="F84" s="54" t="n"/>
      <c r="G84" t="inlineStr">
        <is>
          <t>no aplica (precio mayorista)</t>
        </is>
      </c>
      <c r="J84" t="inlineStr">
        <is>
          <t>2020-03-20</t>
        </is>
      </c>
      <c r="K84" t="inlineStr">
        <is>
          <t>MIBGAS_Data_2020.xlsx</t>
        </is>
      </c>
      <c r="L84" t="inlineStr">
        <is>
          <t>volumen 81592 MWh</t>
        </is>
      </c>
    </row>
    <row r="85">
      <c r="A85" s="53" t="n">
        <v>43911</v>
      </c>
      <c r="B85" t="inlineStr">
        <is>
          <t>2020-03-21</t>
        </is>
      </c>
      <c r="C85" s="45" t="n">
        <v>7.88</v>
      </c>
      <c r="D85" t="inlineStr">
        <is>
          <t>€/MWh</t>
        </is>
      </c>
      <c r="E85" s="54" t="n">
        <v>0.00788</v>
      </c>
      <c r="F85" s="54" t="n"/>
      <c r="G85" t="inlineStr">
        <is>
          <t>no aplica (precio mayorista)</t>
        </is>
      </c>
      <c r="J85" t="inlineStr">
        <is>
          <t>2020-03-21</t>
        </is>
      </c>
      <c r="K85" t="inlineStr">
        <is>
          <t>MIBGAS_Data_2020.xlsx</t>
        </is>
      </c>
      <c r="L85" t="inlineStr">
        <is>
          <t>volumen 75023 MWh</t>
        </is>
      </c>
    </row>
    <row r="86">
      <c r="A86" s="53" t="n">
        <v>43912</v>
      </c>
      <c r="B86" t="inlineStr">
        <is>
          <t>2020-03-22</t>
        </is>
      </c>
      <c r="C86" s="45" t="n">
        <v>8.16</v>
      </c>
      <c r="D86" t="inlineStr">
        <is>
          <t>€/MWh</t>
        </is>
      </c>
      <c r="E86" s="54" t="n">
        <v>0.008160000000000001</v>
      </c>
      <c r="F86" s="54" t="n"/>
      <c r="G86" t="inlineStr">
        <is>
          <t>no aplica (precio mayorista)</t>
        </is>
      </c>
      <c r="J86" t="inlineStr">
        <is>
          <t>2020-03-22</t>
        </is>
      </c>
      <c r="K86" t="inlineStr">
        <is>
          <t>MIBGAS_Data_2020.xlsx</t>
        </is>
      </c>
      <c r="L86" t="inlineStr">
        <is>
          <t>volumen 56292 MWh</t>
        </is>
      </c>
    </row>
    <row r="87">
      <c r="A87" s="53" t="n">
        <v>43913</v>
      </c>
      <c r="B87" t="inlineStr">
        <is>
          <t>2020-03-23</t>
        </is>
      </c>
      <c r="C87" s="45" t="n">
        <v>8.640000000000001</v>
      </c>
      <c r="D87" t="inlineStr">
        <is>
          <t>€/MWh</t>
        </is>
      </c>
      <c r="E87" s="54" t="n">
        <v>0.00864</v>
      </c>
      <c r="F87" s="54" t="n"/>
      <c r="G87" t="inlineStr">
        <is>
          <t>no aplica (precio mayorista)</t>
        </is>
      </c>
      <c r="J87" t="inlineStr">
        <is>
          <t>2020-03-23</t>
        </is>
      </c>
      <c r="K87" t="inlineStr">
        <is>
          <t>MIBGAS_Data_2020.xlsx</t>
        </is>
      </c>
      <c r="L87" t="inlineStr">
        <is>
          <t>volumen 62201 MWh</t>
        </is>
      </c>
    </row>
    <row r="88">
      <c r="A88" s="53" t="n">
        <v>43914</v>
      </c>
      <c r="B88" t="inlineStr">
        <is>
          <t>2020-03-24</t>
        </is>
      </c>
      <c r="C88" s="45" t="n">
        <v>8.619999999999999</v>
      </c>
      <c r="D88" t="inlineStr">
        <is>
          <t>€/MWh</t>
        </is>
      </c>
      <c r="E88" s="54" t="n">
        <v>0.008619999999999999</v>
      </c>
      <c r="F88" s="54" t="n"/>
      <c r="G88" t="inlineStr">
        <is>
          <t>no aplica (precio mayorista)</t>
        </is>
      </c>
      <c r="J88" t="inlineStr">
        <is>
          <t>2020-03-24</t>
        </is>
      </c>
      <c r="K88" t="inlineStr">
        <is>
          <t>MIBGAS_Data_2020.xlsx</t>
        </is>
      </c>
      <c r="L88" t="inlineStr">
        <is>
          <t>volumen 59053 MWh</t>
        </is>
      </c>
    </row>
    <row r="89">
      <c r="A89" s="53" t="n">
        <v>43915</v>
      </c>
      <c r="B89" t="inlineStr">
        <is>
          <t>2020-03-25</t>
        </is>
      </c>
      <c r="C89" s="45" t="n">
        <v>8.31</v>
      </c>
      <c r="D89" t="inlineStr">
        <is>
          <t>€/MWh</t>
        </is>
      </c>
      <c r="E89" s="54" t="n">
        <v>0.00831</v>
      </c>
      <c r="F89" s="54" t="n"/>
      <c r="G89" t="inlineStr">
        <is>
          <t>no aplica (precio mayorista)</t>
        </is>
      </c>
      <c r="J89" t="inlineStr">
        <is>
          <t>2020-03-25</t>
        </is>
      </c>
      <c r="K89" t="inlineStr">
        <is>
          <t>MIBGAS_Data_2020.xlsx</t>
        </is>
      </c>
      <c r="L89" t="inlineStr">
        <is>
          <t>volumen 50593 MWh</t>
        </is>
      </c>
    </row>
    <row r="90">
      <c r="A90" s="53" t="n">
        <v>43916</v>
      </c>
      <c r="B90" t="inlineStr">
        <is>
          <t>2020-03-26</t>
        </is>
      </c>
      <c r="C90" s="45" t="n">
        <v>7.54</v>
      </c>
      <c r="D90" t="inlineStr">
        <is>
          <t>€/MWh</t>
        </is>
      </c>
      <c r="E90" s="54" t="n">
        <v>0.00754</v>
      </c>
      <c r="F90" s="54" t="n"/>
      <c r="G90" t="inlineStr">
        <is>
          <t>no aplica (precio mayorista)</t>
        </is>
      </c>
      <c r="J90" t="inlineStr">
        <is>
          <t>2020-03-26</t>
        </is>
      </c>
      <c r="K90" t="inlineStr">
        <is>
          <t>MIBGAS_Data_2020.xlsx</t>
        </is>
      </c>
      <c r="L90" t="inlineStr">
        <is>
          <t>volumen 71046 MWh</t>
        </is>
      </c>
    </row>
    <row r="91">
      <c r="A91" s="53" t="n">
        <v>43917</v>
      </c>
      <c r="B91" t="inlineStr">
        <is>
          <t>2020-03-27</t>
        </is>
      </c>
      <c r="C91" s="45" t="n">
        <v>7.59</v>
      </c>
      <c r="D91" t="inlineStr">
        <is>
          <t>€/MWh</t>
        </is>
      </c>
      <c r="E91" s="54" t="n">
        <v>0.00759</v>
      </c>
      <c r="F91" s="54" t="n"/>
      <c r="G91" t="inlineStr">
        <is>
          <t>no aplica (precio mayorista)</t>
        </is>
      </c>
      <c r="J91" t="inlineStr">
        <is>
          <t>2020-03-27</t>
        </is>
      </c>
      <c r="K91" t="inlineStr">
        <is>
          <t>MIBGAS_Data_2020.xlsx</t>
        </is>
      </c>
      <c r="L91" t="inlineStr">
        <is>
          <t>volumen 71384 MWh</t>
        </is>
      </c>
    </row>
    <row r="92">
      <c r="A92" s="53" t="n">
        <v>43918</v>
      </c>
      <c r="B92" t="inlineStr">
        <is>
          <t>2020-03-28</t>
        </is>
      </c>
      <c r="C92" s="45" t="n">
        <v>7.35</v>
      </c>
      <c r="D92" t="inlineStr">
        <is>
          <t>€/MWh</t>
        </is>
      </c>
      <c r="E92" s="54" t="n">
        <v>0.00735</v>
      </c>
      <c r="F92" s="54" t="n"/>
      <c r="G92" t="inlineStr">
        <is>
          <t>no aplica (precio mayorista)</t>
        </is>
      </c>
      <c r="J92" t="inlineStr">
        <is>
          <t>2020-03-28</t>
        </is>
      </c>
      <c r="K92" t="inlineStr">
        <is>
          <t>MIBGAS_Data_2020.xlsx</t>
        </is>
      </c>
      <c r="L92" t="inlineStr">
        <is>
          <t>volumen 69361 MWh</t>
        </is>
      </c>
    </row>
    <row r="93">
      <c r="A93" s="53" t="n">
        <v>43919</v>
      </c>
      <c r="B93" t="inlineStr">
        <is>
          <t>2020-03-29</t>
        </is>
      </c>
      <c r="C93" s="45" t="n">
        <v>7.29</v>
      </c>
      <c r="D93" t="inlineStr">
        <is>
          <t>€/MWh</t>
        </is>
      </c>
      <c r="E93" s="54" t="n">
        <v>0.00729</v>
      </c>
      <c r="F93" s="54" t="n"/>
      <c r="G93" t="inlineStr">
        <is>
          <t>no aplica (precio mayorista)</t>
        </is>
      </c>
      <c r="J93" t="inlineStr">
        <is>
          <t>2020-03-29</t>
        </is>
      </c>
      <c r="K93" t="inlineStr">
        <is>
          <t>MIBGAS_Data_2020.xlsx</t>
        </is>
      </c>
      <c r="L93" t="inlineStr">
        <is>
          <t>volumen 69042 MWh</t>
        </is>
      </c>
    </row>
    <row r="94">
      <c r="A94" s="53" t="n">
        <v>43920</v>
      </c>
      <c r="B94" t="inlineStr">
        <is>
          <t>2020-03-30</t>
        </is>
      </c>
      <c r="C94" s="45" t="n">
        <v>7.09</v>
      </c>
      <c r="D94" t="inlineStr">
        <is>
          <t>€/MWh</t>
        </is>
      </c>
      <c r="E94" s="54" t="n">
        <v>0.00709</v>
      </c>
      <c r="F94" s="54" t="n"/>
      <c r="G94" t="inlineStr">
        <is>
          <t>no aplica (precio mayorista)</t>
        </is>
      </c>
      <c r="J94" t="inlineStr">
        <is>
          <t>2020-03-30</t>
        </is>
      </c>
      <c r="K94" t="inlineStr">
        <is>
          <t>MIBGAS_Data_2020.xlsx</t>
        </is>
      </c>
      <c r="L94" t="inlineStr">
        <is>
          <t>volumen 77014 MWh</t>
        </is>
      </c>
    </row>
    <row r="95">
      <c r="A95" s="53" t="n">
        <v>43921</v>
      </c>
      <c r="B95" t="inlineStr">
        <is>
          <t>2020-03-31</t>
        </is>
      </c>
      <c r="C95" s="45" t="n">
        <v>7.15</v>
      </c>
      <c r="D95" t="inlineStr">
        <is>
          <t>€/MWh</t>
        </is>
      </c>
      <c r="E95" s="54" t="n">
        <v>0.00715</v>
      </c>
      <c r="F95" s="54" t="n"/>
      <c r="G95" t="inlineStr">
        <is>
          <t>no aplica (precio mayorista)</t>
        </is>
      </c>
      <c r="J95" t="inlineStr">
        <is>
          <t>2020-03-31</t>
        </is>
      </c>
      <c r="K95" t="inlineStr">
        <is>
          <t>MIBGAS_Data_2020.xlsx</t>
        </is>
      </c>
      <c r="L95" t="inlineStr">
        <is>
          <t>volumen 96173 MWh</t>
        </is>
      </c>
    </row>
    <row r="96">
      <c r="A96" s="53" t="n">
        <v>43922</v>
      </c>
      <c r="B96" t="inlineStr">
        <is>
          <t>2020-04-01</t>
        </is>
      </c>
      <c r="C96" s="45" t="n">
        <v>8.140000000000001</v>
      </c>
      <c r="D96" t="inlineStr">
        <is>
          <t>€/MWh</t>
        </is>
      </c>
      <c r="E96" s="54" t="n">
        <v>0.00814</v>
      </c>
      <c r="F96" s="54" t="n"/>
      <c r="G96" t="inlineStr">
        <is>
          <t>no aplica (precio mayorista)</t>
        </is>
      </c>
      <c r="J96" t="inlineStr">
        <is>
          <t>2020-04-01</t>
        </is>
      </c>
      <c r="K96" t="inlineStr">
        <is>
          <t>MIBGAS_Data_2020.xlsx</t>
        </is>
      </c>
      <c r="L96" t="inlineStr">
        <is>
          <t>volumen 86986 MWh</t>
        </is>
      </c>
    </row>
    <row r="97">
      <c r="A97" s="53" t="n">
        <v>43923</v>
      </c>
      <c r="B97" t="inlineStr">
        <is>
          <t>2020-04-02</t>
        </is>
      </c>
      <c r="C97" s="45" t="n">
        <v>9.949999999999999</v>
      </c>
      <c r="D97" t="inlineStr">
        <is>
          <t>€/MWh</t>
        </is>
      </c>
      <c r="E97" s="54" t="n">
        <v>0.009950000000000001</v>
      </c>
      <c r="F97" s="54" t="n"/>
      <c r="G97" t="inlineStr">
        <is>
          <t>no aplica (precio mayorista)</t>
        </is>
      </c>
      <c r="J97" t="inlineStr">
        <is>
          <t>2020-04-02</t>
        </is>
      </c>
      <c r="K97" t="inlineStr">
        <is>
          <t>MIBGAS_Data_2020.xlsx</t>
        </is>
      </c>
      <c r="L97" t="inlineStr">
        <is>
          <t>volumen 174244 MWh</t>
        </is>
      </c>
    </row>
    <row r="98">
      <c r="A98" s="53" t="n">
        <v>43924</v>
      </c>
      <c r="B98" t="inlineStr">
        <is>
          <t>2020-04-03</t>
        </is>
      </c>
      <c r="C98" s="45" t="n">
        <v>8.289999999999999</v>
      </c>
      <c r="D98" t="inlineStr">
        <is>
          <t>€/MWh</t>
        </is>
      </c>
      <c r="E98" s="54" t="n">
        <v>0.00829</v>
      </c>
      <c r="F98" s="54" t="n"/>
      <c r="G98" t="inlineStr">
        <is>
          <t>no aplica (precio mayorista)</t>
        </is>
      </c>
      <c r="J98" t="inlineStr">
        <is>
          <t>2020-04-03</t>
        </is>
      </c>
      <c r="K98" t="inlineStr">
        <is>
          <t>MIBGAS_Data_2020.xlsx</t>
        </is>
      </c>
      <c r="L98" t="inlineStr">
        <is>
          <t>volumen 88113 MWh</t>
        </is>
      </c>
    </row>
    <row r="99">
      <c r="A99" s="53" t="n">
        <v>43925</v>
      </c>
      <c r="B99" t="inlineStr">
        <is>
          <t>2020-04-04</t>
        </is>
      </c>
      <c r="C99" s="45" t="n">
        <v>7.66</v>
      </c>
      <c r="D99" t="inlineStr">
        <is>
          <t>€/MWh</t>
        </is>
      </c>
      <c r="E99" s="54" t="n">
        <v>0.00766</v>
      </c>
      <c r="F99" s="54" t="n"/>
      <c r="G99" t="inlineStr">
        <is>
          <t>no aplica (precio mayorista)</t>
        </is>
      </c>
      <c r="J99" t="inlineStr">
        <is>
          <t>2020-04-04</t>
        </is>
      </c>
      <c r="K99" t="inlineStr">
        <is>
          <t>MIBGAS_Data_2020.xlsx</t>
        </is>
      </c>
      <c r="L99" t="inlineStr">
        <is>
          <t>volumen 57005 MWh</t>
        </is>
      </c>
    </row>
    <row r="100">
      <c r="A100" s="53" t="n">
        <v>43926</v>
      </c>
      <c r="B100" t="inlineStr">
        <is>
          <t>2020-04-05</t>
        </is>
      </c>
      <c r="C100" s="45" t="n">
        <v>7.63</v>
      </c>
      <c r="D100" t="inlineStr">
        <is>
          <t>€/MWh</t>
        </is>
      </c>
      <c r="E100" s="54" t="n">
        <v>0.00763</v>
      </c>
      <c r="F100" s="54" t="n"/>
      <c r="G100" t="inlineStr">
        <is>
          <t>no aplica (precio mayorista)</t>
        </is>
      </c>
      <c r="J100" t="inlineStr">
        <is>
          <t>2020-04-05</t>
        </is>
      </c>
      <c r="K100" t="inlineStr">
        <is>
          <t>MIBGAS_Data_2020.xlsx</t>
        </is>
      </c>
      <c r="L100" t="inlineStr">
        <is>
          <t>volumen 53710 MWh</t>
        </is>
      </c>
    </row>
    <row r="101">
      <c r="A101" s="53" t="n">
        <v>43927</v>
      </c>
      <c r="B101" t="inlineStr">
        <is>
          <t>2020-04-06</t>
        </is>
      </c>
      <c r="C101" s="45" t="n">
        <v>8.18</v>
      </c>
      <c r="D101" t="inlineStr">
        <is>
          <t>€/MWh</t>
        </is>
      </c>
      <c r="E101" s="54" t="n">
        <v>0.00818</v>
      </c>
      <c r="F101" s="54" t="n"/>
      <c r="G101" t="inlineStr">
        <is>
          <t>no aplica (precio mayorista)</t>
        </is>
      </c>
      <c r="J101" t="inlineStr">
        <is>
          <t>2020-04-06</t>
        </is>
      </c>
      <c r="K101" t="inlineStr">
        <is>
          <t>MIBGAS_Data_2020.xlsx</t>
        </is>
      </c>
      <c r="L101" t="inlineStr">
        <is>
          <t>volumen 71878 MWh</t>
        </is>
      </c>
    </row>
    <row r="102">
      <c r="A102" s="53" t="n">
        <v>43928</v>
      </c>
      <c r="B102" t="inlineStr">
        <is>
          <t>2020-04-07</t>
        </is>
      </c>
      <c r="C102" s="45" t="n">
        <v>8.06</v>
      </c>
      <c r="D102" t="inlineStr">
        <is>
          <t>€/MWh</t>
        </is>
      </c>
      <c r="E102" s="54" t="n">
        <v>0.008059999999999999</v>
      </c>
      <c r="F102" s="54" t="n"/>
      <c r="G102" t="inlineStr">
        <is>
          <t>no aplica (precio mayorista)</t>
        </is>
      </c>
      <c r="J102" t="inlineStr">
        <is>
          <t>2020-04-07</t>
        </is>
      </c>
      <c r="K102" t="inlineStr">
        <is>
          <t>MIBGAS_Data_2020.xlsx</t>
        </is>
      </c>
      <c r="L102" t="inlineStr">
        <is>
          <t>volumen 66225 MWh</t>
        </is>
      </c>
    </row>
    <row r="103">
      <c r="A103" s="53" t="n">
        <v>43929</v>
      </c>
      <c r="B103" t="inlineStr">
        <is>
          <t>2020-04-08</t>
        </is>
      </c>
      <c r="C103" s="45" t="n">
        <v>8.119999999999999</v>
      </c>
      <c r="D103" t="inlineStr">
        <is>
          <t>€/MWh</t>
        </is>
      </c>
      <c r="E103" s="54" t="n">
        <v>0.00812</v>
      </c>
      <c r="F103" s="54" t="n"/>
      <c r="G103" t="inlineStr">
        <is>
          <t>no aplica (precio mayorista)</t>
        </is>
      </c>
      <c r="J103" t="inlineStr">
        <is>
          <t>2020-04-08</t>
        </is>
      </c>
      <c r="K103" t="inlineStr">
        <is>
          <t>MIBGAS_Data_2020.xlsx</t>
        </is>
      </c>
      <c r="L103" t="inlineStr">
        <is>
          <t>volumen 53263 MWh</t>
        </is>
      </c>
    </row>
    <row r="104">
      <c r="A104" s="53" t="n">
        <v>43930</v>
      </c>
      <c r="B104" t="inlineStr">
        <is>
          <t>2020-04-09</t>
        </is>
      </c>
      <c r="C104" s="45" t="n">
        <v>8.050000000000001</v>
      </c>
      <c r="D104" t="inlineStr">
        <is>
          <t>€/MWh</t>
        </is>
      </c>
      <c r="E104" s="54" t="n">
        <v>0.00805</v>
      </c>
      <c r="F104" s="54" t="n"/>
      <c r="G104" t="inlineStr">
        <is>
          <t>no aplica (precio mayorista)</t>
        </is>
      </c>
      <c r="J104" t="inlineStr">
        <is>
          <t>2020-04-09</t>
        </is>
      </c>
      <c r="K104" t="inlineStr">
        <is>
          <t>MIBGAS_Data_2020.xlsx</t>
        </is>
      </c>
      <c r="L104" t="inlineStr">
        <is>
          <t>volumen 76836 MWh</t>
        </is>
      </c>
    </row>
    <row r="105">
      <c r="A105" s="53" t="n">
        <v>43931</v>
      </c>
      <c r="B105" t="inlineStr">
        <is>
          <t>2020-04-10</t>
        </is>
      </c>
      <c r="C105" s="45" t="n">
        <v>8.359999999999999</v>
      </c>
      <c r="D105" t="inlineStr">
        <is>
          <t>€/MWh</t>
        </is>
      </c>
      <c r="E105" s="54" t="n">
        <v>0.008359999999999999</v>
      </c>
      <c r="F105" s="54" t="n"/>
      <c r="G105" t="inlineStr">
        <is>
          <t>no aplica (precio mayorista)</t>
        </is>
      </c>
      <c r="J105" t="inlineStr">
        <is>
          <t>2020-04-10</t>
        </is>
      </c>
      <c r="K105" t="inlineStr">
        <is>
          <t>MIBGAS_Data_2020.xlsx</t>
        </is>
      </c>
      <c r="L105" t="inlineStr">
        <is>
          <t>volumen 69388 MWh</t>
        </is>
      </c>
    </row>
    <row r="106">
      <c r="A106" s="53" t="n">
        <v>43932</v>
      </c>
      <c r="B106" t="inlineStr">
        <is>
          <t>2020-04-11</t>
        </is>
      </c>
      <c r="C106" s="45" t="n">
        <v>8.140000000000001</v>
      </c>
      <c r="D106" t="inlineStr">
        <is>
          <t>€/MWh</t>
        </is>
      </c>
      <c r="E106" s="54" t="n">
        <v>0.00814</v>
      </c>
      <c r="F106" s="54" t="n"/>
      <c r="G106" t="inlineStr">
        <is>
          <t>no aplica (precio mayorista)</t>
        </is>
      </c>
      <c r="J106" t="inlineStr">
        <is>
          <t>2020-04-11</t>
        </is>
      </c>
      <c r="K106" t="inlineStr">
        <is>
          <t>MIBGAS_Data_2020.xlsx</t>
        </is>
      </c>
      <c r="L106" t="inlineStr">
        <is>
          <t>volumen 40437 MWh</t>
        </is>
      </c>
    </row>
    <row r="107">
      <c r="A107" s="53" t="n">
        <v>43933</v>
      </c>
      <c r="B107" t="inlineStr">
        <is>
          <t>2020-04-12</t>
        </is>
      </c>
      <c r="C107" s="45" t="n">
        <v>8.140000000000001</v>
      </c>
      <c r="D107" t="inlineStr">
        <is>
          <t>€/MWh</t>
        </is>
      </c>
      <c r="E107" s="54" t="n">
        <v>0.00814</v>
      </c>
      <c r="F107" s="54" t="n"/>
      <c r="G107" t="inlineStr">
        <is>
          <t>no aplica (precio mayorista)</t>
        </is>
      </c>
      <c r="J107" t="inlineStr">
        <is>
          <t>2020-04-12</t>
        </is>
      </c>
      <c r="K107" t="inlineStr">
        <is>
          <t>MIBGAS_Data_2020.xlsx</t>
        </is>
      </c>
      <c r="L107" t="inlineStr">
        <is>
          <t>volumen 52078 MWh</t>
        </is>
      </c>
    </row>
    <row r="108">
      <c r="A108" s="53" t="n">
        <v>43934</v>
      </c>
      <c r="B108" t="inlineStr">
        <is>
          <t>2020-04-13</t>
        </is>
      </c>
      <c r="C108" s="45" t="n">
        <v>8.43</v>
      </c>
      <c r="D108" t="inlineStr">
        <is>
          <t>€/MWh</t>
        </is>
      </c>
      <c r="E108" s="54" t="n">
        <v>0.00843</v>
      </c>
      <c r="F108" s="54" t="n"/>
      <c r="G108" t="inlineStr">
        <is>
          <t>no aplica (precio mayorista)</t>
        </is>
      </c>
      <c r="J108" t="inlineStr">
        <is>
          <t>2020-04-13</t>
        </is>
      </c>
      <c r="K108" t="inlineStr">
        <is>
          <t>MIBGAS_Data_2020.xlsx</t>
        </is>
      </c>
      <c r="L108" t="inlineStr">
        <is>
          <t>volumen 55260 MWh</t>
        </is>
      </c>
    </row>
    <row r="109">
      <c r="A109" s="53" t="n">
        <v>43935</v>
      </c>
      <c r="B109" t="inlineStr">
        <is>
          <t>2020-04-14</t>
        </is>
      </c>
      <c r="C109" s="45" t="n">
        <v>8.6</v>
      </c>
      <c r="D109" t="inlineStr">
        <is>
          <t>€/MWh</t>
        </is>
      </c>
      <c r="E109" s="54" t="n">
        <v>0.0086</v>
      </c>
      <c r="F109" s="54" t="n"/>
      <c r="G109" t="inlineStr">
        <is>
          <t>no aplica (precio mayorista)</t>
        </is>
      </c>
      <c r="J109" t="inlineStr">
        <is>
          <t>2020-04-14</t>
        </is>
      </c>
      <c r="K109" t="inlineStr">
        <is>
          <t>MIBGAS_Data_2020.xlsx</t>
        </is>
      </c>
      <c r="L109" t="inlineStr">
        <is>
          <t>volumen 55338 MWh</t>
        </is>
      </c>
    </row>
    <row r="110">
      <c r="A110" s="53" t="n">
        <v>43936</v>
      </c>
      <c r="B110" t="inlineStr">
        <is>
          <t>2020-04-15</t>
        </is>
      </c>
      <c r="C110" s="45" t="n">
        <v>8.07</v>
      </c>
      <c r="D110" t="inlineStr">
        <is>
          <t>€/MWh</t>
        </is>
      </c>
      <c r="E110" s="54" t="n">
        <v>0.008070000000000001</v>
      </c>
      <c r="F110" s="54" t="n"/>
      <c r="G110" t="inlineStr">
        <is>
          <t>no aplica (precio mayorista)</t>
        </is>
      </c>
      <c r="J110" t="inlineStr">
        <is>
          <t>2020-04-15</t>
        </is>
      </c>
      <c r="K110" t="inlineStr">
        <is>
          <t>MIBGAS_Data_2020.xlsx</t>
        </is>
      </c>
      <c r="L110" t="inlineStr">
        <is>
          <t>volumen 61116 MWh</t>
        </is>
      </c>
    </row>
    <row r="111">
      <c r="A111" s="53" t="n">
        <v>43937</v>
      </c>
      <c r="B111" t="inlineStr">
        <is>
          <t>2020-04-16</t>
        </is>
      </c>
      <c r="C111" s="45" t="n">
        <v>7.89</v>
      </c>
      <c r="D111" t="inlineStr">
        <is>
          <t>€/MWh</t>
        </is>
      </c>
      <c r="E111" s="54" t="n">
        <v>0.007889999999999999</v>
      </c>
      <c r="F111" s="54" t="n"/>
      <c r="G111" t="inlineStr">
        <is>
          <t>no aplica (precio mayorista)</t>
        </is>
      </c>
      <c r="J111" t="inlineStr">
        <is>
          <t>2020-04-16</t>
        </is>
      </c>
      <c r="K111" t="inlineStr">
        <is>
          <t>MIBGAS_Data_2020.xlsx</t>
        </is>
      </c>
      <c r="L111" t="inlineStr">
        <is>
          <t>volumen 57608 MWh</t>
        </is>
      </c>
    </row>
    <row r="112">
      <c r="A112" s="53" t="n">
        <v>43938</v>
      </c>
      <c r="B112" t="inlineStr">
        <is>
          <t>2020-04-17</t>
        </is>
      </c>
      <c r="C112" s="45" t="n">
        <v>7.24</v>
      </c>
      <c r="D112" t="inlineStr">
        <is>
          <t>€/MWh</t>
        </is>
      </c>
      <c r="E112" s="54" t="n">
        <v>0.00724</v>
      </c>
      <c r="F112" s="54" t="n"/>
      <c r="G112" t="inlineStr">
        <is>
          <t>no aplica (precio mayorista)</t>
        </is>
      </c>
      <c r="J112" t="inlineStr">
        <is>
          <t>2020-04-17</t>
        </is>
      </c>
      <c r="K112" t="inlineStr">
        <is>
          <t>MIBGAS_Data_2020.xlsx</t>
        </is>
      </c>
      <c r="L112" t="inlineStr">
        <is>
          <t>volumen 37966 MWh</t>
        </is>
      </c>
    </row>
    <row r="113">
      <c r="A113" s="53" t="n">
        <v>43939</v>
      </c>
      <c r="B113" t="inlineStr">
        <is>
          <t>2020-04-18</t>
        </is>
      </c>
      <c r="C113" s="45" t="n">
        <v>7.06</v>
      </c>
      <c r="D113" t="inlineStr">
        <is>
          <t>€/MWh</t>
        </is>
      </c>
      <c r="E113" s="54" t="n">
        <v>0.00706</v>
      </c>
      <c r="F113" s="54" t="n"/>
      <c r="G113" t="inlineStr">
        <is>
          <t>no aplica (precio mayorista)</t>
        </is>
      </c>
      <c r="J113" t="inlineStr">
        <is>
          <t>2020-04-18</t>
        </is>
      </c>
      <c r="K113" t="inlineStr">
        <is>
          <t>MIBGAS_Data_2020.xlsx</t>
        </is>
      </c>
      <c r="L113" t="inlineStr">
        <is>
          <t>volumen 50592 MWh</t>
        </is>
      </c>
    </row>
    <row r="114">
      <c r="A114" s="53" t="n">
        <v>43940</v>
      </c>
      <c r="B114" t="inlineStr">
        <is>
          <t>2020-04-19</t>
        </is>
      </c>
      <c r="C114" s="45" t="n">
        <v>7.06</v>
      </c>
      <c r="D114" t="inlineStr">
        <is>
          <t>€/MWh</t>
        </is>
      </c>
      <c r="E114" s="54" t="n">
        <v>0.00706</v>
      </c>
      <c r="F114" s="54" t="n"/>
      <c r="G114" t="inlineStr">
        <is>
          <t>no aplica (precio mayorista)</t>
        </is>
      </c>
      <c r="J114" t="inlineStr">
        <is>
          <t>2020-04-19</t>
        </is>
      </c>
      <c r="K114" t="inlineStr">
        <is>
          <t>MIBGAS_Data_2020.xlsx</t>
        </is>
      </c>
      <c r="L114" t="inlineStr">
        <is>
          <t>volumen 55749 MWh</t>
        </is>
      </c>
    </row>
    <row r="115">
      <c r="A115" s="53" t="n">
        <v>43941</v>
      </c>
      <c r="B115" t="inlineStr">
        <is>
          <t>2020-04-20</t>
        </is>
      </c>
      <c r="C115" s="45" t="n">
        <v>7.1</v>
      </c>
      <c r="D115" t="inlineStr">
        <is>
          <t>€/MWh</t>
        </is>
      </c>
      <c r="E115" s="54" t="n">
        <v>0.0071</v>
      </c>
      <c r="F115" s="54" t="n"/>
      <c r="G115" t="inlineStr">
        <is>
          <t>no aplica (precio mayorista)</t>
        </is>
      </c>
      <c r="J115" t="inlineStr">
        <is>
          <t>2020-04-20</t>
        </is>
      </c>
      <c r="K115" t="inlineStr">
        <is>
          <t>MIBGAS_Data_2020.xlsx</t>
        </is>
      </c>
      <c r="L115" t="inlineStr">
        <is>
          <t>volumen 31698 MWh</t>
        </is>
      </c>
    </row>
    <row r="116">
      <c r="A116" s="53" t="n">
        <v>43942</v>
      </c>
      <c r="B116" t="inlineStr">
        <is>
          <t>2020-04-21</t>
        </is>
      </c>
      <c r="C116" s="45" t="n">
        <v>6.96</v>
      </c>
      <c r="D116" t="inlineStr">
        <is>
          <t>€/MWh</t>
        </is>
      </c>
      <c r="E116" s="54" t="n">
        <v>0.00696</v>
      </c>
      <c r="F116" s="54" t="n"/>
      <c r="G116" t="inlineStr">
        <is>
          <t>no aplica (precio mayorista)</t>
        </is>
      </c>
      <c r="J116" t="inlineStr">
        <is>
          <t>2020-04-21</t>
        </is>
      </c>
      <c r="K116" t="inlineStr">
        <is>
          <t>MIBGAS_Data_2020.xlsx</t>
        </is>
      </c>
      <c r="L116" t="inlineStr">
        <is>
          <t>volumen 38216 MWh</t>
        </is>
      </c>
    </row>
    <row r="117">
      <c r="A117" s="53" t="n">
        <v>43943</v>
      </c>
      <c r="B117" t="inlineStr">
        <is>
          <t>2020-04-22</t>
        </is>
      </c>
      <c r="C117" s="45" t="n">
        <v>6.94</v>
      </c>
      <c r="D117" t="inlineStr">
        <is>
          <t>€/MWh</t>
        </is>
      </c>
      <c r="E117" s="54" t="n">
        <v>0.00694</v>
      </c>
      <c r="F117" s="54" t="n"/>
      <c r="G117" t="inlineStr">
        <is>
          <t>no aplica (precio mayorista)</t>
        </is>
      </c>
      <c r="J117" t="inlineStr">
        <is>
          <t>2020-04-22</t>
        </is>
      </c>
      <c r="K117" t="inlineStr">
        <is>
          <t>MIBGAS_Data_2020.xlsx</t>
        </is>
      </c>
      <c r="L117" t="inlineStr">
        <is>
          <t>volumen 51031 MWh</t>
        </is>
      </c>
    </row>
    <row r="118">
      <c r="A118" s="53" t="n">
        <v>43944</v>
      </c>
      <c r="B118" t="inlineStr">
        <is>
          <t>2020-04-23</t>
        </is>
      </c>
      <c r="C118" s="45" t="n">
        <v>6.67</v>
      </c>
      <c r="D118" t="inlineStr">
        <is>
          <t>€/MWh</t>
        </is>
      </c>
      <c r="E118" s="54" t="n">
        <v>0.00667</v>
      </c>
      <c r="F118" s="54" t="n"/>
      <c r="G118" t="inlineStr">
        <is>
          <t>no aplica (precio mayorista)</t>
        </is>
      </c>
      <c r="J118" t="inlineStr">
        <is>
          <t>2020-04-23</t>
        </is>
      </c>
      <c r="K118" t="inlineStr">
        <is>
          <t>MIBGAS_Data_2020.xlsx</t>
        </is>
      </c>
      <c r="L118" t="inlineStr">
        <is>
          <t>volumen 53045 MWh</t>
        </is>
      </c>
    </row>
    <row r="119">
      <c r="A119" s="53" t="n">
        <v>43945</v>
      </c>
      <c r="B119" t="inlineStr">
        <is>
          <t>2020-04-24</t>
        </is>
      </c>
      <c r="C119" s="45" t="n">
        <v>6.44</v>
      </c>
      <c r="D119" t="inlineStr">
        <is>
          <t>€/MWh</t>
        </is>
      </c>
      <c r="E119" s="54" t="n">
        <v>0.00644</v>
      </c>
      <c r="F119" s="54" t="n"/>
      <c r="G119" t="inlineStr">
        <is>
          <t>no aplica (precio mayorista)</t>
        </is>
      </c>
      <c r="J119" t="inlineStr">
        <is>
          <t>2020-04-24</t>
        </is>
      </c>
      <c r="K119" t="inlineStr">
        <is>
          <t>MIBGAS_Data_2020.xlsx</t>
        </is>
      </c>
      <c r="L119" t="inlineStr">
        <is>
          <t>volumen 45061 MWh</t>
        </is>
      </c>
    </row>
    <row r="120">
      <c r="A120" s="53" t="n">
        <v>43946</v>
      </c>
      <c r="B120" t="inlineStr">
        <is>
          <t>2020-04-25</t>
        </is>
      </c>
      <c r="C120" s="45" t="n">
        <v>5.86</v>
      </c>
      <c r="D120" t="inlineStr">
        <is>
          <t>€/MWh</t>
        </is>
      </c>
      <c r="E120" s="54" t="n">
        <v>0.00586</v>
      </c>
      <c r="F120" s="54" t="n"/>
      <c r="G120" t="inlineStr">
        <is>
          <t>no aplica (precio mayorista)</t>
        </is>
      </c>
      <c r="J120" t="inlineStr">
        <is>
          <t>2020-04-25</t>
        </is>
      </c>
      <c r="K120" t="inlineStr">
        <is>
          <t>MIBGAS_Data_2020.xlsx</t>
        </is>
      </c>
      <c r="L120" t="inlineStr">
        <is>
          <t>volumen 50917 MWh</t>
        </is>
      </c>
    </row>
    <row r="121">
      <c r="A121" s="53" t="n">
        <v>43947</v>
      </c>
      <c r="B121" t="inlineStr">
        <is>
          <t>2020-04-26</t>
        </is>
      </c>
      <c r="C121" s="45" t="n">
        <v>5.94</v>
      </c>
      <c r="D121" t="inlineStr">
        <is>
          <t>€/MWh</t>
        </is>
      </c>
      <c r="E121" s="54" t="n">
        <v>0.00594</v>
      </c>
      <c r="F121" s="54" t="n"/>
      <c r="G121" t="inlineStr">
        <is>
          <t>no aplica (precio mayorista)</t>
        </is>
      </c>
      <c r="J121" t="inlineStr">
        <is>
          <t>2020-04-26</t>
        </is>
      </c>
      <c r="K121" t="inlineStr">
        <is>
          <t>MIBGAS_Data_2020.xlsx</t>
        </is>
      </c>
      <c r="L121" t="inlineStr">
        <is>
          <t>volumen 51354 MWh</t>
        </is>
      </c>
    </row>
    <row r="122">
      <c r="A122" s="53" t="n">
        <v>43948</v>
      </c>
      <c r="B122" t="inlineStr">
        <is>
          <t>2020-04-27</t>
        </is>
      </c>
      <c r="C122" s="45" t="n">
        <v>6.34</v>
      </c>
      <c r="D122" t="inlineStr">
        <is>
          <t>€/MWh</t>
        </is>
      </c>
      <c r="E122" s="54" t="n">
        <v>0.00634</v>
      </c>
      <c r="F122" s="54" t="n"/>
      <c r="G122" t="inlineStr">
        <is>
          <t>no aplica (precio mayorista)</t>
        </is>
      </c>
      <c r="J122" t="inlineStr">
        <is>
          <t>2020-04-27</t>
        </is>
      </c>
      <c r="K122" t="inlineStr">
        <is>
          <t>MIBGAS_Data_2020.xlsx</t>
        </is>
      </c>
      <c r="L122" t="inlineStr">
        <is>
          <t>volumen 44342 MWh</t>
        </is>
      </c>
    </row>
    <row r="123">
      <c r="A123" s="53" t="n">
        <v>43949</v>
      </c>
      <c r="B123" t="inlineStr">
        <is>
          <t>2020-04-28</t>
        </is>
      </c>
      <c r="C123" s="45" t="n">
        <v>6.41</v>
      </c>
      <c r="D123" t="inlineStr">
        <is>
          <t>€/MWh</t>
        </is>
      </c>
      <c r="E123" s="54" t="n">
        <v>0.00641</v>
      </c>
      <c r="F123" s="54" t="n"/>
      <c r="G123" t="inlineStr">
        <is>
          <t>no aplica (precio mayorista)</t>
        </is>
      </c>
      <c r="J123" t="inlineStr">
        <is>
          <t>2020-04-28</t>
        </is>
      </c>
      <c r="K123" t="inlineStr">
        <is>
          <t>MIBGAS_Data_2020.xlsx</t>
        </is>
      </c>
      <c r="L123" t="inlineStr">
        <is>
          <t>volumen 50196 MWh</t>
        </is>
      </c>
    </row>
    <row r="124">
      <c r="A124" s="53" t="n">
        <v>43950</v>
      </c>
      <c r="B124" t="inlineStr">
        <is>
          <t>2020-04-29</t>
        </is>
      </c>
      <c r="C124" s="45" t="n">
        <v>6.45</v>
      </c>
      <c r="D124" t="inlineStr">
        <is>
          <t>€/MWh</t>
        </is>
      </c>
      <c r="E124" s="54" t="n">
        <v>0.00645</v>
      </c>
      <c r="F124" s="54" t="n"/>
      <c r="G124" t="inlineStr">
        <is>
          <t>no aplica (precio mayorista)</t>
        </is>
      </c>
      <c r="J124" t="inlineStr">
        <is>
          <t>2020-04-29</t>
        </is>
      </c>
      <c r="K124" t="inlineStr">
        <is>
          <t>MIBGAS_Data_2020.xlsx</t>
        </is>
      </c>
      <c r="L124" t="inlineStr">
        <is>
          <t>volumen 44211 MWh</t>
        </is>
      </c>
    </row>
    <row r="125">
      <c r="A125" s="53" t="n">
        <v>43951</v>
      </c>
      <c r="B125" t="inlineStr">
        <is>
          <t>2020-04-30</t>
        </is>
      </c>
      <c r="C125" s="45" t="n">
        <v>6.27</v>
      </c>
      <c r="D125" t="inlineStr">
        <is>
          <t>€/MWh</t>
        </is>
      </c>
      <c r="E125" s="54" t="n">
        <v>0.00627</v>
      </c>
      <c r="F125" s="54" t="n"/>
      <c r="G125" t="inlineStr">
        <is>
          <t>no aplica (precio mayorista)</t>
        </is>
      </c>
      <c r="J125" t="inlineStr">
        <is>
          <t>2020-04-30</t>
        </is>
      </c>
      <c r="K125" t="inlineStr">
        <is>
          <t>MIBGAS_Data_2020.xlsx</t>
        </is>
      </c>
      <c r="L125" t="inlineStr">
        <is>
          <t>volumen 49771 MWh</t>
        </is>
      </c>
    </row>
    <row r="126">
      <c r="A126" s="53" t="n">
        <v>43952</v>
      </c>
      <c r="B126" t="inlineStr">
        <is>
          <t>2020-05-01</t>
        </is>
      </c>
      <c r="C126" s="45" t="n">
        <v>5.69</v>
      </c>
      <c r="D126" t="inlineStr">
        <is>
          <t>€/MWh</t>
        </is>
      </c>
      <c r="E126" s="54" t="n">
        <v>0.00569</v>
      </c>
      <c r="F126" s="54" t="n"/>
      <c r="G126" t="inlineStr">
        <is>
          <t>no aplica (precio mayorista)</t>
        </is>
      </c>
      <c r="J126" t="inlineStr">
        <is>
          <t>2020-05-01</t>
        </is>
      </c>
      <c r="K126" t="inlineStr">
        <is>
          <t>MIBGAS_Data_2020.xlsx</t>
        </is>
      </c>
      <c r="L126" t="inlineStr">
        <is>
          <t>volumen 54189 MWh</t>
        </is>
      </c>
    </row>
    <row r="127">
      <c r="A127" s="53" t="n">
        <v>43953</v>
      </c>
      <c r="B127" t="inlineStr">
        <is>
          <t>2020-05-02</t>
        </is>
      </c>
      <c r="C127" s="45" t="n">
        <v>5.88</v>
      </c>
      <c r="D127" t="inlineStr">
        <is>
          <t>€/MWh</t>
        </is>
      </c>
      <c r="E127" s="54" t="n">
        <v>0.00588</v>
      </c>
      <c r="F127" s="54" t="n"/>
      <c r="G127" t="inlineStr">
        <is>
          <t>no aplica (precio mayorista)</t>
        </is>
      </c>
      <c r="J127" t="inlineStr">
        <is>
          <t>2020-05-02</t>
        </is>
      </c>
      <c r="K127" t="inlineStr">
        <is>
          <t>MIBGAS_Data_2020.xlsx</t>
        </is>
      </c>
      <c r="L127" t="inlineStr">
        <is>
          <t>volumen 58558 MWh</t>
        </is>
      </c>
    </row>
    <row r="128">
      <c r="A128" s="53" t="n">
        <v>43954</v>
      </c>
      <c r="B128" t="inlineStr">
        <is>
          <t>2020-05-03</t>
        </is>
      </c>
      <c r="C128" s="45" t="n">
        <v>5.9</v>
      </c>
      <c r="D128" t="inlineStr">
        <is>
          <t>€/MWh</t>
        </is>
      </c>
      <c r="E128" s="54" t="n">
        <v>0.0059</v>
      </c>
      <c r="F128" s="54" t="n"/>
      <c r="G128" t="inlineStr">
        <is>
          <t>no aplica (precio mayorista)</t>
        </is>
      </c>
      <c r="J128" t="inlineStr">
        <is>
          <t>2020-05-03</t>
        </is>
      </c>
      <c r="K128" t="inlineStr">
        <is>
          <t>MIBGAS_Data_2020.xlsx</t>
        </is>
      </c>
      <c r="L128" t="inlineStr">
        <is>
          <t>volumen 81251 MWh</t>
        </is>
      </c>
    </row>
    <row r="129">
      <c r="A129" s="53" t="n">
        <v>43955</v>
      </c>
      <c r="B129" t="inlineStr">
        <is>
          <t>2020-05-04</t>
        </is>
      </c>
      <c r="C129" s="45" t="n">
        <v>5.98</v>
      </c>
      <c r="D129" t="inlineStr">
        <is>
          <t>€/MWh</t>
        </is>
      </c>
      <c r="E129" s="54" t="n">
        <v>0.00598</v>
      </c>
      <c r="F129" s="54" t="n"/>
      <c r="G129" t="inlineStr">
        <is>
          <t>no aplica (precio mayorista)</t>
        </is>
      </c>
      <c r="J129" t="inlineStr">
        <is>
          <t>2020-05-04</t>
        </is>
      </c>
      <c r="K129" t="inlineStr">
        <is>
          <t>MIBGAS_Data_2020.xlsx</t>
        </is>
      </c>
      <c r="L129" t="inlineStr">
        <is>
          <t>volumen 55643 MWh</t>
        </is>
      </c>
    </row>
    <row r="130">
      <c r="A130" s="53" t="n">
        <v>43956</v>
      </c>
      <c r="B130" t="inlineStr">
        <is>
          <t>2020-05-05</t>
        </is>
      </c>
      <c r="C130" s="45" t="n">
        <v>5.91</v>
      </c>
      <c r="D130" t="inlineStr">
        <is>
          <t>€/MWh</t>
        </is>
      </c>
      <c r="E130" s="54" t="n">
        <v>0.00591</v>
      </c>
      <c r="F130" s="54" t="n"/>
      <c r="G130" t="inlineStr">
        <is>
          <t>no aplica (precio mayorista)</t>
        </is>
      </c>
      <c r="J130" t="inlineStr">
        <is>
          <t>2020-05-05</t>
        </is>
      </c>
      <c r="K130" t="inlineStr">
        <is>
          <t>MIBGAS_Data_2020.xlsx</t>
        </is>
      </c>
      <c r="L130" t="inlineStr">
        <is>
          <t>volumen 61397 MWh</t>
        </is>
      </c>
    </row>
    <row r="131">
      <c r="A131" s="53" t="n">
        <v>43957</v>
      </c>
      <c r="B131" t="inlineStr">
        <is>
          <t>2020-05-06</t>
        </is>
      </c>
      <c r="C131" s="45" t="n">
        <v>5.76</v>
      </c>
      <c r="D131" t="inlineStr">
        <is>
          <t>€/MWh</t>
        </is>
      </c>
      <c r="E131" s="54" t="n">
        <v>0.00576</v>
      </c>
      <c r="F131" s="54" t="n"/>
      <c r="G131" t="inlineStr">
        <is>
          <t>no aplica (precio mayorista)</t>
        </is>
      </c>
      <c r="J131" t="inlineStr">
        <is>
          <t>2020-05-06</t>
        </is>
      </c>
      <c r="K131" t="inlineStr">
        <is>
          <t>MIBGAS_Data_2020.xlsx</t>
        </is>
      </c>
      <c r="L131" t="inlineStr">
        <is>
          <t>volumen 50704 MWh</t>
        </is>
      </c>
    </row>
    <row r="132">
      <c r="A132" s="53" t="n">
        <v>43958</v>
      </c>
      <c r="B132" t="inlineStr">
        <is>
          <t>2020-05-07</t>
        </is>
      </c>
      <c r="C132" s="45" t="n">
        <v>5.49</v>
      </c>
      <c r="D132" t="inlineStr">
        <is>
          <t>€/MWh</t>
        </is>
      </c>
      <c r="E132" s="54" t="n">
        <v>0.00549</v>
      </c>
      <c r="F132" s="54" t="n"/>
      <c r="G132" t="inlineStr">
        <is>
          <t>no aplica (precio mayorista)</t>
        </is>
      </c>
      <c r="J132" t="inlineStr">
        <is>
          <t>2020-05-07</t>
        </is>
      </c>
      <c r="K132" t="inlineStr">
        <is>
          <t>MIBGAS_Data_2020.xlsx</t>
        </is>
      </c>
      <c r="L132" t="inlineStr">
        <is>
          <t>volumen 58772 MWh</t>
        </is>
      </c>
    </row>
    <row r="133">
      <c r="A133" s="53" t="n">
        <v>43959</v>
      </c>
      <c r="B133" t="inlineStr">
        <is>
          <t>2020-05-08</t>
        </is>
      </c>
      <c r="C133" s="45" t="n">
        <v>5.35</v>
      </c>
      <c r="D133" t="inlineStr">
        <is>
          <t>€/MWh</t>
        </is>
      </c>
      <c r="E133" s="54" t="n">
        <v>0.00535</v>
      </c>
      <c r="F133" s="54" t="n"/>
      <c r="G133" t="inlineStr">
        <is>
          <t>no aplica (precio mayorista)</t>
        </is>
      </c>
      <c r="J133" t="inlineStr">
        <is>
          <t>2020-05-08</t>
        </is>
      </c>
      <c r="K133" t="inlineStr">
        <is>
          <t>MIBGAS_Data_2020.xlsx</t>
        </is>
      </c>
      <c r="L133" t="inlineStr">
        <is>
          <t>volumen 89223 MWh</t>
        </is>
      </c>
    </row>
    <row r="134">
      <c r="A134" s="53" t="n">
        <v>43960</v>
      </c>
      <c r="B134" t="inlineStr">
        <is>
          <t>2020-05-09</t>
        </is>
      </c>
      <c r="C134" s="45" t="n">
        <v>5.41</v>
      </c>
      <c r="D134" t="inlineStr">
        <is>
          <t>€/MWh</t>
        </is>
      </c>
      <c r="E134" s="54" t="n">
        <v>0.00541</v>
      </c>
      <c r="F134" s="54" t="n"/>
      <c r="G134" t="inlineStr">
        <is>
          <t>no aplica (precio mayorista)</t>
        </is>
      </c>
      <c r="J134" t="inlineStr">
        <is>
          <t>2020-05-09</t>
        </is>
      </c>
      <c r="K134" t="inlineStr">
        <is>
          <t>MIBGAS_Data_2020.xlsx</t>
        </is>
      </c>
      <c r="L134" t="inlineStr">
        <is>
          <t>volumen 85197 MWh</t>
        </is>
      </c>
    </row>
    <row r="135">
      <c r="A135" s="53" t="n">
        <v>43961</v>
      </c>
      <c r="B135" t="inlineStr">
        <is>
          <t>2020-05-10</t>
        </is>
      </c>
      <c r="C135" s="45" t="n">
        <v>5.48</v>
      </c>
      <c r="D135" t="inlineStr">
        <is>
          <t>€/MWh</t>
        </is>
      </c>
      <c r="E135" s="54" t="n">
        <v>0.00548</v>
      </c>
      <c r="F135" s="54" t="n"/>
      <c r="G135" t="inlineStr">
        <is>
          <t>no aplica (precio mayorista)</t>
        </is>
      </c>
      <c r="J135" t="inlineStr">
        <is>
          <t>2020-05-10</t>
        </is>
      </c>
      <c r="K135" t="inlineStr">
        <is>
          <t>MIBGAS_Data_2020.xlsx</t>
        </is>
      </c>
      <c r="L135" t="inlineStr">
        <is>
          <t>volumen 72133 MWh</t>
        </is>
      </c>
    </row>
    <row r="136">
      <c r="A136" s="53" t="n">
        <v>43962</v>
      </c>
      <c r="B136" t="inlineStr">
        <is>
          <t>2020-05-11</t>
        </is>
      </c>
      <c r="C136" s="45" t="n">
        <v>5.8</v>
      </c>
      <c r="D136" t="inlineStr">
        <is>
          <t>€/MWh</t>
        </is>
      </c>
      <c r="E136" s="54" t="n">
        <v>0.0058</v>
      </c>
      <c r="F136" s="54" t="n"/>
      <c r="G136" t="inlineStr">
        <is>
          <t>no aplica (precio mayorista)</t>
        </is>
      </c>
      <c r="J136" t="inlineStr">
        <is>
          <t>2020-05-11</t>
        </is>
      </c>
      <c r="K136" t="inlineStr">
        <is>
          <t>MIBGAS_Data_2020.xlsx</t>
        </is>
      </c>
      <c r="L136" t="inlineStr">
        <is>
          <t>volumen 43813 MWh</t>
        </is>
      </c>
    </row>
    <row r="137">
      <c r="A137" s="53" t="n">
        <v>43963</v>
      </c>
      <c r="B137" t="inlineStr">
        <is>
          <t>2020-05-12</t>
        </is>
      </c>
      <c r="C137" s="45" t="n">
        <v>5.87</v>
      </c>
      <c r="D137" t="inlineStr">
        <is>
          <t>€/MWh</t>
        </is>
      </c>
      <c r="E137" s="54" t="n">
        <v>0.00587</v>
      </c>
      <c r="F137" s="54" t="n"/>
      <c r="G137" t="inlineStr">
        <is>
          <t>no aplica (precio mayorista)</t>
        </is>
      </c>
      <c r="J137" t="inlineStr">
        <is>
          <t>2020-05-12</t>
        </is>
      </c>
      <c r="K137" t="inlineStr">
        <is>
          <t>MIBGAS_Data_2020.xlsx</t>
        </is>
      </c>
      <c r="L137" t="inlineStr">
        <is>
          <t>volumen 53006 MWh</t>
        </is>
      </c>
    </row>
    <row r="138">
      <c r="A138" s="53" t="n">
        <v>43964</v>
      </c>
      <c r="B138" t="inlineStr">
        <is>
          <t>2020-05-13</t>
        </is>
      </c>
      <c r="C138" s="45" t="n">
        <v>5.81</v>
      </c>
      <c r="D138" t="inlineStr">
        <is>
          <t>€/MWh</t>
        </is>
      </c>
      <c r="E138" s="54" t="n">
        <v>0.00581</v>
      </c>
      <c r="F138" s="54" t="n"/>
      <c r="G138" t="inlineStr">
        <is>
          <t>no aplica (precio mayorista)</t>
        </is>
      </c>
      <c r="J138" t="inlineStr">
        <is>
          <t>2020-05-13</t>
        </is>
      </c>
      <c r="K138" t="inlineStr">
        <is>
          <t>MIBGAS_Data_2020.xlsx</t>
        </is>
      </c>
      <c r="L138" t="inlineStr">
        <is>
          <t>volumen 48825 MWh</t>
        </is>
      </c>
    </row>
    <row r="139">
      <c r="A139" s="53" t="n">
        <v>43965</v>
      </c>
      <c r="B139" t="inlineStr">
        <is>
          <t>2020-05-14</t>
        </is>
      </c>
      <c r="C139" s="45" t="n">
        <v>5.61</v>
      </c>
      <c r="D139" t="inlineStr">
        <is>
          <t>€/MWh</t>
        </is>
      </c>
      <c r="E139" s="54" t="n">
        <v>0.00561</v>
      </c>
      <c r="F139" s="54" t="n"/>
      <c r="G139" t="inlineStr">
        <is>
          <t>no aplica (precio mayorista)</t>
        </is>
      </c>
      <c r="J139" t="inlineStr">
        <is>
          <t>2020-05-14</t>
        </is>
      </c>
      <c r="K139" t="inlineStr">
        <is>
          <t>MIBGAS_Data_2020.xlsx</t>
        </is>
      </c>
      <c r="L139" t="inlineStr">
        <is>
          <t>volumen 37670 MWh</t>
        </is>
      </c>
    </row>
    <row r="140">
      <c r="A140" s="53" t="n">
        <v>43966</v>
      </c>
      <c r="B140" t="inlineStr">
        <is>
          <t>2020-05-15</t>
        </is>
      </c>
      <c r="C140" s="45" t="n">
        <v>5.44</v>
      </c>
      <c r="D140" t="inlineStr">
        <is>
          <t>€/MWh</t>
        </is>
      </c>
      <c r="E140" s="54" t="n">
        <v>0.00544</v>
      </c>
      <c r="F140" s="54" t="n"/>
      <c r="G140" t="inlineStr">
        <is>
          <t>no aplica (precio mayorista)</t>
        </is>
      </c>
      <c r="J140" t="inlineStr">
        <is>
          <t>2020-05-15</t>
        </is>
      </c>
      <c r="K140" t="inlineStr">
        <is>
          <t>MIBGAS_Data_2020.xlsx</t>
        </is>
      </c>
      <c r="L140" t="inlineStr">
        <is>
          <t>volumen 36154 MWh</t>
        </is>
      </c>
    </row>
    <row r="141">
      <c r="A141" s="53" t="n">
        <v>43967</v>
      </c>
      <c r="B141" t="inlineStr">
        <is>
          <t>2020-05-16</t>
        </is>
      </c>
      <c r="C141" s="45" t="n">
        <v>5.21</v>
      </c>
      <c r="D141" t="inlineStr">
        <is>
          <t>€/MWh</t>
        </is>
      </c>
      <c r="E141" s="54" t="n">
        <v>0.00521</v>
      </c>
      <c r="F141" s="54" t="n"/>
      <c r="G141" t="inlineStr">
        <is>
          <t>no aplica (precio mayorista)</t>
        </is>
      </c>
      <c r="J141" t="inlineStr">
        <is>
          <t>2020-05-16</t>
        </is>
      </c>
      <c r="K141" t="inlineStr">
        <is>
          <t>MIBGAS_Data_2020.xlsx</t>
        </is>
      </c>
      <c r="L141" t="inlineStr">
        <is>
          <t>volumen 63877 MWh</t>
        </is>
      </c>
    </row>
    <row r="142">
      <c r="A142" s="53" t="n">
        <v>43968</v>
      </c>
      <c r="B142" t="inlineStr">
        <is>
          <t>2020-05-17</t>
        </is>
      </c>
      <c r="C142" s="45" t="n">
        <v>5.17</v>
      </c>
      <c r="D142" t="inlineStr">
        <is>
          <t>€/MWh</t>
        </is>
      </c>
      <c r="E142" s="54" t="n">
        <v>0.00517</v>
      </c>
      <c r="F142" s="54" t="n"/>
      <c r="G142" t="inlineStr">
        <is>
          <t>no aplica (precio mayorista)</t>
        </is>
      </c>
      <c r="J142" t="inlineStr">
        <is>
          <t>2020-05-17</t>
        </is>
      </c>
      <c r="K142" t="inlineStr">
        <is>
          <t>MIBGAS_Data_2020.xlsx</t>
        </is>
      </c>
      <c r="L142" t="inlineStr">
        <is>
          <t>volumen 70790 MWh</t>
        </is>
      </c>
    </row>
    <row r="143">
      <c r="A143" s="53" t="n">
        <v>43969</v>
      </c>
      <c r="B143" t="inlineStr">
        <is>
          <t>2020-05-18</t>
        </is>
      </c>
      <c r="C143" s="45" t="n">
        <v>5.64</v>
      </c>
      <c r="D143" t="inlineStr">
        <is>
          <t>€/MWh</t>
        </is>
      </c>
      <c r="E143" s="54" t="n">
        <v>0.00564</v>
      </c>
      <c r="F143" s="54" t="n"/>
      <c r="G143" t="inlineStr">
        <is>
          <t>no aplica (precio mayorista)</t>
        </is>
      </c>
      <c r="J143" t="inlineStr">
        <is>
          <t>2020-05-18</t>
        </is>
      </c>
      <c r="K143" t="inlineStr">
        <is>
          <t>MIBGAS_Data_2020.xlsx</t>
        </is>
      </c>
      <c r="L143" t="inlineStr">
        <is>
          <t>volumen 52633 MWh</t>
        </is>
      </c>
    </row>
    <row r="144">
      <c r="A144" s="53" t="n">
        <v>43970</v>
      </c>
      <c r="B144" t="inlineStr">
        <is>
          <t>2020-05-19</t>
        </is>
      </c>
      <c r="C144" s="45" t="n">
        <v>5.53</v>
      </c>
      <c r="D144" t="inlineStr">
        <is>
          <t>€/MWh</t>
        </is>
      </c>
      <c r="E144" s="54" t="n">
        <v>0.00553</v>
      </c>
      <c r="F144" s="54" t="n"/>
      <c r="G144" t="inlineStr">
        <is>
          <t>no aplica (precio mayorista)</t>
        </is>
      </c>
      <c r="J144" t="inlineStr">
        <is>
          <t>2020-05-19</t>
        </is>
      </c>
      <c r="K144" t="inlineStr">
        <is>
          <t>MIBGAS_Data_2020.xlsx</t>
        </is>
      </c>
      <c r="L144" t="inlineStr">
        <is>
          <t>volumen 74413 MWh</t>
        </is>
      </c>
    </row>
    <row r="145">
      <c r="A145" s="53" t="n">
        <v>43971</v>
      </c>
      <c r="B145" t="inlineStr">
        <is>
          <t>2020-05-20</t>
        </is>
      </c>
      <c r="C145" s="45" t="n">
        <v>5.23</v>
      </c>
      <c r="D145" t="inlineStr">
        <is>
          <t>€/MWh</t>
        </is>
      </c>
      <c r="E145" s="54" t="n">
        <v>0.00523</v>
      </c>
      <c r="F145" s="54" t="n"/>
      <c r="G145" t="inlineStr">
        <is>
          <t>no aplica (precio mayorista)</t>
        </is>
      </c>
      <c r="J145" t="inlineStr">
        <is>
          <t>2020-05-20</t>
        </is>
      </c>
      <c r="K145" t="inlineStr">
        <is>
          <t>MIBGAS_Data_2020.xlsx</t>
        </is>
      </c>
      <c r="L145" t="inlineStr">
        <is>
          <t>volumen 74753 MWh</t>
        </is>
      </c>
    </row>
    <row r="146">
      <c r="A146" s="53" t="n">
        <v>43972</v>
      </c>
      <c r="B146" t="inlineStr">
        <is>
          <t>2020-05-21</t>
        </is>
      </c>
      <c r="C146" s="45" t="n">
        <v>5.18</v>
      </c>
      <c r="D146" t="inlineStr">
        <is>
          <t>€/MWh</t>
        </is>
      </c>
      <c r="E146" s="54" t="n">
        <v>0.00518</v>
      </c>
      <c r="F146" s="54" t="n"/>
      <c r="G146" t="inlineStr">
        <is>
          <t>no aplica (precio mayorista)</t>
        </is>
      </c>
      <c r="J146" t="inlineStr">
        <is>
          <t>2020-05-21</t>
        </is>
      </c>
      <c r="K146" t="inlineStr">
        <is>
          <t>MIBGAS_Data_2020.xlsx</t>
        </is>
      </c>
      <c r="L146" t="inlineStr">
        <is>
          <t>volumen 93351 MWh</t>
        </is>
      </c>
    </row>
    <row r="147">
      <c r="A147" s="53" t="n">
        <v>43973</v>
      </c>
      <c r="B147" t="inlineStr">
        <is>
          <t>2020-05-22</t>
        </is>
      </c>
      <c r="C147" s="45" t="n">
        <v>4.6</v>
      </c>
      <c r="D147" t="inlineStr">
        <is>
          <t>€/MWh</t>
        </is>
      </c>
      <c r="E147" s="54" t="n">
        <v>0.0046</v>
      </c>
      <c r="F147" s="54" t="n"/>
      <c r="G147" t="inlineStr">
        <is>
          <t>no aplica (precio mayorista)</t>
        </is>
      </c>
      <c r="J147" t="inlineStr">
        <is>
          <t>2020-05-22</t>
        </is>
      </c>
      <c r="K147" t="inlineStr">
        <is>
          <t>MIBGAS_Data_2020.xlsx</t>
        </is>
      </c>
      <c r="L147" t="inlineStr">
        <is>
          <t>volumen 73851 MWh</t>
        </is>
      </c>
    </row>
    <row r="148">
      <c r="A148" s="53" t="n">
        <v>43974</v>
      </c>
      <c r="B148" t="inlineStr">
        <is>
          <t>2020-05-23</t>
        </is>
      </c>
      <c r="C148" s="45" t="n">
        <v>4.23</v>
      </c>
      <c r="D148" t="inlineStr">
        <is>
          <t>€/MWh</t>
        </is>
      </c>
      <c r="E148" s="54" t="n">
        <v>0.00423</v>
      </c>
      <c r="F148" s="54" t="n"/>
      <c r="G148" t="inlineStr">
        <is>
          <t>no aplica (precio mayorista)</t>
        </is>
      </c>
      <c r="J148" t="inlineStr">
        <is>
          <t>2020-05-23</t>
        </is>
      </c>
      <c r="K148" t="inlineStr">
        <is>
          <t>MIBGAS_Data_2020.xlsx</t>
        </is>
      </c>
      <c r="L148" t="inlineStr">
        <is>
          <t>volumen 69312 MWh</t>
        </is>
      </c>
    </row>
    <row r="149">
      <c r="A149" s="53" t="n">
        <v>43975</v>
      </c>
      <c r="B149" t="inlineStr">
        <is>
          <t>2020-05-24</t>
        </is>
      </c>
      <c r="C149" s="45" t="n">
        <v>4.17</v>
      </c>
      <c r="D149" t="inlineStr">
        <is>
          <t>€/MWh</t>
        </is>
      </c>
      <c r="E149" s="54" t="n">
        <v>0.00417</v>
      </c>
      <c r="F149" s="54" t="n"/>
      <c r="G149" t="inlineStr">
        <is>
          <t>no aplica (precio mayorista)</t>
        </is>
      </c>
      <c r="J149" t="inlineStr">
        <is>
          <t>2020-05-24</t>
        </is>
      </c>
      <c r="K149" t="inlineStr">
        <is>
          <t>MIBGAS_Data_2020.xlsx</t>
        </is>
      </c>
      <c r="L149" t="inlineStr">
        <is>
          <t>volumen 67243 MWh</t>
        </is>
      </c>
    </row>
    <row r="150">
      <c r="A150" s="53" t="n">
        <v>43976</v>
      </c>
      <c r="B150" t="inlineStr">
        <is>
          <t>2020-05-25</t>
        </is>
      </c>
      <c r="C150" s="45" t="n">
        <v>4.6</v>
      </c>
      <c r="D150" t="inlineStr">
        <is>
          <t>€/MWh</t>
        </is>
      </c>
      <c r="E150" s="54" t="n">
        <v>0.0046</v>
      </c>
      <c r="F150" s="54" t="n"/>
      <c r="G150" t="inlineStr">
        <is>
          <t>no aplica (precio mayorista)</t>
        </is>
      </c>
      <c r="J150" t="inlineStr">
        <is>
          <t>2020-05-25</t>
        </is>
      </c>
      <c r="K150" t="inlineStr">
        <is>
          <t>MIBGAS_Data_2020.xlsx</t>
        </is>
      </c>
      <c r="L150" t="inlineStr">
        <is>
          <t>volumen 46832 MWh</t>
        </is>
      </c>
    </row>
    <row r="151">
      <c r="A151" s="53" t="n">
        <v>43977</v>
      </c>
      <c r="B151" t="inlineStr">
        <is>
          <t>2020-05-26</t>
        </is>
      </c>
      <c r="C151" s="45" t="n">
        <v>4.9</v>
      </c>
      <c r="D151" t="inlineStr">
        <is>
          <t>€/MWh</t>
        </is>
      </c>
      <c r="E151" s="54" t="n">
        <v>0.0049</v>
      </c>
      <c r="F151" s="54" t="n"/>
      <c r="G151" t="inlineStr">
        <is>
          <t>no aplica (precio mayorista)</t>
        </is>
      </c>
      <c r="J151" t="inlineStr">
        <is>
          <t>2020-05-26</t>
        </is>
      </c>
      <c r="K151" t="inlineStr">
        <is>
          <t>MIBGAS_Data_2020.xlsx</t>
        </is>
      </c>
      <c r="L151" t="inlineStr">
        <is>
          <t>volumen 33127 MWh</t>
        </is>
      </c>
    </row>
    <row r="152">
      <c r="A152" s="53" t="n">
        <v>43978</v>
      </c>
      <c r="B152" t="inlineStr">
        <is>
          <t>2020-05-27</t>
        </is>
      </c>
      <c r="C152" s="45" t="n">
        <v>4.94</v>
      </c>
      <c r="D152" t="inlineStr">
        <is>
          <t>€/MWh</t>
        </is>
      </c>
      <c r="E152" s="54" t="n">
        <v>0.00494</v>
      </c>
      <c r="F152" s="54" t="n"/>
      <c r="G152" t="inlineStr">
        <is>
          <t>no aplica (precio mayorista)</t>
        </is>
      </c>
      <c r="J152" t="inlineStr">
        <is>
          <t>2020-05-27</t>
        </is>
      </c>
      <c r="K152" t="inlineStr">
        <is>
          <t>MIBGAS_Data_2020.xlsx</t>
        </is>
      </c>
      <c r="L152" t="inlineStr">
        <is>
          <t>volumen 49497 MWh</t>
        </is>
      </c>
    </row>
    <row r="153">
      <c r="A153" s="53" t="n">
        <v>43979</v>
      </c>
      <c r="B153" t="inlineStr">
        <is>
          <t>2020-05-28</t>
        </is>
      </c>
      <c r="C153" s="45" t="n">
        <v>5.08</v>
      </c>
      <c r="D153" t="inlineStr">
        <is>
          <t>€/MWh</t>
        </is>
      </c>
      <c r="E153" s="54" t="n">
        <v>0.00508</v>
      </c>
      <c r="F153" s="54" t="n"/>
      <c r="G153" t="inlineStr">
        <is>
          <t>no aplica (precio mayorista)</t>
        </is>
      </c>
      <c r="J153" t="inlineStr">
        <is>
          <t>2020-05-28</t>
        </is>
      </c>
      <c r="K153" t="inlineStr">
        <is>
          <t>MIBGAS_Data_2020.xlsx</t>
        </is>
      </c>
      <c r="L153" t="inlineStr">
        <is>
          <t>volumen 44561 MWh</t>
        </is>
      </c>
    </row>
    <row r="154">
      <c r="A154" s="53" t="n">
        <v>43980</v>
      </c>
      <c r="B154" t="inlineStr">
        <is>
          <t>2020-05-29</t>
        </is>
      </c>
      <c r="C154" s="45" t="n">
        <v>5.2</v>
      </c>
      <c r="D154" t="inlineStr">
        <is>
          <t>€/MWh</t>
        </is>
      </c>
      <c r="E154" s="54" t="n">
        <v>0.0052</v>
      </c>
      <c r="F154" s="54" t="n"/>
      <c r="G154" t="inlineStr">
        <is>
          <t>no aplica (precio mayorista)</t>
        </is>
      </c>
      <c r="J154" t="inlineStr">
        <is>
          <t>2020-05-29</t>
        </is>
      </c>
      <c r="K154" t="inlineStr">
        <is>
          <t>MIBGAS_Data_2020.xlsx</t>
        </is>
      </c>
      <c r="L154" t="inlineStr">
        <is>
          <t>volumen 74843 MWh</t>
        </is>
      </c>
    </row>
    <row r="155">
      <c r="A155" s="53" t="n">
        <v>43981</v>
      </c>
      <c r="B155" t="inlineStr">
        <is>
          <t>2020-05-30</t>
        </is>
      </c>
      <c r="C155" s="45" t="n">
        <v>5.07</v>
      </c>
      <c r="D155" t="inlineStr">
        <is>
          <t>€/MWh</t>
        </is>
      </c>
      <c r="E155" s="54" t="n">
        <v>0.00507</v>
      </c>
      <c r="F155" s="54" t="n"/>
      <c r="G155" t="inlineStr">
        <is>
          <t>no aplica (precio mayorista)</t>
        </is>
      </c>
      <c r="J155" t="inlineStr">
        <is>
          <t>2020-05-30</t>
        </is>
      </c>
      <c r="K155" t="inlineStr">
        <is>
          <t>MIBGAS_Data_2020.xlsx</t>
        </is>
      </c>
      <c r="L155" t="inlineStr">
        <is>
          <t>volumen 74603 MWh</t>
        </is>
      </c>
    </row>
    <row r="156">
      <c r="A156" s="53" t="n">
        <v>43982</v>
      </c>
      <c r="B156" t="inlineStr">
        <is>
          <t>2020-05-31</t>
        </is>
      </c>
      <c r="C156" s="45" t="n">
        <v>5.12</v>
      </c>
      <c r="D156" t="inlineStr">
        <is>
          <t>€/MWh</t>
        </is>
      </c>
      <c r="E156" s="54" t="n">
        <v>0.00512</v>
      </c>
      <c r="F156" s="54" t="n"/>
      <c r="G156" t="inlineStr">
        <is>
          <t>no aplica (precio mayorista)</t>
        </is>
      </c>
      <c r="J156" t="inlineStr">
        <is>
          <t>2020-05-31</t>
        </is>
      </c>
      <c r="K156" t="inlineStr">
        <is>
          <t>MIBGAS_Data_2020.xlsx</t>
        </is>
      </c>
      <c r="L156" t="inlineStr">
        <is>
          <t>volumen 72890 MWh</t>
        </is>
      </c>
    </row>
    <row r="157">
      <c r="A157" s="53" t="n">
        <v>43983</v>
      </c>
      <c r="B157" t="inlineStr">
        <is>
          <t>2020-06-01</t>
        </is>
      </c>
      <c r="C157" s="45" t="n">
        <v>5.91</v>
      </c>
      <c r="D157" t="inlineStr">
        <is>
          <t>€/MWh</t>
        </is>
      </c>
      <c r="E157" s="54" t="n">
        <v>0.00591</v>
      </c>
      <c r="F157" s="54" t="n"/>
      <c r="G157" t="inlineStr">
        <is>
          <t>no aplica (precio mayorista)</t>
        </is>
      </c>
      <c r="J157" t="inlineStr">
        <is>
          <t>2020-06-01</t>
        </is>
      </c>
      <c r="K157" t="inlineStr">
        <is>
          <t>MIBGAS_Data_2020.xlsx</t>
        </is>
      </c>
      <c r="L157" t="inlineStr">
        <is>
          <t>volumen 86884 MWh</t>
        </is>
      </c>
    </row>
    <row r="158">
      <c r="A158" s="53" t="n">
        <v>43984</v>
      </c>
      <c r="B158" t="inlineStr">
        <is>
          <t>2020-06-02</t>
        </is>
      </c>
      <c r="C158" s="45" t="n">
        <v>6.12</v>
      </c>
      <c r="D158" t="inlineStr">
        <is>
          <t>€/MWh</t>
        </is>
      </c>
      <c r="E158" s="54" t="n">
        <v>0.00612</v>
      </c>
      <c r="F158" s="54" t="n"/>
      <c r="G158" t="inlineStr">
        <is>
          <t>no aplica (precio mayorista)</t>
        </is>
      </c>
      <c r="J158" t="inlineStr">
        <is>
          <t>2020-06-02</t>
        </is>
      </c>
      <c r="K158" t="inlineStr">
        <is>
          <t>MIBGAS_Data_2020.xlsx</t>
        </is>
      </c>
      <c r="L158" t="inlineStr">
        <is>
          <t>volumen 81504 MWh</t>
        </is>
      </c>
    </row>
    <row r="159">
      <c r="A159" s="53" t="n">
        <v>43985</v>
      </c>
      <c r="B159" t="inlineStr">
        <is>
          <t>2020-06-03</t>
        </is>
      </c>
      <c r="C159" s="45" t="n">
        <v>6.17</v>
      </c>
      <c r="D159" t="inlineStr">
        <is>
          <t>€/MWh</t>
        </is>
      </c>
      <c r="E159" s="54" t="n">
        <v>0.00617</v>
      </c>
      <c r="F159" s="54" t="n"/>
      <c r="G159" t="inlineStr">
        <is>
          <t>no aplica (precio mayorista)</t>
        </is>
      </c>
      <c r="J159" t="inlineStr">
        <is>
          <t>2020-06-03</t>
        </is>
      </c>
      <c r="K159" t="inlineStr">
        <is>
          <t>MIBGAS_Data_2020.xlsx</t>
        </is>
      </c>
      <c r="L159" t="inlineStr">
        <is>
          <t>volumen 78395 MWh</t>
        </is>
      </c>
    </row>
    <row r="160">
      <c r="A160" s="53" t="n">
        <v>43986</v>
      </c>
      <c r="B160" t="inlineStr">
        <is>
          <t>2020-06-04</t>
        </is>
      </c>
      <c r="C160" s="45" t="n">
        <v>5.68</v>
      </c>
      <c r="D160" t="inlineStr">
        <is>
          <t>€/MWh</t>
        </is>
      </c>
      <c r="E160" s="54" t="n">
        <v>0.00568</v>
      </c>
      <c r="F160" s="54" t="n"/>
      <c r="G160" t="inlineStr">
        <is>
          <t>no aplica (precio mayorista)</t>
        </is>
      </c>
      <c r="J160" t="inlineStr">
        <is>
          <t>2020-06-04</t>
        </is>
      </c>
      <c r="K160" t="inlineStr">
        <is>
          <t>MIBGAS_Data_2020.xlsx</t>
        </is>
      </c>
      <c r="L160" t="inlineStr">
        <is>
          <t>volumen 70974 MWh</t>
        </is>
      </c>
    </row>
    <row r="161">
      <c r="A161" s="53" t="n">
        <v>43987</v>
      </c>
      <c r="B161" t="inlineStr">
        <is>
          <t>2020-06-05</t>
        </is>
      </c>
      <c r="C161" s="45" t="n">
        <v>5.53</v>
      </c>
      <c r="D161" t="inlineStr">
        <is>
          <t>€/MWh</t>
        </is>
      </c>
      <c r="E161" s="54" t="n">
        <v>0.00553</v>
      </c>
      <c r="F161" s="54" t="n"/>
      <c r="G161" t="inlineStr">
        <is>
          <t>no aplica (precio mayorista)</t>
        </is>
      </c>
      <c r="J161" t="inlineStr">
        <is>
          <t>2020-06-05</t>
        </is>
      </c>
      <c r="K161" t="inlineStr">
        <is>
          <t>MIBGAS_Data_2020.xlsx</t>
        </is>
      </c>
      <c r="L161" t="inlineStr">
        <is>
          <t>volumen 60855 MWh</t>
        </is>
      </c>
    </row>
    <row r="162">
      <c r="A162" s="53" t="n">
        <v>43988</v>
      </c>
      <c r="B162" t="inlineStr">
        <is>
          <t>2020-06-06</t>
        </is>
      </c>
      <c r="C162" s="45" t="n">
        <v>5.46</v>
      </c>
      <c r="D162" t="inlineStr">
        <is>
          <t>€/MWh</t>
        </is>
      </c>
      <c r="E162" s="54" t="n">
        <v>0.00546</v>
      </c>
      <c r="F162" s="54" t="n"/>
      <c r="G162" t="inlineStr">
        <is>
          <t>no aplica (precio mayorista)</t>
        </is>
      </c>
      <c r="J162" t="inlineStr">
        <is>
          <t>2020-06-06</t>
        </is>
      </c>
      <c r="K162" t="inlineStr">
        <is>
          <t>MIBGAS_Data_2020.xlsx</t>
        </is>
      </c>
      <c r="L162" t="inlineStr">
        <is>
          <t>volumen 73251 MWh</t>
        </is>
      </c>
    </row>
    <row r="163">
      <c r="A163" s="53" t="n">
        <v>43989</v>
      </c>
      <c r="B163" t="inlineStr">
        <is>
          <t>2020-06-07</t>
        </is>
      </c>
      <c r="C163" s="45" t="n">
        <v>5.23</v>
      </c>
      <c r="D163" t="inlineStr">
        <is>
          <t>€/MWh</t>
        </is>
      </c>
      <c r="E163" s="54" t="n">
        <v>0.00523</v>
      </c>
      <c r="F163" s="54" t="n"/>
      <c r="G163" t="inlineStr">
        <is>
          <t>no aplica (precio mayorista)</t>
        </is>
      </c>
      <c r="J163" t="inlineStr">
        <is>
          <t>2020-06-07</t>
        </is>
      </c>
      <c r="K163" t="inlineStr">
        <is>
          <t>MIBGAS_Data_2020.xlsx</t>
        </is>
      </c>
      <c r="L163" t="inlineStr">
        <is>
          <t>volumen 102690 MWh</t>
        </is>
      </c>
    </row>
    <row r="164">
      <c r="A164" s="53" t="n">
        <v>43990</v>
      </c>
      <c r="B164" t="inlineStr">
        <is>
          <t>2020-06-08</t>
        </is>
      </c>
      <c r="C164" s="45" t="n">
        <v>6.01</v>
      </c>
      <c r="D164" t="inlineStr">
        <is>
          <t>€/MWh</t>
        </is>
      </c>
      <c r="E164" s="54" t="n">
        <v>0.00601</v>
      </c>
      <c r="F164" s="54" t="n"/>
      <c r="G164" t="inlineStr">
        <is>
          <t>no aplica (precio mayorista)</t>
        </is>
      </c>
      <c r="J164" t="inlineStr">
        <is>
          <t>2020-06-08</t>
        </is>
      </c>
      <c r="K164" t="inlineStr">
        <is>
          <t>MIBGAS_Data_2020.xlsx</t>
        </is>
      </c>
      <c r="L164" t="inlineStr">
        <is>
          <t>volumen 51452 MWh</t>
        </is>
      </c>
    </row>
    <row r="165">
      <c r="A165" s="53" t="n">
        <v>43991</v>
      </c>
      <c r="B165" t="inlineStr">
        <is>
          <t>2020-06-09</t>
        </is>
      </c>
      <c r="C165" s="45" t="n">
        <v>6.07</v>
      </c>
      <c r="D165" t="inlineStr">
        <is>
          <t>€/MWh</t>
        </is>
      </c>
      <c r="E165" s="54" t="n">
        <v>0.00607</v>
      </c>
      <c r="F165" s="54" t="n"/>
      <c r="G165" t="inlineStr">
        <is>
          <t>no aplica (precio mayorista)</t>
        </is>
      </c>
      <c r="J165" t="inlineStr">
        <is>
          <t>2020-06-09</t>
        </is>
      </c>
      <c r="K165" t="inlineStr">
        <is>
          <t>MIBGAS_Data_2020.xlsx</t>
        </is>
      </c>
      <c r="L165" t="inlineStr">
        <is>
          <t>volumen 62867 MWh</t>
        </is>
      </c>
    </row>
    <row r="166">
      <c r="A166" s="53" t="n">
        <v>43992</v>
      </c>
      <c r="B166" t="inlineStr">
        <is>
          <t>2020-06-10</t>
        </is>
      </c>
      <c r="C166" s="45" t="n">
        <v>5.77</v>
      </c>
      <c r="D166" t="inlineStr">
        <is>
          <t>€/MWh</t>
        </is>
      </c>
      <c r="E166" s="54" t="n">
        <v>0.00577</v>
      </c>
      <c r="F166" s="54" t="n"/>
      <c r="G166" t="inlineStr">
        <is>
          <t>no aplica (precio mayorista)</t>
        </is>
      </c>
      <c r="J166" t="inlineStr">
        <is>
          <t>2020-06-10</t>
        </is>
      </c>
      <c r="K166" t="inlineStr">
        <is>
          <t>MIBGAS_Data_2020.xlsx</t>
        </is>
      </c>
      <c r="L166" t="inlineStr">
        <is>
          <t>volumen 64400 MWh</t>
        </is>
      </c>
    </row>
    <row r="167">
      <c r="A167" s="53" t="n">
        <v>43993</v>
      </c>
      <c r="B167" t="inlineStr">
        <is>
          <t>2020-06-11</t>
        </is>
      </c>
      <c r="C167" s="45" t="n">
        <v>5.28</v>
      </c>
      <c r="D167" t="inlineStr">
        <is>
          <t>€/MWh</t>
        </is>
      </c>
      <c r="E167" s="54" t="n">
        <v>0.00528</v>
      </c>
      <c r="F167" s="54" t="n"/>
      <c r="G167" t="inlineStr">
        <is>
          <t>no aplica (precio mayorista)</t>
        </is>
      </c>
      <c r="J167" t="inlineStr">
        <is>
          <t>2020-06-11</t>
        </is>
      </c>
      <c r="K167" t="inlineStr">
        <is>
          <t>MIBGAS_Data_2020.xlsx</t>
        </is>
      </c>
      <c r="L167" t="inlineStr">
        <is>
          <t>volumen 62275 MWh</t>
        </is>
      </c>
    </row>
    <row r="168">
      <c r="A168" s="53" t="n">
        <v>43994</v>
      </c>
      <c r="B168" t="inlineStr">
        <is>
          <t>2020-06-12</t>
        </is>
      </c>
      <c r="C168" s="45" t="n">
        <v>5.21</v>
      </c>
      <c r="D168" t="inlineStr">
        <is>
          <t>€/MWh</t>
        </is>
      </c>
      <c r="E168" s="54" t="n">
        <v>0.00521</v>
      </c>
      <c r="F168" s="54" t="n"/>
      <c r="G168" t="inlineStr">
        <is>
          <t>no aplica (precio mayorista)</t>
        </is>
      </c>
      <c r="J168" t="inlineStr">
        <is>
          <t>2020-06-12</t>
        </is>
      </c>
      <c r="K168" t="inlineStr">
        <is>
          <t>MIBGAS_Data_2020.xlsx</t>
        </is>
      </c>
      <c r="L168" t="inlineStr">
        <is>
          <t>volumen 76253 MWh</t>
        </is>
      </c>
    </row>
    <row r="169">
      <c r="A169" s="53" t="n">
        <v>43995</v>
      </c>
      <c r="B169" t="inlineStr">
        <is>
          <t>2020-06-13</t>
        </is>
      </c>
      <c r="C169" s="45" t="n">
        <v>5.17</v>
      </c>
      <c r="D169" t="inlineStr">
        <is>
          <t>€/MWh</t>
        </is>
      </c>
      <c r="E169" s="54" t="n">
        <v>0.00517</v>
      </c>
      <c r="F169" s="54" t="n"/>
      <c r="G169" t="inlineStr">
        <is>
          <t>no aplica (precio mayorista)</t>
        </is>
      </c>
      <c r="J169" t="inlineStr">
        <is>
          <t>2020-06-13</t>
        </is>
      </c>
      <c r="K169" t="inlineStr">
        <is>
          <t>MIBGAS_Data_2020.xlsx</t>
        </is>
      </c>
      <c r="L169" t="inlineStr">
        <is>
          <t>volumen 72946 MWh</t>
        </is>
      </c>
    </row>
    <row r="170">
      <c r="A170" s="53" t="n">
        <v>43996</v>
      </c>
      <c r="B170" t="inlineStr">
        <is>
          <t>2020-06-14</t>
        </is>
      </c>
      <c r="C170" s="45" t="n">
        <v>5.34</v>
      </c>
      <c r="D170" t="inlineStr">
        <is>
          <t>€/MWh</t>
        </is>
      </c>
      <c r="E170" s="54" t="n">
        <v>0.00534</v>
      </c>
      <c r="F170" s="54" t="n"/>
      <c r="G170" t="inlineStr">
        <is>
          <t>no aplica (precio mayorista)</t>
        </is>
      </c>
      <c r="J170" t="inlineStr">
        <is>
          <t>2020-06-14</t>
        </is>
      </c>
      <c r="K170" t="inlineStr">
        <is>
          <t>MIBGAS_Data_2020.xlsx</t>
        </is>
      </c>
      <c r="L170" t="inlineStr">
        <is>
          <t>volumen 84914 MWh</t>
        </is>
      </c>
    </row>
    <row r="171">
      <c r="A171" s="53" t="n">
        <v>43997</v>
      </c>
      <c r="B171" t="inlineStr">
        <is>
          <t>2020-06-15</t>
        </is>
      </c>
      <c r="C171" s="45" t="n">
        <v>6.9</v>
      </c>
      <c r="D171" t="inlineStr">
        <is>
          <t>€/MWh</t>
        </is>
      </c>
      <c r="E171" s="54" t="n">
        <v>0.0069</v>
      </c>
      <c r="F171" s="54" t="n"/>
      <c r="G171" t="inlineStr">
        <is>
          <t>no aplica (precio mayorista)</t>
        </is>
      </c>
      <c r="J171" t="inlineStr">
        <is>
          <t>2020-06-15</t>
        </is>
      </c>
      <c r="K171" t="inlineStr">
        <is>
          <t>MIBGAS_Data_2020.xlsx</t>
        </is>
      </c>
      <c r="L171" t="inlineStr">
        <is>
          <t>volumen 56005 MWh</t>
        </is>
      </c>
    </row>
    <row r="172">
      <c r="A172" s="53" t="n">
        <v>43998</v>
      </c>
      <c r="B172" t="inlineStr">
        <is>
          <t>2020-06-16</t>
        </is>
      </c>
      <c r="C172" s="45" t="n">
        <v>7.3</v>
      </c>
      <c r="D172" t="inlineStr">
        <is>
          <t>€/MWh</t>
        </is>
      </c>
      <c r="E172" s="54" t="n">
        <v>0.0073</v>
      </c>
      <c r="F172" s="54" t="n"/>
      <c r="G172" t="inlineStr">
        <is>
          <t>no aplica (precio mayorista)</t>
        </is>
      </c>
      <c r="J172" t="inlineStr">
        <is>
          <t>2020-06-16</t>
        </is>
      </c>
      <c r="K172" t="inlineStr">
        <is>
          <t>MIBGAS_Data_2020.xlsx</t>
        </is>
      </c>
      <c r="L172" t="inlineStr">
        <is>
          <t>volumen 66643 MWh</t>
        </is>
      </c>
    </row>
    <row r="173">
      <c r="A173" s="53" t="n">
        <v>43999</v>
      </c>
      <c r="B173" t="inlineStr">
        <is>
          <t>2020-06-17</t>
        </is>
      </c>
      <c r="C173" s="45" t="n">
        <v>7.61</v>
      </c>
      <c r="D173" t="inlineStr">
        <is>
          <t>€/MWh</t>
        </is>
      </c>
      <c r="E173" s="54" t="n">
        <v>0.00761</v>
      </c>
      <c r="F173" s="54" t="n"/>
      <c r="G173" t="inlineStr">
        <is>
          <t>no aplica (precio mayorista)</t>
        </is>
      </c>
      <c r="J173" t="inlineStr">
        <is>
          <t>2020-06-17</t>
        </is>
      </c>
      <c r="K173" t="inlineStr">
        <is>
          <t>MIBGAS_Data_2020.xlsx</t>
        </is>
      </c>
      <c r="L173" t="inlineStr">
        <is>
          <t>volumen 57720 MWh</t>
        </is>
      </c>
    </row>
    <row r="174">
      <c r="A174" s="53" t="n">
        <v>44000</v>
      </c>
      <c r="B174" t="inlineStr">
        <is>
          <t>2020-06-18</t>
        </is>
      </c>
      <c r="C174" s="45" t="n">
        <v>8.050000000000001</v>
      </c>
      <c r="D174" t="inlineStr">
        <is>
          <t>€/MWh</t>
        </is>
      </c>
      <c r="E174" s="54" t="n">
        <v>0.00805</v>
      </c>
      <c r="F174" s="54" t="n"/>
      <c r="G174" t="inlineStr">
        <is>
          <t>no aplica (precio mayorista)</t>
        </is>
      </c>
      <c r="J174" t="inlineStr">
        <is>
          <t>2020-06-18</t>
        </is>
      </c>
      <c r="K174" t="inlineStr">
        <is>
          <t>MIBGAS_Data_2020.xlsx</t>
        </is>
      </c>
      <c r="L174" t="inlineStr">
        <is>
          <t>volumen 82592 MWh</t>
        </is>
      </c>
    </row>
    <row r="175">
      <c r="A175" s="53" t="n">
        <v>44001</v>
      </c>
      <c r="B175" t="inlineStr">
        <is>
          <t>2020-06-19</t>
        </is>
      </c>
      <c r="C175" s="45" t="n">
        <v>7.45</v>
      </c>
      <c r="D175" t="inlineStr">
        <is>
          <t>€/MWh</t>
        </is>
      </c>
      <c r="E175" s="54" t="n">
        <v>0.00745</v>
      </c>
      <c r="F175" s="54" t="n"/>
      <c r="G175" t="inlineStr">
        <is>
          <t>no aplica (precio mayorista)</t>
        </is>
      </c>
      <c r="J175" t="inlineStr">
        <is>
          <t>2020-06-19</t>
        </is>
      </c>
      <c r="K175" t="inlineStr">
        <is>
          <t>MIBGAS_Data_2020.xlsx</t>
        </is>
      </c>
      <c r="L175" t="inlineStr">
        <is>
          <t>volumen 82931 MWh</t>
        </is>
      </c>
    </row>
    <row r="176">
      <c r="A176" s="53" t="n">
        <v>44002</v>
      </c>
      <c r="B176" t="inlineStr">
        <is>
          <t>2020-06-20</t>
        </is>
      </c>
      <c r="C176" s="45" t="n">
        <v>6.78</v>
      </c>
      <c r="D176" t="inlineStr">
        <is>
          <t>€/MWh</t>
        </is>
      </c>
      <c r="E176" s="54" t="n">
        <v>0.00678</v>
      </c>
      <c r="F176" s="54" t="n"/>
      <c r="G176" t="inlineStr">
        <is>
          <t>no aplica (precio mayorista)</t>
        </is>
      </c>
      <c r="J176" t="inlineStr">
        <is>
          <t>2020-06-20</t>
        </is>
      </c>
      <c r="K176" t="inlineStr">
        <is>
          <t>MIBGAS_Data_2020.xlsx</t>
        </is>
      </c>
      <c r="L176" t="inlineStr">
        <is>
          <t>volumen 82061 MWh</t>
        </is>
      </c>
    </row>
    <row r="177">
      <c r="A177" s="53" t="n">
        <v>44003</v>
      </c>
      <c r="B177" t="inlineStr">
        <is>
          <t>2020-06-21</t>
        </is>
      </c>
      <c r="C177" s="45" t="n">
        <v>6.49</v>
      </c>
      <c r="D177" t="inlineStr">
        <is>
          <t>€/MWh</t>
        </is>
      </c>
      <c r="E177" s="54" t="n">
        <v>0.00649</v>
      </c>
      <c r="F177" s="54" t="n"/>
      <c r="G177" t="inlineStr">
        <is>
          <t>no aplica (precio mayorista)</t>
        </is>
      </c>
      <c r="J177" t="inlineStr">
        <is>
          <t>2020-06-21</t>
        </is>
      </c>
      <c r="K177" t="inlineStr">
        <is>
          <t>MIBGAS_Data_2020.xlsx</t>
        </is>
      </c>
      <c r="L177" t="inlineStr">
        <is>
          <t>volumen 96919 MWh</t>
        </is>
      </c>
    </row>
    <row r="178">
      <c r="A178" s="53" t="n">
        <v>44004</v>
      </c>
      <c r="B178" t="inlineStr">
        <is>
          <t>2020-06-22</t>
        </is>
      </c>
      <c r="C178" s="45" t="n">
        <v>6.86</v>
      </c>
      <c r="D178" t="inlineStr">
        <is>
          <t>€/MWh</t>
        </is>
      </c>
      <c r="E178" s="54" t="n">
        <v>0.00686</v>
      </c>
      <c r="F178" s="54" t="n"/>
      <c r="G178" t="inlineStr">
        <is>
          <t>no aplica (precio mayorista)</t>
        </is>
      </c>
      <c r="J178" t="inlineStr">
        <is>
          <t>2020-06-22</t>
        </is>
      </c>
      <c r="K178" t="inlineStr">
        <is>
          <t>MIBGAS_Data_2020.xlsx</t>
        </is>
      </c>
      <c r="L178" t="inlineStr">
        <is>
          <t>volumen 79011 MWh</t>
        </is>
      </c>
    </row>
    <row r="179">
      <c r="A179" s="53" t="n">
        <v>44005</v>
      </c>
      <c r="B179" t="inlineStr">
        <is>
          <t>2020-06-23</t>
        </is>
      </c>
      <c r="C179" s="45" t="n">
        <v>6.96</v>
      </c>
      <c r="D179" t="inlineStr">
        <is>
          <t>€/MWh</t>
        </is>
      </c>
      <c r="E179" s="54" t="n">
        <v>0.00696</v>
      </c>
      <c r="F179" s="54" t="n"/>
      <c r="G179" t="inlineStr">
        <is>
          <t>no aplica (precio mayorista)</t>
        </is>
      </c>
      <c r="J179" t="inlineStr">
        <is>
          <t>2020-06-23</t>
        </is>
      </c>
      <c r="K179" t="inlineStr">
        <is>
          <t>MIBGAS_Data_2020.xlsx</t>
        </is>
      </c>
      <c r="L179" t="inlineStr">
        <is>
          <t>volumen 68870 MWh</t>
        </is>
      </c>
    </row>
    <row r="180">
      <c r="A180" s="53" t="n">
        <v>44006</v>
      </c>
      <c r="B180" t="inlineStr">
        <is>
          <t>2020-06-24</t>
        </is>
      </c>
      <c r="C180" s="45" t="n">
        <v>7.33</v>
      </c>
      <c r="D180" t="inlineStr">
        <is>
          <t>€/MWh</t>
        </is>
      </c>
      <c r="E180" s="54" t="n">
        <v>0.00733</v>
      </c>
      <c r="F180" s="54" t="n"/>
      <c r="G180" t="inlineStr">
        <is>
          <t>no aplica (precio mayorista)</t>
        </is>
      </c>
      <c r="J180" t="inlineStr">
        <is>
          <t>2020-06-24</t>
        </is>
      </c>
      <c r="K180" t="inlineStr">
        <is>
          <t>MIBGAS_Data_2020.xlsx</t>
        </is>
      </c>
      <c r="L180" t="inlineStr">
        <is>
          <t>volumen 61142 MWh</t>
        </is>
      </c>
    </row>
    <row r="181">
      <c r="A181" s="53" t="n">
        <v>44007</v>
      </c>
      <c r="B181" t="inlineStr">
        <is>
          <t>2020-06-25</t>
        </is>
      </c>
      <c r="C181" s="45" t="n">
        <v>7.28</v>
      </c>
      <c r="D181" t="inlineStr">
        <is>
          <t>€/MWh</t>
        </is>
      </c>
      <c r="E181" s="54" t="n">
        <v>0.00728</v>
      </c>
      <c r="F181" s="54" t="n"/>
      <c r="G181" t="inlineStr">
        <is>
          <t>no aplica (precio mayorista)</t>
        </is>
      </c>
      <c r="J181" t="inlineStr">
        <is>
          <t>2020-06-25</t>
        </is>
      </c>
      <c r="K181" t="inlineStr">
        <is>
          <t>MIBGAS_Data_2020.xlsx</t>
        </is>
      </c>
      <c r="L181" t="inlineStr">
        <is>
          <t>volumen 78438 MWh</t>
        </is>
      </c>
    </row>
    <row r="182">
      <c r="A182" s="53" t="n">
        <v>44008</v>
      </c>
      <c r="B182" t="inlineStr">
        <is>
          <t>2020-06-26</t>
        </is>
      </c>
      <c r="C182" s="45" t="n">
        <v>6.98</v>
      </c>
      <c r="D182" t="inlineStr">
        <is>
          <t>€/MWh</t>
        </is>
      </c>
      <c r="E182" s="54" t="n">
        <v>0.00698</v>
      </c>
      <c r="F182" s="54" t="n"/>
      <c r="G182" t="inlineStr">
        <is>
          <t>no aplica (precio mayorista)</t>
        </is>
      </c>
      <c r="J182" t="inlineStr">
        <is>
          <t>2020-06-26</t>
        </is>
      </c>
      <c r="K182" t="inlineStr">
        <is>
          <t>MIBGAS_Data_2020.xlsx</t>
        </is>
      </c>
      <c r="L182" t="inlineStr">
        <is>
          <t>volumen 57309 MWh</t>
        </is>
      </c>
    </row>
    <row r="183">
      <c r="A183" s="53" t="n">
        <v>44009</v>
      </c>
      <c r="B183" t="inlineStr">
        <is>
          <t>2020-06-27</t>
        </is>
      </c>
      <c r="C183" s="45" t="n">
        <v>6.57</v>
      </c>
      <c r="D183" t="inlineStr">
        <is>
          <t>€/MWh</t>
        </is>
      </c>
      <c r="E183" s="54" t="n">
        <v>0.00657</v>
      </c>
      <c r="F183" s="54" t="n"/>
      <c r="G183" t="inlineStr">
        <is>
          <t>no aplica (precio mayorista)</t>
        </is>
      </c>
      <c r="J183" t="inlineStr">
        <is>
          <t>2020-06-27</t>
        </is>
      </c>
      <c r="K183" t="inlineStr">
        <is>
          <t>MIBGAS_Data_2020.xlsx</t>
        </is>
      </c>
      <c r="L183" t="inlineStr">
        <is>
          <t>volumen 87130 MWh</t>
        </is>
      </c>
    </row>
    <row r="184">
      <c r="A184" s="53" t="n">
        <v>44010</v>
      </c>
      <c r="B184" t="inlineStr">
        <is>
          <t>2020-06-28</t>
        </is>
      </c>
      <c r="C184" s="45" t="n">
        <v>6.53</v>
      </c>
      <c r="D184" t="inlineStr">
        <is>
          <t>€/MWh</t>
        </is>
      </c>
      <c r="E184" s="54" t="n">
        <v>0.00653</v>
      </c>
      <c r="F184" s="54" t="n"/>
      <c r="G184" t="inlineStr">
        <is>
          <t>no aplica (precio mayorista)</t>
        </is>
      </c>
      <c r="J184" t="inlineStr">
        <is>
          <t>2020-06-28</t>
        </is>
      </c>
      <c r="K184" t="inlineStr">
        <is>
          <t>MIBGAS_Data_2020.xlsx</t>
        </is>
      </c>
      <c r="L184" t="inlineStr">
        <is>
          <t>volumen 90532 MWh</t>
        </is>
      </c>
    </row>
    <row r="185">
      <c r="A185" s="53" t="n">
        <v>44011</v>
      </c>
      <c r="B185" t="inlineStr">
        <is>
          <t>2020-06-29</t>
        </is>
      </c>
      <c r="C185" s="45" t="n">
        <v>7.35</v>
      </c>
      <c r="D185" t="inlineStr">
        <is>
          <t>€/MWh</t>
        </is>
      </c>
      <c r="E185" s="54" t="n">
        <v>0.00735</v>
      </c>
      <c r="F185" s="54" t="n"/>
      <c r="G185" t="inlineStr">
        <is>
          <t>no aplica (precio mayorista)</t>
        </is>
      </c>
      <c r="J185" t="inlineStr">
        <is>
          <t>2020-06-29</t>
        </is>
      </c>
      <c r="K185" t="inlineStr">
        <is>
          <t>MIBGAS_Data_2020.xlsx</t>
        </is>
      </c>
      <c r="L185" t="inlineStr">
        <is>
          <t>volumen 75490 MWh</t>
        </is>
      </c>
    </row>
    <row r="186">
      <c r="A186" s="53" t="n">
        <v>44012</v>
      </c>
      <c r="B186" t="inlineStr">
        <is>
          <t>2020-06-30</t>
        </is>
      </c>
      <c r="C186" s="45" t="n">
        <v>7.38</v>
      </c>
      <c r="D186" t="inlineStr">
        <is>
          <t>€/MWh</t>
        </is>
      </c>
      <c r="E186" s="54" t="n">
        <v>0.00738</v>
      </c>
      <c r="F186" s="54" t="n"/>
      <c r="G186" t="inlineStr">
        <is>
          <t>no aplica (precio mayorista)</t>
        </is>
      </c>
      <c r="J186" t="inlineStr">
        <is>
          <t>2020-06-30</t>
        </is>
      </c>
      <c r="K186" t="inlineStr">
        <is>
          <t>MIBGAS_Data_2020.xlsx</t>
        </is>
      </c>
      <c r="L186" t="inlineStr">
        <is>
          <t>volumen 59133 MWh</t>
        </is>
      </c>
    </row>
    <row r="187">
      <c r="A187" s="53" t="n">
        <v>44013</v>
      </c>
      <c r="B187" t="inlineStr">
        <is>
          <t>2020-07-01</t>
        </is>
      </c>
      <c r="C187" s="45" t="n">
        <v>7.25</v>
      </c>
      <c r="D187" t="inlineStr">
        <is>
          <t>€/MWh</t>
        </is>
      </c>
      <c r="E187" s="54" t="n">
        <v>0.00725</v>
      </c>
      <c r="F187" s="54" t="n"/>
      <c r="G187" t="inlineStr">
        <is>
          <t>no aplica (precio mayorista)</t>
        </is>
      </c>
      <c r="J187" t="inlineStr">
        <is>
          <t>2020-07-01</t>
        </is>
      </c>
      <c r="K187" t="inlineStr">
        <is>
          <t>MIBGAS_Data_2020.xlsx</t>
        </is>
      </c>
      <c r="L187" t="inlineStr">
        <is>
          <t>volumen 52296 MWh</t>
        </is>
      </c>
    </row>
    <row r="188">
      <c r="A188" s="53" t="n">
        <v>44014</v>
      </c>
      <c r="B188" t="inlineStr">
        <is>
          <t>2020-07-02</t>
        </is>
      </c>
      <c r="C188" s="45" t="n">
        <v>6.78</v>
      </c>
      <c r="D188" t="inlineStr">
        <is>
          <t>€/MWh</t>
        </is>
      </c>
      <c r="E188" s="54" t="n">
        <v>0.00678</v>
      </c>
      <c r="F188" s="54" t="n"/>
      <c r="G188" t="inlineStr">
        <is>
          <t>no aplica (precio mayorista)</t>
        </is>
      </c>
      <c r="J188" t="inlineStr">
        <is>
          <t>2020-07-02</t>
        </is>
      </c>
      <c r="K188" t="inlineStr">
        <is>
          <t>MIBGAS_Data_2020.xlsx</t>
        </is>
      </c>
      <c r="L188" t="inlineStr">
        <is>
          <t>volumen 49771 MWh</t>
        </is>
      </c>
    </row>
    <row r="189">
      <c r="A189" s="53" t="n">
        <v>44015</v>
      </c>
      <c r="B189" t="inlineStr">
        <is>
          <t>2020-07-03</t>
        </is>
      </c>
      <c r="C189" s="45" t="n">
        <v>6.66</v>
      </c>
      <c r="D189" t="inlineStr">
        <is>
          <t>€/MWh</t>
        </is>
      </c>
      <c r="E189" s="54" t="n">
        <v>0.00666</v>
      </c>
      <c r="F189" s="54" t="n"/>
      <c r="G189" t="inlineStr">
        <is>
          <t>no aplica (precio mayorista)</t>
        </is>
      </c>
      <c r="J189" t="inlineStr">
        <is>
          <t>2020-07-03</t>
        </is>
      </c>
      <c r="K189" t="inlineStr">
        <is>
          <t>MIBGAS_Data_2020.xlsx</t>
        </is>
      </c>
      <c r="L189" t="inlineStr">
        <is>
          <t>volumen 71628 MWh</t>
        </is>
      </c>
    </row>
    <row r="190">
      <c r="A190" s="53" t="n">
        <v>44016</v>
      </c>
      <c r="B190" t="inlineStr">
        <is>
          <t>2020-07-04</t>
        </is>
      </c>
      <c r="C190" s="45" t="n">
        <v>6.05</v>
      </c>
      <c r="D190" t="inlineStr">
        <is>
          <t>€/MWh</t>
        </is>
      </c>
      <c r="E190" s="54" t="n">
        <v>0.00605</v>
      </c>
      <c r="F190" s="54" t="n"/>
      <c r="G190" t="inlineStr">
        <is>
          <t>no aplica (precio mayorista)</t>
        </is>
      </c>
      <c r="J190" t="inlineStr">
        <is>
          <t>2020-07-04</t>
        </is>
      </c>
      <c r="K190" t="inlineStr">
        <is>
          <t>MIBGAS_Data_2020.xlsx</t>
        </is>
      </c>
      <c r="L190" t="inlineStr">
        <is>
          <t>volumen 82147 MWh</t>
        </is>
      </c>
    </row>
    <row r="191">
      <c r="A191" s="53" t="n">
        <v>44017</v>
      </c>
      <c r="B191" t="inlineStr">
        <is>
          <t>2020-07-05</t>
        </is>
      </c>
      <c r="C191" s="45" t="n">
        <v>5.69</v>
      </c>
      <c r="D191" t="inlineStr">
        <is>
          <t>€/MWh</t>
        </is>
      </c>
      <c r="E191" s="54" t="n">
        <v>0.00569</v>
      </c>
      <c r="F191" s="54" t="n"/>
      <c r="G191" t="inlineStr">
        <is>
          <t>no aplica (precio mayorista)</t>
        </is>
      </c>
      <c r="J191" t="inlineStr">
        <is>
          <t>2020-07-05</t>
        </is>
      </c>
      <c r="K191" t="inlineStr">
        <is>
          <t>MIBGAS_Data_2020.xlsx</t>
        </is>
      </c>
      <c r="L191" t="inlineStr">
        <is>
          <t>volumen 77695 MWh</t>
        </is>
      </c>
    </row>
    <row r="192">
      <c r="A192" s="53" t="n">
        <v>44018</v>
      </c>
      <c r="B192" t="inlineStr">
        <is>
          <t>2020-07-06</t>
        </is>
      </c>
      <c r="C192" s="45" t="n">
        <v>6.19</v>
      </c>
      <c r="D192" t="inlineStr">
        <is>
          <t>€/MWh</t>
        </is>
      </c>
      <c r="E192" s="54" t="n">
        <v>0.00619</v>
      </c>
      <c r="F192" s="54" t="n"/>
      <c r="G192" t="inlineStr">
        <is>
          <t>no aplica (precio mayorista)</t>
        </is>
      </c>
      <c r="J192" t="inlineStr">
        <is>
          <t>2020-07-06</t>
        </is>
      </c>
      <c r="K192" t="inlineStr">
        <is>
          <t>MIBGAS_Data_2020.xlsx</t>
        </is>
      </c>
      <c r="L192" t="inlineStr">
        <is>
          <t>volumen 63832 MWh</t>
        </is>
      </c>
    </row>
    <row r="193">
      <c r="A193" s="53" t="n">
        <v>44019</v>
      </c>
      <c r="B193" t="inlineStr">
        <is>
          <t>2020-07-07</t>
        </is>
      </c>
      <c r="C193" s="45" t="n">
        <v>6.57</v>
      </c>
      <c r="D193" t="inlineStr">
        <is>
          <t>€/MWh</t>
        </is>
      </c>
      <c r="E193" s="54" t="n">
        <v>0.00657</v>
      </c>
      <c r="F193" s="54" t="n"/>
      <c r="G193" t="inlineStr">
        <is>
          <t>no aplica (precio mayorista)</t>
        </is>
      </c>
      <c r="J193" t="inlineStr">
        <is>
          <t>2020-07-07</t>
        </is>
      </c>
      <c r="K193" t="inlineStr">
        <is>
          <t>MIBGAS_Data_2020.xlsx</t>
        </is>
      </c>
      <c r="L193" t="inlineStr">
        <is>
          <t>volumen 56054 MWh</t>
        </is>
      </c>
    </row>
    <row r="194">
      <c r="A194" s="53" t="n">
        <v>44020</v>
      </c>
      <c r="B194" t="inlineStr">
        <is>
          <t>2020-07-08</t>
        </is>
      </c>
      <c r="C194" s="45" t="n">
        <v>7.39</v>
      </c>
      <c r="D194" t="inlineStr">
        <is>
          <t>€/MWh</t>
        </is>
      </c>
      <c r="E194" s="54" t="n">
        <v>0.00739</v>
      </c>
      <c r="F194" s="54" t="n"/>
      <c r="G194" t="inlineStr">
        <is>
          <t>no aplica (precio mayorista)</t>
        </is>
      </c>
      <c r="J194" t="inlineStr">
        <is>
          <t>2020-07-08</t>
        </is>
      </c>
      <c r="K194" t="inlineStr">
        <is>
          <t>MIBGAS_Data_2020.xlsx</t>
        </is>
      </c>
      <c r="L194" t="inlineStr">
        <is>
          <t>volumen 63937 MWh</t>
        </is>
      </c>
    </row>
    <row r="195">
      <c r="A195" s="53" t="n">
        <v>44021</v>
      </c>
      <c r="B195" t="inlineStr">
        <is>
          <t>2020-07-09</t>
        </is>
      </c>
      <c r="C195" s="45" t="n">
        <v>7.72</v>
      </c>
      <c r="D195" t="inlineStr">
        <is>
          <t>€/MWh</t>
        </is>
      </c>
      <c r="E195" s="54" t="n">
        <v>0.00772</v>
      </c>
      <c r="F195" s="54" t="n"/>
      <c r="G195" t="inlineStr">
        <is>
          <t>no aplica (precio mayorista)</t>
        </is>
      </c>
      <c r="J195" t="inlineStr">
        <is>
          <t>2020-07-09</t>
        </is>
      </c>
      <c r="K195" t="inlineStr">
        <is>
          <t>MIBGAS_Data_2020.xlsx</t>
        </is>
      </c>
      <c r="L195" t="inlineStr">
        <is>
          <t>volumen 66792 MWh</t>
        </is>
      </c>
    </row>
    <row r="196">
      <c r="A196" s="53" t="n">
        <v>44022</v>
      </c>
      <c r="B196" t="inlineStr">
        <is>
          <t>2020-07-10</t>
        </is>
      </c>
      <c r="C196" s="45" t="n">
        <v>6.73</v>
      </c>
      <c r="D196" t="inlineStr">
        <is>
          <t>€/MWh</t>
        </is>
      </c>
      <c r="E196" s="54" t="n">
        <v>0.00673</v>
      </c>
      <c r="F196" s="54" t="n"/>
      <c r="G196" t="inlineStr">
        <is>
          <t>no aplica (precio mayorista)</t>
        </is>
      </c>
      <c r="J196" t="inlineStr">
        <is>
          <t>2020-07-10</t>
        </is>
      </c>
      <c r="K196" t="inlineStr">
        <is>
          <t>MIBGAS_Data_2020.xlsx</t>
        </is>
      </c>
      <c r="L196" t="inlineStr">
        <is>
          <t>volumen 59984 MWh</t>
        </is>
      </c>
    </row>
    <row r="197">
      <c r="A197" s="53" t="n">
        <v>44023</v>
      </c>
      <c r="B197" t="inlineStr">
        <is>
          <t>2020-07-11</t>
        </is>
      </c>
      <c r="C197" s="45" t="n">
        <v>5.85</v>
      </c>
      <c r="D197" t="inlineStr">
        <is>
          <t>€/MWh</t>
        </is>
      </c>
      <c r="E197" s="54" t="n">
        <v>0.00585</v>
      </c>
      <c r="F197" s="54" t="n"/>
      <c r="G197" t="inlineStr">
        <is>
          <t>no aplica (precio mayorista)</t>
        </is>
      </c>
      <c r="J197" t="inlineStr">
        <is>
          <t>2020-07-11</t>
        </is>
      </c>
      <c r="K197" t="inlineStr">
        <is>
          <t>MIBGAS_Data_2020.xlsx</t>
        </is>
      </c>
      <c r="L197" t="inlineStr">
        <is>
          <t>volumen 96347 MWh</t>
        </is>
      </c>
    </row>
    <row r="198">
      <c r="A198" s="53" t="n">
        <v>44024</v>
      </c>
      <c r="B198" t="inlineStr">
        <is>
          <t>2020-07-12</t>
        </is>
      </c>
      <c r="C198" s="45" t="n">
        <v>5.67</v>
      </c>
      <c r="D198" t="inlineStr">
        <is>
          <t>€/MWh</t>
        </is>
      </c>
      <c r="E198" s="54" t="n">
        <v>0.00567</v>
      </c>
      <c r="F198" s="54" t="n"/>
      <c r="G198" t="inlineStr">
        <is>
          <t>no aplica (precio mayorista)</t>
        </is>
      </c>
      <c r="J198" t="inlineStr">
        <is>
          <t>2020-07-12</t>
        </is>
      </c>
      <c r="K198" t="inlineStr">
        <is>
          <t>MIBGAS_Data_2020.xlsx</t>
        </is>
      </c>
      <c r="L198" t="inlineStr">
        <is>
          <t>volumen 80604 MWh</t>
        </is>
      </c>
    </row>
    <row r="199">
      <c r="A199" s="53" t="n">
        <v>44025</v>
      </c>
      <c r="B199" t="inlineStr">
        <is>
          <t>2020-07-13</t>
        </is>
      </c>
      <c r="C199" s="45" t="n">
        <v>6.02</v>
      </c>
      <c r="D199" t="inlineStr">
        <is>
          <t>€/MWh</t>
        </is>
      </c>
      <c r="E199" s="54" t="n">
        <v>0.00602</v>
      </c>
      <c r="F199" s="54" t="n"/>
      <c r="G199" t="inlineStr">
        <is>
          <t>no aplica (precio mayorista)</t>
        </is>
      </c>
      <c r="J199" t="inlineStr">
        <is>
          <t>2020-07-13</t>
        </is>
      </c>
      <c r="K199" t="inlineStr">
        <is>
          <t>MIBGAS_Data_2020.xlsx</t>
        </is>
      </c>
      <c r="L199" t="inlineStr">
        <is>
          <t>volumen 46476 MWh</t>
        </is>
      </c>
    </row>
    <row r="200">
      <c r="A200" s="53" t="n">
        <v>44026</v>
      </c>
      <c r="B200" t="inlineStr">
        <is>
          <t>2020-07-14</t>
        </is>
      </c>
      <c r="C200" s="45" t="n">
        <v>5.44</v>
      </c>
      <c r="D200" t="inlineStr">
        <is>
          <t>€/MWh</t>
        </is>
      </c>
      <c r="E200" s="54" t="n">
        <v>0.00544</v>
      </c>
      <c r="F200" s="54" t="n"/>
      <c r="G200" t="inlineStr">
        <is>
          <t>no aplica (precio mayorista)</t>
        </is>
      </c>
      <c r="J200" t="inlineStr">
        <is>
          <t>2020-07-14</t>
        </is>
      </c>
      <c r="K200" t="inlineStr">
        <is>
          <t>MIBGAS_Data_2020.xlsx</t>
        </is>
      </c>
      <c r="L200" t="inlineStr">
        <is>
          <t>volumen 82217 MWh</t>
        </is>
      </c>
    </row>
    <row r="201">
      <c r="A201" s="53" t="n">
        <v>44027</v>
      </c>
      <c r="B201" t="inlineStr">
        <is>
          <t>2020-07-15</t>
        </is>
      </c>
      <c r="C201" s="45" t="n">
        <v>5.02</v>
      </c>
      <c r="D201" t="inlineStr">
        <is>
          <t>€/MWh</t>
        </is>
      </c>
      <c r="E201" s="54" t="n">
        <v>0.00502</v>
      </c>
      <c r="F201" s="54" t="n"/>
      <c r="G201" t="inlineStr">
        <is>
          <t>no aplica (precio mayorista)</t>
        </is>
      </c>
      <c r="J201" t="inlineStr">
        <is>
          <t>2020-07-15</t>
        </is>
      </c>
      <c r="K201" t="inlineStr">
        <is>
          <t>MIBGAS_Data_2020.xlsx</t>
        </is>
      </c>
      <c r="L201" t="inlineStr">
        <is>
          <t>volumen 95217 MWh</t>
        </is>
      </c>
    </row>
    <row r="202">
      <c r="A202" s="53" t="n">
        <v>44028</v>
      </c>
      <c r="B202" t="inlineStr">
        <is>
          <t>2020-07-16</t>
        </is>
      </c>
      <c r="C202" s="45" t="n">
        <v>5.56</v>
      </c>
      <c r="D202" t="inlineStr">
        <is>
          <t>€/MWh</t>
        </is>
      </c>
      <c r="E202" s="54" t="n">
        <v>0.00556</v>
      </c>
      <c r="F202" s="54" t="n"/>
      <c r="G202" t="inlineStr">
        <is>
          <t>no aplica (precio mayorista)</t>
        </is>
      </c>
      <c r="J202" t="inlineStr">
        <is>
          <t>2020-07-16</t>
        </is>
      </c>
      <c r="K202" t="inlineStr">
        <is>
          <t>MIBGAS_Data_2020.xlsx</t>
        </is>
      </c>
      <c r="L202" t="inlineStr">
        <is>
          <t>volumen 92273 MWh</t>
        </is>
      </c>
    </row>
    <row r="203">
      <c r="A203" s="53" t="n">
        <v>44029</v>
      </c>
      <c r="B203" t="inlineStr">
        <is>
          <t>2020-07-17</t>
        </is>
      </c>
      <c r="C203" s="45" t="n">
        <v>5.66</v>
      </c>
      <c r="D203" t="inlineStr">
        <is>
          <t>€/MWh</t>
        </is>
      </c>
      <c r="E203" s="54" t="n">
        <v>0.00566</v>
      </c>
      <c r="F203" s="54" t="n"/>
      <c r="G203" t="inlineStr">
        <is>
          <t>no aplica (precio mayorista)</t>
        </is>
      </c>
      <c r="J203" t="inlineStr">
        <is>
          <t>2020-07-17</t>
        </is>
      </c>
      <c r="K203" t="inlineStr">
        <is>
          <t>MIBGAS_Data_2020.xlsx</t>
        </is>
      </c>
      <c r="L203" t="inlineStr">
        <is>
          <t>volumen 69306 MWh</t>
        </is>
      </c>
    </row>
    <row r="204">
      <c r="A204" s="53" t="n">
        <v>44030</v>
      </c>
      <c r="B204" t="inlineStr">
        <is>
          <t>2020-07-18</t>
        </is>
      </c>
      <c r="C204" s="45" t="n">
        <v>5.37</v>
      </c>
      <c r="D204" t="inlineStr">
        <is>
          <t>€/MWh</t>
        </is>
      </c>
      <c r="E204" s="54" t="n">
        <v>0.00537</v>
      </c>
      <c r="F204" s="54" t="n"/>
      <c r="G204" t="inlineStr">
        <is>
          <t>no aplica (precio mayorista)</t>
        </is>
      </c>
      <c r="J204" t="inlineStr">
        <is>
          <t>2020-07-18</t>
        </is>
      </c>
      <c r="K204" t="inlineStr">
        <is>
          <t>MIBGAS_Data_2020.xlsx</t>
        </is>
      </c>
      <c r="L204" t="inlineStr">
        <is>
          <t>volumen 71594 MWh</t>
        </is>
      </c>
    </row>
    <row r="205">
      <c r="A205" s="53" t="n">
        <v>44031</v>
      </c>
      <c r="B205" t="inlineStr">
        <is>
          <t>2020-07-19</t>
        </is>
      </c>
      <c r="C205" s="45" t="n">
        <v>5.5</v>
      </c>
      <c r="D205" t="inlineStr">
        <is>
          <t>€/MWh</t>
        </is>
      </c>
      <c r="E205" s="54" t="n">
        <v>0.0055</v>
      </c>
      <c r="F205" s="54" t="n"/>
      <c r="G205" t="inlineStr">
        <is>
          <t>no aplica (precio mayorista)</t>
        </is>
      </c>
      <c r="J205" t="inlineStr">
        <is>
          <t>2020-07-19</t>
        </is>
      </c>
      <c r="K205" t="inlineStr">
        <is>
          <t>MIBGAS_Data_2020.xlsx</t>
        </is>
      </c>
      <c r="L205" t="inlineStr">
        <is>
          <t>volumen 88701 MWh</t>
        </is>
      </c>
    </row>
    <row r="206">
      <c r="A206" s="53" t="n">
        <v>44032</v>
      </c>
      <c r="B206" t="inlineStr">
        <is>
          <t>2020-07-20</t>
        </is>
      </c>
      <c r="C206" s="45" t="n">
        <v>5.81</v>
      </c>
      <c r="D206" t="inlineStr">
        <is>
          <t>€/MWh</t>
        </is>
      </c>
      <c r="E206" s="54" t="n">
        <v>0.00581</v>
      </c>
      <c r="F206" s="54" t="n"/>
      <c r="G206" t="inlineStr">
        <is>
          <t>no aplica (precio mayorista)</t>
        </is>
      </c>
      <c r="J206" t="inlineStr">
        <is>
          <t>2020-07-20</t>
        </is>
      </c>
      <c r="K206" t="inlineStr">
        <is>
          <t>MIBGAS_Data_2020.xlsx</t>
        </is>
      </c>
      <c r="L206" t="inlineStr">
        <is>
          <t>volumen 69399 MWh</t>
        </is>
      </c>
    </row>
    <row r="207">
      <c r="A207" s="53" t="n">
        <v>44033</v>
      </c>
      <c r="B207" t="inlineStr">
        <is>
          <t>2020-07-21</t>
        </is>
      </c>
      <c r="C207" s="45" t="n">
        <v>6.79</v>
      </c>
      <c r="D207" t="inlineStr">
        <is>
          <t>€/MWh</t>
        </is>
      </c>
      <c r="E207" s="54" t="n">
        <v>0.00679</v>
      </c>
      <c r="F207" s="54" t="n"/>
      <c r="G207" t="inlineStr">
        <is>
          <t>no aplica (precio mayorista)</t>
        </is>
      </c>
      <c r="J207" t="inlineStr">
        <is>
          <t>2020-07-21</t>
        </is>
      </c>
      <c r="K207" t="inlineStr">
        <is>
          <t>MIBGAS_Data_2020.xlsx</t>
        </is>
      </c>
      <c r="L207" t="inlineStr">
        <is>
          <t>volumen 73868 MWh</t>
        </is>
      </c>
    </row>
    <row r="208">
      <c r="A208" s="53" t="n">
        <v>44034</v>
      </c>
      <c r="B208" t="inlineStr">
        <is>
          <t>2020-07-22</t>
        </is>
      </c>
      <c r="C208" s="45" t="n">
        <v>7.28</v>
      </c>
      <c r="D208" t="inlineStr">
        <is>
          <t>€/MWh</t>
        </is>
      </c>
      <c r="E208" s="54" t="n">
        <v>0.00728</v>
      </c>
      <c r="F208" s="54" t="n"/>
      <c r="G208" t="inlineStr">
        <is>
          <t>no aplica (precio mayorista)</t>
        </is>
      </c>
      <c r="J208" t="inlineStr">
        <is>
          <t>2020-07-22</t>
        </is>
      </c>
      <c r="K208" t="inlineStr">
        <is>
          <t>MIBGAS_Data_2020.xlsx</t>
        </is>
      </c>
      <c r="L208" t="inlineStr">
        <is>
          <t>volumen 91505 MWh</t>
        </is>
      </c>
    </row>
    <row r="209">
      <c r="A209" s="53" t="n">
        <v>44035</v>
      </c>
      <c r="B209" t="inlineStr">
        <is>
          <t>2020-07-23</t>
        </is>
      </c>
      <c r="C209" s="45" t="n">
        <v>7.41</v>
      </c>
      <c r="D209" t="inlineStr">
        <is>
          <t>€/MWh</t>
        </is>
      </c>
      <c r="E209" s="54" t="n">
        <v>0.00741</v>
      </c>
      <c r="F209" s="54" t="n"/>
      <c r="G209" t="inlineStr">
        <is>
          <t>no aplica (precio mayorista)</t>
        </is>
      </c>
      <c r="J209" t="inlineStr">
        <is>
          <t>2020-07-23</t>
        </is>
      </c>
      <c r="K209" t="inlineStr">
        <is>
          <t>MIBGAS_Data_2020.xlsx</t>
        </is>
      </c>
      <c r="L209" t="inlineStr">
        <is>
          <t>volumen 93092 MWh</t>
        </is>
      </c>
    </row>
    <row r="210">
      <c r="A210" s="53" t="n">
        <v>44036</v>
      </c>
      <c r="B210" t="inlineStr">
        <is>
          <t>2020-07-24</t>
        </is>
      </c>
      <c r="C210" s="45" t="n">
        <v>7.12</v>
      </c>
      <c r="D210" t="inlineStr">
        <is>
          <t>€/MWh</t>
        </is>
      </c>
      <c r="E210" s="54" t="n">
        <v>0.00712</v>
      </c>
      <c r="F210" s="54" t="n"/>
      <c r="G210" t="inlineStr">
        <is>
          <t>no aplica (precio mayorista)</t>
        </is>
      </c>
      <c r="J210" t="inlineStr">
        <is>
          <t>2020-07-24</t>
        </is>
      </c>
      <c r="K210" t="inlineStr">
        <is>
          <t>MIBGAS_Data_2020.xlsx</t>
        </is>
      </c>
      <c r="L210" t="inlineStr">
        <is>
          <t>volumen 59935 MWh</t>
        </is>
      </c>
    </row>
    <row r="211">
      <c r="A211" s="53" t="n">
        <v>44037</v>
      </c>
      <c r="B211" t="inlineStr">
        <is>
          <t>2020-07-25</t>
        </is>
      </c>
      <c r="C211" s="45" t="n">
        <v>6.21</v>
      </c>
      <c r="D211" t="inlineStr">
        <is>
          <t>€/MWh</t>
        </is>
      </c>
      <c r="E211" s="54" t="n">
        <v>0.00621</v>
      </c>
      <c r="F211" s="54" t="n"/>
      <c r="G211" t="inlineStr">
        <is>
          <t>no aplica (precio mayorista)</t>
        </is>
      </c>
      <c r="J211" t="inlineStr">
        <is>
          <t>2020-07-25</t>
        </is>
      </c>
      <c r="K211" t="inlineStr">
        <is>
          <t>MIBGAS_Data_2020.xlsx</t>
        </is>
      </c>
      <c r="L211" t="inlineStr">
        <is>
          <t>volumen 90582 MWh</t>
        </is>
      </c>
    </row>
    <row r="212">
      <c r="A212" s="53" t="n">
        <v>44038</v>
      </c>
      <c r="B212" t="inlineStr">
        <is>
          <t>2020-07-26</t>
        </is>
      </c>
      <c r="C212" s="45" t="n">
        <v>6.13</v>
      </c>
      <c r="D212" t="inlineStr">
        <is>
          <t>€/MWh</t>
        </is>
      </c>
      <c r="E212" s="54" t="n">
        <v>0.00613</v>
      </c>
      <c r="F212" s="54" t="n"/>
      <c r="G212" t="inlineStr">
        <is>
          <t>no aplica (precio mayorista)</t>
        </is>
      </c>
      <c r="J212" t="inlineStr">
        <is>
          <t>2020-07-26</t>
        </is>
      </c>
      <c r="K212" t="inlineStr">
        <is>
          <t>MIBGAS_Data_2020.xlsx</t>
        </is>
      </c>
      <c r="L212" t="inlineStr">
        <is>
          <t>volumen 92970 MWh</t>
        </is>
      </c>
    </row>
    <row r="213">
      <c r="A213" s="53" t="n">
        <v>44039</v>
      </c>
      <c r="B213" t="inlineStr">
        <is>
          <t>2020-07-27</t>
        </is>
      </c>
      <c r="C213" s="45" t="n">
        <v>7.13</v>
      </c>
      <c r="D213" t="inlineStr">
        <is>
          <t>€/MWh</t>
        </is>
      </c>
      <c r="E213" s="54" t="n">
        <v>0.00713</v>
      </c>
      <c r="F213" s="54" t="n"/>
      <c r="G213" t="inlineStr">
        <is>
          <t>no aplica (precio mayorista)</t>
        </is>
      </c>
      <c r="J213" t="inlineStr">
        <is>
          <t>2020-07-27</t>
        </is>
      </c>
      <c r="K213" t="inlineStr">
        <is>
          <t>MIBGAS_Data_2020.xlsx</t>
        </is>
      </c>
      <c r="L213" t="inlineStr">
        <is>
          <t>volumen 64160 MWh</t>
        </is>
      </c>
    </row>
    <row r="214">
      <c r="A214" s="53" t="n">
        <v>44040</v>
      </c>
      <c r="B214" t="inlineStr">
        <is>
          <t>2020-07-28</t>
        </is>
      </c>
      <c r="C214" s="45" t="n">
        <v>6.92</v>
      </c>
      <c r="D214" t="inlineStr">
        <is>
          <t>€/MWh</t>
        </is>
      </c>
      <c r="E214" s="54" t="n">
        <v>0.00692</v>
      </c>
      <c r="F214" s="54" t="n"/>
      <c r="G214" t="inlineStr">
        <is>
          <t>no aplica (precio mayorista)</t>
        </is>
      </c>
      <c r="J214" t="inlineStr">
        <is>
          <t>2020-07-28</t>
        </is>
      </c>
      <c r="K214" t="inlineStr">
        <is>
          <t>MIBGAS_Data_2020.xlsx</t>
        </is>
      </c>
      <c r="L214" t="inlineStr">
        <is>
          <t>volumen 78771 MWh</t>
        </is>
      </c>
    </row>
    <row r="215">
      <c r="A215" s="53" t="n">
        <v>44041</v>
      </c>
      <c r="B215" t="inlineStr">
        <is>
          <t>2020-07-29</t>
        </is>
      </c>
      <c r="C215" s="45" t="n">
        <v>6.82</v>
      </c>
      <c r="D215" t="inlineStr">
        <is>
          <t>€/MWh</t>
        </is>
      </c>
      <c r="E215" s="54" t="n">
        <v>0.00682</v>
      </c>
      <c r="F215" s="54" t="n"/>
      <c r="G215" t="inlineStr">
        <is>
          <t>no aplica (precio mayorista)</t>
        </is>
      </c>
      <c r="J215" t="inlineStr">
        <is>
          <t>2020-07-29</t>
        </is>
      </c>
      <c r="K215" t="inlineStr">
        <is>
          <t>MIBGAS_Data_2020.xlsx</t>
        </is>
      </c>
      <c r="L215" t="inlineStr">
        <is>
          <t>volumen 99569 MWh</t>
        </is>
      </c>
    </row>
    <row r="216">
      <c r="A216" s="53" t="n">
        <v>44042</v>
      </c>
      <c r="B216" t="inlineStr">
        <is>
          <t>2020-07-30</t>
        </is>
      </c>
      <c r="C216" s="45" t="n">
        <v>7.32</v>
      </c>
      <c r="D216" t="inlineStr">
        <is>
          <t>€/MWh</t>
        </is>
      </c>
      <c r="E216" s="54" t="n">
        <v>0.00732</v>
      </c>
      <c r="F216" s="54" t="n"/>
      <c r="G216" t="inlineStr">
        <is>
          <t>no aplica (precio mayorista)</t>
        </is>
      </c>
      <c r="J216" t="inlineStr">
        <is>
          <t>2020-07-30</t>
        </is>
      </c>
      <c r="K216" t="inlineStr">
        <is>
          <t>MIBGAS_Data_2020.xlsx</t>
        </is>
      </c>
      <c r="L216" t="inlineStr">
        <is>
          <t>volumen 126677 MWh</t>
        </is>
      </c>
    </row>
    <row r="217">
      <c r="A217" s="53" t="n">
        <v>44043</v>
      </c>
      <c r="B217" t="inlineStr">
        <is>
          <t>2020-07-31</t>
        </is>
      </c>
      <c r="C217" s="45" t="n">
        <v>7.41</v>
      </c>
      <c r="D217" t="inlineStr">
        <is>
          <t>€/MWh</t>
        </is>
      </c>
      <c r="E217" s="54" t="n">
        <v>0.00741</v>
      </c>
      <c r="F217" s="54" t="n"/>
      <c r="G217" t="inlineStr">
        <is>
          <t>no aplica (precio mayorista)</t>
        </is>
      </c>
      <c r="J217" t="inlineStr">
        <is>
          <t>2020-07-31</t>
        </is>
      </c>
      <c r="K217" t="inlineStr">
        <is>
          <t>MIBGAS_Data_2020.xlsx</t>
        </is>
      </c>
      <c r="L217" t="inlineStr">
        <is>
          <t>volumen 104347 MWh</t>
        </is>
      </c>
    </row>
    <row r="218">
      <c r="A218" s="53" t="n">
        <v>44044</v>
      </c>
      <c r="B218" t="inlineStr">
        <is>
          <t>2020-08-01</t>
        </is>
      </c>
      <c r="C218" s="45" t="n">
        <v>7.26</v>
      </c>
      <c r="D218" t="inlineStr">
        <is>
          <t>€/MWh</t>
        </is>
      </c>
      <c r="E218" s="54" t="n">
        <v>0.00726</v>
      </c>
      <c r="F218" s="54" t="n"/>
      <c r="G218" t="inlineStr">
        <is>
          <t>no aplica (precio mayorista)</t>
        </is>
      </c>
      <c r="J218" t="inlineStr">
        <is>
          <t>2020-08-01</t>
        </is>
      </c>
      <c r="K218" t="inlineStr">
        <is>
          <t>MIBGAS_Data_2020.xlsx</t>
        </is>
      </c>
      <c r="L218" t="inlineStr">
        <is>
          <t>volumen 86493 MWh</t>
        </is>
      </c>
    </row>
    <row r="219">
      <c r="A219" s="53" t="n">
        <v>44045</v>
      </c>
      <c r="B219" t="inlineStr">
        <is>
          <t>2020-08-02</t>
        </is>
      </c>
      <c r="C219" s="45" t="n">
        <v>6.88</v>
      </c>
      <c r="D219" t="inlineStr">
        <is>
          <t>€/MWh</t>
        </is>
      </c>
      <c r="E219" s="54" t="n">
        <v>0.00688</v>
      </c>
      <c r="F219" s="54" t="n"/>
      <c r="G219" t="inlineStr">
        <is>
          <t>no aplica (precio mayorista)</t>
        </is>
      </c>
      <c r="J219" t="inlineStr">
        <is>
          <t>2020-08-02</t>
        </is>
      </c>
      <c r="K219" t="inlineStr">
        <is>
          <t>MIBGAS_Data_2020.xlsx</t>
        </is>
      </c>
      <c r="L219" t="inlineStr">
        <is>
          <t>volumen 84628 MWh</t>
        </is>
      </c>
    </row>
    <row r="220">
      <c r="A220" s="53" t="n">
        <v>44046</v>
      </c>
      <c r="B220" t="inlineStr">
        <is>
          <t>2020-08-03</t>
        </is>
      </c>
      <c r="C220" s="45" t="n">
        <v>8.1</v>
      </c>
      <c r="D220" t="inlineStr">
        <is>
          <t>€/MWh</t>
        </is>
      </c>
      <c r="E220" s="54" t="n">
        <v>0.0081</v>
      </c>
      <c r="F220" s="54" t="n"/>
      <c r="G220" t="inlineStr">
        <is>
          <t>no aplica (precio mayorista)</t>
        </is>
      </c>
      <c r="J220" t="inlineStr">
        <is>
          <t>2020-08-03</t>
        </is>
      </c>
      <c r="K220" t="inlineStr">
        <is>
          <t>MIBGAS_Data_2020.xlsx</t>
        </is>
      </c>
      <c r="L220" t="inlineStr">
        <is>
          <t>volumen 79942 MWh</t>
        </is>
      </c>
    </row>
    <row r="221">
      <c r="A221" s="53" t="n">
        <v>44047</v>
      </c>
      <c r="B221" t="inlineStr">
        <is>
          <t>2020-08-04</t>
        </is>
      </c>
      <c r="C221" s="45" t="n">
        <v>8.26</v>
      </c>
      <c r="D221" t="inlineStr">
        <is>
          <t>€/MWh</t>
        </is>
      </c>
      <c r="E221" s="54" t="n">
        <v>0.00826</v>
      </c>
      <c r="F221" s="54" t="n"/>
      <c r="G221" t="inlineStr">
        <is>
          <t>no aplica (precio mayorista)</t>
        </is>
      </c>
      <c r="J221" t="inlineStr">
        <is>
          <t>2020-08-04</t>
        </is>
      </c>
      <c r="K221" t="inlineStr">
        <is>
          <t>MIBGAS_Data_2020.xlsx</t>
        </is>
      </c>
      <c r="L221" t="inlineStr">
        <is>
          <t>volumen 114667 MWh</t>
        </is>
      </c>
    </row>
    <row r="222">
      <c r="A222" s="53" t="n">
        <v>44048</v>
      </c>
      <c r="B222" t="inlineStr">
        <is>
          <t>2020-08-05</t>
        </is>
      </c>
      <c r="C222" s="45" t="n">
        <v>9.289999999999999</v>
      </c>
      <c r="D222" t="inlineStr">
        <is>
          <t>€/MWh</t>
        </is>
      </c>
      <c r="E222" s="54" t="n">
        <v>0.00929</v>
      </c>
      <c r="F222" s="54" t="n"/>
      <c r="G222" t="inlineStr">
        <is>
          <t>no aplica (precio mayorista)</t>
        </is>
      </c>
      <c r="J222" t="inlineStr">
        <is>
          <t>2020-08-05</t>
        </is>
      </c>
      <c r="K222" t="inlineStr">
        <is>
          <t>MIBGAS_Data_2020.xlsx</t>
        </is>
      </c>
      <c r="L222" t="inlineStr">
        <is>
          <t>volumen 61308 MWh</t>
        </is>
      </c>
    </row>
    <row r="223">
      <c r="A223" s="53" t="n">
        <v>44049</v>
      </c>
      <c r="B223" t="inlineStr">
        <is>
          <t>2020-08-06</t>
        </is>
      </c>
      <c r="C223" s="45" t="n">
        <v>9.48</v>
      </c>
      <c r="D223" t="inlineStr">
        <is>
          <t>€/MWh</t>
        </is>
      </c>
      <c r="E223" s="54" t="n">
        <v>0.009480000000000001</v>
      </c>
      <c r="F223" s="54" t="n"/>
      <c r="G223" t="inlineStr">
        <is>
          <t>no aplica (precio mayorista)</t>
        </is>
      </c>
      <c r="J223" t="inlineStr">
        <is>
          <t>2020-08-06</t>
        </is>
      </c>
      <c r="K223" t="inlineStr">
        <is>
          <t>MIBGAS_Data_2020.xlsx</t>
        </is>
      </c>
      <c r="L223" t="inlineStr">
        <is>
          <t>volumen 67290 MWh</t>
        </is>
      </c>
    </row>
    <row r="224">
      <c r="A224" s="53" t="n">
        <v>44050</v>
      </c>
      <c r="B224" t="inlineStr">
        <is>
          <t>2020-08-07</t>
        </is>
      </c>
      <c r="C224" s="45" t="n">
        <v>9.619999999999999</v>
      </c>
      <c r="D224" t="inlineStr">
        <is>
          <t>€/MWh</t>
        </is>
      </c>
      <c r="E224" s="54" t="n">
        <v>0.00962</v>
      </c>
      <c r="F224" s="54" t="n"/>
      <c r="G224" t="inlineStr">
        <is>
          <t>no aplica (precio mayorista)</t>
        </is>
      </c>
      <c r="J224" t="inlineStr">
        <is>
          <t>2020-08-07</t>
        </is>
      </c>
      <c r="K224" t="inlineStr">
        <is>
          <t>MIBGAS_Data_2020.xlsx</t>
        </is>
      </c>
      <c r="L224" t="inlineStr">
        <is>
          <t>volumen 65447 MWh</t>
        </is>
      </c>
    </row>
    <row r="225">
      <c r="A225" s="53" t="n">
        <v>44051</v>
      </c>
      <c r="B225" t="inlineStr">
        <is>
          <t>2020-08-08</t>
        </is>
      </c>
      <c r="C225" s="45" t="n">
        <v>8.859999999999999</v>
      </c>
      <c r="D225" t="inlineStr">
        <is>
          <t>€/MWh</t>
        </is>
      </c>
      <c r="E225" s="54" t="n">
        <v>0.00886</v>
      </c>
      <c r="F225" s="54" t="n"/>
      <c r="G225" t="inlineStr">
        <is>
          <t>no aplica (precio mayorista)</t>
        </is>
      </c>
      <c r="J225" t="inlineStr">
        <is>
          <t>2020-08-08</t>
        </is>
      </c>
      <c r="K225" t="inlineStr">
        <is>
          <t>MIBGAS_Data_2020.xlsx</t>
        </is>
      </c>
      <c r="L225" t="inlineStr">
        <is>
          <t>volumen 61473 MWh</t>
        </is>
      </c>
    </row>
    <row r="226">
      <c r="A226" s="53" t="n">
        <v>44052</v>
      </c>
      <c r="B226" t="inlineStr">
        <is>
          <t>2020-08-09</t>
        </is>
      </c>
      <c r="C226" s="45" t="n">
        <v>8.67</v>
      </c>
      <c r="D226" t="inlineStr">
        <is>
          <t>€/MWh</t>
        </is>
      </c>
      <c r="E226" s="54" t="n">
        <v>0.008670000000000001</v>
      </c>
      <c r="F226" s="54" t="n"/>
      <c r="G226" t="inlineStr">
        <is>
          <t>no aplica (precio mayorista)</t>
        </is>
      </c>
      <c r="J226" t="inlineStr">
        <is>
          <t>2020-08-09</t>
        </is>
      </c>
      <c r="K226" t="inlineStr">
        <is>
          <t>MIBGAS_Data_2020.xlsx</t>
        </is>
      </c>
      <c r="L226" t="inlineStr">
        <is>
          <t>volumen 85292 MWh</t>
        </is>
      </c>
    </row>
    <row r="227">
      <c r="A227" s="53" t="n">
        <v>44053</v>
      </c>
      <c r="B227" t="inlineStr">
        <is>
          <t>2020-08-10</t>
        </is>
      </c>
      <c r="C227" s="45" t="n">
        <v>9.44</v>
      </c>
      <c r="D227" t="inlineStr">
        <is>
          <t>€/MWh</t>
        </is>
      </c>
      <c r="E227" s="54" t="n">
        <v>0.00944</v>
      </c>
      <c r="F227" s="54" t="n"/>
      <c r="G227" t="inlineStr">
        <is>
          <t>no aplica (precio mayorista)</t>
        </is>
      </c>
      <c r="J227" t="inlineStr">
        <is>
          <t>2020-08-10</t>
        </is>
      </c>
      <c r="K227" t="inlineStr">
        <is>
          <t>MIBGAS_Data_2020.xlsx</t>
        </is>
      </c>
      <c r="L227" t="inlineStr">
        <is>
          <t>volumen 62813 MWh</t>
        </is>
      </c>
    </row>
    <row r="228">
      <c r="A228" s="53" t="n">
        <v>44054</v>
      </c>
      <c r="B228" t="inlineStr">
        <is>
          <t>2020-08-11</t>
        </is>
      </c>
      <c r="C228" s="45" t="n">
        <v>9.67</v>
      </c>
      <c r="D228" t="inlineStr">
        <is>
          <t>€/MWh</t>
        </is>
      </c>
      <c r="E228" s="54" t="n">
        <v>0.00967</v>
      </c>
      <c r="F228" s="54" t="n"/>
      <c r="G228" t="inlineStr">
        <is>
          <t>no aplica (precio mayorista)</t>
        </is>
      </c>
      <c r="J228" t="inlineStr">
        <is>
          <t>2020-08-11</t>
        </is>
      </c>
      <c r="K228" t="inlineStr">
        <is>
          <t>MIBGAS_Data_2020.xlsx</t>
        </is>
      </c>
      <c r="L228" t="inlineStr">
        <is>
          <t>volumen 63953 MWh</t>
        </is>
      </c>
    </row>
    <row r="229">
      <c r="A229" s="53" t="n">
        <v>44055</v>
      </c>
      <c r="B229" t="inlineStr">
        <is>
          <t>2020-08-12</t>
        </is>
      </c>
      <c r="C229" s="45" t="n">
        <v>9.35</v>
      </c>
      <c r="D229" t="inlineStr">
        <is>
          <t>€/MWh</t>
        </is>
      </c>
      <c r="E229" s="54" t="n">
        <v>0.009350000000000001</v>
      </c>
      <c r="F229" s="54" t="n"/>
      <c r="G229" t="inlineStr">
        <is>
          <t>no aplica (precio mayorista)</t>
        </is>
      </c>
      <c r="J229" t="inlineStr">
        <is>
          <t>2020-08-12</t>
        </is>
      </c>
      <c r="K229" t="inlineStr">
        <is>
          <t>MIBGAS_Data_2020.xlsx</t>
        </is>
      </c>
      <c r="L229" t="inlineStr">
        <is>
          <t>volumen 58618 MWh</t>
        </is>
      </c>
    </row>
    <row r="230">
      <c r="A230" s="53" t="n">
        <v>44056</v>
      </c>
      <c r="B230" t="inlineStr">
        <is>
          <t>2020-08-13</t>
        </is>
      </c>
      <c r="C230" s="45" t="n">
        <v>9.15</v>
      </c>
      <c r="D230" t="inlineStr">
        <is>
          <t>€/MWh</t>
        </is>
      </c>
      <c r="E230" s="54" t="n">
        <v>0.00915</v>
      </c>
      <c r="F230" s="54" t="n"/>
      <c r="G230" t="inlineStr">
        <is>
          <t>no aplica (precio mayorista)</t>
        </is>
      </c>
      <c r="J230" t="inlineStr">
        <is>
          <t>2020-08-13</t>
        </is>
      </c>
      <c r="K230" t="inlineStr">
        <is>
          <t>MIBGAS_Data_2020.xlsx</t>
        </is>
      </c>
      <c r="L230" t="inlineStr">
        <is>
          <t>volumen 69458 MWh</t>
        </is>
      </c>
    </row>
    <row r="231">
      <c r="A231" s="53" t="n">
        <v>44057</v>
      </c>
      <c r="B231" t="inlineStr">
        <is>
          <t>2020-08-14</t>
        </is>
      </c>
      <c r="C231" s="45" t="n">
        <v>8.94</v>
      </c>
      <c r="D231" t="inlineStr">
        <is>
          <t>€/MWh</t>
        </is>
      </c>
      <c r="E231" s="54" t="n">
        <v>0.00894</v>
      </c>
      <c r="F231" s="54" t="n"/>
      <c r="G231" t="inlineStr">
        <is>
          <t>no aplica (precio mayorista)</t>
        </is>
      </c>
      <c r="J231" t="inlineStr">
        <is>
          <t>2020-08-14</t>
        </is>
      </c>
      <c r="K231" t="inlineStr">
        <is>
          <t>MIBGAS_Data_2020.xlsx</t>
        </is>
      </c>
      <c r="L231" t="inlineStr">
        <is>
          <t>volumen 49462 MWh</t>
        </is>
      </c>
    </row>
    <row r="232">
      <c r="A232" s="53" t="n">
        <v>44058</v>
      </c>
      <c r="B232" t="inlineStr">
        <is>
          <t>2020-08-15</t>
        </is>
      </c>
      <c r="C232" s="45" t="n">
        <v>8.26</v>
      </c>
      <c r="D232" t="inlineStr">
        <is>
          <t>€/MWh</t>
        </is>
      </c>
      <c r="E232" s="54" t="n">
        <v>0.00826</v>
      </c>
      <c r="F232" s="54" t="n"/>
      <c r="G232" t="inlineStr">
        <is>
          <t>no aplica (precio mayorista)</t>
        </is>
      </c>
      <c r="J232" t="inlineStr">
        <is>
          <t>2020-08-15</t>
        </is>
      </c>
      <c r="K232" t="inlineStr">
        <is>
          <t>MIBGAS_Data_2020.xlsx</t>
        </is>
      </c>
      <c r="L232" t="inlineStr">
        <is>
          <t>volumen 97469 MWh</t>
        </is>
      </c>
    </row>
    <row r="233">
      <c r="A233" s="53" t="n">
        <v>44059</v>
      </c>
      <c r="B233" t="inlineStr">
        <is>
          <t>2020-08-16</t>
        </is>
      </c>
      <c r="C233" s="45" t="n">
        <v>7.58</v>
      </c>
      <c r="D233" t="inlineStr">
        <is>
          <t>€/MWh</t>
        </is>
      </c>
      <c r="E233" s="54" t="n">
        <v>0.00758</v>
      </c>
      <c r="F233" s="54" t="n"/>
      <c r="G233" t="inlineStr">
        <is>
          <t>no aplica (precio mayorista)</t>
        </is>
      </c>
      <c r="J233" t="inlineStr">
        <is>
          <t>2020-08-16</t>
        </is>
      </c>
      <c r="K233" t="inlineStr">
        <is>
          <t>MIBGAS_Data_2020.xlsx</t>
        </is>
      </c>
      <c r="L233" t="inlineStr">
        <is>
          <t>volumen 130406 MWh</t>
        </is>
      </c>
    </row>
    <row r="234">
      <c r="A234" s="53" t="n">
        <v>44060</v>
      </c>
      <c r="B234" t="inlineStr">
        <is>
          <t>2020-08-17</t>
        </is>
      </c>
      <c r="C234" s="45" t="n">
        <v>9.26</v>
      </c>
      <c r="D234" t="inlineStr">
        <is>
          <t>€/MWh</t>
        </is>
      </c>
      <c r="E234" s="54" t="n">
        <v>0.009259999999999999</v>
      </c>
      <c r="F234" s="54" t="n"/>
      <c r="G234" t="inlineStr">
        <is>
          <t>no aplica (precio mayorista)</t>
        </is>
      </c>
      <c r="J234" t="inlineStr">
        <is>
          <t>2020-08-17</t>
        </is>
      </c>
      <c r="K234" t="inlineStr">
        <is>
          <t>MIBGAS_Data_2020.xlsx</t>
        </is>
      </c>
      <c r="L234" t="inlineStr">
        <is>
          <t>volumen 47642 MWh</t>
        </is>
      </c>
    </row>
    <row r="235">
      <c r="A235" s="53" t="n">
        <v>44061</v>
      </c>
      <c r="B235" t="inlineStr">
        <is>
          <t>2020-08-18</t>
        </is>
      </c>
      <c r="C235" s="45" t="n">
        <v>9.779999999999999</v>
      </c>
      <c r="D235" t="inlineStr">
        <is>
          <t>€/MWh</t>
        </is>
      </c>
      <c r="E235" s="54" t="n">
        <v>0.00978</v>
      </c>
      <c r="F235" s="54" t="n"/>
      <c r="G235" t="inlineStr">
        <is>
          <t>no aplica (precio mayorista)</t>
        </is>
      </c>
      <c r="J235" t="inlineStr">
        <is>
          <t>2020-08-18</t>
        </is>
      </c>
      <c r="K235" t="inlineStr">
        <is>
          <t>MIBGAS_Data_2020.xlsx</t>
        </is>
      </c>
      <c r="L235" t="inlineStr">
        <is>
          <t>volumen 43640 MWh</t>
        </is>
      </c>
    </row>
    <row r="236">
      <c r="A236" s="53" t="n">
        <v>44062</v>
      </c>
      <c r="B236" t="inlineStr">
        <is>
          <t>2020-08-19</t>
        </is>
      </c>
      <c r="C236" s="45" t="n">
        <v>8.789999999999999</v>
      </c>
      <c r="D236" t="inlineStr">
        <is>
          <t>€/MWh</t>
        </is>
      </c>
      <c r="E236" s="54" t="n">
        <v>0.008789999999999999</v>
      </c>
      <c r="F236" s="54" t="n"/>
      <c r="G236" t="inlineStr">
        <is>
          <t>no aplica (precio mayorista)</t>
        </is>
      </c>
      <c r="J236" t="inlineStr">
        <is>
          <t>2020-08-19</t>
        </is>
      </c>
      <c r="K236" t="inlineStr">
        <is>
          <t>MIBGAS_Data_2020.xlsx</t>
        </is>
      </c>
      <c r="L236" t="inlineStr">
        <is>
          <t>volumen 54470 MWh</t>
        </is>
      </c>
    </row>
    <row r="237">
      <c r="A237" s="53" t="n">
        <v>44063</v>
      </c>
      <c r="B237" t="inlineStr">
        <is>
          <t>2020-08-20</t>
        </is>
      </c>
      <c r="C237" s="45" t="n">
        <v>8.75</v>
      </c>
      <c r="D237" t="inlineStr">
        <is>
          <t>€/MWh</t>
        </is>
      </c>
      <c r="E237" s="54" t="n">
        <v>0.008750000000000001</v>
      </c>
      <c r="F237" s="54" t="n"/>
      <c r="G237" t="inlineStr">
        <is>
          <t>no aplica (precio mayorista)</t>
        </is>
      </c>
      <c r="J237" t="inlineStr">
        <is>
          <t>2020-08-20</t>
        </is>
      </c>
      <c r="K237" t="inlineStr">
        <is>
          <t>MIBGAS_Data_2020.xlsx</t>
        </is>
      </c>
      <c r="L237" t="inlineStr">
        <is>
          <t>volumen 44820 MWh</t>
        </is>
      </c>
    </row>
    <row r="238">
      <c r="A238" s="53" t="n">
        <v>44064</v>
      </c>
      <c r="B238" t="inlineStr">
        <is>
          <t>2020-08-21</t>
        </is>
      </c>
      <c r="C238" s="45" t="n">
        <v>8.56</v>
      </c>
      <c r="D238" t="inlineStr">
        <is>
          <t>€/MWh</t>
        </is>
      </c>
      <c r="E238" s="54" t="n">
        <v>0.00856</v>
      </c>
      <c r="F238" s="54" t="n"/>
      <c r="G238" t="inlineStr">
        <is>
          <t>no aplica (precio mayorista)</t>
        </is>
      </c>
      <c r="J238" t="inlineStr">
        <is>
          <t>2020-08-21</t>
        </is>
      </c>
      <c r="K238" t="inlineStr">
        <is>
          <t>MIBGAS_Data_2020.xlsx</t>
        </is>
      </c>
      <c r="L238" t="inlineStr">
        <is>
          <t>volumen 49424 MWh</t>
        </is>
      </c>
    </row>
    <row r="239">
      <c r="A239" s="53" t="n">
        <v>44065</v>
      </c>
      <c r="B239" t="inlineStr">
        <is>
          <t>2020-08-22</t>
        </is>
      </c>
      <c r="C239" s="45" t="n">
        <v>7.82</v>
      </c>
      <c r="D239" t="inlineStr">
        <is>
          <t>€/MWh</t>
        </is>
      </c>
      <c r="E239" s="54" t="n">
        <v>0.007820000000000001</v>
      </c>
      <c r="F239" s="54" t="n"/>
      <c r="G239" t="inlineStr">
        <is>
          <t>no aplica (precio mayorista)</t>
        </is>
      </c>
      <c r="J239" t="inlineStr">
        <is>
          <t>2020-08-22</t>
        </is>
      </c>
      <c r="K239" t="inlineStr">
        <is>
          <t>MIBGAS_Data_2020.xlsx</t>
        </is>
      </c>
      <c r="L239" t="inlineStr">
        <is>
          <t>volumen 108029 MWh</t>
        </is>
      </c>
    </row>
    <row r="240">
      <c r="A240" s="53" t="n">
        <v>44066</v>
      </c>
      <c r="B240" t="inlineStr">
        <is>
          <t>2020-08-23</t>
        </is>
      </c>
      <c r="C240" s="45" t="n">
        <v>7.4</v>
      </c>
      <c r="D240" t="inlineStr">
        <is>
          <t>€/MWh</t>
        </is>
      </c>
      <c r="E240" s="54" t="n">
        <v>0.0074</v>
      </c>
      <c r="F240" s="54" t="n"/>
      <c r="G240" t="inlineStr">
        <is>
          <t>no aplica (precio mayorista)</t>
        </is>
      </c>
      <c r="J240" t="inlineStr">
        <is>
          <t>2020-08-23</t>
        </is>
      </c>
      <c r="K240" t="inlineStr">
        <is>
          <t>MIBGAS_Data_2020.xlsx</t>
        </is>
      </c>
      <c r="L240" t="inlineStr">
        <is>
          <t>volumen 154231 MWh</t>
        </is>
      </c>
    </row>
    <row r="241">
      <c r="A241" s="53" t="n">
        <v>44067</v>
      </c>
      <c r="B241" t="inlineStr">
        <is>
          <t>2020-08-24</t>
        </is>
      </c>
      <c r="C241" s="45" t="n">
        <v>9.52</v>
      </c>
      <c r="D241" t="inlineStr">
        <is>
          <t>€/MWh</t>
        </is>
      </c>
      <c r="E241" s="54" t="n">
        <v>0.009520000000000001</v>
      </c>
      <c r="F241" s="54" t="n"/>
      <c r="G241" t="inlineStr">
        <is>
          <t>no aplica (precio mayorista)</t>
        </is>
      </c>
      <c r="J241" t="inlineStr">
        <is>
          <t>2020-08-24</t>
        </is>
      </c>
      <c r="K241" t="inlineStr">
        <is>
          <t>MIBGAS_Data_2020.xlsx</t>
        </is>
      </c>
      <c r="L241" t="inlineStr">
        <is>
          <t>volumen 63903 MWh</t>
        </is>
      </c>
    </row>
    <row r="242">
      <c r="A242" s="53" t="n">
        <v>44068</v>
      </c>
      <c r="B242" t="inlineStr">
        <is>
          <t>2020-08-25</t>
        </is>
      </c>
      <c r="C242" s="45" t="n">
        <v>10.8</v>
      </c>
      <c r="D242" t="inlineStr">
        <is>
          <t>€/MWh</t>
        </is>
      </c>
      <c r="E242" s="54" t="n">
        <v>0.0108</v>
      </c>
      <c r="F242" s="54" t="n"/>
      <c r="G242" t="inlineStr">
        <is>
          <t>no aplica (precio mayorista)</t>
        </is>
      </c>
      <c r="J242" t="inlineStr">
        <is>
          <t>2020-08-25</t>
        </is>
      </c>
      <c r="K242" t="inlineStr">
        <is>
          <t>MIBGAS_Data_2020.xlsx</t>
        </is>
      </c>
      <c r="L242" t="inlineStr">
        <is>
          <t>volumen 45240 MWh</t>
        </is>
      </c>
    </row>
    <row r="243">
      <c r="A243" s="53" t="n">
        <v>44069</v>
      </c>
      <c r="B243" t="inlineStr">
        <is>
          <t>2020-08-26</t>
        </is>
      </c>
      <c r="C243" s="45" t="n">
        <v>11.61</v>
      </c>
      <c r="D243" t="inlineStr">
        <is>
          <t>€/MWh</t>
        </is>
      </c>
      <c r="E243" s="54" t="n">
        <v>0.01161</v>
      </c>
      <c r="F243" s="54" t="n"/>
      <c r="G243" t="inlineStr">
        <is>
          <t>no aplica (precio mayorista)</t>
        </is>
      </c>
      <c r="J243" t="inlineStr">
        <is>
          <t>2020-08-26</t>
        </is>
      </c>
      <c r="K243" t="inlineStr">
        <is>
          <t>MIBGAS_Data_2020.xlsx</t>
        </is>
      </c>
      <c r="L243" t="inlineStr">
        <is>
          <t>volumen 64054 MWh</t>
        </is>
      </c>
    </row>
    <row r="244">
      <c r="A244" s="53" t="n">
        <v>44070</v>
      </c>
      <c r="B244" t="inlineStr">
        <is>
          <t>2020-08-27</t>
        </is>
      </c>
      <c r="C244" s="45" t="n">
        <v>12.33</v>
      </c>
      <c r="D244" t="inlineStr">
        <is>
          <t>€/MWh</t>
        </is>
      </c>
      <c r="E244" s="54" t="n">
        <v>0.01233</v>
      </c>
      <c r="F244" s="54" t="n"/>
      <c r="G244" t="inlineStr">
        <is>
          <t>no aplica (precio mayorista)</t>
        </is>
      </c>
      <c r="J244" t="inlineStr">
        <is>
          <t>2020-08-27</t>
        </is>
      </c>
      <c r="K244" t="inlineStr">
        <is>
          <t>MIBGAS_Data_2020.xlsx</t>
        </is>
      </c>
      <c r="L244" t="inlineStr">
        <is>
          <t>volumen 124492 MWh</t>
        </is>
      </c>
    </row>
    <row r="245">
      <c r="A245" s="53" t="n">
        <v>44071</v>
      </c>
      <c r="B245" t="inlineStr">
        <is>
          <t>2020-08-28</t>
        </is>
      </c>
      <c r="C245" s="45" t="n">
        <v>11.19</v>
      </c>
      <c r="D245" t="inlineStr">
        <is>
          <t>€/MWh</t>
        </is>
      </c>
      <c r="E245" s="54" t="n">
        <v>0.01119</v>
      </c>
      <c r="F245" s="54" t="n"/>
      <c r="G245" t="inlineStr">
        <is>
          <t>no aplica (precio mayorista)</t>
        </is>
      </c>
      <c r="J245" t="inlineStr">
        <is>
          <t>2020-08-28</t>
        </is>
      </c>
      <c r="K245" t="inlineStr">
        <is>
          <t>MIBGAS_Data_2020.xlsx</t>
        </is>
      </c>
      <c r="L245" t="inlineStr">
        <is>
          <t>volumen 81630 MWh</t>
        </is>
      </c>
    </row>
    <row r="246">
      <c r="A246" s="53" t="n">
        <v>44072</v>
      </c>
      <c r="B246" t="inlineStr">
        <is>
          <t>2020-08-29</t>
        </is>
      </c>
      <c r="C246" s="45" t="n">
        <v>9.390000000000001</v>
      </c>
      <c r="D246" t="inlineStr">
        <is>
          <t>€/MWh</t>
        </is>
      </c>
      <c r="E246" s="54" t="n">
        <v>0.009390000000000001</v>
      </c>
      <c r="F246" s="54" t="n"/>
      <c r="G246" t="inlineStr">
        <is>
          <t>no aplica (precio mayorista)</t>
        </is>
      </c>
      <c r="J246" t="inlineStr">
        <is>
          <t>2020-08-29</t>
        </is>
      </c>
      <c r="K246" t="inlineStr">
        <is>
          <t>MIBGAS_Data_2020.xlsx</t>
        </is>
      </c>
      <c r="L246" t="inlineStr">
        <is>
          <t>volumen 114150 MWh</t>
        </is>
      </c>
    </row>
    <row r="247">
      <c r="A247" s="53" t="n">
        <v>44073</v>
      </c>
      <c r="B247" t="inlineStr">
        <is>
          <t>2020-08-30</t>
        </is>
      </c>
      <c r="C247" s="45" t="n">
        <v>9.5</v>
      </c>
      <c r="D247" t="inlineStr">
        <is>
          <t>€/MWh</t>
        </is>
      </c>
      <c r="E247" s="54" t="n">
        <v>0.0095</v>
      </c>
      <c r="F247" s="54" t="n"/>
      <c r="G247" t="inlineStr">
        <is>
          <t>no aplica (precio mayorista)</t>
        </is>
      </c>
      <c r="J247" t="inlineStr">
        <is>
          <t>2020-08-30</t>
        </is>
      </c>
      <c r="K247" t="inlineStr">
        <is>
          <t>MIBGAS_Data_2020.xlsx</t>
        </is>
      </c>
      <c r="L247" t="inlineStr">
        <is>
          <t>volumen 124197 MWh</t>
        </is>
      </c>
    </row>
    <row r="248">
      <c r="A248" s="53" t="n">
        <v>44074</v>
      </c>
      <c r="B248" t="inlineStr">
        <is>
          <t>2020-08-31</t>
        </is>
      </c>
      <c r="C248" s="45" t="n">
        <v>11.28</v>
      </c>
      <c r="D248" t="inlineStr">
        <is>
          <t>€/MWh</t>
        </is>
      </c>
      <c r="E248" s="54" t="n">
        <v>0.01128</v>
      </c>
      <c r="F248" s="54" t="n"/>
      <c r="G248" t="inlineStr">
        <is>
          <t>no aplica (precio mayorista)</t>
        </is>
      </c>
      <c r="J248" t="inlineStr">
        <is>
          <t>2020-08-31</t>
        </is>
      </c>
      <c r="K248" t="inlineStr">
        <is>
          <t>MIBGAS_Data_2020.xlsx</t>
        </is>
      </c>
      <c r="L248" t="inlineStr">
        <is>
          <t>volumen 63570 MWh</t>
        </is>
      </c>
    </row>
    <row r="249">
      <c r="A249" s="53" t="n">
        <v>44075</v>
      </c>
      <c r="B249" t="inlineStr">
        <is>
          <t>2020-09-01</t>
        </is>
      </c>
      <c r="C249" s="45" t="n">
        <v>11.94</v>
      </c>
      <c r="D249" t="inlineStr">
        <is>
          <t>€/MWh</t>
        </is>
      </c>
      <c r="E249" s="54" t="n">
        <v>0.01194</v>
      </c>
      <c r="F249" s="54" t="n"/>
      <c r="G249" t="inlineStr">
        <is>
          <t>no aplica (precio mayorista)</t>
        </is>
      </c>
      <c r="J249" t="inlineStr">
        <is>
          <t>2020-09-01</t>
        </is>
      </c>
      <c r="K249" t="inlineStr">
        <is>
          <t>MIBGAS_Data_2020.xlsx</t>
        </is>
      </c>
      <c r="L249" t="inlineStr">
        <is>
          <t>volumen 110484 MWh</t>
        </is>
      </c>
    </row>
    <row r="250">
      <c r="A250" s="53" t="n">
        <v>44076</v>
      </c>
      <c r="B250" t="inlineStr">
        <is>
          <t>2020-09-02</t>
        </is>
      </c>
      <c r="C250" s="45" t="n">
        <v>11.65</v>
      </c>
      <c r="D250" t="inlineStr">
        <is>
          <t>€/MWh</t>
        </is>
      </c>
      <c r="E250" s="54" t="n">
        <v>0.01165</v>
      </c>
      <c r="F250" s="54" t="n"/>
      <c r="G250" t="inlineStr">
        <is>
          <t>no aplica (precio mayorista)</t>
        </is>
      </c>
      <c r="J250" t="inlineStr">
        <is>
          <t>2020-09-02</t>
        </is>
      </c>
      <c r="K250" t="inlineStr">
        <is>
          <t>MIBGAS_Data_2020.xlsx</t>
        </is>
      </c>
      <c r="L250" t="inlineStr">
        <is>
          <t>volumen 69023 MWh</t>
        </is>
      </c>
    </row>
    <row r="251">
      <c r="A251" s="53" t="n">
        <v>44077</v>
      </c>
      <c r="B251" t="inlineStr">
        <is>
          <t>2020-09-03</t>
        </is>
      </c>
      <c r="C251" s="45" t="n">
        <v>11.45</v>
      </c>
      <c r="D251" t="inlineStr">
        <is>
          <t>€/MWh</t>
        </is>
      </c>
      <c r="E251" s="54" t="n">
        <v>0.01145</v>
      </c>
      <c r="F251" s="54" t="n"/>
      <c r="G251" t="inlineStr">
        <is>
          <t>no aplica (precio mayorista)</t>
        </is>
      </c>
      <c r="J251" t="inlineStr">
        <is>
          <t>2020-09-03</t>
        </is>
      </c>
      <c r="K251" t="inlineStr">
        <is>
          <t>MIBGAS_Data_2020.xlsx</t>
        </is>
      </c>
      <c r="L251" t="inlineStr">
        <is>
          <t>volumen 68488 MWh</t>
        </is>
      </c>
    </row>
    <row r="252">
      <c r="A252" s="53" t="n">
        <v>44078</v>
      </c>
      <c r="B252" t="inlineStr">
        <is>
          <t>2020-09-04</t>
        </is>
      </c>
      <c r="C252" s="45" t="n">
        <v>11.23</v>
      </c>
      <c r="D252" t="inlineStr">
        <is>
          <t>€/MWh</t>
        </is>
      </c>
      <c r="E252" s="54" t="n">
        <v>0.01123</v>
      </c>
      <c r="F252" s="54" t="n"/>
      <c r="G252" t="inlineStr">
        <is>
          <t>no aplica (precio mayorista)</t>
        </is>
      </c>
      <c r="J252" t="inlineStr">
        <is>
          <t>2020-09-04</t>
        </is>
      </c>
      <c r="K252" t="inlineStr">
        <is>
          <t>MIBGAS_Data_2020.xlsx</t>
        </is>
      </c>
      <c r="L252" t="inlineStr">
        <is>
          <t>volumen 74963 MWh</t>
        </is>
      </c>
    </row>
    <row r="253">
      <c r="A253" s="53" t="n">
        <v>44079</v>
      </c>
      <c r="B253" t="inlineStr">
        <is>
          <t>2020-09-05</t>
        </is>
      </c>
      <c r="C253" s="45" t="n">
        <v>10.82</v>
      </c>
      <c r="D253" t="inlineStr">
        <is>
          <t>€/MWh</t>
        </is>
      </c>
      <c r="E253" s="54" t="n">
        <v>0.01082</v>
      </c>
      <c r="F253" s="54" t="n"/>
      <c r="G253" t="inlineStr">
        <is>
          <t>no aplica (precio mayorista)</t>
        </is>
      </c>
      <c r="J253" t="inlineStr">
        <is>
          <t>2020-09-05</t>
        </is>
      </c>
      <c r="K253" t="inlineStr">
        <is>
          <t>MIBGAS_Data_2020.xlsx</t>
        </is>
      </c>
      <c r="L253" t="inlineStr">
        <is>
          <t>volumen 102121 MWh</t>
        </is>
      </c>
    </row>
    <row r="254">
      <c r="A254" s="53" t="n">
        <v>44080</v>
      </c>
      <c r="B254" t="inlineStr">
        <is>
          <t>2020-09-06</t>
        </is>
      </c>
      <c r="C254" s="45" t="n">
        <v>10.85</v>
      </c>
      <c r="D254" t="inlineStr">
        <is>
          <t>€/MWh</t>
        </is>
      </c>
      <c r="E254" s="54" t="n">
        <v>0.01085</v>
      </c>
      <c r="F254" s="54" t="n"/>
      <c r="G254" t="inlineStr">
        <is>
          <t>no aplica (precio mayorista)</t>
        </is>
      </c>
      <c r="J254" t="inlineStr">
        <is>
          <t>2020-09-06</t>
        </is>
      </c>
      <c r="K254" t="inlineStr">
        <is>
          <t>MIBGAS_Data_2020.xlsx</t>
        </is>
      </c>
      <c r="L254" t="inlineStr">
        <is>
          <t>volumen 92618 MWh</t>
        </is>
      </c>
    </row>
    <row r="255">
      <c r="A255" s="53" t="n">
        <v>44081</v>
      </c>
      <c r="B255" t="inlineStr">
        <is>
          <t>2020-09-07</t>
        </is>
      </c>
      <c r="C255" s="45" t="n">
        <v>10.77</v>
      </c>
      <c r="D255" t="inlineStr">
        <is>
          <t>€/MWh</t>
        </is>
      </c>
      <c r="E255" s="54" t="n">
        <v>0.01077</v>
      </c>
      <c r="F255" s="54" t="n"/>
      <c r="G255" t="inlineStr">
        <is>
          <t>no aplica (precio mayorista)</t>
        </is>
      </c>
      <c r="J255" t="inlineStr">
        <is>
          <t>2020-09-07</t>
        </is>
      </c>
      <c r="K255" t="inlineStr">
        <is>
          <t>MIBGAS_Data_2020.xlsx</t>
        </is>
      </c>
      <c r="L255" t="inlineStr">
        <is>
          <t>volumen 60710 MWh</t>
        </is>
      </c>
    </row>
    <row r="256">
      <c r="A256" s="53" t="n">
        <v>44082</v>
      </c>
      <c r="B256" t="inlineStr">
        <is>
          <t>2020-09-08</t>
        </is>
      </c>
      <c r="C256" s="45" t="n">
        <v>11.35</v>
      </c>
      <c r="D256" t="inlineStr">
        <is>
          <t>€/MWh</t>
        </is>
      </c>
      <c r="E256" s="54" t="n">
        <v>0.01135</v>
      </c>
      <c r="F256" s="54" t="n"/>
      <c r="G256" t="inlineStr">
        <is>
          <t>no aplica (precio mayorista)</t>
        </is>
      </c>
      <c r="J256" t="inlineStr">
        <is>
          <t>2020-09-08</t>
        </is>
      </c>
      <c r="K256" t="inlineStr">
        <is>
          <t>MIBGAS_Data_2020.xlsx</t>
        </is>
      </c>
      <c r="L256" t="inlineStr">
        <is>
          <t>volumen 69753 MWh</t>
        </is>
      </c>
    </row>
    <row r="257">
      <c r="A257" s="53" t="n">
        <v>44083</v>
      </c>
      <c r="B257" t="inlineStr">
        <is>
          <t>2020-09-09</t>
        </is>
      </c>
      <c r="C257" s="45" t="n">
        <v>11.3</v>
      </c>
      <c r="D257" t="inlineStr">
        <is>
          <t>€/MWh</t>
        </is>
      </c>
      <c r="E257" s="54" t="n">
        <v>0.0113</v>
      </c>
      <c r="F257" s="54" t="n"/>
      <c r="G257" t="inlineStr">
        <is>
          <t>no aplica (precio mayorista)</t>
        </is>
      </c>
      <c r="J257" t="inlineStr">
        <is>
          <t>2020-09-09</t>
        </is>
      </c>
      <c r="K257" t="inlineStr">
        <is>
          <t>MIBGAS_Data_2020.xlsx</t>
        </is>
      </c>
      <c r="L257" t="inlineStr">
        <is>
          <t>volumen 50698 MWh</t>
        </is>
      </c>
    </row>
    <row r="258">
      <c r="A258" s="53" t="n">
        <v>44084</v>
      </c>
      <c r="B258" t="inlineStr">
        <is>
          <t>2020-09-10</t>
        </is>
      </c>
      <c r="C258" s="45" t="n">
        <v>11.33</v>
      </c>
      <c r="D258" t="inlineStr">
        <is>
          <t>€/MWh</t>
        </is>
      </c>
      <c r="E258" s="54" t="n">
        <v>0.01133</v>
      </c>
      <c r="F258" s="54" t="n"/>
      <c r="G258" t="inlineStr">
        <is>
          <t>no aplica (precio mayorista)</t>
        </is>
      </c>
      <c r="J258" t="inlineStr">
        <is>
          <t>2020-09-10</t>
        </is>
      </c>
      <c r="K258" t="inlineStr">
        <is>
          <t>MIBGAS_Data_2020.xlsx</t>
        </is>
      </c>
      <c r="L258" t="inlineStr">
        <is>
          <t>volumen 79829 MWh</t>
        </is>
      </c>
    </row>
    <row r="259">
      <c r="A259" s="53" t="n">
        <v>44085</v>
      </c>
      <c r="B259" t="inlineStr">
        <is>
          <t>2020-09-11</t>
        </is>
      </c>
      <c r="C259" s="45" t="n">
        <v>11</v>
      </c>
      <c r="D259" t="inlineStr">
        <is>
          <t>€/MWh</t>
        </is>
      </c>
      <c r="E259" s="54" t="n">
        <v>0.011</v>
      </c>
      <c r="F259" s="54" t="n"/>
      <c r="G259" t="inlineStr">
        <is>
          <t>no aplica (precio mayorista)</t>
        </is>
      </c>
      <c r="J259" t="inlineStr">
        <is>
          <t>2020-09-11</t>
        </is>
      </c>
      <c r="K259" t="inlineStr">
        <is>
          <t>MIBGAS_Data_2020.xlsx</t>
        </is>
      </c>
      <c r="L259" t="inlineStr">
        <is>
          <t>volumen 62667 MWh</t>
        </is>
      </c>
    </row>
    <row r="260">
      <c r="A260" s="53" t="n">
        <v>44086</v>
      </c>
      <c r="B260" t="inlineStr">
        <is>
          <t>2020-09-12</t>
        </is>
      </c>
      <c r="C260" s="45" t="n">
        <v>9.789999999999999</v>
      </c>
      <c r="D260" t="inlineStr">
        <is>
          <t>€/MWh</t>
        </is>
      </c>
      <c r="E260" s="54" t="n">
        <v>0.00979</v>
      </c>
      <c r="F260" s="54" t="n"/>
      <c r="G260" t="inlineStr">
        <is>
          <t>no aplica (precio mayorista)</t>
        </is>
      </c>
      <c r="J260" t="inlineStr">
        <is>
          <t>2020-09-12</t>
        </is>
      </c>
      <c r="K260" t="inlineStr">
        <is>
          <t>MIBGAS_Data_2020.xlsx</t>
        </is>
      </c>
      <c r="L260" t="inlineStr">
        <is>
          <t>volumen 93636 MWh</t>
        </is>
      </c>
    </row>
    <row r="261">
      <c r="A261" s="53" t="n">
        <v>44087</v>
      </c>
      <c r="B261" t="inlineStr">
        <is>
          <t>2020-09-13</t>
        </is>
      </c>
      <c r="C261" s="45" t="n">
        <v>9.59</v>
      </c>
      <c r="D261" t="inlineStr">
        <is>
          <t>€/MWh</t>
        </is>
      </c>
      <c r="E261" s="54" t="n">
        <v>0.00959</v>
      </c>
      <c r="F261" s="54" t="n"/>
      <c r="G261" t="inlineStr">
        <is>
          <t>no aplica (precio mayorista)</t>
        </is>
      </c>
      <c r="J261" t="inlineStr">
        <is>
          <t>2020-09-13</t>
        </is>
      </c>
      <c r="K261" t="inlineStr">
        <is>
          <t>MIBGAS_Data_2020.xlsx</t>
        </is>
      </c>
      <c r="L261" t="inlineStr">
        <is>
          <t>volumen 88957 MWh</t>
        </is>
      </c>
    </row>
    <row r="262">
      <c r="A262" s="53" t="n">
        <v>44088</v>
      </c>
      <c r="B262" t="inlineStr">
        <is>
          <t>2020-09-14</t>
        </is>
      </c>
      <c r="C262" s="45" t="n">
        <v>11.49</v>
      </c>
      <c r="D262" t="inlineStr">
        <is>
          <t>€/MWh</t>
        </is>
      </c>
      <c r="E262" s="54" t="n">
        <v>0.01149</v>
      </c>
      <c r="F262" s="54" t="n"/>
      <c r="G262" t="inlineStr">
        <is>
          <t>no aplica (precio mayorista)</t>
        </is>
      </c>
      <c r="J262" t="inlineStr">
        <is>
          <t>2020-09-14</t>
        </is>
      </c>
      <c r="K262" t="inlineStr">
        <is>
          <t>MIBGAS_Data_2020.xlsx</t>
        </is>
      </c>
      <c r="L262" t="inlineStr">
        <is>
          <t>volumen 50341 MWh</t>
        </is>
      </c>
    </row>
    <row r="263">
      <c r="A263" s="53" t="n">
        <v>44089</v>
      </c>
      <c r="B263" t="inlineStr">
        <is>
          <t>2020-09-15</t>
        </is>
      </c>
      <c r="C263" s="45" t="n">
        <v>12.28</v>
      </c>
      <c r="D263" t="inlineStr">
        <is>
          <t>€/MWh</t>
        </is>
      </c>
      <c r="E263" s="54" t="n">
        <v>0.01228</v>
      </c>
      <c r="F263" s="54" t="n"/>
      <c r="G263" t="inlineStr">
        <is>
          <t>no aplica (precio mayorista)</t>
        </is>
      </c>
      <c r="J263" t="inlineStr">
        <is>
          <t>2020-09-15</t>
        </is>
      </c>
      <c r="K263" t="inlineStr">
        <is>
          <t>MIBGAS_Data_2020.xlsx</t>
        </is>
      </c>
      <c r="L263" t="inlineStr">
        <is>
          <t>volumen 86696 MWh</t>
        </is>
      </c>
    </row>
    <row r="264">
      <c r="A264" s="53" t="n">
        <v>44090</v>
      </c>
      <c r="B264" t="inlineStr">
        <is>
          <t>2020-09-16</t>
        </is>
      </c>
      <c r="C264" s="45" t="n">
        <v>12.05</v>
      </c>
      <c r="D264" t="inlineStr">
        <is>
          <t>€/MWh</t>
        </is>
      </c>
      <c r="E264" s="54" t="n">
        <v>0.01205</v>
      </c>
      <c r="F264" s="54" t="n"/>
      <c r="G264" t="inlineStr">
        <is>
          <t>no aplica (precio mayorista)</t>
        </is>
      </c>
      <c r="J264" t="inlineStr">
        <is>
          <t>2020-09-16</t>
        </is>
      </c>
      <c r="K264" t="inlineStr">
        <is>
          <t>MIBGAS_Data_2020.xlsx</t>
        </is>
      </c>
      <c r="L264" t="inlineStr">
        <is>
          <t>volumen 73459 MWh</t>
        </is>
      </c>
    </row>
    <row r="265">
      <c r="A265" s="53" t="n">
        <v>44091</v>
      </c>
      <c r="B265" t="inlineStr">
        <is>
          <t>2020-09-17</t>
        </is>
      </c>
      <c r="C265" s="45" t="n">
        <v>12.5</v>
      </c>
      <c r="D265" t="inlineStr">
        <is>
          <t>€/MWh</t>
        </is>
      </c>
      <c r="E265" s="54" t="n">
        <v>0.0125</v>
      </c>
      <c r="F265" s="54" t="n"/>
      <c r="G265" t="inlineStr">
        <is>
          <t>no aplica (precio mayorista)</t>
        </is>
      </c>
      <c r="J265" t="inlineStr">
        <is>
          <t>2020-09-17</t>
        </is>
      </c>
      <c r="K265" t="inlineStr">
        <is>
          <t>MIBGAS_Data_2020.xlsx</t>
        </is>
      </c>
      <c r="L265" t="inlineStr">
        <is>
          <t>volumen 78616 MWh</t>
        </is>
      </c>
    </row>
    <row r="266">
      <c r="A266" s="53" t="n">
        <v>44092</v>
      </c>
      <c r="B266" t="inlineStr">
        <is>
          <t>2020-09-18</t>
        </is>
      </c>
      <c r="C266" s="45" t="n">
        <v>11.68</v>
      </c>
      <c r="D266" t="inlineStr">
        <is>
          <t>€/MWh</t>
        </is>
      </c>
      <c r="E266" s="54" t="n">
        <v>0.01168</v>
      </c>
      <c r="F266" s="54" t="n"/>
      <c r="G266" t="inlineStr">
        <is>
          <t>no aplica (precio mayorista)</t>
        </is>
      </c>
      <c r="J266" t="inlineStr">
        <is>
          <t>2020-09-18</t>
        </is>
      </c>
      <c r="K266" t="inlineStr">
        <is>
          <t>MIBGAS_Data_2020.xlsx</t>
        </is>
      </c>
      <c r="L266" t="inlineStr">
        <is>
          <t>volumen 76117 MWh</t>
        </is>
      </c>
    </row>
    <row r="267">
      <c r="A267" s="53" t="n">
        <v>44093</v>
      </c>
      <c r="B267" t="inlineStr">
        <is>
          <t>2020-09-19</t>
        </is>
      </c>
      <c r="C267" s="45" t="n">
        <v>10.52</v>
      </c>
      <c r="D267" t="inlineStr">
        <is>
          <t>€/MWh</t>
        </is>
      </c>
      <c r="E267" s="54" t="n">
        <v>0.01052</v>
      </c>
      <c r="F267" s="54" t="n"/>
      <c r="G267" t="inlineStr">
        <is>
          <t>no aplica (precio mayorista)</t>
        </is>
      </c>
      <c r="J267" t="inlineStr">
        <is>
          <t>2020-09-19</t>
        </is>
      </c>
      <c r="K267" t="inlineStr">
        <is>
          <t>MIBGAS_Data_2020.xlsx</t>
        </is>
      </c>
      <c r="L267" t="inlineStr">
        <is>
          <t>volumen 102644 MWh</t>
        </is>
      </c>
    </row>
    <row r="268">
      <c r="A268" s="53" t="n">
        <v>44094</v>
      </c>
      <c r="B268" t="inlineStr">
        <is>
          <t>2020-09-20</t>
        </is>
      </c>
      <c r="C268" s="45" t="n">
        <v>10.55</v>
      </c>
      <c r="D268" t="inlineStr">
        <is>
          <t>€/MWh</t>
        </is>
      </c>
      <c r="E268" s="54" t="n">
        <v>0.01055</v>
      </c>
      <c r="F268" s="54" t="n"/>
      <c r="G268" t="inlineStr">
        <is>
          <t>no aplica (precio mayorista)</t>
        </is>
      </c>
      <c r="J268" t="inlineStr">
        <is>
          <t>2020-09-20</t>
        </is>
      </c>
      <c r="K268" t="inlineStr">
        <is>
          <t>MIBGAS_Data_2020.xlsx</t>
        </is>
      </c>
      <c r="L268" t="inlineStr">
        <is>
          <t>volumen 102806 MWh</t>
        </is>
      </c>
    </row>
    <row r="269">
      <c r="A269" s="53" t="n">
        <v>44095</v>
      </c>
      <c r="B269" t="inlineStr">
        <is>
          <t>2020-09-21</t>
        </is>
      </c>
      <c r="C269" s="45" t="n">
        <v>11.79</v>
      </c>
      <c r="D269" t="inlineStr">
        <is>
          <t>€/MWh</t>
        </is>
      </c>
      <c r="E269" s="54" t="n">
        <v>0.01179</v>
      </c>
      <c r="F269" s="54" t="n"/>
      <c r="G269" t="inlineStr">
        <is>
          <t>no aplica (precio mayorista)</t>
        </is>
      </c>
      <c r="J269" t="inlineStr">
        <is>
          <t>2020-09-21</t>
        </is>
      </c>
      <c r="K269" t="inlineStr">
        <is>
          <t>MIBGAS_Data_2020.xlsx</t>
        </is>
      </c>
      <c r="L269" t="inlineStr">
        <is>
          <t>volumen 72973 MWh</t>
        </is>
      </c>
    </row>
    <row r="270">
      <c r="A270" s="53" t="n">
        <v>44096</v>
      </c>
      <c r="B270" t="inlineStr">
        <is>
          <t>2020-09-22</t>
        </is>
      </c>
      <c r="C270" s="45" t="n">
        <v>12.05</v>
      </c>
      <c r="D270" t="inlineStr">
        <is>
          <t>€/MWh</t>
        </is>
      </c>
      <c r="E270" s="54" t="n">
        <v>0.01205</v>
      </c>
      <c r="F270" s="54" t="n"/>
      <c r="G270" t="inlineStr">
        <is>
          <t>no aplica (precio mayorista)</t>
        </is>
      </c>
      <c r="J270" t="inlineStr">
        <is>
          <t>2020-09-22</t>
        </is>
      </c>
      <c r="K270" t="inlineStr">
        <is>
          <t>MIBGAS_Data_2020.xlsx</t>
        </is>
      </c>
      <c r="L270" t="inlineStr">
        <is>
          <t>volumen 84346 MWh</t>
        </is>
      </c>
    </row>
    <row r="271">
      <c r="A271" s="53" t="n">
        <v>44097</v>
      </c>
      <c r="B271" t="inlineStr">
        <is>
          <t>2020-09-23</t>
        </is>
      </c>
      <c r="C271" s="45" t="n">
        <v>11.81</v>
      </c>
      <c r="D271" t="inlineStr">
        <is>
          <t>€/MWh</t>
        </is>
      </c>
      <c r="E271" s="54" t="n">
        <v>0.01181</v>
      </c>
      <c r="F271" s="54" t="n"/>
      <c r="G271" t="inlineStr">
        <is>
          <t>no aplica (precio mayorista)</t>
        </is>
      </c>
      <c r="J271" t="inlineStr">
        <is>
          <t>2020-09-23</t>
        </is>
      </c>
      <c r="K271" t="inlineStr">
        <is>
          <t>MIBGAS_Data_2020.xlsx</t>
        </is>
      </c>
      <c r="L271" t="inlineStr">
        <is>
          <t>volumen 58950 MWh</t>
        </is>
      </c>
    </row>
    <row r="272">
      <c r="A272" s="53" t="n">
        <v>44098</v>
      </c>
      <c r="B272" t="inlineStr">
        <is>
          <t>2020-09-24</t>
        </is>
      </c>
      <c r="C272" s="45" t="n">
        <v>10.91</v>
      </c>
      <c r="D272" t="inlineStr">
        <is>
          <t>€/MWh</t>
        </is>
      </c>
      <c r="E272" s="54" t="n">
        <v>0.01091</v>
      </c>
      <c r="F272" s="54" t="n"/>
      <c r="G272" t="inlineStr">
        <is>
          <t>no aplica (precio mayorista)</t>
        </is>
      </c>
      <c r="J272" t="inlineStr">
        <is>
          <t>2020-09-24</t>
        </is>
      </c>
      <c r="K272" t="inlineStr">
        <is>
          <t>MIBGAS_Data_2020.xlsx</t>
        </is>
      </c>
      <c r="L272" t="inlineStr">
        <is>
          <t>volumen 111927 MWh</t>
        </is>
      </c>
    </row>
    <row r="273">
      <c r="A273" s="53" t="n">
        <v>44099</v>
      </c>
      <c r="B273" t="inlineStr">
        <is>
          <t>2020-09-25</t>
        </is>
      </c>
      <c r="C273" s="45" t="n">
        <v>10.64</v>
      </c>
      <c r="D273" t="inlineStr">
        <is>
          <t>€/MWh</t>
        </is>
      </c>
      <c r="E273" s="54" t="n">
        <v>0.01064</v>
      </c>
      <c r="F273" s="54" t="n"/>
      <c r="G273" t="inlineStr">
        <is>
          <t>no aplica (precio mayorista)</t>
        </is>
      </c>
      <c r="J273" t="inlineStr">
        <is>
          <t>2020-09-25</t>
        </is>
      </c>
      <c r="K273" t="inlineStr">
        <is>
          <t>MIBGAS_Data_2020.xlsx</t>
        </is>
      </c>
      <c r="L273" t="inlineStr">
        <is>
          <t>volumen 131771 MWh</t>
        </is>
      </c>
    </row>
    <row r="274">
      <c r="A274" s="53" t="n">
        <v>44100</v>
      </c>
      <c r="B274" t="inlineStr">
        <is>
          <t>2020-09-26</t>
        </is>
      </c>
      <c r="C274" s="45" t="n">
        <v>10.32</v>
      </c>
      <c r="D274" t="inlineStr">
        <is>
          <t>€/MWh</t>
        </is>
      </c>
      <c r="E274" s="54" t="n">
        <v>0.01032</v>
      </c>
      <c r="F274" s="54" t="n"/>
      <c r="G274" t="inlineStr">
        <is>
          <t>no aplica (precio mayorista)</t>
        </is>
      </c>
      <c r="J274" t="inlineStr">
        <is>
          <t>2020-09-26</t>
        </is>
      </c>
      <c r="K274" t="inlineStr">
        <is>
          <t>MIBGAS_Data_2020.xlsx</t>
        </is>
      </c>
      <c r="L274" t="inlineStr">
        <is>
          <t>volumen 162094 MWh</t>
        </is>
      </c>
    </row>
    <row r="275">
      <c r="A275" s="53" t="n">
        <v>44101</v>
      </c>
      <c r="B275" t="inlineStr">
        <is>
          <t>2020-09-27</t>
        </is>
      </c>
      <c r="C275" s="45" t="n">
        <v>10.37</v>
      </c>
      <c r="D275" t="inlineStr">
        <is>
          <t>€/MWh</t>
        </is>
      </c>
      <c r="E275" s="54" t="n">
        <v>0.01037</v>
      </c>
      <c r="F275" s="54" t="n"/>
      <c r="G275" t="inlineStr">
        <is>
          <t>no aplica (precio mayorista)</t>
        </is>
      </c>
      <c r="J275" t="inlineStr">
        <is>
          <t>2020-09-27</t>
        </is>
      </c>
      <c r="K275" t="inlineStr">
        <is>
          <t>MIBGAS_Data_2020.xlsx</t>
        </is>
      </c>
      <c r="L275" t="inlineStr">
        <is>
          <t>volumen 155139 MWh</t>
        </is>
      </c>
    </row>
    <row r="276">
      <c r="A276" s="53" t="n">
        <v>44102</v>
      </c>
      <c r="B276" t="inlineStr">
        <is>
          <t>2020-09-28</t>
        </is>
      </c>
      <c r="C276" s="45" t="n">
        <v>11.23</v>
      </c>
      <c r="D276" t="inlineStr">
        <is>
          <t>€/MWh</t>
        </is>
      </c>
      <c r="E276" s="54" t="n">
        <v>0.01123</v>
      </c>
      <c r="F276" s="54" t="n"/>
      <c r="G276" t="inlineStr">
        <is>
          <t>no aplica (precio mayorista)</t>
        </is>
      </c>
      <c r="J276" t="inlineStr">
        <is>
          <t>2020-09-28</t>
        </is>
      </c>
      <c r="K276" t="inlineStr">
        <is>
          <t>MIBGAS_Data_2020.xlsx</t>
        </is>
      </c>
      <c r="L276" t="inlineStr">
        <is>
          <t>volumen 75029 MWh</t>
        </is>
      </c>
    </row>
    <row r="277">
      <c r="A277" s="53" t="n">
        <v>44103</v>
      </c>
      <c r="B277" t="inlineStr">
        <is>
          <t>2020-09-29</t>
        </is>
      </c>
      <c r="C277" s="45" t="n">
        <v>12.8</v>
      </c>
      <c r="D277" t="inlineStr">
        <is>
          <t>€/MWh</t>
        </is>
      </c>
      <c r="E277" s="54" t="n">
        <v>0.0128</v>
      </c>
      <c r="F277" s="54" t="n"/>
      <c r="G277" t="inlineStr">
        <is>
          <t>no aplica (precio mayorista)</t>
        </is>
      </c>
      <c r="J277" t="inlineStr">
        <is>
          <t>2020-09-29</t>
        </is>
      </c>
      <c r="K277" t="inlineStr">
        <is>
          <t>MIBGAS_Data_2020.xlsx</t>
        </is>
      </c>
      <c r="L277" t="inlineStr">
        <is>
          <t>volumen 78853 MWh</t>
        </is>
      </c>
    </row>
    <row r="278">
      <c r="A278" s="53" t="n">
        <v>44104</v>
      </c>
      <c r="B278" t="inlineStr">
        <is>
          <t>2020-09-30</t>
        </is>
      </c>
      <c r="C278" s="45" t="n">
        <v>13.24</v>
      </c>
      <c r="D278" t="inlineStr">
        <is>
          <t>€/MWh</t>
        </is>
      </c>
      <c r="E278" s="54" t="n">
        <v>0.01324</v>
      </c>
      <c r="F278" s="54" t="n"/>
      <c r="G278" t="inlineStr">
        <is>
          <t>no aplica (precio mayorista)</t>
        </is>
      </c>
      <c r="J278" t="inlineStr">
        <is>
          <t>2020-09-30</t>
        </is>
      </c>
      <c r="K278" t="inlineStr">
        <is>
          <t>MIBGAS_Data_2020.xlsx</t>
        </is>
      </c>
      <c r="L278" t="inlineStr">
        <is>
          <t>volumen 115027 MWh</t>
        </is>
      </c>
    </row>
    <row r="279">
      <c r="A279" s="53" t="n">
        <v>44105</v>
      </c>
      <c r="B279" t="inlineStr">
        <is>
          <t>2020-10-01</t>
        </is>
      </c>
      <c r="C279" s="45" t="n">
        <v>11.51</v>
      </c>
      <c r="D279" t="inlineStr">
        <is>
          <t>€/MWh</t>
        </is>
      </c>
      <c r="E279" s="54" t="n">
        <v>0.01151</v>
      </c>
      <c r="F279" s="54" t="n"/>
      <c r="G279" t="inlineStr">
        <is>
          <t>no aplica (precio mayorista)</t>
        </is>
      </c>
      <c r="J279" t="inlineStr">
        <is>
          <t>2020-10-01</t>
        </is>
      </c>
      <c r="K279" t="inlineStr">
        <is>
          <t>MIBGAS_Data_2020.xlsx</t>
        </is>
      </c>
      <c r="L279" t="inlineStr">
        <is>
          <t>volumen 78792 MWh</t>
        </is>
      </c>
    </row>
    <row r="280">
      <c r="A280" s="53" t="n">
        <v>44106</v>
      </c>
      <c r="B280" t="inlineStr">
        <is>
          <t>2020-10-02</t>
        </is>
      </c>
      <c r="C280" s="45" t="n">
        <v>10.96</v>
      </c>
      <c r="D280" t="inlineStr">
        <is>
          <t>€/MWh</t>
        </is>
      </c>
      <c r="E280" s="54" t="n">
        <v>0.01096</v>
      </c>
      <c r="F280" s="54" t="n"/>
      <c r="G280" t="inlineStr">
        <is>
          <t>no aplica (precio mayorista)</t>
        </is>
      </c>
      <c r="J280" t="inlineStr">
        <is>
          <t>2020-10-02</t>
        </is>
      </c>
      <c r="K280" t="inlineStr">
        <is>
          <t>MIBGAS_Data_2020.xlsx</t>
        </is>
      </c>
      <c r="L280" t="inlineStr">
        <is>
          <t>volumen 117738 MWh</t>
        </is>
      </c>
    </row>
    <row r="281">
      <c r="A281" s="53" t="n">
        <v>44107</v>
      </c>
      <c r="B281" t="inlineStr">
        <is>
          <t>2020-10-03</t>
        </is>
      </c>
      <c r="C281" s="45" t="n">
        <v>10.88</v>
      </c>
      <c r="D281" t="inlineStr">
        <is>
          <t>€/MWh</t>
        </is>
      </c>
      <c r="E281" s="54" t="n">
        <v>0.01088</v>
      </c>
      <c r="F281" s="54" t="n"/>
      <c r="G281" t="inlineStr">
        <is>
          <t>no aplica (precio mayorista)</t>
        </is>
      </c>
      <c r="J281" t="inlineStr">
        <is>
          <t>2020-10-03</t>
        </is>
      </c>
      <c r="K281" t="inlineStr">
        <is>
          <t>MIBGAS_Data_2020.xlsx</t>
        </is>
      </c>
      <c r="L281" t="inlineStr">
        <is>
          <t>volumen 158679 MWh</t>
        </is>
      </c>
    </row>
    <row r="282">
      <c r="A282" s="53" t="n">
        <v>44108</v>
      </c>
      <c r="B282" t="inlineStr">
        <is>
          <t>2020-10-04</t>
        </is>
      </c>
      <c r="C282" s="45" t="n">
        <v>10.95</v>
      </c>
      <c r="D282" t="inlineStr">
        <is>
          <t>€/MWh</t>
        </is>
      </c>
      <c r="E282" s="54" t="n">
        <v>0.01095</v>
      </c>
      <c r="F282" s="54" t="n"/>
      <c r="G282" t="inlineStr">
        <is>
          <t>no aplica (precio mayorista)</t>
        </is>
      </c>
      <c r="J282" t="inlineStr">
        <is>
          <t>2020-10-04</t>
        </is>
      </c>
      <c r="K282" t="inlineStr">
        <is>
          <t>MIBGAS_Data_2020.xlsx</t>
        </is>
      </c>
      <c r="L282" t="inlineStr">
        <is>
          <t>volumen 172590 MWh</t>
        </is>
      </c>
    </row>
    <row r="283">
      <c r="A283" s="53" t="n">
        <v>44109</v>
      </c>
      <c r="B283" t="inlineStr">
        <is>
          <t>2020-10-05</t>
        </is>
      </c>
      <c r="C283" s="45" t="n">
        <v>11.71</v>
      </c>
      <c r="D283" t="inlineStr">
        <is>
          <t>€/MWh</t>
        </is>
      </c>
      <c r="E283" s="54" t="n">
        <v>0.01171</v>
      </c>
      <c r="F283" s="54" t="n"/>
      <c r="G283" t="inlineStr">
        <is>
          <t>no aplica (precio mayorista)</t>
        </is>
      </c>
      <c r="J283" t="inlineStr">
        <is>
          <t>2020-10-05</t>
        </is>
      </c>
      <c r="K283" t="inlineStr">
        <is>
          <t>MIBGAS_Data_2020.xlsx</t>
        </is>
      </c>
      <c r="L283" t="inlineStr">
        <is>
          <t>volumen 120718 MWh</t>
        </is>
      </c>
    </row>
    <row r="284">
      <c r="A284" s="53" t="n">
        <v>44110</v>
      </c>
      <c r="B284" t="inlineStr">
        <is>
          <t>2020-10-06</t>
        </is>
      </c>
      <c r="C284" s="45" t="n">
        <v>12.32</v>
      </c>
      <c r="D284" t="inlineStr">
        <is>
          <t>€/MWh</t>
        </is>
      </c>
      <c r="E284" s="54" t="n">
        <v>0.01232</v>
      </c>
      <c r="F284" s="54" t="n"/>
      <c r="G284" t="inlineStr">
        <is>
          <t>no aplica (precio mayorista)</t>
        </is>
      </c>
      <c r="J284" t="inlineStr">
        <is>
          <t>2020-10-06</t>
        </is>
      </c>
      <c r="K284" t="inlineStr">
        <is>
          <t>MIBGAS_Data_2020.xlsx</t>
        </is>
      </c>
      <c r="L284" t="inlineStr">
        <is>
          <t>volumen 88510 MWh</t>
        </is>
      </c>
    </row>
    <row r="285">
      <c r="A285" s="53" t="n">
        <v>44111</v>
      </c>
      <c r="B285" t="inlineStr">
        <is>
          <t>2020-10-07</t>
        </is>
      </c>
      <c r="C285" s="45" t="n">
        <v>12.79</v>
      </c>
      <c r="D285" t="inlineStr">
        <is>
          <t>€/MWh</t>
        </is>
      </c>
      <c r="E285" s="54" t="n">
        <v>0.01279</v>
      </c>
      <c r="F285" s="54" t="n"/>
      <c r="G285" t="inlineStr">
        <is>
          <t>no aplica (precio mayorista)</t>
        </is>
      </c>
      <c r="J285" t="inlineStr">
        <is>
          <t>2020-10-07</t>
        </is>
      </c>
      <c r="K285" t="inlineStr">
        <is>
          <t>MIBGAS_Data_2020.xlsx</t>
        </is>
      </c>
      <c r="L285" t="inlineStr">
        <is>
          <t>volumen 113010 MWh</t>
        </is>
      </c>
    </row>
    <row r="286">
      <c r="A286" s="53" t="n">
        <v>44112</v>
      </c>
      <c r="B286" t="inlineStr">
        <is>
          <t>2020-10-08</t>
        </is>
      </c>
      <c r="C286" s="45" t="n">
        <v>13.18</v>
      </c>
      <c r="D286" t="inlineStr">
        <is>
          <t>€/MWh</t>
        </is>
      </c>
      <c r="E286" s="54" t="n">
        <v>0.01318</v>
      </c>
      <c r="F286" s="54" t="n"/>
      <c r="G286" t="inlineStr">
        <is>
          <t>no aplica (precio mayorista)</t>
        </is>
      </c>
      <c r="J286" t="inlineStr">
        <is>
          <t>2020-10-08</t>
        </is>
      </c>
      <c r="K286" t="inlineStr">
        <is>
          <t>MIBGAS_Data_2020.xlsx</t>
        </is>
      </c>
      <c r="L286" t="inlineStr">
        <is>
          <t>volumen 99426 MWh</t>
        </is>
      </c>
    </row>
    <row r="287">
      <c r="A287" s="53" t="n">
        <v>44113</v>
      </c>
      <c r="B287" t="inlineStr">
        <is>
          <t>2020-10-09</t>
        </is>
      </c>
      <c r="C287" s="45" t="n">
        <v>13.12</v>
      </c>
      <c r="D287" t="inlineStr">
        <is>
          <t>€/MWh</t>
        </is>
      </c>
      <c r="E287" s="54" t="n">
        <v>0.01312</v>
      </c>
      <c r="F287" s="54" t="n"/>
      <c r="G287" t="inlineStr">
        <is>
          <t>no aplica (precio mayorista)</t>
        </is>
      </c>
      <c r="J287" t="inlineStr">
        <is>
          <t>2020-10-09</t>
        </is>
      </c>
      <c r="K287" t="inlineStr">
        <is>
          <t>MIBGAS_Data_2020.xlsx</t>
        </is>
      </c>
      <c r="L287" t="inlineStr">
        <is>
          <t>volumen 92145 MWh</t>
        </is>
      </c>
    </row>
    <row r="288">
      <c r="A288" s="53" t="n">
        <v>44114</v>
      </c>
      <c r="B288" t="inlineStr">
        <is>
          <t>2020-10-10</t>
        </is>
      </c>
      <c r="C288" s="45" t="n">
        <v>12.66</v>
      </c>
      <c r="D288" t="inlineStr">
        <is>
          <t>€/MWh</t>
        </is>
      </c>
      <c r="E288" s="54" t="n">
        <v>0.01266</v>
      </c>
      <c r="F288" s="54" t="n"/>
      <c r="G288" t="inlineStr">
        <is>
          <t>no aplica (precio mayorista)</t>
        </is>
      </c>
      <c r="J288" t="inlineStr">
        <is>
          <t>2020-10-10</t>
        </is>
      </c>
      <c r="K288" t="inlineStr">
        <is>
          <t>MIBGAS_Data_2020.xlsx</t>
        </is>
      </c>
      <c r="L288" t="inlineStr">
        <is>
          <t>volumen 132181 MWh</t>
        </is>
      </c>
    </row>
    <row r="289">
      <c r="A289" s="53" t="n">
        <v>44115</v>
      </c>
      <c r="B289" t="inlineStr">
        <is>
          <t>2020-10-11</t>
        </is>
      </c>
      <c r="C289" s="45" t="n">
        <v>12.64</v>
      </c>
      <c r="D289" t="inlineStr">
        <is>
          <t>€/MWh</t>
        </is>
      </c>
      <c r="E289" s="54" t="n">
        <v>0.01264</v>
      </c>
      <c r="F289" s="54" t="n"/>
      <c r="G289" t="inlineStr">
        <is>
          <t>no aplica (precio mayorista)</t>
        </is>
      </c>
      <c r="J289" t="inlineStr">
        <is>
          <t>2020-10-11</t>
        </is>
      </c>
      <c r="K289" t="inlineStr">
        <is>
          <t>MIBGAS_Data_2020.xlsx</t>
        </is>
      </c>
      <c r="L289" t="inlineStr">
        <is>
          <t>volumen 133647 MWh</t>
        </is>
      </c>
    </row>
    <row r="290">
      <c r="A290" s="53" t="n">
        <v>44116</v>
      </c>
      <c r="B290" t="inlineStr">
        <is>
          <t>2020-10-12</t>
        </is>
      </c>
      <c r="C290" s="45" t="n">
        <v>12.67</v>
      </c>
      <c r="D290" t="inlineStr">
        <is>
          <t>€/MWh</t>
        </is>
      </c>
      <c r="E290" s="54" t="n">
        <v>0.01267</v>
      </c>
      <c r="F290" s="54" t="n"/>
      <c r="G290" t="inlineStr">
        <is>
          <t>no aplica (precio mayorista)</t>
        </is>
      </c>
      <c r="J290" t="inlineStr">
        <is>
          <t>2020-10-12</t>
        </is>
      </c>
      <c r="K290" t="inlineStr">
        <is>
          <t>MIBGAS_Data_2020.xlsx</t>
        </is>
      </c>
      <c r="L290" t="inlineStr">
        <is>
          <t>volumen 96787 MWh</t>
        </is>
      </c>
    </row>
    <row r="291">
      <c r="A291" s="53" t="n">
        <v>44117</v>
      </c>
      <c r="B291" t="inlineStr">
        <is>
          <t>2020-10-13</t>
        </is>
      </c>
      <c r="C291" s="45" t="n">
        <v>12.87</v>
      </c>
      <c r="D291" t="inlineStr">
        <is>
          <t>€/MWh</t>
        </is>
      </c>
      <c r="E291" s="54" t="n">
        <v>0.01287</v>
      </c>
      <c r="F291" s="54" t="n"/>
      <c r="G291" t="inlineStr">
        <is>
          <t>no aplica (precio mayorista)</t>
        </is>
      </c>
      <c r="J291" t="inlineStr">
        <is>
          <t>2020-10-13</t>
        </is>
      </c>
      <c r="K291" t="inlineStr">
        <is>
          <t>MIBGAS_Data_2020.xlsx</t>
        </is>
      </c>
      <c r="L291" t="inlineStr">
        <is>
          <t>volumen 103175 MWh</t>
        </is>
      </c>
    </row>
    <row r="292">
      <c r="A292" s="53" t="n">
        <v>44118</v>
      </c>
      <c r="B292" t="inlineStr">
        <is>
          <t>2020-10-14</t>
        </is>
      </c>
      <c r="C292" s="45" t="n">
        <v>12.98</v>
      </c>
      <c r="D292" t="inlineStr">
        <is>
          <t>€/MWh</t>
        </is>
      </c>
      <c r="E292" s="54" t="n">
        <v>0.01298</v>
      </c>
      <c r="F292" s="54" t="n"/>
      <c r="G292" t="inlineStr">
        <is>
          <t>no aplica (precio mayorista)</t>
        </is>
      </c>
      <c r="J292" t="inlineStr">
        <is>
          <t>2020-10-14</t>
        </is>
      </c>
      <c r="K292" t="inlineStr">
        <is>
          <t>MIBGAS_Data_2020.xlsx</t>
        </is>
      </c>
      <c r="L292" t="inlineStr">
        <is>
          <t>volumen 127657 MWh</t>
        </is>
      </c>
    </row>
    <row r="293">
      <c r="A293" s="53" t="n">
        <v>44119</v>
      </c>
      <c r="B293" t="inlineStr">
        <is>
          <t>2020-10-15</t>
        </is>
      </c>
      <c r="C293" s="45" t="n">
        <v>13.82</v>
      </c>
      <c r="D293" t="inlineStr">
        <is>
          <t>€/MWh</t>
        </is>
      </c>
      <c r="E293" s="54" t="n">
        <v>0.01382</v>
      </c>
      <c r="F293" s="54" t="n"/>
      <c r="G293" t="inlineStr">
        <is>
          <t>no aplica (precio mayorista)</t>
        </is>
      </c>
      <c r="J293" t="inlineStr">
        <is>
          <t>2020-10-15</t>
        </is>
      </c>
      <c r="K293" t="inlineStr">
        <is>
          <t>MIBGAS_Data_2020.xlsx</t>
        </is>
      </c>
      <c r="L293" t="inlineStr">
        <is>
          <t>volumen 142021 MWh</t>
        </is>
      </c>
    </row>
    <row r="294">
      <c r="A294" s="53" t="n">
        <v>44120</v>
      </c>
      <c r="B294" t="inlineStr">
        <is>
          <t>2020-10-16</t>
        </is>
      </c>
      <c r="C294" s="45" t="n">
        <v>14.43</v>
      </c>
      <c r="D294" t="inlineStr">
        <is>
          <t>€/MWh</t>
        </is>
      </c>
      <c r="E294" s="54" t="n">
        <v>0.01443</v>
      </c>
      <c r="F294" s="54" t="n"/>
      <c r="G294" t="inlineStr">
        <is>
          <t>no aplica (precio mayorista)</t>
        </is>
      </c>
      <c r="J294" t="inlineStr">
        <is>
          <t>2020-10-16</t>
        </is>
      </c>
      <c r="K294" t="inlineStr">
        <is>
          <t>MIBGAS_Data_2020.xlsx</t>
        </is>
      </c>
      <c r="L294" t="inlineStr">
        <is>
          <t>volumen 162021 MWh</t>
        </is>
      </c>
    </row>
    <row r="295">
      <c r="A295" s="53" t="n">
        <v>44121</v>
      </c>
      <c r="B295" t="inlineStr">
        <is>
          <t>2020-10-17</t>
        </is>
      </c>
      <c r="C295" s="45" t="n">
        <v>14.33</v>
      </c>
      <c r="D295" t="inlineStr">
        <is>
          <t>€/MWh</t>
        </is>
      </c>
      <c r="E295" s="54" t="n">
        <v>0.01433</v>
      </c>
      <c r="F295" s="54" t="n"/>
      <c r="G295" t="inlineStr">
        <is>
          <t>no aplica (precio mayorista)</t>
        </is>
      </c>
      <c r="J295" t="inlineStr">
        <is>
          <t>2020-10-17</t>
        </is>
      </c>
      <c r="K295" t="inlineStr">
        <is>
          <t>MIBGAS_Data_2020.xlsx</t>
        </is>
      </c>
      <c r="L295" t="inlineStr">
        <is>
          <t>volumen 202730 MWh</t>
        </is>
      </c>
    </row>
    <row r="296">
      <c r="A296" s="53" t="n">
        <v>44122</v>
      </c>
      <c r="B296" t="inlineStr">
        <is>
          <t>2020-10-18</t>
        </is>
      </c>
      <c r="C296" s="45" t="n">
        <v>14.01</v>
      </c>
      <c r="D296" t="inlineStr">
        <is>
          <t>€/MWh</t>
        </is>
      </c>
      <c r="E296" s="54" t="n">
        <v>0.01401</v>
      </c>
      <c r="F296" s="54" t="n"/>
      <c r="G296" t="inlineStr">
        <is>
          <t>no aplica (precio mayorista)</t>
        </is>
      </c>
      <c r="J296" t="inlineStr">
        <is>
          <t>2020-10-18</t>
        </is>
      </c>
      <c r="K296" t="inlineStr">
        <is>
          <t>MIBGAS_Data_2020.xlsx</t>
        </is>
      </c>
      <c r="L296" t="inlineStr">
        <is>
          <t>volumen 169908 MWh</t>
        </is>
      </c>
    </row>
    <row r="297">
      <c r="A297" s="53" t="n">
        <v>44123</v>
      </c>
      <c r="B297" t="inlineStr">
        <is>
          <t>2020-10-19</t>
        </is>
      </c>
      <c r="C297" s="45" t="n">
        <v>14.27</v>
      </c>
      <c r="D297" t="inlineStr">
        <is>
          <t>€/MWh</t>
        </is>
      </c>
      <c r="E297" s="54" t="n">
        <v>0.01427</v>
      </c>
      <c r="F297" s="54" t="n"/>
      <c r="G297" t="inlineStr">
        <is>
          <t>no aplica (precio mayorista)</t>
        </is>
      </c>
      <c r="J297" t="inlineStr">
        <is>
          <t>2020-10-19</t>
        </is>
      </c>
      <c r="K297" t="inlineStr">
        <is>
          <t>MIBGAS_Data_2020.xlsx</t>
        </is>
      </c>
      <c r="L297" t="inlineStr">
        <is>
          <t>volumen 128406 MWh</t>
        </is>
      </c>
    </row>
    <row r="298">
      <c r="A298" s="53" t="n">
        <v>44124</v>
      </c>
      <c r="B298" t="inlineStr">
        <is>
          <t>2020-10-20</t>
        </is>
      </c>
      <c r="C298" s="45" t="n">
        <v>14.46</v>
      </c>
      <c r="D298" t="inlineStr">
        <is>
          <t>€/MWh</t>
        </is>
      </c>
      <c r="E298" s="54" t="n">
        <v>0.01446</v>
      </c>
      <c r="F298" s="54" t="n"/>
      <c r="G298" t="inlineStr">
        <is>
          <t>no aplica (precio mayorista)</t>
        </is>
      </c>
      <c r="J298" t="inlineStr">
        <is>
          <t>2020-10-20</t>
        </is>
      </c>
      <c r="K298" t="inlineStr">
        <is>
          <t>MIBGAS_Data_2020.xlsx</t>
        </is>
      </c>
      <c r="L298" t="inlineStr">
        <is>
          <t>volumen 157229 MWh</t>
        </is>
      </c>
    </row>
    <row r="299">
      <c r="A299" s="53" t="n">
        <v>44125</v>
      </c>
      <c r="B299" t="inlineStr">
        <is>
          <t>2020-10-21</t>
        </is>
      </c>
      <c r="C299" s="45" t="n">
        <v>14.66</v>
      </c>
      <c r="D299" t="inlineStr">
        <is>
          <t>€/MWh</t>
        </is>
      </c>
      <c r="E299" s="54" t="n">
        <v>0.01466</v>
      </c>
      <c r="F299" s="54" t="n"/>
      <c r="G299" t="inlineStr">
        <is>
          <t>no aplica (precio mayorista)</t>
        </is>
      </c>
      <c r="J299" t="inlineStr">
        <is>
          <t>2020-10-21</t>
        </is>
      </c>
      <c r="K299" t="inlineStr">
        <is>
          <t>MIBGAS_Data_2020.xlsx</t>
        </is>
      </c>
      <c r="L299" t="inlineStr">
        <is>
          <t>volumen 131208 MWh</t>
        </is>
      </c>
    </row>
    <row r="300">
      <c r="A300" s="53" t="n">
        <v>44126</v>
      </c>
      <c r="B300" t="inlineStr">
        <is>
          <t>2020-10-22</t>
        </is>
      </c>
      <c r="C300" s="45" t="n">
        <v>14.95</v>
      </c>
      <c r="D300" t="inlineStr">
        <is>
          <t>€/MWh</t>
        </is>
      </c>
      <c r="E300" s="54" t="n">
        <v>0.01495</v>
      </c>
      <c r="F300" s="54" t="n"/>
      <c r="G300" t="inlineStr">
        <is>
          <t>no aplica (precio mayorista)</t>
        </is>
      </c>
      <c r="J300" t="inlineStr">
        <is>
          <t>2020-10-22</t>
        </is>
      </c>
      <c r="K300" t="inlineStr">
        <is>
          <t>MIBGAS_Data_2020.xlsx</t>
        </is>
      </c>
      <c r="L300" t="inlineStr">
        <is>
          <t>volumen 138821 MWh</t>
        </is>
      </c>
    </row>
    <row r="301">
      <c r="A301" s="53" t="n">
        <v>44127</v>
      </c>
      <c r="B301" t="inlineStr">
        <is>
          <t>2020-10-23</t>
        </is>
      </c>
      <c r="C301" s="45" t="n">
        <v>15.13</v>
      </c>
      <c r="D301" t="inlineStr">
        <is>
          <t>€/MWh</t>
        </is>
      </c>
      <c r="E301" s="54" t="n">
        <v>0.01513</v>
      </c>
      <c r="F301" s="54" t="n"/>
      <c r="G301" t="inlineStr">
        <is>
          <t>no aplica (precio mayorista)</t>
        </is>
      </c>
      <c r="J301" t="inlineStr">
        <is>
          <t>2020-10-23</t>
        </is>
      </c>
      <c r="K301" t="inlineStr">
        <is>
          <t>MIBGAS_Data_2020.xlsx</t>
        </is>
      </c>
      <c r="L301" t="inlineStr">
        <is>
          <t>volumen 167970 MWh</t>
        </is>
      </c>
    </row>
    <row r="302">
      <c r="A302" s="53" t="n">
        <v>44128</v>
      </c>
      <c r="B302" t="inlineStr">
        <is>
          <t>2020-10-24</t>
        </is>
      </c>
      <c r="C302" s="45" t="n">
        <v>14.83</v>
      </c>
      <c r="D302" t="inlineStr">
        <is>
          <t>€/MWh</t>
        </is>
      </c>
      <c r="E302" s="54" t="n">
        <v>0.01483</v>
      </c>
      <c r="F302" s="54" t="n"/>
      <c r="G302" t="inlineStr">
        <is>
          <t>no aplica (precio mayorista)</t>
        </is>
      </c>
      <c r="J302" t="inlineStr">
        <is>
          <t>2020-10-24</t>
        </is>
      </c>
      <c r="K302" t="inlineStr">
        <is>
          <t>MIBGAS_Data_2020.xlsx</t>
        </is>
      </c>
      <c r="L302" t="inlineStr">
        <is>
          <t>volumen 155723 MWh</t>
        </is>
      </c>
    </row>
    <row r="303">
      <c r="A303" s="53" t="n">
        <v>44129</v>
      </c>
      <c r="B303" t="inlineStr">
        <is>
          <t>2020-10-25</t>
        </is>
      </c>
      <c r="C303" s="45" t="n">
        <v>14.73</v>
      </c>
      <c r="D303" t="inlineStr">
        <is>
          <t>€/MWh</t>
        </is>
      </c>
      <c r="E303" s="54" t="n">
        <v>0.01473</v>
      </c>
      <c r="F303" s="54" t="n"/>
      <c r="G303" t="inlineStr">
        <is>
          <t>no aplica (precio mayorista)</t>
        </is>
      </c>
      <c r="J303" t="inlineStr">
        <is>
          <t>2020-10-25</t>
        </is>
      </c>
      <c r="K303" t="inlineStr">
        <is>
          <t>MIBGAS_Data_2020.xlsx</t>
        </is>
      </c>
      <c r="L303" t="inlineStr">
        <is>
          <t>volumen 176522 MWh</t>
        </is>
      </c>
    </row>
    <row r="304">
      <c r="A304" s="53" t="n">
        <v>44130</v>
      </c>
      <c r="B304" t="inlineStr">
        <is>
          <t>2020-10-26</t>
        </is>
      </c>
      <c r="C304" s="45" t="n">
        <v>14.88</v>
      </c>
      <c r="D304" t="inlineStr">
        <is>
          <t>€/MWh</t>
        </is>
      </c>
      <c r="E304" s="54" t="n">
        <v>0.01488</v>
      </c>
      <c r="F304" s="54" t="n"/>
      <c r="G304" t="inlineStr">
        <is>
          <t>no aplica (precio mayorista)</t>
        </is>
      </c>
      <c r="J304" t="inlineStr">
        <is>
          <t>2020-10-26</t>
        </is>
      </c>
      <c r="K304" t="inlineStr">
        <is>
          <t>MIBGAS_Data_2020.xlsx</t>
        </is>
      </c>
      <c r="L304" t="inlineStr">
        <is>
          <t>volumen 133640 MWh</t>
        </is>
      </c>
    </row>
    <row r="305">
      <c r="A305" s="53" t="n">
        <v>44131</v>
      </c>
      <c r="B305" t="inlineStr">
        <is>
          <t>2020-10-27</t>
        </is>
      </c>
      <c r="C305" s="45" t="n">
        <v>14.76</v>
      </c>
      <c r="D305" t="inlineStr">
        <is>
          <t>€/MWh</t>
        </is>
      </c>
      <c r="E305" s="54" t="n">
        <v>0.01476</v>
      </c>
      <c r="F305" s="54" t="n"/>
      <c r="G305" t="inlineStr">
        <is>
          <t>no aplica (precio mayorista)</t>
        </is>
      </c>
      <c r="J305" t="inlineStr">
        <is>
          <t>2020-10-27</t>
        </is>
      </c>
      <c r="K305" t="inlineStr">
        <is>
          <t>MIBGAS_Data_2020.xlsx</t>
        </is>
      </c>
      <c r="L305" t="inlineStr">
        <is>
          <t>volumen 175741 MWh</t>
        </is>
      </c>
    </row>
    <row r="306">
      <c r="A306" s="53" t="n">
        <v>44132</v>
      </c>
      <c r="B306" t="inlineStr">
        <is>
          <t>2020-10-28</t>
        </is>
      </c>
      <c r="C306" s="45" t="n">
        <v>14.6</v>
      </c>
      <c r="D306" t="inlineStr">
        <is>
          <t>€/MWh</t>
        </is>
      </c>
      <c r="E306" s="54" t="n">
        <v>0.0146</v>
      </c>
      <c r="F306" s="54" t="n"/>
      <c r="G306" t="inlineStr">
        <is>
          <t>no aplica (precio mayorista)</t>
        </is>
      </c>
      <c r="J306" t="inlineStr">
        <is>
          <t>2020-10-28</t>
        </is>
      </c>
      <c r="K306" t="inlineStr">
        <is>
          <t>MIBGAS_Data_2020.xlsx</t>
        </is>
      </c>
      <c r="L306" t="inlineStr">
        <is>
          <t>volumen 87633 MWh</t>
        </is>
      </c>
    </row>
    <row r="307">
      <c r="A307" s="53" t="n">
        <v>44133</v>
      </c>
      <c r="B307" t="inlineStr">
        <is>
          <t>2020-10-29</t>
        </is>
      </c>
      <c r="C307" s="45" t="n">
        <v>14.28</v>
      </c>
      <c r="D307" t="inlineStr">
        <is>
          <t>€/MWh</t>
        </is>
      </c>
      <c r="E307" s="54" t="n">
        <v>0.01428</v>
      </c>
      <c r="F307" s="54" t="n"/>
      <c r="G307" t="inlineStr">
        <is>
          <t>no aplica (precio mayorista)</t>
        </is>
      </c>
      <c r="J307" t="inlineStr">
        <is>
          <t>2020-10-29</t>
        </is>
      </c>
      <c r="K307" t="inlineStr">
        <is>
          <t>MIBGAS_Data_2020.xlsx</t>
        </is>
      </c>
      <c r="L307" t="inlineStr">
        <is>
          <t>volumen 126441 MWh</t>
        </is>
      </c>
    </row>
    <row r="308">
      <c r="A308" s="53" t="n">
        <v>44134</v>
      </c>
      <c r="B308" t="inlineStr">
        <is>
          <t>2020-10-30</t>
        </is>
      </c>
      <c r="C308" s="45" t="n">
        <v>13.92</v>
      </c>
      <c r="D308" t="inlineStr">
        <is>
          <t>€/MWh</t>
        </is>
      </c>
      <c r="E308" s="54" t="n">
        <v>0.01392</v>
      </c>
      <c r="F308" s="54" t="n"/>
      <c r="G308" t="inlineStr">
        <is>
          <t>no aplica (precio mayorista)</t>
        </is>
      </c>
      <c r="J308" t="inlineStr">
        <is>
          <t>2020-10-30</t>
        </is>
      </c>
      <c r="K308" t="inlineStr">
        <is>
          <t>MIBGAS_Data_2020.xlsx</t>
        </is>
      </c>
      <c r="L308" t="inlineStr">
        <is>
          <t>volumen 126642 MWh</t>
        </is>
      </c>
    </row>
    <row r="309">
      <c r="A309" s="53" t="n">
        <v>44135</v>
      </c>
      <c r="B309" t="inlineStr">
        <is>
          <t>2020-10-31</t>
        </is>
      </c>
      <c r="C309" s="45" t="n">
        <v>13.36</v>
      </c>
      <c r="D309" t="inlineStr">
        <is>
          <t>€/MWh</t>
        </is>
      </c>
      <c r="E309" s="54" t="n">
        <v>0.01336</v>
      </c>
      <c r="F309" s="54" t="n"/>
      <c r="G309" t="inlineStr">
        <is>
          <t>no aplica (precio mayorista)</t>
        </is>
      </c>
      <c r="J309" t="inlineStr">
        <is>
          <t>2020-10-31</t>
        </is>
      </c>
      <c r="K309" t="inlineStr">
        <is>
          <t>MIBGAS_Data_2020.xlsx</t>
        </is>
      </c>
      <c r="L309" t="inlineStr">
        <is>
          <t>volumen 138197 MWh</t>
        </is>
      </c>
    </row>
    <row r="310">
      <c r="A310" s="53" t="n">
        <v>44136</v>
      </c>
      <c r="B310" t="inlineStr">
        <is>
          <t>2020-11-01</t>
        </is>
      </c>
      <c r="C310" s="45" t="n">
        <v>13.14</v>
      </c>
      <c r="D310" t="inlineStr">
        <is>
          <t>€/MWh</t>
        </is>
      </c>
      <c r="E310" s="54" t="n">
        <v>0.01314</v>
      </c>
      <c r="F310" s="54" t="n"/>
      <c r="G310" t="inlineStr">
        <is>
          <t>no aplica (precio mayorista)</t>
        </is>
      </c>
      <c r="J310" t="inlineStr">
        <is>
          <t>2020-11-01</t>
        </is>
      </c>
      <c r="K310" t="inlineStr">
        <is>
          <t>MIBGAS_Data_2020.xlsx</t>
        </is>
      </c>
      <c r="L310" t="inlineStr">
        <is>
          <t>volumen 152586 MWh</t>
        </is>
      </c>
    </row>
    <row r="311">
      <c r="A311" s="53" t="n">
        <v>44137</v>
      </c>
      <c r="B311" t="inlineStr">
        <is>
          <t>2020-11-02</t>
        </is>
      </c>
      <c r="C311" s="45" t="n">
        <v>13.34</v>
      </c>
      <c r="D311" t="inlineStr">
        <is>
          <t>€/MWh</t>
        </is>
      </c>
      <c r="E311" s="54" t="n">
        <v>0.01334</v>
      </c>
      <c r="F311" s="54" t="n"/>
      <c r="G311" t="inlineStr">
        <is>
          <t>no aplica (precio mayorista)</t>
        </is>
      </c>
      <c r="J311" t="inlineStr">
        <is>
          <t>2020-11-02</t>
        </is>
      </c>
      <c r="K311" t="inlineStr">
        <is>
          <t>MIBGAS_Data_2020.xlsx</t>
        </is>
      </c>
      <c r="L311" t="inlineStr">
        <is>
          <t>volumen 109447 MWh</t>
        </is>
      </c>
    </row>
    <row r="312">
      <c r="A312" s="53" t="n">
        <v>44138</v>
      </c>
      <c r="B312" t="inlineStr">
        <is>
          <t>2020-11-03</t>
        </is>
      </c>
      <c r="C312" s="45" t="n">
        <v>13.3</v>
      </c>
      <c r="D312" t="inlineStr">
        <is>
          <t>€/MWh</t>
        </is>
      </c>
      <c r="E312" s="54" t="n">
        <v>0.0133</v>
      </c>
      <c r="F312" s="54" t="n"/>
      <c r="G312" t="inlineStr">
        <is>
          <t>no aplica (precio mayorista)</t>
        </is>
      </c>
      <c r="J312" t="inlineStr">
        <is>
          <t>2020-11-03</t>
        </is>
      </c>
      <c r="K312" t="inlineStr">
        <is>
          <t>MIBGAS_Data_2020.xlsx</t>
        </is>
      </c>
      <c r="L312" t="inlineStr">
        <is>
          <t>volumen 71395 MWh</t>
        </is>
      </c>
    </row>
    <row r="313">
      <c r="A313" s="53" t="n">
        <v>44139</v>
      </c>
      <c r="B313" t="inlineStr">
        <is>
          <t>2020-11-04</t>
        </is>
      </c>
      <c r="C313" s="45" t="n">
        <v>13.53</v>
      </c>
      <c r="D313" t="inlineStr">
        <is>
          <t>€/MWh</t>
        </is>
      </c>
      <c r="E313" s="54" t="n">
        <v>0.01353</v>
      </c>
      <c r="F313" s="54" t="n"/>
      <c r="G313" t="inlineStr">
        <is>
          <t>no aplica (precio mayorista)</t>
        </is>
      </c>
      <c r="J313" t="inlineStr">
        <is>
          <t>2020-11-04</t>
        </is>
      </c>
      <c r="K313" t="inlineStr">
        <is>
          <t>MIBGAS_Data_2020.xlsx</t>
        </is>
      </c>
      <c r="L313" t="inlineStr">
        <is>
          <t>volumen 91112 MWh</t>
        </is>
      </c>
    </row>
    <row r="314">
      <c r="A314" s="53" t="n">
        <v>44140</v>
      </c>
      <c r="B314" t="inlineStr">
        <is>
          <t>2020-11-05</t>
        </is>
      </c>
      <c r="C314" s="45" t="n">
        <v>13.79</v>
      </c>
      <c r="D314" t="inlineStr">
        <is>
          <t>€/MWh</t>
        </is>
      </c>
      <c r="E314" s="54" t="n">
        <v>0.01379</v>
      </c>
      <c r="F314" s="54" t="n"/>
      <c r="G314" t="inlineStr">
        <is>
          <t>no aplica (precio mayorista)</t>
        </is>
      </c>
      <c r="J314" t="inlineStr">
        <is>
          <t>2020-11-05</t>
        </is>
      </c>
      <c r="K314" t="inlineStr">
        <is>
          <t>MIBGAS_Data_2020.xlsx</t>
        </is>
      </c>
      <c r="L314" t="inlineStr">
        <is>
          <t>volumen 98387 MWh</t>
        </is>
      </c>
    </row>
    <row r="315">
      <c r="A315" s="53" t="n">
        <v>44141</v>
      </c>
      <c r="B315" t="inlineStr">
        <is>
          <t>2020-11-06</t>
        </is>
      </c>
      <c r="C315" s="45" t="n">
        <v>13.7</v>
      </c>
      <c r="D315" t="inlineStr">
        <is>
          <t>€/MWh</t>
        </is>
      </c>
      <c r="E315" s="54" t="n">
        <v>0.0137</v>
      </c>
      <c r="F315" s="54" t="n"/>
      <c r="G315" t="inlineStr">
        <is>
          <t>no aplica (precio mayorista)</t>
        </is>
      </c>
      <c r="J315" t="inlineStr">
        <is>
          <t>2020-11-06</t>
        </is>
      </c>
      <c r="K315" t="inlineStr">
        <is>
          <t>MIBGAS_Data_2020.xlsx</t>
        </is>
      </c>
      <c r="L315" t="inlineStr">
        <is>
          <t>volumen 117683 MWh</t>
        </is>
      </c>
    </row>
    <row r="316">
      <c r="A316" s="53" t="n">
        <v>44142</v>
      </c>
      <c r="B316" t="inlineStr">
        <is>
          <t>2020-11-07</t>
        </is>
      </c>
      <c r="C316" s="45" t="n">
        <v>13.49</v>
      </c>
      <c r="D316" t="inlineStr">
        <is>
          <t>€/MWh</t>
        </is>
      </c>
      <c r="E316" s="54" t="n">
        <v>0.01349</v>
      </c>
      <c r="F316" s="54" t="n"/>
      <c r="G316" t="inlineStr">
        <is>
          <t>no aplica (precio mayorista)</t>
        </is>
      </c>
      <c r="J316" t="inlineStr">
        <is>
          <t>2020-11-07</t>
        </is>
      </c>
      <c r="K316" t="inlineStr">
        <is>
          <t>MIBGAS_Data_2020.xlsx</t>
        </is>
      </c>
      <c r="L316" t="inlineStr">
        <is>
          <t>volumen 125660 MWh</t>
        </is>
      </c>
    </row>
    <row r="317">
      <c r="A317" s="53" t="n">
        <v>44143</v>
      </c>
      <c r="B317" t="inlineStr">
        <is>
          <t>2020-11-08</t>
        </is>
      </c>
      <c r="C317" s="45" t="n">
        <v>13.48</v>
      </c>
      <c r="D317" t="inlineStr">
        <is>
          <t>€/MWh</t>
        </is>
      </c>
      <c r="E317" s="54" t="n">
        <v>0.01348</v>
      </c>
      <c r="F317" s="54" t="n"/>
      <c r="G317" t="inlineStr">
        <is>
          <t>no aplica (precio mayorista)</t>
        </is>
      </c>
      <c r="J317" t="inlineStr">
        <is>
          <t>2020-11-08</t>
        </is>
      </c>
      <c r="K317" t="inlineStr">
        <is>
          <t>MIBGAS_Data_2020.xlsx</t>
        </is>
      </c>
      <c r="L317" t="inlineStr">
        <is>
          <t>volumen 111309 MWh</t>
        </is>
      </c>
    </row>
    <row r="318">
      <c r="A318" s="53" t="n">
        <v>44144</v>
      </c>
      <c r="B318" t="inlineStr">
        <is>
          <t>2020-11-09</t>
        </is>
      </c>
      <c r="C318" s="45" t="n">
        <v>14.04</v>
      </c>
      <c r="D318" t="inlineStr">
        <is>
          <t>€/MWh</t>
        </is>
      </c>
      <c r="E318" s="54" t="n">
        <v>0.01404</v>
      </c>
      <c r="F318" s="54" t="n"/>
      <c r="G318" t="inlineStr">
        <is>
          <t>no aplica (precio mayorista)</t>
        </is>
      </c>
      <c r="J318" t="inlineStr">
        <is>
          <t>2020-11-09</t>
        </is>
      </c>
      <c r="K318" t="inlineStr">
        <is>
          <t>MIBGAS_Data_2020.xlsx</t>
        </is>
      </c>
      <c r="L318" t="inlineStr">
        <is>
          <t>volumen 98302 MWh</t>
        </is>
      </c>
    </row>
    <row r="319">
      <c r="A319" s="53" t="n">
        <v>44145</v>
      </c>
      <c r="B319" t="inlineStr">
        <is>
          <t>2020-11-10</t>
        </is>
      </c>
      <c r="C319" s="45" t="n">
        <v>15.18</v>
      </c>
      <c r="D319" t="inlineStr">
        <is>
          <t>€/MWh</t>
        </is>
      </c>
      <c r="E319" s="54" t="n">
        <v>0.01518</v>
      </c>
      <c r="F319" s="54" t="n"/>
      <c r="G319" t="inlineStr">
        <is>
          <t>no aplica (precio mayorista)</t>
        </is>
      </c>
      <c r="J319" t="inlineStr">
        <is>
          <t>2020-11-10</t>
        </is>
      </c>
      <c r="K319" t="inlineStr">
        <is>
          <t>MIBGAS_Data_2020.xlsx</t>
        </is>
      </c>
      <c r="L319" t="inlineStr">
        <is>
          <t>volumen 140601 MWh</t>
        </is>
      </c>
    </row>
    <row r="320">
      <c r="A320" s="53" t="n">
        <v>44146</v>
      </c>
      <c r="B320" t="inlineStr">
        <is>
          <t>2020-11-11</t>
        </is>
      </c>
      <c r="C320" s="45" t="n">
        <v>14.05</v>
      </c>
      <c r="D320" t="inlineStr">
        <is>
          <t>€/MWh</t>
        </is>
      </c>
      <c r="E320" s="54" t="n">
        <v>0.01405</v>
      </c>
      <c r="F320" s="54" t="n"/>
      <c r="G320" t="inlineStr">
        <is>
          <t>no aplica (precio mayorista)</t>
        </is>
      </c>
      <c r="J320" t="inlineStr">
        <is>
          <t>2020-11-11</t>
        </is>
      </c>
      <c r="K320" t="inlineStr">
        <is>
          <t>MIBGAS_Data_2020.xlsx</t>
        </is>
      </c>
      <c r="L320" t="inlineStr">
        <is>
          <t>volumen 106013 MWh</t>
        </is>
      </c>
    </row>
    <row r="321">
      <c r="A321" s="53" t="n">
        <v>44147</v>
      </c>
      <c r="B321" t="inlineStr">
        <is>
          <t>2020-11-12</t>
        </is>
      </c>
      <c r="C321" s="45" t="n">
        <v>14.29</v>
      </c>
      <c r="D321" t="inlineStr">
        <is>
          <t>€/MWh</t>
        </is>
      </c>
      <c r="E321" s="54" t="n">
        <v>0.01429</v>
      </c>
      <c r="F321" s="54" t="n"/>
      <c r="G321" t="inlineStr">
        <is>
          <t>no aplica (precio mayorista)</t>
        </is>
      </c>
      <c r="J321" t="inlineStr">
        <is>
          <t>2020-11-12</t>
        </is>
      </c>
      <c r="K321" t="inlineStr">
        <is>
          <t>MIBGAS_Data_2020.xlsx</t>
        </is>
      </c>
      <c r="L321" t="inlineStr">
        <is>
          <t>volumen 76419 MWh</t>
        </is>
      </c>
    </row>
    <row r="322">
      <c r="A322" s="53" t="n">
        <v>44148</v>
      </c>
      <c r="B322" t="inlineStr">
        <is>
          <t>2020-11-13</t>
        </is>
      </c>
      <c r="C322" s="45" t="n">
        <v>14.33</v>
      </c>
      <c r="D322" t="inlineStr">
        <is>
          <t>€/MWh</t>
        </is>
      </c>
      <c r="E322" s="54" t="n">
        <v>0.01433</v>
      </c>
      <c r="F322" s="54" t="n"/>
      <c r="G322" t="inlineStr">
        <is>
          <t>no aplica (precio mayorista)</t>
        </is>
      </c>
      <c r="J322" t="inlineStr">
        <is>
          <t>2020-11-13</t>
        </is>
      </c>
      <c r="K322" t="inlineStr">
        <is>
          <t>MIBGAS_Data_2020.xlsx</t>
        </is>
      </c>
      <c r="L322" t="inlineStr">
        <is>
          <t>volumen 75839 MWh</t>
        </is>
      </c>
    </row>
    <row r="323">
      <c r="A323" s="53" t="n">
        <v>44149</v>
      </c>
      <c r="B323" t="inlineStr">
        <is>
          <t>2020-11-14</t>
        </is>
      </c>
      <c r="C323" s="45" t="n">
        <v>13.88</v>
      </c>
      <c r="D323" t="inlineStr">
        <is>
          <t>€/MWh</t>
        </is>
      </c>
      <c r="E323" s="54" t="n">
        <v>0.01388</v>
      </c>
      <c r="F323" s="54" t="n"/>
      <c r="G323" t="inlineStr">
        <is>
          <t>no aplica (precio mayorista)</t>
        </is>
      </c>
      <c r="J323" t="inlineStr">
        <is>
          <t>2020-11-14</t>
        </is>
      </c>
      <c r="K323" t="inlineStr">
        <is>
          <t>MIBGAS_Data_2020.xlsx</t>
        </is>
      </c>
      <c r="L323" t="inlineStr">
        <is>
          <t>volumen 85255 MWh</t>
        </is>
      </c>
    </row>
    <row r="324">
      <c r="A324" s="53" t="n">
        <v>44150</v>
      </c>
      <c r="B324" t="inlineStr">
        <is>
          <t>2020-11-15</t>
        </is>
      </c>
      <c r="C324" s="45" t="n">
        <v>13.75</v>
      </c>
      <c r="D324" t="inlineStr">
        <is>
          <t>€/MWh</t>
        </is>
      </c>
      <c r="E324" s="54" t="n">
        <v>0.01375</v>
      </c>
      <c r="F324" s="54" t="n"/>
      <c r="G324" t="inlineStr">
        <is>
          <t>no aplica (precio mayorista)</t>
        </is>
      </c>
      <c r="J324" t="inlineStr">
        <is>
          <t>2020-11-15</t>
        </is>
      </c>
      <c r="K324" t="inlineStr">
        <is>
          <t>MIBGAS_Data_2020.xlsx</t>
        </is>
      </c>
      <c r="L324" t="inlineStr">
        <is>
          <t>volumen 110051 MWh</t>
        </is>
      </c>
    </row>
    <row r="325">
      <c r="A325" s="53" t="n">
        <v>44151</v>
      </c>
      <c r="B325" t="inlineStr">
        <is>
          <t>2020-11-16</t>
        </is>
      </c>
      <c r="C325" s="45" t="n">
        <v>14.76</v>
      </c>
      <c r="D325" t="inlineStr">
        <is>
          <t>€/MWh</t>
        </is>
      </c>
      <c r="E325" s="54" t="n">
        <v>0.01476</v>
      </c>
      <c r="F325" s="54" t="n"/>
      <c r="G325" t="inlineStr">
        <is>
          <t>no aplica (precio mayorista)</t>
        </is>
      </c>
      <c r="J325" t="inlineStr">
        <is>
          <t>2020-11-16</t>
        </is>
      </c>
      <c r="K325" t="inlineStr">
        <is>
          <t>MIBGAS_Data_2020.xlsx</t>
        </is>
      </c>
      <c r="L325" t="inlineStr">
        <is>
          <t>volumen 96097 MWh</t>
        </is>
      </c>
    </row>
    <row r="326">
      <c r="A326" s="53" t="n">
        <v>44152</v>
      </c>
      <c r="B326" t="inlineStr">
        <is>
          <t>2020-11-17</t>
        </is>
      </c>
      <c r="C326" s="45" t="n">
        <v>14.83</v>
      </c>
      <c r="D326" t="inlineStr">
        <is>
          <t>€/MWh</t>
        </is>
      </c>
      <c r="E326" s="54" t="n">
        <v>0.01483</v>
      </c>
      <c r="F326" s="54" t="n"/>
      <c r="G326" t="inlineStr">
        <is>
          <t>no aplica (precio mayorista)</t>
        </is>
      </c>
      <c r="J326" t="inlineStr">
        <is>
          <t>2020-11-17</t>
        </is>
      </c>
      <c r="K326" t="inlineStr">
        <is>
          <t>MIBGAS_Data_2020.xlsx</t>
        </is>
      </c>
      <c r="L326" t="inlineStr">
        <is>
          <t>volumen 71770 MWh</t>
        </is>
      </c>
    </row>
    <row r="327">
      <c r="A327" s="53" t="n">
        <v>44153</v>
      </c>
      <c r="B327" t="inlineStr">
        <is>
          <t>2020-11-18</t>
        </is>
      </c>
      <c r="C327" s="45" t="n">
        <v>14.88</v>
      </c>
      <c r="D327" t="inlineStr">
        <is>
          <t>€/MWh</t>
        </is>
      </c>
      <c r="E327" s="54" t="n">
        <v>0.01488</v>
      </c>
      <c r="F327" s="54" t="n"/>
      <c r="G327" t="inlineStr">
        <is>
          <t>no aplica (precio mayorista)</t>
        </is>
      </c>
      <c r="J327" t="inlineStr">
        <is>
          <t>2020-11-18</t>
        </is>
      </c>
      <c r="K327" t="inlineStr">
        <is>
          <t>MIBGAS_Data_2020.xlsx</t>
        </is>
      </c>
      <c r="L327" t="inlineStr">
        <is>
          <t>volumen 96863 MWh</t>
        </is>
      </c>
    </row>
    <row r="328">
      <c r="A328" s="53" t="n">
        <v>44154</v>
      </c>
      <c r="B328" t="inlineStr">
        <is>
          <t>2020-11-19</t>
        </is>
      </c>
      <c r="C328" s="45" t="n">
        <v>14.2</v>
      </c>
      <c r="D328" t="inlineStr">
        <is>
          <t>€/MWh</t>
        </is>
      </c>
      <c r="E328" s="54" t="n">
        <v>0.0142</v>
      </c>
      <c r="F328" s="54" t="n"/>
      <c r="G328" t="inlineStr">
        <is>
          <t>no aplica (precio mayorista)</t>
        </is>
      </c>
      <c r="J328" t="inlineStr">
        <is>
          <t>2020-11-19</t>
        </is>
      </c>
      <c r="K328" t="inlineStr">
        <is>
          <t>MIBGAS_Data_2020.xlsx</t>
        </is>
      </c>
      <c r="L328" t="inlineStr">
        <is>
          <t>volumen 131107 MWh</t>
        </is>
      </c>
    </row>
    <row r="329">
      <c r="A329" s="53" t="n">
        <v>44155</v>
      </c>
      <c r="B329" t="inlineStr">
        <is>
          <t>2020-11-20</t>
        </is>
      </c>
      <c r="C329" s="45" t="n">
        <v>13.56</v>
      </c>
      <c r="D329" t="inlineStr">
        <is>
          <t>€/MWh</t>
        </is>
      </c>
      <c r="E329" s="54" t="n">
        <v>0.01356</v>
      </c>
      <c r="F329" s="54" t="n"/>
      <c r="G329" t="inlineStr">
        <is>
          <t>no aplica (precio mayorista)</t>
        </is>
      </c>
      <c r="J329" t="inlineStr">
        <is>
          <t>2020-11-20</t>
        </is>
      </c>
      <c r="K329" t="inlineStr">
        <is>
          <t>MIBGAS_Data_2020.xlsx</t>
        </is>
      </c>
      <c r="L329" t="inlineStr">
        <is>
          <t>volumen 94419 MWh</t>
        </is>
      </c>
    </row>
    <row r="330">
      <c r="A330" s="53" t="n">
        <v>44156</v>
      </c>
      <c r="B330" t="inlineStr">
        <is>
          <t>2020-11-21</t>
        </is>
      </c>
      <c r="C330" s="45" t="n">
        <v>13.14</v>
      </c>
      <c r="D330" t="inlineStr">
        <is>
          <t>€/MWh</t>
        </is>
      </c>
      <c r="E330" s="54" t="n">
        <v>0.01314</v>
      </c>
      <c r="F330" s="54" t="n"/>
      <c r="G330" t="inlineStr">
        <is>
          <t>no aplica (precio mayorista)</t>
        </is>
      </c>
      <c r="J330" t="inlineStr">
        <is>
          <t>2020-11-21</t>
        </is>
      </c>
      <c r="K330" t="inlineStr">
        <is>
          <t>MIBGAS_Data_2020.xlsx</t>
        </is>
      </c>
      <c r="L330" t="inlineStr">
        <is>
          <t>volumen 83845 MWh</t>
        </is>
      </c>
    </row>
    <row r="331">
      <c r="A331" s="53" t="n">
        <v>44157</v>
      </c>
      <c r="B331" t="inlineStr">
        <is>
          <t>2020-11-22</t>
        </is>
      </c>
      <c r="C331" s="45" t="n">
        <v>13.3</v>
      </c>
      <c r="D331" t="inlineStr">
        <is>
          <t>€/MWh</t>
        </is>
      </c>
      <c r="E331" s="54" t="n">
        <v>0.0133</v>
      </c>
      <c r="F331" s="54" t="n"/>
      <c r="G331" t="inlineStr">
        <is>
          <t>no aplica (precio mayorista)</t>
        </is>
      </c>
      <c r="J331" t="inlineStr">
        <is>
          <t>2020-11-22</t>
        </is>
      </c>
      <c r="K331" t="inlineStr">
        <is>
          <t>MIBGAS_Data_2020.xlsx</t>
        </is>
      </c>
      <c r="L331" t="inlineStr">
        <is>
          <t>volumen 91182 MWh</t>
        </is>
      </c>
    </row>
    <row r="332">
      <c r="A332" s="53" t="n">
        <v>44158</v>
      </c>
      <c r="B332" t="inlineStr">
        <is>
          <t>2020-11-23</t>
        </is>
      </c>
      <c r="C332" s="45" t="n">
        <v>15.28</v>
      </c>
      <c r="D332" t="inlineStr">
        <is>
          <t>€/MWh</t>
        </is>
      </c>
      <c r="E332" s="54" t="n">
        <v>0.01528</v>
      </c>
      <c r="F332" s="54" t="n"/>
      <c r="G332" t="inlineStr">
        <is>
          <t>no aplica (precio mayorista)</t>
        </is>
      </c>
      <c r="J332" t="inlineStr">
        <is>
          <t>2020-11-23</t>
        </is>
      </c>
      <c r="K332" t="inlineStr">
        <is>
          <t>MIBGAS_Data_2020.xlsx</t>
        </is>
      </c>
      <c r="L332" t="inlineStr">
        <is>
          <t>volumen 159006 MWh</t>
        </is>
      </c>
    </row>
    <row r="333">
      <c r="A333" s="53" t="n">
        <v>44159</v>
      </c>
      <c r="B333" t="inlineStr">
        <is>
          <t>2020-11-24</t>
        </is>
      </c>
      <c r="C333" s="45" t="n">
        <v>17.02</v>
      </c>
      <c r="D333" t="inlineStr">
        <is>
          <t>€/MWh</t>
        </is>
      </c>
      <c r="E333" s="54" t="n">
        <v>0.01702</v>
      </c>
      <c r="F333" s="54" t="n"/>
      <c r="G333" t="inlineStr">
        <is>
          <t>no aplica (precio mayorista)</t>
        </is>
      </c>
      <c r="J333" t="inlineStr">
        <is>
          <t>2020-11-24</t>
        </is>
      </c>
      <c r="K333" t="inlineStr">
        <is>
          <t>MIBGAS_Data_2020.xlsx</t>
        </is>
      </c>
      <c r="L333" t="inlineStr">
        <is>
          <t>volumen 219273 MWh</t>
        </is>
      </c>
    </row>
    <row r="334">
      <c r="A334" s="53" t="n">
        <v>44160</v>
      </c>
      <c r="B334" t="inlineStr">
        <is>
          <t>2020-11-25</t>
        </is>
      </c>
      <c r="C334" s="45" t="n">
        <v>16.4</v>
      </c>
      <c r="D334" t="inlineStr">
        <is>
          <t>€/MWh</t>
        </is>
      </c>
      <c r="E334" s="54" t="n">
        <v>0.0164</v>
      </c>
      <c r="F334" s="54" t="n"/>
      <c r="G334" t="inlineStr">
        <is>
          <t>no aplica (precio mayorista)</t>
        </is>
      </c>
      <c r="J334" t="inlineStr">
        <is>
          <t>2020-11-25</t>
        </is>
      </c>
      <c r="K334" t="inlineStr">
        <is>
          <t>MIBGAS_Data_2020.xlsx</t>
        </is>
      </c>
      <c r="L334" t="inlineStr">
        <is>
          <t>volumen 222235 MWh</t>
        </is>
      </c>
    </row>
    <row r="335">
      <c r="A335" s="53" t="n">
        <v>44161</v>
      </c>
      <c r="B335" t="inlineStr">
        <is>
          <t>2020-11-26</t>
        </is>
      </c>
      <c r="C335" s="45" t="n">
        <v>15.58</v>
      </c>
      <c r="D335" t="inlineStr">
        <is>
          <t>€/MWh</t>
        </is>
      </c>
      <c r="E335" s="54" t="n">
        <v>0.01558</v>
      </c>
      <c r="F335" s="54" t="n"/>
      <c r="G335" t="inlineStr">
        <is>
          <t>no aplica (precio mayorista)</t>
        </is>
      </c>
      <c r="J335" t="inlineStr">
        <is>
          <t>2020-11-26</t>
        </is>
      </c>
      <c r="K335" t="inlineStr">
        <is>
          <t>MIBGAS_Data_2020.xlsx</t>
        </is>
      </c>
      <c r="L335" t="inlineStr">
        <is>
          <t>volumen 147635 MWh</t>
        </is>
      </c>
    </row>
    <row r="336">
      <c r="A336" s="53" t="n">
        <v>44162</v>
      </c>
      <c r="B336" t="inlineStr">
        <is>
          <t>2020-11-27</t>
        </is>
      </c>
      <c r="C336" s="45" t="n">
        <v>16.1</v>
      </c>
      <c r="D336" t="inlineStr">
        <is>
          <t>€/MWh</t>
        </is>
      </c>
      <c r="E336" s="54" t="n">
        <v>0.0161</v>
      </c>
      <c r="F336" s="54" t="n"/>
      <c r="G336" t="inlineStr">
        <is>
          <t>no aplica (precio mayorista)</t>
        </is>
      </c>
      <c r="J336" t="inlineStr">
        <is>
          <t>2020-11-27</t>
        </is>
      </c>
      <c r="K336" t="inlineStr">
        <is>
          <t>MIBGAS_Data_2020.xlsx</t>
        </is>
      </c>
      <c r="L336" t="inlineStr">
        <is>
          <t>volumen 182281 MWh</t>
        </is>
      </c>
    </row>
    <row r="337">
      <c r="A337" s="53" t="n">
        <v>44163</v>
      </c>
      <c r="B337" t="inlineStr">
        <is>
          <t>2020-11-28</t>
        </is>
      </c>
      <c r="C337" s="45" t="n">
        <v>15.53</v>
      </c>
      <c r="D337" t="inlineStr">
        <is>
          <t>€/MWh</t>
        </is>
      </c>
      <c r="E337" s="54" t="n">
        <v>0.01553</v>
      </c>
      <c r="F337" s="54" t="n"/>
      <c r="G337" t="inlineStr">
        <is>
          <t>no aplica (precio mayorista)</t>
        </is>
      </c>
      <c r="J337" t="inlineStr">
        <is>
          <t>2020-11-28</t>
        </is>
      </c>
      <c r="K337" t="inlineStr">
        <is>
          <t>MIBGAS_Data_2020.xlsx</t>
        </is>
      </c>
      <c r="L337" t="inlineStr">
        <is>
          <t>volumen 108600 MWh</t>
        </is>
      </c>
    </row>
    <row r="338">
      <c r="A338" s="53" t="n">
        <v>44164</v>
      </c>
      <c r="B338" t="inlineStr">
        <is>
          <t>2020-11-29</t>
        </is>
      </c>
      <c r="C338" s="45" t="n">
        <v>15.78</v>
      </c>
      <c r="D338" t="inlineStr">
        <is>
          <t>€/MWh</t>
        </is>
      </c>
      <c r="E338" s="54" t="n">
        <v>0.01578</v>
      </c>
      <c r="F338" s="54" t="n"/>
      <c r="G338" t="inlineStr">
        <is>
          <t>no aplica (precio mayorista)</t>
        </is>
      </c>
      <c r="J338" t="inlineStr">
        <is>
          <t>2020-11-29</t>
        </is>
      </c>
      <c r="K338" t="inlineStr">
        <is>
          <t>MIBGAS_Data_2020.xlsx</t>
        </is>
      </c>
      <c r="L338" t="inlineStr">
        <is>
          <t>volumen 129085 MWh</t>
        </is>
      </c>
    </row>
    <row r="339">
      <c r="A339" s="53" t="n">
        <v>44165</v>
      </c>
      <c r="B339" t="inlineStr">
        <is>
          <t>2020-11-30</t>
        </is>
      </c>
      <c r="C339" s="45" t="n">
        <v>17.35</v>
      </c>
      <c r="D339" t="inlineStr">
        <is>
          <t>€/MWh</t>
        </is>
      </c>
      <c r="E339" s="54" t="n">
        <v>0.01735</v>
      </c>
      <c r="F339" s="54" t="n"/>
      <c r="G339" t="inlineStr">
        <is>
          <t>no aplica (precio mayorista)</t>
        </is>
      </c>
      <c r="J339" t="inlineStr">
        <is>
          <t>2020-11-30</t>
        </is>
      </c>
      <c r="K339" t="inlineStr">
        <is>
          <t>MIBGAS_Data_2020.xlsx</t>
        </is>
      </c>
      <c r="L339" t="inlineStr">
        <is>
          <t>volumen 166316 MWh</t>
        </is>
      </c>
    </row>
    <row r="340">
      <c r="A340" s="53" t="n">
        <v>44166</v>
      </c>
      <c r="B340" t="inlineStr">
        <is>
          <t>2020-12-01</t>
        </is>
      </c>
      <c r="C340" s="45" t="n">
        <v>17.36</v>
      </c>
      <c r="D340" t="inlineStr">
        <is>
          <t>€/MWh</t>
        </is>
      </c>
      <c r="E340" s="54" t="n">
        <v>0.01736</v>
      </c>
      <c r="F340" s="54" t="n"/>
      <c r="G340" t="inlineStr">
        <is>
          <t>no aplica (precio mayorista)</t>
        </is>
      </c>
      <c r="J340" t="inlineStr">
        <is>
          <t>2020-12-01</t>
        </is>
      </c>
      <c r="K340" t="inlineStr">
        <is>
          <t>MIBGAS_Data_2020.xlsx</t>
        </is>
      </c>
      <c r="L340" t="inlineStr">
        <is>
          <t>volumen 138454 MWh</t>
        </is>
      </c>
    </row>
    <row r="341">
      <c r="A341" s="53" t="n">
        <v>44167</v>
      </c>
      <c r="B341" t="inlineStr">
        <is>
          <t>2020-12-02</t>
        </is>
      </c>
      <c r="C341" s="45" t="n">
        <v>16.9</v>
      </c>
      <c r="D341" t="inlineStr">
        <is>
          <t>€/MWh</t>
        </is>
      </c>
      <c r="E341" s="54" t="n">
        <v>0.0169</v>
      </c>
      <c r="F341" s="54" t="n"/>
      <c r="G341" t="inlineStr">
        <is>
          <t>no aplica (precio mayorista)</t>
        </is>
      </c>
      <c r="J341" t="inlineStr">
        <is>
          <t>2020-12-02</t>
        </is>
      </c>
      <c r="K341" t="inlineStr">
        <is>
          <t>MIBGAS_Data_2020.xlsx</t>
        </is>
      </c>
      <c r="L341" t="inlineStr">
        <is>
          <t>volumen 147889 MWh</t>
        </is>
      </c>
    </row>
    <row r="342">
      <c r="A342" s="53" t="n">
        <v>44168</v>
      </c>
      <c r="B342" t="inlineStr">
        <is>
          <t>2020-12-03</t>
        </is>
      </c>
      <c r="C342" s="45" t="n">
        <v>17.52</v>
      </c>
      <c r="D342" t="inlineStr">
        <is>
          <t>€/MWh</t>
        </is>
      </c>
      <c r="E342" s="54" t="n">
        <v>0.01752</v>
      </c>
      <c r="F342" s="54" t="n"/>
      <c r="G342" t="inlineStr">
        <is>
          <t>no aplica (precio mayorista)</t>
        </is>
      </c>
      <c r="J342" t="inlineStr">
        <is>
          <t>2020-12-03</t>
        </is>
      </c>
      <c r="K342" t="inlineStr">
        <is>
          <t>MIBGAS_Data_2020.xlsx</t>
        </is>
      </c>
      <c r="L342" t="inlineStr">
        <is>
          <t>volumen 199231 MWh</t>
        </is>
      </c>
    </row>
    <row r="343">
      <c r="A343" s="53" t="n">
        <v>44169</v>
      </c>
      <c r="B343" t="inlineStr">
        <is>
          <t>2020-12-04</t>
        </is>
      </c>
      <c r="C343" s="45" t="n">
        <v>16.53</v>
      </c>
      <c r="D343" t="inlineStr">
        <is>
          <t>€/MWh</t>
        </is>
      </c>
      <c r="E343" s="54" t="n">
        <v>0.01653</v>
      </c>
      <c r="F343" s="54" t="n"/>
      <c r="G343" t="inlineStr">
        <is>
          <t>no aplica (precio mayorista)</t>
        </is>
      </c>
      <c r="J343" t="inlineStr">
        <is>
          <t>2020-12-04</t>
        </is>
      </c>
      <c r="K343" t="inlineStr">
        <is>
          <t>MIBGAS_Data_2020.xlsx</t>
        </is>
      </c>
      <c r="L343" t="inlineStr">
        <is>
          <t>volumen 131171 MWh</t>
        </is>
      </c>
    </row>
    <row r="344">
      <c r="A344" s="53" t="n">
        <v>44170</v>
      </c>
      <c r="B344" t="inlineStr">
        <is>
          <t>2020-12-05</t>
        </is>
      </c>
      <c r="C344" s="45" t="n">
        <v>15.99</v>
      </c>
      <c r="D344" t="inlineStr">
        <is>
          <t>€/MWh</t>
        </is>
      </c>
      <c r="E344" s="54" t="n">
        <v>0.01599</v>
      </c>
      <c r="F344" s="54" t="n"/>
      <c r="G344" t="inlineStr">
        <is>
          <t>no aplica (precio mayorista)</t>
        </is>
      </c>
      <c r="J344" t="inlineStr">
        <is>
          <t>2020-12-05</t>
        </is>
      </c>
      <c r="K344" t="inlineStr">
        <is>
          <t>MIBGAS_Data_2020.xlsx</t>
        </is>
      </c>
      <c r="L344" t="inlineStr">
        <is>
          <t>volumen 98398 MWh</t>
        </is>
      </c>
    </row>
    <row r="345">
      <c r="A345" s="53" t="n">
        <v>44171</v>
      </c>
      <c r="B345" t="inlineStr">
        <is>
          <t>2020-12-06</t>
        </is>
      </c>
      <c r="C345" s="45" t="n">
        <v>16.24</v>
      </c>
      <c r="D345" t="inlineStr">
        <is>
          <t>€/MWh</t>
        </is>
      </c>
      <c r="E345" s="54" t="n">
        <v>0.01624</v>
      </c>
      <c r="F345" s="54" t="n"/>
      <c r="G345" t="inlineStr">
        <is>
          <t>no aplica (precio mayorista)</t>
        </is>
      </c>
      <c r="J345" t="inlineStr">
        <is>
          <t>2020-12-06</t>
        </is>
      </c>
      <c r="K345" t="inlineStr">
        <is>
          <t>MIBGAS_Data_2020.xlsx</t>
        </is>
      </c>
      <c r="L345" t="inlineStr">
        <is>
          <t>volumen 162146 MWh</t>
        </is>
      </c>
    </row>
    <row r="346">
      <c r="A346" s="53" t="n">
        <v>44172</v>
      </c>
      <c r="B346" t="inlineStr">
        <is>
          <t>2020-12-07</t>
        </is>
      </c>
      <c r="C346" s="45" t="n">
        <v>16.24</v>
      </c>
      <c r="D346" t="inlineStr">
        <is>
          <t>€/MWh</t>
        </is>
      </c>
      <c r="E346" s="54" t="n">
        <v>0.01624</v>
      </c>
      <c r="F346" s="54" t="n"/>
      <c r="G346" t="inlineStr">
        <is>
          <t>no aplica (precio mayorista)</t>
        </is>
      </c>
      <c r="J346" t="inlineStr">
        <is>
          <t>2020-12-07</t>
        </is>
      </c>
      <c r="K346" t="inlineStr">
        <is>
          <t>MIBGAS_Data_2020.xlsx</t>
        </is>
      </c>
      <c r="L346" t="inlineStr">
        <is>
          <t>volumen 145554 MWh</t>
        </is>
      </c>
    </row>
    <row r="347">
      <c r="A347" s="53" t="n">
        <v>44173</v>
      </c>
      <c r="B347" t="inlineStr">
        <is>
          <t>2020-12-08</t>
        </is>
      </c>
      <c r="C347" s="45" t="n">
        <v>16.1</v>
      </c>
      <c r="D347" t="inlineStr">
        <is>
          <t>€/MWh</t>
        </is>
      </c>
      <c r="E347" s="54" t="n">
        <v>0.0161</v>
      </c>
      <c r="F347" s="54" t="n"/>
      <c r="G347" t="inlineStr">
        <is>
          <t>no aplica (precio mayorista)</t>
        </is>
      </c>
      <c r="J347" t="inlineStr">
        <is>
          <t>2020-12-08</t>
        </is>
      </c>
      <c r="K347" t="inlineStr">
        <is>
          <t>MIBGAS_Data_2020.xlsx</t>
        </is>
      </c>
      <c r="L347" t="inlineStr">
        <is>
          <t>volumen 107437 MWh</t>
        </is>
      </c>
    </row>
    <row r="348">
      <c r="A348" s="53" t="n">
        <v>44174</v>
      </c>
      <c r="B348" t="inlineStr">
        <is>
          <t>2020-12-09</t>
        </is>
      </c>
      <c r="C348" s="45" t="n">
        <v>18.56</v>
      </c>
      <c r="D348" t="inlineStr">
        <is>
          <t>€/MWh</t>
        </is>
      </c>
      <c r="E348" s="54" t="n">
        <v>0.01856</v>
      </c>
      <c r="F348" s="54" t="n"/>
      <c r="G348" t="inlineStr">
        <is>
          <t>no aplica (precio mayorista)</t>
        </is>
      </c>
      <c r="J348" t="inlineStr">
        <is>
          <t>2020-12-09</t>
        </is>
      </c>
      <c r="K348" t="inlineStr">
        <is>
          <t>MIBGAS_Data_2020.xlsx</t>
        </is>
      </c>
      <c r="L348" t="inlineStr">
        <is>
          <t>volumen 183388 MWh</t>
        </is>
      </c>
    </row>
    <row r="349">
      <c r="A349" s="53" t="n">
        <v>44175</v>
      </c>
      <c r="B349" t="inlineStr">
        <is>
          <t>2020-12-10</t>
        </is>
      </c>
      <c r="C349" s="45" t="n">
        <v>18.09</v>
      </c>
      <c r="D349" t="inlineStr">
        <is>
          <t>€/MWh</t>
        </is>
      </c>
      <c r="E349" s="54" t="n">
        <v>0.01809</v>
      </c>
      <c r="F349" s="54" t="n"/>
      <c r="G349" t="inlineStr">
        <is>
          <t>no aplica (precio mayorista)</t>
        </is>
      </c>
      <c r="J349" t="inlineStr">
        <is>
          <t>2020-12-10</t>
        </is>
      </c>
      <c r="K349" t="inlineStr">
        <is>
          <t>MIBGAS_Data_2020.xlsx</t>
        </is>
      </c>
      <c r="L349" t="inlineStr">
        <is>
          <t>volumen 205228 MWh</t>
        </is>
      </c>
    </row>
    <row r="350">
      <c r="A350" s="53" t="n">
        <v>44176</v>
      </c>
      <c r="B350" t="inlineStr">
        <is>
          <t>2020-12-11</t>
        </is>
      </c>
      <c r="C350" s="45" t="n">
        <v>17.03</v>
      </c>
      <c r="D350" t="inlineStr">
        <is>
          <t>€/MWh</t>
        </is>
      </c>
      <c r="E350" s="54" t="n">
        <v>0.01703</v>
      </c>
      <c r="F350" s="54" t="n"/>
      <c r="G350" t="inlineStr">
        <is>
          <t>no aplica (precio mayorista)</t>
        </is>
      </c>
      <c r="J350" t="inlineStr">
        <is>
          <t>2020-12-11</t>
        </is>
      </c>
      <c r="K350" t="inlineStr">
        <is>
          <t>MIBGAS_Data_2020.xlsx</t>
        </is>
      </c>
      <c r="L350" t="inlineStr">
        <is>
          <t>volumen 137296 MWh</t>
        </is>
      </c>
    </row>
    <row r="351">
      <c r="A351" s="53" t="n">
        <v>44177</v>
      </c>
      <c r="B351" t="inlineStr">
        <is>
          <t>2020-12-12</t>
        </is>
      </c>
      <c r="C351" s="45" t="n">
        <v>16.44</v>
      </c>
      <c r="D351" t="inlineStr">
        <is>
          <t>€/MWh</t>
        </is>
      </c>
      <c r="E351" s="54" t="n">
        <v>0.01644</v>
      </c>
      <c r="F351" s="54" t="n"/>
      <c r="G351" t="inlineStr">
        <is>
          <t>no aplica (precio mayorista)</t>
        </is>
      </c>
      <c r="J351" t="inlineStr">
        <is>
          <t>2020-12-12</t>
        </is>
      </c>
      <c r="K351" t="inlineStr">
        <is>
          <t>MIBGAS_Data_2020.xlsx</t>
        </is>
      </c>
      <c r="L351" t="inlineStr">
        <is>
          <t>volumen 94137 MWh</t>
        </is>
      </c>
    </row>
    <row r="352">
      <c r="A352" s="53" t="n">
        <v>44178</v>
      </c>
      <c r="B352" t="inlineStr">
        <is>
          <t>2020-12-13</t>
        </is>
      </c>
      <c r="C352" s="45" t="n">
        <v>16.34</v>
      </c>
      <c r="D352" t="inlineStr">
        <is>
          <t>€/MWh</t>
        </is>
      </c>
      <c r="E352" s="54" t="n">
        <v>0.01634</v>
      </c>
      <c r="F352" s="54" t="n"/>
      <c r="G352" t="inlineStr">
        <is>
          <t>no aplica (precio mayorista)</t>
        </is>
      </c>
      <c r="J352" t="inlineStr">
        <is>
          <t>2020-12-13</t>
        </is>
      </c>
      <c r="K352" t="inlineStr">
        <is>
          <t>MIBGAS_Data_2020.xlsx</t>
        </is>
      </c>
      <c r="L352" t="inlineStr">
        <is>
          <t>volumen 152316 MWh</t>
        </is>
      </c>
    </row>
    <row r="353">
      <c r="A353" s="53" t="n">
        <v>44179</v>
      </c>
      <c r="B353" t="inlineStr">
        <is>
          <t>2020-12-14</t>
        </is>
      </c>
      <c r="C353" s="45" t="n">
        <v>18.17</v>
      </c>
      <c r="D353" t="inlineStr">
        <is>
          <t>€/MWh</t>
        </is>
      </c>
      <c r="E353" s="54" t="n">
        <v>0.01817</v>
      </c>
      <c r="F353" s="54" t="n"/>
      <c r="G353" t="inlineStr">
        <is>
          <t>no aplica (precio mayorista)</t>
        </is>
      </c>
      <c r="J353" t="inlineStr">
        <is>
          <t>2020-12-14</t>
        </is>
      </c>
      <c r="K353" t="inlineStr">
        <is>
          <t>MIBGAS_Data_2020.xlsx</t>
        </is>
      </c>
      <c r="L353" t="inlineStr">
        <is>
          <t>volumen 112162 MWh</t>
        </is>
      </c>
    </row>
    <row r="354">
      <c r="A354" s="53" t="n">
        <v>44180</v>
      </c>
      <c r="B354" t="inlineStr">
        <is>
          <t>2020-12-15</t>
        </is>
      </c>
      <c r="C354" s="45" t="n">
        <v>18.67</v>
      </c>
      <c r="D354" t="inlineStr">
        <is>
          <t>€/MWh</t>
        </is>
      </c>
      <c r="E354" s="54" t="n">
        <v>0.01867</v>
      </c>
      <c r="F354" s="54" t="n"/>
      <c r="G354" t="inlineStr">
        <is>
          <t>no aplica (precio mayorista)</t>
        </is>
      </c>
      <c r="J354" t="inlineStr">
        <is>
          <t>2020-12-15</t>
        </is>
      </c>
      <c r="K354" t="inlineStr">
        <is>
          <t>MIBGAS_Data_2020.xlsx</t>
        </is>
      </c>
      <c r="L354" t="inlineStr">
        <is>
          <t>volumen 125104 MWh</t>
        </is>
      </c>
    </row>
    <row r="355">
      <c r="A355" s="53" t="n">
        <v>44181</v>
      </c>
      <c r="B355" t="inlineStr">
        <is>
          <t>2020-12-16</t>
        </is>
      </c>
      <c r="C355" s="45" t="n">
        <v>19.77</v>
      </c>
      <c r="D355" t="inlineStr">
        <is>
          <t>€/MWh</t>
        </is>
      </c>
      <c r="E355" s="54" t="n">
        <v>0.01977</v>
      </c>
      <c r="F355" s="54" t="n"/>
      <c r="G355" t="inlineStr">
        <is>
          <t>no aplica (precio mayorista)</t>
        </is>
      </c>
      <c r="J355" t="inlineStr">
        <is>
          <t>2020-12-16</t>
        </is>
      </c>
      <c r="K355" t="inlineStr">
        <is>
          <t>MIBGAS_Data_2020.xlsx</t>
        </is>
      </c>
      <c r="L355" t="inlineStr">
        <is>
          <t>volumen 141919 MWh</t>
        </is>
      </c>
    </row>
    <row r="356">
      <c r="A356" s="53" t="n">
        <v>44182</v>
      </c>
      <c r="B356" t="inlineStr">
        <is>
          <t>2020-12-17</t>
        </is>
      </c>
      <c r="C356" s="45" t="n">
        <v>19.51</v>
      </c>
      <c r="D356" t="inlineStr">
        <is>
          <t>€/MWh</t>
        </is>
      </c>
      <c r="E356" s="54" t="n">
        <v>0.01951</v>
      </c>
      <c r="F356" s="54" t="n"/>
      <c r="G356" t="inlineStr">
        <is>
          <t>no aplica (precio mayorista)</t>
        </is>
      </c>
      <c r="J356" t="inlineStr">
        <is>
          <t>2020-12-17</t>
        </is>
      </c>
      <c r="K356" t="inlineStr">
        <is>
          <t>MIBGAS_Data_2020.xlsx</t>
        </is>
      </c>
      <c r="L356" t="inlineStr">
        <is>
          <t>volumen 166955 MWh</t>
        </is>
      </c>
    </row>
    <row r="357">
      <c r="A357" s="53" t="n">
        <v>44183</v>
      </c>
      <c r="B357" t="inlineStr">
        <is>
          <t>2020-12-18</t>
        </is>
      </c>
      <c r="C357" s="45" t="n">
        <v>18.55</v>
      </c>
      <c r="D357" t="inlineStr">
        <is>
          <t>€/MWh</t>
        </is>
      </c>
      <c r="E357" s="54" t="n">
        <v>0.01855</v>
      </c>
      <c r="F357" s="54" t="n"/>
      <c r="G357" t="inlineStr">
        <is>
          <t>no aplica (precio mayorista)</t>
        </is>
      </c>
      <c r="J357" t="inlineStr">
        <is>
          <t>2020-12-18</t>
        </is>
      </c>
      <c r="K357" t="inlineStr">
        <is>
          <t>MIBGAS_Data_2020.xlsx</t>
        </is>
      </c>
      <c r="L357" t="inlineStr">
        <is>
          <t>volumen 134702 MWh</t>
        </is>
      </c>
    </row>
    <row r="358">
      <c r="A358" s="53" t="n">
        <v>44184</v>
      </c>
      <c r="B358" t="inlineStr">
        <is>
          <t>2020-12-19</t>
        </is>
      </c>
      <c r="C358" s="45" t="n">
        <v>17.73</v>
      </c>
      <c r="D358" t="inlineStr">
        <is>
          <t>€/MWh</t>
        </is>
      </c>
      <c r="E358" s="54" t="n">
        <v>0.01773</v>
      </c>
      <c r="F358" s="54" t="n"/>
      <c r="G358" t="inlineStr">
        <is>
          <t>no aplica (precio mayorista)</t>
        </is>
      </c>
      <c r="J358" t="inlineStr">
        <is>
          <t>2020-12-19</t>
        </is>
      </c>
      <c r="K358" t="inlineStr">
        <is>
          <t>MIBGAS_Data_2020.xlsx</t>
        </is>
      </c>
      <c r="L358" t="inlineStr">
        <is>
          <t>volumen 128854 MWh</t>
        </is>
      </c>
    </row>
    <row r="359">
      <c r="A359" s="53" t="n">
        <v>44185</v>
      </c>
      <c r="B359" t="inlineStr">
        <is>
          <t>2020-12-20</t>
        </is>
      </c>
      <c r="C359" s="45" t="n">
        <v>17.68</v>
      </c>
      <c r="D359" t="inlineStr">
        <is>
          <t>€/MWh</t>
        </is>
      </c>
      <c r="E359" s="54" t="n">
        <v>0.01768</v>
      </c>
      <c r="F359" s="54" t="n"/>
      <c r="G359" t="inlineStr">
        <is>
          <t>no aplica (precio mayorista)</t>
        </is>
      </c>
      <c r="J359" t="inlineStr">
        <is>
          <t>2020-12-20</t>
        </is>
      </c>
      <c r="K359" t="inlineStr">
        <is>
          <t>MIBGAS_Data_2020.xlsx</t>
        </is>
      </c>
      <c r="L359" t="inlineStr">
        <is>
          <t>volumen 131081 MWh</t>
        </is>
      </c>
    </row>
    <row r="360">
      <c r="A360" s="53" t="n">
        <v>44186</v>
      </c>
      <c r="B360" t="inlineStr">
        <is>
          <t>2020-12-21</t>
        </is>
      </c>
      <c r="C360" s="45" t="n">
        <v>18.73</v>
      </c>
      <c r="D360" t="inlineStr">
        <is>
          <t>€/MWh</t>
        </is>
      </c>
      <c r="E360" s="54" t="n">
        <v>0.01873</v>
      </c>
      <c r="F360" s="54" t="n"/>
      <c r="G360" t="inlineStr">
        <is>
          <t>no aplica (precio mayorista)</t>
        </is>
      </c>
      <c r="J360" t="inlineStr">
        <is>
          <t>2020-12-21</t>
        </is>
      </c>
      <c r="K360" t="inlineStr">
        <is>
          <t>MIBGAS_Data_2020.xlsx</t>
        </is>
      </c>
      <c r="L360" t="inlineStr">
        <is>
          <t>volumen 123853 MWh</t>
        </is>
      </c>
    </row>
    <row r="361">
      <c r="A361" s="53" t="n">
        <v>44187</v>
      </c>
      <c r="B361" t="inlineStr">
        <is>
          <t>2020-12-22</t>
        </is>
      </c>
      <c r="C361" s="45" t="n">
        <v>18.71</v>
      </c>
      <c r="D361" t="inlineStr">
        <is>
          <t>€/MWh</t>
        </is>
      </c>
      <c r="E361" s="54" t="n">
        <v>0.01871</v>
      </c>
      <c r="F361" s="54" t="n"/>
      <c r="G361" t="inlineStr">
        <is>
          <t>no aplica (precio mayorista)</t>
        </is>
      </c>
      <c r="J361" t="inlineStr">
        <is>
          <t>2020-12-22</t>
        </is>
      </c>
      <c r="K361" t="inlineStr">
        <is>
          <t>MIBGAS_Data_2020.xlsx</t>
        </is>
      </c>
      <c r="L361" t="inlineStr">
        <is>
          <t>volumen 100156 MWh</t>
        </is>
      </c>
    </row>
    <row r="362">
      <c r="A362" s="53" t="n">
        <v>44188</v>
      </c>
      <c r="B362" t="inlineStr">
        <is>
          <t>2020-12-23</t>
        </is>
      </c>
      <c r="C362" s="45" t="n">
        <v>19.32</v>
      </c>
      <c r="D362" t="inlineStr">
        <is>
          <t>€/MWh</t>
        </is>
      </c>
      <c r="E362" s="54" t="n">
        <v>0.01932</v>
      </c>
      <c r="F362" s="54" t="n"/>
      <c r="G362" t="inlineStr">
        <is>
          <t>no aplica (precio mayorista)</t>
        </is>
      </c>
      <c r="J362" t="inlineStr">
        <is>
          <t>2020-12-23</t>
        </is>
      </c>
      <c r="K362" t="inlineStr">
        <is>
          <t>MIBGAS_Data_2020.xlsx</t>
        </is>
      </c>
      <c r="L362" t="inlineStr">
        <is>
          <t>volumen 121710 MWh</t>
        </is>
      </c>
    </row>
    <row r="363">
      <c r="A363" s="53" t="n">
        <v>44189</v>
      </c>
      <c r="B363" t="inlineStr">
        <is>
          <t>2020-12-24</t>
        </is>
      </c>
      <c r="C363" s="45" t="n">
        <v>18.5</v>
      </c>
      <c r="D363" t="inlineStr">
        <is>
          <t>€/MWh</t>
        </is>
      </c>
      <c r="E363" s="54" t="n">
        <v>0.0185</v>
      </c>
      <c r="F363" s="54" t="n"/>
      <c r="G363" t="inlineStr">
        <is>
          <t>no aplica (precio mayorista)</t>
        </is>
      </c>
      <c r="J363" t="inlineStr">
        <is>
          <t>2020-12-24</t>
        </is>
      </c>
      <c r="K363" t="inlineStr">
        <is>
          <t>MIBGAS_Data_2020.xlsx</t>
        </is>
      </c>
      <c r="L363" t="inlineStr">
        <is>
          <t>volumen 127810 MWh</t>
        </is>
      </c>
    </row>
    <row r="364">
      <c r="A364" s="53" t="n">
        <v>44190</v>
      </c>
      <c r="B364" t="inlineStr">
        <is>
          <t>2020-12-25</t>
        </is>
      </c>
      <c r="C364" s="45" t="n">
        <v>17.93</v>
      </c>
      <c r="D364" t="inlineStr">
        <is>
          <t>€/MWh</t>
        </is>
      </c>
      <c r="E364" s="54" t="n">
        <v>0.01793</v>
      </c>
      <c r="F364" s="54" t="n"/>
      <c r="G364" t="inlineStr">
        <is>
          <t>no aplica (precio mayorista)</t>
        </is>
      </c>
      <c r="J364" t="inlineStr">
        <is>
          <t>2020-12-25</t>
        </is>
      </c>
      <c r="K364" t="inlineStr">
        <is>
          <t>MIBGAS_Data_2020.xlsx</t>
        </is>
      </c>
      <c r="L364" t="inlineStr">
        <is>
          <t>volumen 189205 MWh</t>
        </is>
      </c>
    </row>
    <row r="365">
      <c r="A365" s="53" t="n">
        <v>44191</v>
      </c>
      <c r="B365" t="inlineStr">
        <is>
          <t>2020-12-26</t>
        </is>
      </c>
      <c r="C365" s="45" t="n">
        <v>17.97</v>
      </c>
      <c r="D365" t="inlineStr">
        <is>
          <t>€/MWh</t>
        </is>
      </c>
      <c r="E365" s="54" t="n">
        <v>0.01797</v>
      </c>
      <c r="F365" s="54" t="n"/>
      <c r="G365" t="inlineStr">
        <is>
          <t>no aplica (precio mayorista)</t>
        </is>
      </c>
      <c r="J365" t="inlineStr">
        <is>
          <t>2020-12-26</t>
        </is>
      </c>
      <c r="K365" t="inlineStr">
        <is>
          <t>MIBGAS_Data_2020.xlsx</t>
        </is>
      </c>
      <c r="L365" t="inlineStr">
        <is>
          <t>volumen 170287 MWh</t>
        </is>
      </c>
    </row>
    <row r="366">
      <c r="A366" s="53" t="n">
        <v>44192</v>
      </c>
      <c r="B366" t="inlineStr">
        <is>
          <t>2020-12-27</t>
        </is>
      </c>
      <c r="C366" s="45" t="n">
        <v>18.31</v>
      </c>
      <c r="D366" t="inlineStr">
        <is>
          <t>€/MWh</t>
        </is>
      </c>
      <c r="E366" s="54" t="n">
        <v>0.01831</v>
      </c>
      <c r="F366" s="54" t="n"/>
      <c r="G366" t="inlineStr">
        <is>
          <t>no aplica (precio mayorista)</t>
        </is>
      </c>
      <c r="J366" t="inlineStr">
        <is>
          <t>2020-12-27</t>
        </is>
      </c>
      <c r="K366" t="inlineStr">
        <is>
          <t>MIBGAS_Data_2020.xlsx</t>
        </is>
      </c>
      <c r="L366" t="inlineStr">
        <is>
          <t>volumen 142917 MWh</t>
        </is>
      </c>
    </row>
    <row r="367">
      <c r="A367" s="53" t="n">
        <v>44193</v>
      </c>
      <c r="B367" t="inlineStr">
        <is>
          <t>2020-12-28</t>
        </is>
      </c>
      <c r="C367" s="45" t="n">
        <v>19.29</v>
      </c>
      <c r="D367" t="inlineStr">
        <is>
          <t>€/MWh</t>
        </is>
      </c>
      <c r="E367" s="54" t="n">
        <v>0.01929</v>
      </c>
      <c r="F367" s="54" t="n"/>
      <c r="G367" t="inlineStr">
        <is>
          <t>no aplica (precio mayorista)</t>
        </is>
      </c>
      <c r="J367" t="inlineStr">
        <is>
          <t>2020-12-28</t>
        </is>
      </c>
      <c r="K367" t="inlineStr">
        <is>
          <t>MIBGAS_Data_2020.xlsx</t>
        </is>
      </c>
      <c r="L367" t="inlineStr">
        <is>
          <t>volumen 121603 MWh</t>
        </is>
      </c>
    </row>
    <row r="368">
      <c r="A368" s="53" t="n">
        <v>44194</v>
      </c>
      <c r="B368" t="inlineStr">
        <is>
          <t>2020-12-29</t>
        </is>
      </c>
      <c r="C368" s="45" t="n">
        <v>21.09</v>
      </c>
      <c r="D368" t="inlineStr">
        <is>
          <t>€/MWh</t>
        </is>
      </c>
      <c r="E368" s="54" t="n">
        <v>0.02109</v>
      </c>
      <c r="F368" s="54" t="n"/>
      <c r="G368" t="inlineStr">
        <is>
          <t>no aplica (precio mayorista)</t>
        </is>
      </c>
      <c r="J368" t="inlineStr">
        <is>
          <t>2020-12-29</t>
        </is>
      </c>
      <c r="K368" t="inlineStr">
        <is>
          <t>MIBGAS_Data_2020.xlsx</t>
        </is>
      </c>
      <c r="L368" t="inlineStr">
        <is>
          <t>volumen 182392 MWh</t>
        </is>
      </c>
    </row>
    <row r="369">
      <c r="A369" s="53" t="n">
        <v>44195</v>
      </c>
      <c r="B369" t="inlineStr">
        <is>
          <t>2020-12-30</t>
        </is>
      </c>
      <c r="C369" s="45" t="n">
        <v>22.47</v>
      </c>
      <c r="D369" t="inlineStr">
        <is>
          <t>€/MWh</t>
        </is>
      </c>
      <c r="E369" s="54" t="n">
        <v>0.02247</v>
      </c>
      <c r="F369" s="54" t="n"/>
      <c r="G369" t="inlineStr">
        <is>
          <t>no aplica (precio mayorista)</t>
        </is>
      </c>
      <c r="J369" t="inlineStr">
        <is>
          <t>2020-12-30</t>
        </is>
      </c>
      <c r="K369" t="inlineStr">
        <is>
          <t>MIBGAS_Data_2020.xlsx</t>
        </is>
      </c>
      <c r="L369" t="inlineStr">
        <is>
          <t>volumen 188100 MWh</t>
        </is>
      </c>
    </row>
    <row r="370">
      <c r="A370" s="53" t="n">
        <v>44196</v>
      </c>
      <c r="B370" t="inlineStr">
        <is>
          <t>2020-12-31</t>
        </is>
      </c>
      <c r="C370" s="45" t="n">
        <v>21.95</v>
      </c>
      <c r="D370" t="inlineStr">
        <is>
          <t>€/MWh</t>
        </is>
      </c>
      <c r="E370" s="54" t="n">
        <v>0.02195</v>
      </c>
      <c r="F370" s="54" t="n"/>
      <c r="G370" t="inlineStr">
        <is>
          <t>no aplica (precio mayorista)</t>
        </is>
      </c>
      <c r="J370" t="inlineStr">
        <is>
          <t>2020-12-31</t>
        </is>
      </c>
      <c r="K370" t="inlineStr">
        <is>
          <t>MIBGAS_Data_2020.xlsx</t>
        </is>
      </c>
      <c r="L370" t="inlineStr">
        <is>
          <t>volumen 195062 MWh</t>
        </is>
      </c>
    </row>
    <row r="371">
      <c r="A371" s="53" t="n">
        <v>44197</v>
      </c>
      <c r="B371" t="inlineStr">
        <is>
          <t>2021-01-01</t>
        </is>
      </c>
      <c r="C371" s="45" t="n">
        <v>21.25</v>
      </c>
      <c r="D371" t="inlineStr">
        <is>
          <t>€/MWh</t>
        </is>
      </c>
      <c r="E371" s="54" t="n">
        <v>0.02125</v>
      </c>
      <c r="F371" s="54" t="n"/>
      <c r="G371" t="inlineStr">
        <is>
          <t>no aplica (precio mayorista)</t>
        </is>
      </c>
      <c r="J371" t="inlineStr">
        <is>
          <t>2021-01-01</t>
        </is>
      </c>
      <c r="K371" t="inlineStr">
        <is>
          <t>MIBGAS_Data_2021.xlsx</t>
        </is>
      </c>
      <c r="L371" t="inlineStr">
        <is>
          <t>volumen 87965 MWh</t>
        </is>
      </c>
    </row>
    <row r="372">
      <c r="A372" s="53" t="n">
        <v>44198</v>
      </c>
      <c r="B372" t="inlineStr">
        <is>
          <t>2021-01-02</t>
        </is>
      </c>
      <c r="C372" s="45" t="n">
        <v>21.03</v>
      </c>
      <c r="D372" t="inlineStr">
        <is>
          <t>€/MWh</t>
        </is>
      </c>
      <c r="E372" s="54" t="n">
        <v>0.02103</v>
      </c>
      <c r="F372" s="54" t="n"/>
      <c r="G372" t="inlineStr">
        <is>
          <t>no aplica (precio mayorista)</t>
        </is>
      </c>
      <c r="J372" t="inlineStr">
        <is>
          <t>2021-01-02</t>
        </is>
      </c>
      <c r="K372" t="inlineStr">
        <is>
          <t>MIBGAS_Data_2021.xlsx</t>
        </is>
      </c>
      <c r="L372" t="inlineStr">
        <is>
          <t>volumen 68768 MWh</t>
        </is>
      </c>
    </row>
    <row r="373">
      <c r="A373" s="53" t="n">
        <v>44199</v>
      </c>
      <c r="B373" t="inlineStr">
        <is>
          <t>2021-01-03</t>
        </is>
      </c>
      <c r="C373" s="45" t="n">
        <v>22.69</v>
      </c>
      <c r="D373" t="inlineStr">
        <is>
          <t>€/MWh</t>
        </is>
      </c>
      <c r="E373" s="54" t="n">
        <v>0.02269</v>
      </c>
      <c r="F373" s="54" t="n"/>
      <c r="G373" t="inlineStr">
        <is>
          <t>no aplica (precio mayorista)</t>
        </is>
      </c>
      <c r="J373" t="inlineStr">
        <is>
          <t>2021-01-03</t>
        </is>
      </c>
      <c r="K373" t="inlineStr">
        <is>
          <t>MIBGAS_Data_2021.xlsx</t>
        </is>
      </c>
      <c r="L373" t="inlineStr">
        <is>
          <t>volumen 125988 MWh</t>
        </is>
      </c>
    </row>
    <row r="374">
      <c r="A374" s="53" t="n">
        <v>44200</v>
      </c>
      <c r="B374" t="inlineStr">
        <is>
          <t>2021-01-04</t>
        </is>
      </c>
      <c r="C374" s="45" t="n">
        <v>26.7</v>
      </c>
      <c r="D374" t="inlineStr">
        <is>
          <t>€/MWh</t>
        </is>
      </c>
      <c r="E374" s="54" t="n">
        <v>0.0267</v>
      </c>
      <c r="F374" s="54" t="n"/>
      <c r="G374" t="inlineStr">
        <is>
          <t>no aplica (precio mayorista)</t>
        </is>
      </c>
      <c r="J374" t="inlineStr">
        <is>
          <t>2021-01-04</t>
        </is>
      </c>
      <c r="K374" t="inlineStr">
        <is>
          <t>MIBGAS_Data_2021.xlsx</t>
        </is>
      </c>
      <c r="L374" t="inlineStr">
        <is>
          <t>volumen 170084 MWh</t>
        </is>
      </c>
    </row>
    <row r="375">
      <c r="A375" s="53" t="n">
        <v>44201</v>
      </c>
      <c r="B375" t="inlineStr">
        <is>
          <t>2021-01-05</t>
        </is>
      </c>
      <c r="C375" s="45" t="n">
        <v>33.22</v>
      </c>
      <c r="D375" t="inlineStr">
        <is>
          <t>€/MWh</t>
        </is>
      </c>
      <c r="E375" s="54" t="n">
        <v>0.03322</v>
      </c>
      <c r="F375" s="54" t="n"/>
      <c r="G375" t="inlineStr">
        <is>
          <t>no aplica (precio mayorista)</t>
        </is>
      </c>
      <c r="J375" t="inlineStr">
        <is>
          <t>2021-01-05</t>
        </is>
      </c>
      <c r="K375" t="inlineStr">
        <is>
          <t>MIBGAS_Data_2021.xlsx</t>
        </is>
      </c>
      <c r="L375" t="inlineStr">
        <is>
          <t>volumen 254391 MWh</t>
        </is>
      </c>
    </row>
    <row r="376">
      <c r="A376" s="53" t="n">
        <v>44202</v>
      </c>
      <c r="B376" t="inlineStr">
        <is>
          <t>2021-01-06</t>
        </is>
      </c>
      <c r="C376" s="45" t="n">
        <v>37.1</v>
      </c>
      <c r="D376" t="inlineStr">
        <is>
          <t>€/MWh</t>
        </is>
      </c>
      <c r="E376" s="54" t="n">
        <v>0.0371</v>
      </c>
      <c r="F376" s="54" t="n"/>
      <c r="G376" t="inlineStr">
        <is>
          <t>no aplica (precio mayorista)</t>
        </is>
      </c>
      <c r="J376" t="inlineStr">
        <is>
          <t>2021-01-06</t>
        </is>
      </c>
      <c r="K376" t="inlineStr">
        <is>
          <t>MIBGAS_Data_2021.xlsx</t>
        </is>
      </c>
      <c r="L376" t="inlineStr">
        <is>
          <t>volumen 242668 MWh</t>
        </is>
      </c>
    </row>
    <row r="377">
      <c r="A377" s="53" t="n">
        <v>44203</v>
      </c>
      <c r="B377" t="inlineStr">
        <is>
          <t>2021-01-07</t>
        </is>
      </c>
      <c r="C377" s="45" t="n">
        <v>43.97</v>
      </c>
      <c r="D377" t="inlineStr">
        <is>
          <t>€/MWh</t>
        </is>
      </c>
      <c r="E377" s="54" t="n">
        <v>0.04397</v>
      </c>
      <c r="F377" s="54" t="n"/>
      <c r="G377" t="inlineStr">
        <is>
          <t>no aplica (precio mayorista)</t>
        </is>
      </c>
      <c r="J377" t="inlineStr">
        <is>
          <t>2021-01-07</t>
        </is>
      </c>
      <c r="K377" t="inlineStr">
        <is>
          <t>MIBGAS_Data_2021.xlsx</t>
        </is>
      </c>
      <c r="L377" t="inlineStr">
        <is>
          <t>volumen 264016 MWh</t>
        </is>
      </c>
    </row>
    <row r="378">
      <c r="A378" s="53" t="n">
        <v>44204</v>
      </c>
      <c r="B378" t="inlineStr">
        <is>
          <t>2021-01-08</t>
        </is>
      </c>
      <c r="C378" s="45" t="n">
        <v>55.18</v>
      </c>
      <c r="D378" t="inlineStr">
        <is>
          <t>€/MWh</t>
        </is>
      </c>
      <c r="E378" s="54" t="n">
        <v>0.05518</v>
      </c>
      <c r="F378" s="54" t="n"/>
      <c r="G378" t="inlineStr">
        <is>
          <t>no aplica (precio mayorista)</t>
        </is>
      </c>
      <c r="J378" t="inlineStr">
        <is>
          <t>2021-01-08</t>
        </is>
      </c>
      <c r="K378" t="inlineStr">
        <is>
          <t>MIBGAS_Data_2021.xlsx</t>
        </is>
      </c>
      <c r="L378" t="inlineStr">
        <is>
          <t>volumen 375120 MWh</t>
        </is>
      </c>
    </row>
    <row r="379">
      <c r="A379" s="53" t="n">
        <v>44205</v>
      </c>
      <c r="B379" t="inlineStr">
        <is>
          <t>2021-01-09</t>
        </is>
      </c>
      <c r="C379" s="45" t="n">
        <v>44.22</v>
      </c>
      <c r="D379" t="inlineStr">
        <is>
          <t>€/MWh</t>
        </is>
      </c>
      <c r="E379" s="54" t="n">
        <v>0.04422</v>
      </c>
      <c r="F379" s="54" t="n"/>
      <c r="G379" t="inlineStr">
        <is>
          <t>no aplica (precio mayorista)</t>
        </is>
      </c>
      <c r="J379" t="inlineStr">
        <is>
          <t>2021-01-09</t>
        </is>
      </c>
      <c r="K379" t="inlineStr">
        <is>
          <t>MIBGAS_Data_2021.xlsx</t>
        </is>
      </c>
      <c r="L379" t="inlineStr">
        <is>
          <t>volumen 264803 MWh</t>
        </is>
      </c>
    </row>
    <row r="380">
      <c r="A380" s="53" t="n">
        <v>44206</v>
      </c>
      <c r="B380" t="inlineStr">
        <is>
          <t>2021-01-10</t>
        </is>
      </c>
      <c r="C380" s="45" t="n">
        <v>41.31</v>
      </c>
      <c r="D380" t="inlineStr">
        <is>
          <t>€/MWh</t>
        </is>
      </c>
      <c r="E380" s="54" t="n">
        <v>0.04131</v>
      </c>
      <c r="F380" s="54" t="n"/>
      <c r="G380" t="inlineStr">
        <is>
          <t>no aplica (precio mayorista)</t>
        </is>
      </c>
      <c r="J380" t="inlineStr">
        <is>
          <t>2021-01-10</t>
        </is>
      </c>
      <c r="K380" t="inlineStr">
        <is>
          <t>MIBGAS_Data_2021.xlsx</t>
        </is>
      </c>
      <c r="L380" t="inlineStr">
        <is>
          <t>volumen 246330 MWh</t>
        </is>
      </c>
    </row>
    <row r="381">
      <c r="A381" s="53" t="n">
        <v>44207</v>
      </c>
      <c r="B381" t="inlineStr">
        <is>
          <t>2021-01-11</t>
        </is>
      </c>
      <c r="C381" s="45" t="n">
        <v>32.16</v>
      </c>
      <c r="D381" t="inlineStr">
        <is>
          <t>€/MWh</t>
        </is>
      </c>
      <c r="E381" s="54" t="n">
        <v>0.03216</v>
      </c>
      <c r="F381" s="54" t="n"/>
      <c r="G381" t="inlineStr">
        <is>
          <t>no aplica (precio mayorista)</t>
        </is>
      </c>
      <c r="J381" t="inlineStr">
        <is>
          <t>2021-01-11</t>
        </is>
      </c>
      <c r="K381" t="inlineStr">
        <is>
          <t>MIBGAS_Data_2021.xlsx</t>
        </is>
      </c>
      <c r="L381" t="inlineStr">
        <is>
          <t>volumen 206073 MWh</t>
        </is>
      </c>
    </row>
    <row r="382">
      <c r="A382" s="53" t="n">
        <v>44208</v>
      </c>
      <c r="B382" t="inlineStr">
        <is>
          <t>2021-01-12</t>
        </is>
      </c>
      <c r="C382" s="45" t="n">
        <v>31.02</v>
      </c>
      <c r="D382" t="inlineStr">
        <is>
          <t>€/MWh</t>
        </is>
      </c>
      <c r="E382" s="54" t="n">
        <v>0.03102</v>
      </c>
      <c r="F382" s="54" t="n"/>
      <c r="G382" t="inlineStr">
        <is>
          <t>no aplica (precio mayorista)</t>
        </is>
      </c>
      <c r="J382" t="inlineStr">
        <is>
          <t>2021-01-12</t>
        </is>
      </c>
      <c r="K382" t="inlineStr">
        <is>
          <t>MIBGAS_Data_2021.xlsx</t>
        </is>
      </c>
      <c r="L382" t="inlineStr">
        <is>
          <t>volumen 183185 MWh</t>
        </is>
      </c>
    </row>
    <row r="383">
      <c r="A383" s="53" t="n">
        <v>44209</v>
      </c>
      <c r="B383" t="inlineStr">
        <is>
          <t>2021-01-13</t>
        </is>
      </c>
      <c r="C383" s="45" t="n">
        <v>31.59</v>
      </c>
      <c r="D383" t="inlineStr">
        <is>
          <t>€/MWh</t>
        </is>
      </c>
      <c r="E383" s="54" t="n">
        <v>0.03159</v>
      </c>
      <c r="F383" s="54" t="n"/>
      <c r="G383" t="inlineStr">
        <is>
          <t>no aplica (precio mayorista)</t>
        </is>
      </c>
      <c r="J383" t="inlineStr">
        <is>
          <t>2021-01-13</t>
        </is>
      </c>
      <c r="K383" t="inlineStr">
        <is>
          <t>MIBGAS_Data_2021.xlsx</t>
        </is>
      </c>
      <c r="L383" t="inlineStr">
        <is>
          <t>volumen 247260 MWh</t>
        </is>
      </c>
    </row>
    <row r="384">
      <c r="A384" s="53" t="n">
        <v>44210</v>
      </c>
      <c r="B384" t="inlineStr">
        <is>
          <t>2021-01-14</t>
        </is>
      </c>
      <c r="C384" s="45" t="n">
        <v>30.54</v>
      </c>
      <c r="D384" t="inlineStr">
        <is>
          <t>€/MWh</t>
        </is>
      </c>
      <c r="E384" s="54" t="n">
        <v>0.03054</v>
      </c>
      <c r="F384" s="54" t="n"/>
      <c r="G384" t="inlineStr">
        <is>
          <t>no aplica (precio mayorista)</t>
        </is>
      </c>
      <c r="J384" t="inlineStr">
        <is>
          <t>2021-01-14</t>
        </is>
      </c>
      <c r="K384" t="inlineStr">
        <is>
          <t>MIBGAS_Data_2021.xlsx</t>
        </is>
      </c>
      <c r="L384" t="inlineStr">
        <is>
          <t>volumen 210348 MWh</t>
        </is>
      </c>
    </row>
    <row r="385">
      <c r="A385" s="53" t="n">
        <v>44211</v>
      </c>
      <c r="B385" t="inlineStr">
        <is>
          <t>2021-01-15</t>
        </is>
      </c>
      <c r="C385" s="45" t="n">
        <v>28.88</v>
      </c>
      <c r="D385" t="inlineStr">
        <is>
          <t>€/MWh</t>
        </is>
      </c>
      <c r="E385" s="54" t="n">
        <v>0.02888</v>
      </c>
      <c r="F385" s="54" t="n"/>
      <c r="G385" t="inlineStr">
        <is>
          <t>no aplica (precio mayorista)</t>
        </is>
      </c>
      <c r="J385" t="inlineStr">
        <is>
          <t>2021-01-15</t>
        </is>
      </c>
      <c r="K385" t="inlineStr">
        <is>
          <t>MIBGAS_Data_2021.xlsx</t>
        </is>
      </c>
      <c r="L385" t="inlineStr">
        <is>
          <t>volumen 254965 MWh</t>
        </is>
      </c>
    </row>
    <row r="386">
      <c r="A386" s="53" t="n">
        <v>44212</v>
      </c>
      <c r="B386" t="inlineStr">
        <is>
          <t>2021-01-16</t>
        </is>
      </c>
      <c r="C386" s="45" t="n">
        <v>27.61</v>
      </c>
      <c r="D386" t="inlineStr">
        <is>
          <t>€/MWh</t>
        </is>
      </c>
      <c r="E386" s="54" t="n">
        <v>0.02761</v>
      </c>
      <c r="F386" s="54" t="n"/>
      <c r="G386" t="inlineStr">
        <is>
          <t>no aplica (precio mayorista)</t>
        </is>
      </c>
      <c r="J386" t="inlineStr">
        <is>
          <t>2021-01-16</t>
        </is>
      </c>
      <c r="K386" t="inlineStr">
        <is>
          <t>MIBGAS_Data_2021.xlsx</t>
        </is>
      </c>
      <c r="L386" t="inlineStr">
        <is>
          <t>volumen 170202 MWh</t>
        </is>
      </c>
    </row>
    <row r="387">
      <c r="A387" s="53" t="n">
        <v>44213</v>
      </c>
      <c r="B387" t="inlineStr">
        <is>
          <t>2021-01-17</t>
        </is>
      </c>
      <c r="C387" s="45" t="n">
        <v>25.83</v>
      </c>
      <c r="D387" t="inlineStr">
        <is>
          <t>€/MWh</t>
        </is>
      </c>
      <c r="E387" s="54" t="n">
        <v>0.02583</v>
      </c>
      <c r="F387" s="54" t="n"/>
      <c r="G387" t="inlineStr">
        <is>
          <t>no aplica (precio mayorista)</t>
        </is>
      </c>
      <c r="J387" t="inlineStr">
        <is>
          <t>2021-01-17</t>
        </is>
      </c>
      <c r="K387" t="inlineStr">
        <is>
          <t>MIBGAS_Data_2021.xlsx</t>
        </is>
      </c>
      <c r="L387" t="inlineStr">
        <is>
          <t>volumen 167974 MWh</t>
        </is>
      </c>
    </row>
    <row r="388">
      <c r="A388" s="53" t="n">
        <v>44214</v>
      </c>
      <c r="B388" t="inlineStr">
        <is>
          <t>2021-01-18</t>
        </is>
      </c>
      <c r="C388" s="45" t="n">
        <v>29.66</v>
      </c>
      <c r="D388" t="inlineStr">
        <is>
          <t>€/MWh</t>
        </is>
      </c>
      <c r="E388" s="54" t="n">
        <v>0.02966</v>
      </c>
      <c r="F388" s="54" t="n"/>
      <c r="G388" t="inlineStr">
        <is>
          <t>no aplica (precio mayorista)</t>
        </is>
      </c>
      <c r="J388" t="inlineStr">
        <is>
          <t>2021-01-18</t>
        </is>
      </c>
      <c r="K388" t="inlineStr">
        <is>
          <t>MIBGAS_Data_2021.xlsx</t>
        </is>
      </c>
      <c r="L388" t="inlineStr">
        <is>
          <t>volumen 196570 MWh</t>
        </is>
      </c>
    </row>
    <row r="389">
      <c r="A389" s="53" t="n">
        <v>44215</v>
      </c>
      <c r="B389" t="inlineStr">
        <is>
          <t>2021-01-19</t>
        </is>
      </c>
      <c r="C389" s="45" t="n">
        <v>28.69</v>
      </c>
      <c r="D389" t="inlineStr">
        <is>
          <t>€/MWh</t>
        </is>
      </c>
      <c r="E389" s="54" t="n">
        <v>0.02869</v>
      </c>
      <c r="F389" s="54" t="n"/>
      <c r="G389" t="inlineStr">
        <is>
          <t>no aplica (precio mayorista)</t>
        </is>
      </c>
      <c r="J389" t="inlineStr">
        <is>
          <t>2021-01-19</t>
        </is>
      </c>
      <c r="K389" t="inlineStr">
        <is>
          <t>MIBGAS_Data_2021.xlsx</t>
        </is>
      </c>
      <c r="L389" t="inlineStr">
        <is>
          <t>volumen 165679 MWh</t>
        </is>
      </c>
    </row>
    <row r="390">
      <c r="A390" s="53" t="n">
        <v>44216</v>
      </c>
      <c r="B390" t="inlineStr">
        <is>
          <t>2021-01-20</t>
        </is>
      </c>
      <c r="C390" s="45" t="n">
        <v>25.57</v>
      </c>
      <c r="D390" t="inlineStr">
        <is>
          <t>€/MWh</t>
        </is>
      </c>
      <c r="E390" s="54" t="n">
        <v>0.02557</v>
      </c>
      <c r="F390" s="54" t="n"/>
      <c r="G390" t="inlineStr">
        <is>
          <t>no aplica (precio mayorista)</t>
        </is>
      </c>
      <c r="J390" t="inlineStr">
        <is>
          <t>2021-01-20</t>
        </is>
      </c>
      <c r="K390" t="inlineStr">
        <is>
          <t>MIBGAS_Data_2021.xlsx</t>
        </is>
      </c>
      <c r="L390" t="inlineStr">
        <is>
          <t>volumen 139716 MWh</t>
        </is>
      </c>
    </row>
    <row r="391">
      <c r="A391" s="53" t="n">
        <v>44217</v>
      </c>
      <c r="B391" t="inlineStr">
        <is>
          <t>2021-01-21</t>
        </is>
      </c>
      <c r="C391" s="45" t="n">
        <v>23.78</v>
      </c>
      <c r="D391" t="inlineStr">
        <is>
          <t>€/MWh</t>
        </is>
      </c>
      <c r="E391" s="54" t="n">
        <v>0.02378</v>
      </c>
      <c r="F391" s="54" t="n"/>
      <c r="G391" t="inlineStr">
        <is>
          <t>no aplica (precio mayorista)</t>
        </is>
      </c>
      <c r="J391" t="inlineStr">
        <is>
          <t>2021-01-21</t>
        </is>
      </c>
      <c r="K391" t="inlineStr">
        <is>
          <t>MIBGAS_Data_2021.xlsx</t>
        </is>
      </c>
      <c r="L391" t="inlineStr">
        <is>
          <t>volumen 151083 MWh</t>
        </is>
      </c>
    </row>
    <row r="392">
      <c r="A392" s="53" t="n">
        <v>44218</v>
      </c>
      <c r="B392" t="inlineStr">
        <is>
          <t>2021-01-22</t>
        </is>
      </c>
      <c r="C392" s="45" t="n">
        <v>22.58</v>
      </c>
      <c r="D392" t="inlineStr">
        <is>
          <t>€/MWh</t>
        </is>
      </c>
      <c r="E392" s="54" t="n">
        <v>0.02258</v>
      </c>
      <c r="F392" s="54" t="n"/>
      <c r="G392" t="inlineStr">
        <is>
          <t>no aplica (precio mayorista)</t>
        </is>
      </c>
      <c r="J392" t="inlineStr">
        <is>
          <t>2021-01-22</t>
        </is>
      </c>
      <c r="K392" t="inlineStr">
        <is>
          <t>MIBGAS_Data_2021.xlsx</t>
        </is>
      </c>
      <c r="L392" t="inlineStr">
        <is>
          <t>volumen 157683 MWh</t>
        </is>
      </c>
    </row>
    <row r="393">
      <c r="A393" s="53" t="n">
        <v>44219</v>
      </c>
      <c r="B393" t="inlineStr">
        <is>
          <t>2021-01-23</t>
        </is>
      </c>
      <c r="C393" s="45" t="n">
        <v>23.91</v>
      </c>
      <c r="D393" t="inlineStr">
        <is>
          <t>€/MWh</t>
        </is>
      </c>
      <c r="E393" s="54" t="n">
        <v>0.02391</v>
      </c>
      <c r="F393" s="54" t="n"/>
      <c r="G393" t="inlineStr">
        <is>
          <t>no aplica (precio mayorista)</t>
        </is>
      </c>
      <c r="J393" t="inlineStr">
        <is>
          <t>2021-01-23</t>
        </is>
      </c>
      <c r="K393" t="inlineStr">
        <is>
          <t>MIBGAS_Data_2021.xlsx</t>
        </is>
      </c>
      <c r="L393" t="inlineStr">
        <is>
          <t>volumen 139968 MWh</t>
        </is>
      </c>
    </row>
    <row r="394">
      <c r="A394" s="53" t="n">
        <v>44220</v>
      </c>
      <c r="B394" t="inlineStr">
        <is>
          <t>2021-01-24</t>
        </is>
      </c>
      <c r="C394" s="45" t="n">
        <v>23.38</v>
      </c>
      <c r="D394" t="inlineStr">
        <is>
          <t>€/MWh</t>
        </is>
      </c>
      <c r="E394" s="54" t="n">
        <v>0.02338</v>
      </c>
      <c r="F394" s="54" t="n"/>
      <c r="G394" t="inlineStr">
        <is>
          <t>no aplica (precio mayorista)</t>
        </is>
      </c>
      <c r="J394" t="inlineStr">
        <is>
          <t>2021-01-24</t>
        </is>
      </c>
      <c r="K394" t="inlineStr">
        <is>
          <t>MIBGAS_Data_2021.xlsx</t>
        </is>
      </c>
      <c r="L394" t="inlineStr">
        <is>
          <t>volumen 139499 MWh</t>
        </is>
      </c>
    </row>
    <row r="395">
      <c r="A395" s="53" t="n">
        <v>44221</v>
      </c>
      <c r="B395" t="inlineStr">
        <is>
          <t>2021-01-25</t>
        </is>
      </c>
      <c r="C395" s="45" t="n">
        <v>23.19</v>
      </c>
      <c r="D395" t="inlineStr">
        <is>
          <t>€/MWh</t>
        </is>
      </c>
      <c r="E395" s="54" t="n">
        <v>0.02319</v>
      </c>
      <c r="F395" s="54" t="n"/>
      <c r="G395" t="inlineStr">
        <is>
          <t>no aplica (precio mayorista)</t>
        </is>
      </c>
      <c r="J395" t="inlineStr">
        <is>
          <t>2021-01-25</t>
        </is>
      </c>
      <c r="K395" t="inlineStr">
        <is>
          <t>MIBGAS_Data_2021.xlsx</t>
        </is>
      </c>
      <c r="L395" t="inlineStr">
        <is>
          <t>volumen 144362 MWh</t>
        </is>
      </c>
    </row>
    <row r="396">
      <c r="A396" s="53" t="n">
        <v>44222</v>
      </c>
      <c r="B396" t="inlineStr">
        <is>
          <t>2021-01-26</t>
        </is>
      </c>
      <c r="C396" s="45" t="n">
        <v>22.99</v>
      </c>
      <c r="D396" t="inlineStr">
        <is>
          <t>€/MWh</t>
        </is>
      </c>
      <c r="E396" s="54" t="n">
        <v>0.02299</v>
      </c>
      <c r="F396" s="54" t="n"/>
      <c r="G396" t="inlineStr">
        <is>
          <t>no aplica (precio mayorista)</t>
        </is>
      </c>
      <c r="J396" t="inlineStr">
        <is>
          <t>2021-01-26</t>
        </is>
      </c>
      <c r="K396" t="inlineStr">
        <is>
          <t>MIBGAS_Data_2021.xlsx</t>
        </is>
      </c>
      <c r="L396" t="inlineStr">
        <is>
          <t>volumen 128696 MWh</t>
        </is>
      </c>
    </row>
    <row r="397">
      <c r="A397" s="53" t="n">
        <v>44223</v>
      </c>
      <c r="B397" t="inlineStr">
        <is>
          <t>2021-01-27</t>
        </is>
      </c>
      <c r="C397" s="45" t="n">
        <v>19.72</v>
      </c>
      <c r="D397" t="inlineStr">
        <is>
          <t>€/MWh</t>
        </is>
      </c>
      <c r="E397" s="54" t="n">
        <v>0.01972</v>
      </c>
      <c r="F397" s="54" t="n"/>
      <c r="G397" t="inlineStr">
        <is>
          <t>no aplica (precio mayorista)</t>
        </is>
      </c>
      <c r="J397" t="inlineStr">
        <is>
          <t>2021-01-27</t>
        </is>
      </c>
      <c r="K397" t="inlineStr">
        <is>
          <t>MIBGAS_Data_2021.xlsx</t>
        </is>
      </c>
      <c r="L397" t="inlineStr">
        <is>
          <t>volumen 188163 MWh</t>
        </is>
      </c>
    </row>
    <row r="398">
      <c r="A398" s="53" t="n">
        <v>44224</v>
      </c>
      <c r="B398" t="inlineStr">
        <is>
          <t>2021-01-28</t>
        </is>
      </c>
      <c r="C398" s="45" t="n">
        <v>20.12</v>
      </c>
      <c r="D398" t="inlineStr">
        <is>
          <t>€/MWh</t>
        </is>
      </c>
      <c r="E398" s="54" t="n">
        <v>0.02012</v>
      </c>
      <c r="F398" s="54" t="n"/>
      <c r="G398" t="inlineStr">
        <is>
          <t>no aplica (precio mayorista)</t>
        </is>
      </c>
      <c r="J398" t="inlineStr">
        <is>
          <t>2021-01-28</t>
        </is>
      </c>
      <c r="K398" t="inlineStr">
        <is>
          <t>MIBGAS_Data_2021.xlsx</t>
        </is>
      </c>
      <c r="L398" t="inlineStr">
        <is>
          <t>volumen 181167 MWh</t>
        </is>
      </c>
    </row>
    <row r="399">
      <c r="A399" s="53" t="n">
        <v>44225</v>
      </c>
      <c r="B399" t="inlineStr">
        <is>
          <t>2021-01-29</t>
        </is>
      </c>
      <c r="C399" s="45" t="n">
        <v>20.73</v>
      </c>
      <c r="D399" t="inlineStr">
        <is>
          <t>€/MWh</t>
        </is>
      </c>
      <c r="E399" s="54" t="n">
        <v>0.02073</v>
      </c>
      <c r="F399" s="54" t="n"/>
      <c r="G399" t="inlineStr">
        <is>
          <t>no aplica (precio mayorista)</t>
        </is>
      </c>
      <c r="J399" t="inlineStr">
        <is>
          <t>2021-01-29</t>
        </is>
      </c>
      <c r="K399" t="inlineStr">
        <is>
          <t>MIBGAS_Data_2021.xlsx</t>
        </is>
      </c>
      <c r="L399" t="inlineStr">
        <is>
          <t>volumen 175530 MWh</t>
        </is>
      </c>
    </row>
    <row r="400">
      <c r="A400" s="53" t="n">
        <v>44226</v>
      </c>
      <c r="B400" t="inlineStr">
        <is>
          <t>2021-01-30</t>
        </is>
      </c>
      <c r="C400" s="45" t="n">
        <v>20.01</v>
      </c>
      <c r="D400" t="inlineStr">
        <is>
          <t>€/MWh</t>
        </is>
      </c>
      <c r="E400" s="54" t="n">
        <v>0.02001</v>
      </c>
      <c r="F400" s="54" t="n"/>
      <c r="G400" t="inlineStr">
        <is>
          <t>no aplica (precio mayorista)</t>
        </is>
      </c>
      <c r="J400" t="inlineStr">
        <is>
          <t>2021-01-30</t>
        </is>
      </c>
      <c r="K400" t="inlineStr">
        <is>
          <t>MIBGAS_Data_2021.xlsx</t>
        </is>
      </c>
      <c r="L400" t="inlineStr">
        <is>
          <t>volumen 220190 MWh</t>
        </is>
      </c>
    </row>
    <row r="401">
      <c r="A401" s="53" t="n">
        <v>44227</v>
      </c>
      <c r="B401" t="inlineStr">
        <is>
          <t>2021-01-31</t>
        </is>
      </c>
      <c r="C401" s="45" t="n">
        <v>19.62</v>
      </c>
      <c r="D401" t="inlineStr">
        <is>
          <t>€/MWh</t>
        </is>
      </c>
      <c r="E401" s="54" t="n">
        <v>0.01962</v>
      </c>
      <c r="F401" s="54" t="n"/>
      <c r="G401" t="inlineStr">
        <is>
          <t>no aplica (precio mayorista)</t>
        </is>
      </c>
      <c r="J401" t="inlineStr">
        <is>
          <t>2021-01-31</t>
        </is>
      </c>
      <c r="K401" t="inlineStr">
        <is>
          <t>MIBGAS_Data_2021.xlsx</t>
        </is>
      </c>
      <c r="L401" t="inlineStr">
        <is>
          <t>volumen 223821 MWh</t>
        </is>
      </c>
    </row>
    <row r="402">
      <c r="A402" s="53" t="n">
        <v>44228</v>
      </c>
      <c r="B402" t="inlineStr">
        <is>
          <t>2021-02-01</t>
        </is>
      </c>
      <c r="C402" s="45" t="n">
        <v>18.52</v>
      </c>
      <c r="D402" t="inlineStr">
        <is>
          <t>€/MWh</t>
        </is>
      </c>
      <c r="E402" s="54" t="n">
        <v>0.01852</v>
      </c>
      <c r="F402" s="54" t="n"/>
      <c r="G402" t="inlineStr">
        <is>
          <t>no aplica (precio mayorista)</t>
        </is>
      </c>
      <c r="J402" t="inlineStr">
        <is>
          <t>2021-02-01</t>
        </is>
      </c>
      <c r="K402" t="inlineStr">
        <is>
          <t>MIBGAS_Data_2021.xlsx</t>
        </is>
      </c>
      <c r="L402" t="inlineStr">
        <is>
          <t>volumen 112158 MWh</t>
        </is>
      </c>
    </row>
    <row r="403">
      <c r="A403" s="53" t="n">
        <v>44229</v>
      </c>
      <c r="B403" t="inlineStr">
        <is>
          <t>2021-02-02</t>
        </is>
      </c>
      <c r="C403" s="45" t="n">
        <v>17.62</v>
      </c>
      <c r="D403" t="inlineStr">
        <is>
          <t>€/MWh</t>
        </is>
      </c>
      <c r="E403" s="54" t="n">
        <v>0.01762</v>
      </c>
      <c r="F403" s="54" t="n"/>
      <c r="G403" t="inlineStr">
        <is>
          <t>no aplica (precio mayorista)</t>
        </is>
      </c>
      <c r="J403" t="inlineStr">
        <is>
          <t>2021-02-02</t>
        </is>
      </c>
      <c r="K403" t="inlineStr">
        <is>
          <t>MIBGAS_Data_2021.xlsx</t>
        </is>
      </c>
      <c r="L403" t="inlineStr">
        <is>
          <t>volumen 154105 MWh</t>
        </is>
      </c>
    </row>
    <row r="404">
      <c r="A404" s="53" t="n">
        <v>44230</v>
      </c>
      <c r="B404" t="inlineStr">
        <is>
          <t>2021-02-03</t>
        </is>
      </c>
      <c r="C404" s="45" t="n">
        <v>17.64</v>
      </c>
      <c r="D404" t="inlineStr">
        <is>
          <t>€/MWh</t>
        </is>
      </c>
      <c r="E404" s="54" t="n">
        <v>0.01764</v>
      </c>
      <c r="F404" s="54" t="n"/>
      <c r="G404" t="inlineStr">
        <is>
          <t>no aplica (precio mayorista)</t>
        </is>
      </c>
      <c r="J404" t="inlineStr">
        <is>
          <t>2021-02-03</t>
        </is>
      </c>
      <c r="K404" t="inlineStr">
        <is>
          <t>MIBGAS_Data_2021.xlsx</t>
        </is>
      </c>
      <c r="L404" t="inlineStr">
        <is>
          <t>volumen 99339 MWh</t>
        </is>
      </c>
    </row>
    <row r="405">
      <c r="A405" s="53" t="n">
        <v>44231</v>
      </c>
      <c r="B405" t="inlineStr">
        <is>
          <t>2021-02-04</t>
        </is>
      </c>
      <c r="C405" s="45" t="n">
        <v>17.82</v>
      </c>
      <c r="D405" t="inlineStr">
        <is>
          <t>€/MWh</t>
        </is>
      </c>
      <c r="E405" s="54" t="n">
        <v>0.01782</v>
      </c>
      <c r="F405" s="54" t="n"/>
      <c r="G405" t="inlineStr">
        <is>
          <t>no aplica (precio mayorista)</t>
        </is>
      </c>
      <c r="J405" t="inlineStr">
        <is>
          <t>2021-02-04</t>
        </is>
      </c>
      <c r="K405" t="inlineStr">
        <is>
          <t>MIBGAS_Data_2021.xlsx</t>
        </is>
      </c>
      <c r="L405" t="inlineStr">
        <is>
          <t>volumen 104905 MWh</t>
        </is>
      </c>
    </row>
    <row r="406">
      <c r="A406" s="53" t="n">
        <v>44232</v>
      </c>
      <c r="B406" t="inlineStr">
        <is>
          <t>2021-02-05</t>
        </is>
      </c>
      <c r="C406" s="45" t="n">
        <v>18.01</v>
      </c>
      <c r="D406" t="inlineStr">
        <is>
          <t>€/MWh</t>
        </is>
      </c>
      <c r="E406" s="54" t="n">
        <v>0.01801</v>
      </c>
      <c r="F406" s="54" t="n"/>
      <c r="G406" t="inlineStr">
        <is>
          <t>no aplica (precio mayorista)</t>
        </is>
      </c>
      <c r="J406" t="inlineStr">
        <is>
          <t>2021-02-05</t>
        </is>
      </c>
      <c r="K406" t="inlineStr">
        <is>
          <t>MIBGAS_Data_2021.xlsx</t>
        </is>
      </c>
      <c r="L406" t="inlineStr">
        <is>
          <t>volumen 107586 MWh</t>
        </is>
      </c>
    </row>
    <row r="407">
      <c r="A407" s="53" t="n">
        <v>44233</v>
      </c>
      <c r="B407" t="inlineStr">
        <is>
          <t>2021-02-06</t>
        </is>
      </c>
      <c r="C407" s="45" t="n">
        <v>17.68</v>
      </c>
      <c r="D407" t="inlineStr">
        <is>
          <t>€/MWh</t>
        </is>
      </c>
      <c r="E407" s="54" t="n">
        <v>0.01768</v>
      </c>
      <c r="F407" s="54" t="n"/>
      <c r="G407" t="inlineStr">
        <is>
          <t>no aplica (precio mayorista)</t>
        </is>
      </c>
      <c r="J407" t="inlineStr">
        <is>
          <t>2021-02-06</t>
        </is>
      </c>
      <c r="K407" t="inlineStr">
        <is>
          <t>MIBGAS_Data_2021.xlsx</t>
        </is>
      </c>
      <c r="L407" t="inlineStr">
        <is>
          <t>volumen 106375 MWh</t>
        </is>
      </c>
    </row>
    <row r="408">
      <c r="A408" s="53" t="n">
        <v>44234</v>
      </c>
      <c r="B408" t="inlineStr">
        <is>
          <t>2021-02-07</t>
        </is>
      </c>
      <c r="C408" s="45" t="n">
        <v>17.58</v>
      </c>
      <c r="D408" t="inlineStr">
        <is>
          <t>€/MWh</t>
        </is>
      </c>
      <c r="E408" s="54" t="n">
        <v>0.01758</v>
      </c>
      <c r="F408" s="54" t="n"/>
      <c r="G408" t="inlineStr">
        <is>
          <t>no aplica (precio mayorista)</t>
        </is>
      </c>
      <c r="J408" t="inlineStr">
        <is>
          <t>2021-02-07</t>
        </is>
      </c>
      <c r="K408" t="inlineStr">
        <is>
          <t>MIBGAS_Data_2021.xlsx</t>
        </is>
      </c>
      <c r="L408" t="inlineStr">
        <is>
          <t>volumen 106069 MWh</t>
        </is>
      </c>
    </row>
    <row r="409">
      <c r="A409" s="53" t="n">
        <v>44235</v>
      </c>
      <c r="B409" t="inlineStr">
        <is>
          <t>2021-02-08</t>
        </is>
      </c>
      <c r="C409" s="45" t="n">
        <v>18.26</v>
      </c>
      <c r="D409" t="inlineStr">
        <is>
          <t>€/MWh</t>
        </is>
      </c>
      <c r="E409" s="54" t="n">
        <v>0.01826</v>
      </c>
      <c r="F409" s="54" t="n"/>
      <c r="G409" t="inlineStr">
        <is>
          <t>no aplica (precio mayorista)</t>
        </is>
      </c>
      <c r="J409" t="inlineStr">
        <is>
          <t>2021-02-08</t>
        </is>
      </c>
      <c r="K409" t="inlineStr">
        <is>
          <t>MIBGAS_Data_2021.xlsx</t>
        </is>
      </c>
      <c r="L409" t="inlineStr">
        <is>
          <t>volumen 123101 MWh</t>
        </is>
      </c>
    </row>
    <row r="410">
      <c r="A410" s="53" t="n">
        <v>44236</v>
      </c>
      <c r="B410" t="inlineStr">
        <is>
          <t>2021-02-09</t>
        </is>
      </c>
      <c r="C410" s="45" t="n">
        <v>18.56</v>
      </c>
      <c r="D410" t="inlineStr">
        <is>
          <t>€/MWh</t>
        </is>
      </c>
      <c r="E410" s="54" t="n">
        <v>0.01856</v>
      </c>
      <c r="F410" s="54" t="n"/>
      <c r="G410" t="inlineStr">
        <is>
          <t>no aplica (precio mayorista)</t>
        </is>
      </c>
      <c r="J410" t="inlineStr">
        <is>
          <t>2021-02-09</t>
        </is>
      </c>
      <c r="K410" t="inlineStr">
        <is>
          <t>MIBGAS_Data_2021.xlsx</t>
        </is>
      </c>
      <c r="L410" t="inlineStr">
        <is>
          <t>volumen 126177 MWh</t>
        </is>
      </c>
    </row>
    <row r="411">
      <c r="A411" s="53" t="n">
        <v>44237</v>
      </c>
      <c r="B411" t="inlineStr">
        <is>
          <t>2021-02-10</t>
        </is>
      </c>
      <c r="C411" s="45" t="n">
        <v>18.33</v>
      </c>
      <c r="D411" t="inlineStr">
        <is>
          <t>€/MWh</t>
        </is>
      </c>
      <c r="E411" s="54" t="n">
        <v>0.01833</v>
      </c>
      <c r="F411" s="54" t="n"/>
      <c r="G411" t="inlineStr">
        <is>
          <t>no aplica (precio mayorista)</t>
        </is>
      </c>
      <c r="J411" t="inlineStr">
        <is>
          <t>2021-02-10</t>
        </is>
      </c>
      <c r="K411" t="inlineStr">
        <is>
          <t>MIBGAS_Data_2021.xlsx</t>
        </is>
      </c>
      <c r="L411" t="inlineStr">
        <is>
          <t>volumen 125281 MWh</t>
        </is>
      </c>
    </row>
    <row r="412">
      <c r="A412" s="53" t="n">
        <v>44238</v>
      </c>
      <c r="B412" t="inlineStr">
        <is>
          <t>2021-02-11</t>
        </is>
      </c>
      <c r="C412" s="45" t="n">
        <v>18.32</v>
      </c>
      <c r="D412" t="inlineStr">
        <is>
          <t>€/MWh</t>
        </is>
      </c>
      <c r="E412" s="54" t="n">
        <v>0.01832</v>
      </c>
      <c r="F412" s="54" t="n"/>
      <c r="G412" t="inlineStr">
        <is>
          <t>no aplica (precio mayorista)</t>
        </is>
      </c>
      <c r="J412" t="inlineStr">
        <is>
          <t>2021-02-11</t>
        </is>
      </c>
      <c r="K412" t="inlineStr">
        <is>
          <t>MIBGAS_Data_2021.xlsx</t>
        </is>
      </c>
      <c r="L412" t="inlineStr">
        <is>
          <t>volumen 121207 MWh</t>
        </is>
      </c>
    </row>
    <row r="413">
      <c r="A413" s="53" t="n">
        <v>44239</v>
      </c>
      <c r="B413" t="inlineStr">
        <is>
          <t>2021-02-12</t>
        </is>
      </c>
      <c r="C413" s="45" t="n">
        <v>17.35</v>
      </c>
      <c r="D413" t="inlineStr">
        <is>
          <t>€/MWh</t>
        </is>
      </c>
      <c r="E413" s="54" t="n">
        <v>0.01735</v>
      </c>
      <c r="F413" s="54" t="n"/>
      <c r="G413" t="inlineStr">
        <is>
          <t>no aplica (precio mayorista)</t>
        </is>
      </c>
      <c r="J413" t="inlineStr">
        <is>
          <t>2021-02-12</t>
        </is>
      </c>
      <c r="K413" t="inlineStr">
        <is>
          <t>MIBGAS_Data_2021.xlsx</t>
        </is>
      </c>
      <c r="L413" t="inlineStr">
        <is>
          <t>volumen 91731 MWh</t>
        </is>
      </c>
    </row>
    <row r="414">
      <c r="A414" s="53" t="n">
        <v>44240</v>
      </c>
      <c r="B414" t="inlineStr">
        <is>
          <t>2021-02-13</t>
        </is>
      </c>
      <c r="C414" s="45" t="n">
        <v>16.69</v>
      </c>
      <c r="D414" t="inlineStr">
        <is>
          <t>€/MWh</t>
        </is>
      </c>
      <c r="E414" s="54" t="n">
        <v>0.01669</v>
      </c>
      <c r="F414" s="54" t="n"/>
      <c r="G414" t="inlineStr">
        <is>
          <t>no aplica (precio mayorista)</t>
        </is>
      </c>
      <c r="J414" t="inlineStr">
        <is>
          <t>2021-02-13</t>
        </is>
      </c>
      <c r="K414" t="inlineStr">
        <is>
          <t>MIBGAS_Data_2021.xlsx</t>
        </is>
      </c>
      <c r="L414" t="inlineStr">
        <is>
          <t>volumen 102759 MWh</t>
        </is>
      </c>
    </row>
    <row r="415">
      <c r="A415" s="53" t="n">
        <v>44241</v>
      </c>
      <c r="B415" t="inlineStr">
        <is>
          <t>2021-02-14</t>
        </is>
      </c>
      <c r="C415" s="45" t="n">
        <v>16.47</v>
      </c>
      <c r="D415" t="inlineStr">
        <is>
          <t>€/MWh</t>
        </is>
      </c>
      <c r="E415" s="54" t="n">
        <v>0.01647</v>
      </c>
      <c r="F415" s="54" t="n"/>
      <c r="G415" t="inlineStr">
        <is>
          <t>no aplica (precio mayorista)</t>
        </is>
      </c>
      <c r="J415" t="inlineStr">
        <is>
          <t>2021-02-14</t>
        </is>
      </c>
      <c r="K415" t="inlineStr">
        <is>
          <t>MIBGAS_Data_2021.xlsx</t>
        </is>
      </c>
      <c r="L415" t="inlineStr">
        <is>
          <t>volumen 113273 MWh</t>
        </is>
      </c>
    </row>
    <row r="416">
      <c r="A416" s="53" t="n">
        <v>44242</v>
      </c>
      <c r="B416" t="inlineStr">
        <is>
          <t>2021-02-15</t>
        </is>
      </c>
      <c r="C416" s="45" t="n">
        <v>16.02</v>
      </c>
      <c r="D416" t="inlineStr">
        <is>
          <t>€/MWh</t>
        </is>
      </c>
      <c r="E416" s="54" t="n">
        <v>0.01602</v>
      </c>
      <c r="F416" s="54" t="n"/>
      <c r="G416" t="inlineStr">
        <is>
          <t>no aplica (precio mayorista)</t>
        </is>
      </c>
      <c r="J416" t="inlineStr">
        <is>
          <t>2021-02-15</t>
        </is>
      </c>
      <c r="K416" t="inlineStr">
        <is>
          <t>MIBGAS_Data_2021.xlsx</t>
        </is>
      </c>
      <c r="L416" t="inlineStr">
        <is>
          <t>volumen 121762 MWh</t>
        </is>
      </c>
    </row>
    <row r="417">
      <c r="A417" s="53" t="n">
        <v>44243</v>
      </c>
      <c r="B417" t="inlineStr">
        <is>
          <t>2021-02-16</t>
        </is>
      </c>
      <c r="C417" s="45" t="n">
        <v>16.28</v>
      </c>
      <c r="D417" t="inlineStr">
        <is>
          <t>€/MWh</t>
        </is>
      </c>
      <c r="E417" s="54" t="n">
        <v>0.01628</v>
      </c>
      <c r="F417" s="54" t="n"/>
      <c r="G417" t="inlineStr">
        <is>
          <t>no aplica (precio mayorista)</t>
        </is>
      </c>
      <c r="J417" t="inlineStr">
        <is>
          <t>2021-02-16</t>
        </is>
      </c>
      <c r="K417" t="inlineStr">
        <is>
          <t>MIBGAS_Data_2021.xlsx</t>
        </is>
      </c>
      <c r="L417" t="inlineStr">
        <is>
          <t>volumen 109840 MWh</t>
        </is>
      </c>
    </row>
    <row r="418">
      <c r="A418" s="53" t="n">
        <v>44244</v>
      </c>
      <c r="B418" t="inlineStr">
        <is>
          <t>2021-02-17</t>
        </is>
      </c>
      <c r="C418" s="45" t="n">
        <v>16.26</v>
      </c>
      <c r="D418" t="inlineStr">
        <is>
          <t>€/MWh</t>
        </is>
      </c>
      <c r="E418" s="54" t="n">
        <v>0.01626</v>
      </c>
      <c r="F418" s="54" t="n"/>
      <c r="G418" t="inlineStr">
        <is>
          <t>no aplica (precio mayorista)</t>
        </is>
      </c>
      <c r="J418" t="inlineStr">
        <is>
          <t>2021-02-17</t>
        </is>
      </c>
      <c r="K418" t="inlineStr">
        <is>
          <t>MIBGAS_Data_2021.xlsx</t>
        </is>
      </c>
      <c r="L418" t="inlineStr">
        <is>
          <t>volumen 119836 MWh</t>
        </is>
      </c>
    </row>
    <row r="419">
      <c r="A419" s="53" t="n">
        <v>44245</v>
      </c>
      <c r="B419" t="inlineStr">
        <is>
          <t>2021-02-18</t>
        </is>
      </c>
      <c r="C419" s="45" t="n">
        <v>16.14</v>
      </c>
      <c r="D419" t="inlineStr">
        <is>
          <t>€/MWh</t>
        </is>
      </c>
      <c r="E419" s="54" t="n">
        <v>0.01614</v>
      </c>
      <c r="F419" s="54" t="n"/>
      <c r="G419" t="inlineStr">
        <is>
          <t>no aplica (precio mayorista)</t>
        </is>
      </c>
      <c r="J419" t="inlineStr">
        <is>
          <t>2021-02-18</t>
        </is>
      </c>
      <c r="K419" t="inlineStr">
        <is>
          <t>MIBGAS_Data_2021.xlsx</t>
        </is>
      </c>
      <c r="L419" t="inlineStr">
        <is>
          <t>volumen 132292 MWh</t>
        </is>
      </c>
    </row>
    <row r="420">
      <c r="A420" s="53" t="n">
        <v>44246</v>
      </c>
      <c r="B420" t="inlineStr">
        <is>
          <t>2021-02-19</t>
        </is>
      </c>
      <c r="C420" s="45" t="n">
        <v>16.1</v>
      </c>
      <c r="D420" t="inlineStr">
        <is>
          <t>€/MWh</t>
        </is>
      </c>
      <c r="E420" s="54" t="n">
        <v>0.0161</v>
      </c>
      <c r="F420" s="54" t="n"/>
      <c r="G420" t="inlineStr">
        <is>
          <t>no aplica (precio mayorista)</t>
        </is>
      </c>
      <c r="J420" t="inlineStr">
        <is>
          <t>2021-02-19</t>
        </is>
      </c>
      <c r="K420" t="inlineStr">
        <is>
          <t>MIBGAS_Data_2021.xlsx</t>
        </is>
      </c>
      <c r="L420" t="inlineStr">
        <is>
          <t>volumen 113719 MWh</t>
        </is>
      </c>
    </row>
    <row r="421">
      <c r="A421" s="53" t="n">
        <v>44247</v>
      </c>
      <c r="B421" t="inlineStr">
        <is>
          <t>2021-02-20</t>
        </is>
      </c>
      <c r="C421" s="45" t="n">
        <v>15.67</v>
      </c>
      <c r="D421" t="inlineStr">
        <is>
          <t>€/MWh</t>
        </is>
      </c>
      <c r="E421" s="54" t="n">
        <v>0.01567</v>
      </c>
      <c r="F421" s="54" t="n"/>
      <c r="G421" t="inlineStr">
        <is>
          <t>no aplica (precio mayorista)</t>
        </is>
      </c>
      <c r="J421" t="inlineStr">
        <is>
          <t>2021-02-20</t>
        </is>
      </c>
      <c r="K421" t="inlineStr">
        <is>
          <t>MIBGAS_Data_2021.xlsx</t>
        </is>
      </c>
      <c r="L421" t="inlineStr">
        <is>
          <t>volumen 119326 MWh</t>
        </is>
      </c>
    </row>
    <row r="422">
      <c r="A422" s="53" t="n">
        <v>44248</v>
      </c>
      <c r="B422" t="inlineStr">
        <is>
          <t>2021-02-21</t>
        </is>
      </c>
      <c r="C422" s="45" t="n">
        <v>15.64</v>
      </c>
      <c r="D422" t="inlineStr">
        <is>
          <t>€/MWh</t>
        </is>
      </c>
      <c r="E422" s="54" t="n">
        <v>0.01564</v>
      </c>
      <c r="F422" s="54" t="n"/>
      <c r="G422" t="inlineStr">
        <is>
          <t>no aplica (precio mayorista)</t>
        </is>
      </c>
      <c r="J422" t="inlineStr">
        <is>
          <t>2021-02-21</t>
        </is>
      </c>
      <c r="K422" t="inlineStr">
        <is>
          <t>MIBGAS_Data_2021.xlsx</t>
        </is>
      </c>
      <c r="L422" t="inlineStr">
        <is>
          <t>volumen 128104 MWh</t>
        </is>
      </c>
    </row>
    <row r="423">
      <c r="A423" s="53" t="n">
        <v>44249</v>
      </c>
      <c r="B423" t="inlineStr">
        <is>
          <t>2021-02-22</t>
        </is>
      </c>
      <c r="C423" s="45" t="n">
        <v>16.11</v>
      </c>
      <c r="D423" t="inlineStr">
        <is>
          <t>€/MWh</t>
        </is>
      </c>
      <c r="E423" s="54" t="n">
        <v>0.01611</v>
      </c>
      <c r="F423" s="54" t="n"/>
      <c r="G423" t="inlineStr">
        <is>
          <t>no aplica (precio mayorista)</t>
        </is>
      </c>
      <c r="J423" t="inlineStr">
        <is>
          <t>2021-02-22</t>
        </is>
      </c>
      <c r="K423" t="inlineStr">
        <is>
          <t>MIBGAS_Data_2021.xlsx</t>
        </is>
      </c>
      <c r="L423" t="inlineStr">
        <is>
          <t>volumen 77217 MWh</t>
        </is>
      </c>
    </row>
    <row r="424">
      <c r="A424" s="53" t="n">
        <v>44250</v>
      </c>
      <c r="B424" t="inlineStr">
        <is>
          <t>2021-02-23</t>
        </is>
      </c>
      <c r="C424" s="45" t="n">
        <v>15.85</v>
      </c>
      <c r="D424" t="inlineStr">
        <is>
          <t>€/MWh</t>
        </is>
      </c>
      <c r="E424" s="54" t="n">
        <v>0.01585</v>
      </c>
      <c r="F424" s="54" t="n"/>
      <c r="G424" t="inlineStr">
        <is>
          <t>no aplica (precio mayorista)</t>
        </is>
      </c>
      <c r="J424" t="inlineStr">
        <is>
          <t>2021-02-23</t>
        </is>
      </c>
      <c r="K424" t="inlineStr">
        <is>
          <t>MIBGAS_Data_2021.xlsx</t>
        </is>
      </c>
      <c r="L424" t="inlineStr">
        <is>
          <t>volumen 73665 MWh</t>
        </is>
      </c>
    </row>
    <row r="425">
      <c r="A425" s="53" t="n">
        <v>44251</v>
      </c>
      <c r="B425" t="inlineStr">
        <is>
          <t>2021-02-24</t>
        </is>
      </c>
      <c r="C425" s="45" t="n">
        <v>15.46</v>
      </c>
      <c r="D425" t="inlineStr">
        <is>
          <t>€/MWh</t>
        </is>
      </c>
      <c r="E425" s="54" t="n">
        <v>0.01546</v>
      </c>
      <c r="F425" s="54" t="n"/>
      <c r="G425" t="inlineStr">
        <is>
          <t>no aplica (precio mayorista)</t>
        </is>
      </c>
      <c r="J425" t="inlineStr">
        <is>
          <t>2021-02-24</t>
        </is>
      </c>
      <c r="K425" t="inlineStr">
        <is>
          <t>MIBGAS_Data_2021.xlsx</t>
        </is>
      </c>
      <c r="L425" t="inlineStr">
        <is>
          <t>volumen 133085 MWh</t>
        </is>
      </c>
    </row>
    <row r="426">
      <c r="A426" s="53" t="n">
        <v>44252</v>
      </c>
      <c r="B426" t="inlineStr">
        <is>
          <t>2021-02-25</t>
        </is>
      </c>
      <c r="C426" s="45" t="n">
        <v>16.02</v>
      </c>
      <c r="D426" t="inlineStr">
        <is>
          <t>€/MWh</t>
        </is>
      </c>
      <c r="E426" s="54" t="n">
        <v>0.01602</v>
      </c>
      <c r="F426" s="54" t="n"/>
      <c r="G426" t="inlineStr">
        <is>
          <t>no aplica (precio mayorista)</t>
        </is>
      </c>
      <c r="J426" t="inlineStr">
        <is>
          <t>2021-02-25</t>
        </is>
      </c>
      <c r="K426" t="inlineStr">
        <is>
          <t>MIBGAS_Data_2021.xlsx</t>
        </is>
      </c>
      <c r="L426" t="inlineStr">
        <is>
          <t>volumen 84759 MWh</t>
        </is>
      </c>
    </row>
    <row r="427">
      <c r="A427" s="53" t="n">
        <v>44253</v>
      </c>
      <c r="B427" t="inlineStr">
        <is>
          <t>2021-02-26</t>
        </is>
      </c>
      <c r="C427" s="45" t="n">
        <v>15.88</v>
      </c>
      <c r="D427" t="inlineStr">
        <is>
          <t>€/MWh</t>
        </is>
      </c>
      <c r="E427" s="54" t="n">
        <v>0.01588</v>
      </c>
      <c r="F427" s="54" t="n"/>
      <c r="G427" t="inlineStr">
        <is>
          <t>no aplica (precio mayorista)</t>
        </is>
      </c>
      <c r="J427" t="inlineStr">
        <is>
          <t>2021-02-26</t>
        </is>
      </c>
      <c r="K427" t="inlineStr">
        <is>
          <t>MIBGAS_Data_2021.xlsx</t>
        </is>
      </c>
      <c r="L427" t="inlineStr">
        <is>
          <t>volumen 92094 MWh</t>
        </is>
      </c>
    </row>
    <row r="428">
      <c r="A428" s="53" t="n">
        <v>44254</v>
      </c>
      <c r="B428" t="inlineStr">
        <is>
          <t>2021-02-27</t>
        </is>
      </c>
      <c r="C428" s="45" t="n">
        <v>15.27</v>
      </c>
      <c r="D428" t="inlineStr">
        <is>
          <t>€/MWh</t>
        </is>
      </c>
      <c r="E428" s="54" t="n">
        <v>0.01527</v>
      </c>
      <c r="F428" s="54" t="n"/>
      <c r="G428" t="inlineStr">
        <is>
          <t>no aplica (precio mayorista)</t>
        </is>
      </c>
      <c r="J428" t="inlineStr">
        <is>
          <t>2021-02-27</t>
        </is>
      </c>
      <c r="K428" t="inlineStr">
        <is>
          <t>MIBGAS_Data_2021.xlsx</t>
        </is>
      </c>
      <c r="L428" t="inlineStr">
        <is>
          <t>volumen 96396 MWh</t>
        </is>
      </c>
    </row>
    <row r="429">
      <c r="A429" s="53" t="n">
        <v>44255</v>
      </c>
      <c r="B429" t="inlineStr">
        <is>
          <t>2021-02-28</t>
        </is>
      </c>
      <c r="C429" s="45" t="n">
        <v>15.27</v>
      </c>
      <c r="D429" t="inlineStr">
        <is>
          <t>€/MWh</t>
        </is>
      </c>
      <c r="E429" s="54" t="n">
        <v>0.01527</v>
      </c>
      <c r="F429" s="54" t="n"/>
      <c r="G429" t="inlineStr">
        <is>
          <t>no aplica (precio mayorista)</t>
        </is>
      </c>
      <c r="J429" t="inlineStr">
        <is>
          <t>2021-02-28</t>
        </is>
      </c>
      <c r="K429" t="inlineStr">
        <is>
          <t>MIBGAS_Data_2021.xlsx</t>
        </is>
      </c>
      <c r="L429" t="inlineStr">
        <is>
          <t>volumen 109231 MWh</t>
        </is>
      </c>
    </row>
    <row r="430">
      <c r="A430" s="53" t="n">
        <v>44256</v>
      </c>
      <c r="B430" t="inlineStr">
        <is>
          <t>2021-03-01</t>
        </is>
      </c>
      <c r="C430" s="45" t="n">
        <v>16.53</v>
      </c>
      <c r="D430" t="inlineStr">
        <is>
          <t>€/MWh</t>
        </is>
      </c>
      <c r="E430" s="54" t="n">
        <v>0.01653</v>
      </c>
      <c r="F430" s="54" t="n"/>
      <c r="G430" t="inlineStr">
        <is>
          <t>no aplica (precio mayorista)</t>
        </is>
      </c>
      <c r="J430" t="inlineStr">
        <is>
          <t>2021-03-01</t>
        </is>
      </c>
      <c r="K430" t="inlineStr">
        <is>
          <t>MIBGAS_Data_2021.xlsx</t>
        </is>
      </c>
      <c r="L430" t="inlineStr">
        <is>
          <t>volumen 69075 MWh</t>
        </is>
      </c>
    </row>
    <row r="431">
      <c r="A431" s="53" t="n">
        <v>44257</v>
      </c>
      <c r="B431" t="inlineStr">
        <is>
          <t>2021-03-02</t>
        </is>
      </c>
      <c r="C431" s="45" t="n">
        <v>16.34</v>
      </c>
      <c r="D431" t="inlineStr">
        <is>
          <t>€/MWh</t>
        </is>
      </c>
      <c r="E431" s="54" t="n">
        <v>0.01634</v>
      </c>
      <c r="F431" s="54" t="n"/>
      <c r="G431" t="inlineStr">
        <is>
          <t>no aplica (precio mayorista)</t>
        </is>
      </c>
      <c r="J431" t="inlineStr">
        <is>
          <t>2021-03-02</t>
        </is>
      </c>
      <c r="K431" t="inlineStr">
        <is>
          <t>MIBGAS_Data_2021.xlsx</t>
        </is>
      </c>
      <c r="L431" t="inlineStr">
        <is>
          <t>volumen 90117 MWh</t>
        </is>
      </c>
    </row>
    <row r="432">
      <c r="A432" s="53" t="n">
        <v>44258</v>
      </c>
      <c r="B432" t="inlineStr">
        <is>
          <t>2021-03-03</t>
        </is>
      </c>
      <c r="C432" s="45" t="n">
        <v>16.51</v>
      </c>
      <c r="D432" t="inlineStr">
        <is>
          <t>€/MWh</t>
        </is>
      </c>
      <c r="E432" s="54" t="n">
        <v>0.01651</v>
      </c>
      <c r="F432" s="54" t="n"/>
      <c r="G432" t="inlineStr">
        <is>
          <t>no aplica (precio mayorista)</t>
        </is>
      </c>
      <c r="J432" t="inlineStr">
        <is>
          <t>2021-03-03</t>
        </is>
      </c>
      <c r="K432" t="inlineStr">
        <is>
          <t>MIBGAS_Data_2021.xlsx</t>
        </is>
      </c>
      <c r="L432" t="inlineStr">
        <is>
          <t>volumen 104178 MWh</t>
        </is>
      </c>
    </row>
    <row r="433">
      <c r="A433" s="53" t="n">
        <v>44259</v>
      </c>
      <c r="B433" t="inlineStr">
        <is>
          <t>2021-03-04</t>
        </is>
      </c>
      <c r="C433" s="45" t="n">
        <v>16.29</v>
      </c>
      <c r="D433" t="inlineStr">
        <is>
          <t>€/MWh</t>
        </is>
      </c>
      <c r="E433" s="54" t="n">
        <v>0.01629</v>
      </c>
      <c r="F433" s="54" t="n"/>
      <c r="G433" t="inlineStr">
        <is>
          <t>no aplica (precio mayorista)</t>
        </is>
      </c>
      <c r="J433" t="inlineStr">
        <is>
          <t>2021-03-04</t>
        </is>
      </c>
      <c r="K433" t="inlineStr">
        <is>
          <t>MIBGAS_Data_2021.xlsx</t>
        </is>
      </c>
      <c r="L433" t="inlineStr">
        <is>
          <t>volumen 88396 MWh</t>
        </is>
      </c>
    </row>
    <row r="434">
      <c r="A434" s="53" t="n">
        <v>44260</v>
      </c>
      <c r="B434" t="inlineStr">
        <is>
          <t>2021-03-05</t>
        </is>
      </c>
      <c r="C434" s="45" t="n">
        <v>16.32</v>
      </c>
      <c r="D434" t="inlineStr">
        <is>
          <t>€/MWh</t>
        </is>
      </c>
      <c r="E434" s="54" t="n">
        <v>0.01632</v>
      </c>
      <c r="F434" s="54" t="n"/>
      <c r="G434" t="inlineStr">
        <is>
          <t>no aplica (precio mayorista)</t>
        </is>
      </c>
      <c r="J434" t="inlineStr">
        <is>
          <t>2021-03-05</t>
        </is>
      </c>
      <c r="K434" t="inlineStr">
        <is>
          <t>MIBGAS_Data_2021.xlsx</t>
        </is>
      </c>
      <c r="L434" t="inlineStr">
        <is>
          <t>volumen 91320 MWh</t>
        </is>
      </c>
    </row>
    <row r="435">
      <c r="A435" s="53" t="n">
        <v>44261</v>
      </c>
      <c r="B435" t="inlineStr">
        <is>
          <t>2021-03-06</t>
        </is>
      </c>
      <c r="C435" s="45" t="n">
        <v>16.11</v>
      </c>
      <c r="D435" t="inlineStr">
        <is>
          <t>€/MWh</t>
        </is>
      </c>
      <c r="E435" s="54" t="n">
        <v>0.01611</v>
      </c>
      <c r="F435" s="54" t="n"/>
      <c r="G435" t="inlineStr">
        <is>
          <t>no aplica (precio mayorista)</t>
        </is>
      </c>
      <c r="J435" t="inlineStr">
        <is>
          <t>2021-03-06</t>
        </is>
      </c>
      <c r="K435" t="inlineStr">
        <is>
          <t>MIBGAS_Data_2021.xlsx</t>
        </is>
      </c>
      <c r="L435" t="inlineStr">
        <is>
          <t>volumen 57449 MWh</t>
        </is>
      </c>
    </row>
    <row r="436">
      <c r="A436" s="53" t="n">
        <v>44262</v>
      </c>
      <c r="B436" t="inlineStr">
        <is>
          <t>2021-03-07</t>
        </is>
      </c>
      <c r="C436" s="45" t="n">
        <v>16.38</v>
      </c>
      <c r="D436" t="inlineStr">
        <is>
          <t>€/MWh</t>
        </is>
      </c>
      <c r="E436" s="54" t="n">
        <v>0.01638</v>
      </c>
      <c r="F436" s="54" t="n"/>
      <c r="G436" t="inlineStr">
        <is>
          <t>no aplica (precio mayorista)</t>
        </is>
      </c>
      <c r="J436" t="inlineStr">
        <is>
          <t>2021-03-07</t>
        </is>
      </c>
      <c r="K436" t="inlineStr">
        <is>
          <t>MIBGAS_Data_2021.xlsx</t>
        </is>
      </c>
      <c r="L436" t="inlineStr">
        <is>
          <t>volumen 59827 MWh</t>
        </is>
      </c>
    </row>
    <row r="437">
      <c r="A437" s="53" t="n">
        <v>44263</v>
      </c>
      <c r="B437" t="inlineStr">
        <is>
          <t>2021-03-08</t>
        </is>
      </c>
      <c r="C437" s="45" t="n">
        <v>16.9</v>
      </c>
      <c r="D437" t="inlineStr">
        <is>
          <t>€/MWh</t>
        </is>
      </c>
      <c r="E437" s="54" t="n">
        <v>0.0169</v>
      </c>
      <c r="F437" s="54" t="n"/>
      <c r="G437" t="inlineStr">
        <is>
          <t>no aplica (precio mayorista)</t>
        </is>
      </c>
      <c r="J437" t="inlineStr">
        <is>
          <t>2021-03-08</t>
        </is>
      </c>
      <c r="K437" t="inlineStr">
        <is>
          <t>MIBGAS_Data_2021.xlsx</t>
        </is>
      </c>
      <c r="L437" t="inlineStr">
        <is>
          <t>volumen 77322 MWh</t>
        </is>
      </c>
    </row>
    <row r="438">
      <c r="A438" s="53" t="n">
        <v>44264</v>
      </c>
      <c r="B438" t="inlineStr">
        <is>
          <t>2021-03-09</t>
        </is>
      </c>
      <c r="C438" s="45" t="n">
        <v>16.95</v>
      </c>
      <c r="D438" t="inlineStr">
        <is>
          <t>€/MWh</t>
        </is>
      </c>
      <c r="E438" s="54" t="n">
        <v>0.01695</v>
      </c>
      <c r="F438" s="54" t="n"/>
      <c r="G438" t="inlineStr">
        <is>
          <t>no aplica (precio mayorista)</t>
        </is>
      </c>
      <c r="J438" t="inlineStr">
        <is>
          <t>2021-03-09</t>
        </is>
      </c>
      <c r="K438" t="inlineStr">
        <is>
          <t>MIBGAS_Data_2021.xlsx</t>
        </is>
      </c>
      <c r="L438" t="inlineStr">
        <is>
          <t>volumen 109527 MWh</t>
        </is>
      </c>
    </row>
    <row r="439">
      <c r="A439" s="53" t="n">
        <v>44265</v>
      </c>
      <c r="B439" t="inlineStr">
        <is>
          <t>2021-03-10</t>
        </is>
      </c>
      <c r="C439" s="45" t="n">
        <v>18.07</v>
      </c>
      <c r="D439" t="inlineStr">
        <is>
          <t>€/MWh</t>
        </is>
      </c>
      <c r="E439" s="54" t="n">
        <v>0.01807</v>
      </c>
      <c r="F439" s="54" t="n"/>
      <c r="G439" t="inlineStr">
        <is>
          <t>no aplica (precio mayorista)</t>
        </is>
      </c>
      <c r="J439" t="inlineStr">
        <is>
          <t>2021-03-10</t>
        </is>
      </c>
      <c r="K439" t="inlineStr">
        <is>
          <t>MIBGAS_Data_2021.xlsx</t>
        </is>
      </c>
      <c r="L439" t="inlineStr">
        <is>
          <t>volumen 92602 MWh</t>
        </is>
      </c>
    </row>
    <row r="440">
      <c r="A440" s="53" t="n">
        <v>44266</v>
      </c>
      <c r="B440" t="inlineStr">
        <is>
          <t>2021-03-11</t>
        </is>
      </c>
      <c r="C440" s="45" t="n">
        <v>17.98</v>
      </c>
      <c r="D440" t="inlineStr">
        <is>
          <t>€/MWh</t>
        </is>
      </c>
      <c r="E440" s="54" t="n">
        <v>0.01798</v>
      </c>
      <c r="F440" s="54" t="n"/>
      <c r="G440" t="inlineStr">
        <is>
          <t>no aplica (precio mayorista)</t>
        </is>
      </c>
      <c r="J440" t="inlineStr">
        <is>
          <t>2021-03-11</t>
        </is>
      </c>
      <c r="K440" t="inlineStr">
        <is>
          <t>MIBGAS_Data_2021.xlsx</t>
        </is>
      </c>
      <c r="L440" t="inlineStr">
        <is>
          <t>volumen 87708 MWh</t>
        </is>
      </c>
    </row>
    <row r="441">
      <c r="A441" s="53" t="n">
        <v>44267</v>
      </c>
      <c r="B441" t="inlineStr">
        <is>
          <t>2021-03-12</t>
        </is>
      </c>
      <c r="C441" s="45" t="n">
        <v>17.98</v>
      </c>
      <c r="D441" t="inlineStr">
        <is>
          <t>€/MWh</t>
        </is>
      </c>
      <c r="E441" s="54" t="n">
        <v>0.01798</v>
      </c>
      <c r="F441" s="54" t="n"/>
      <c r="G441" t="inlineStr">
        <is>
          <t>no aplica (precio mayorista)</t>
        </is>
      </c>
      <c r="J441" t="inlineStr">
        <is>
          <t>2021-03-12</t>
        </is>
      </c>
      <c r="K441" t="inlineStr">
        <is>
          <t>MIBGAS_Data_2021.xlsx</t>
        </is>
      </c>
      <c r="L441" t="inlineStr">
        <is>
          <t>volumen 68643 MWh</t>
        </is>
      </c>
    </row>
    <row r="442">
      <c r="A442" s="53" t="n">
        <v>44268</v>
      </c>
      <c r="B442" t="inlineStr">
        <is>
          <t>2021-03-13</t>
        </is>
      </c>
      <c r="C442" s="45" t="n">
        <v>17.57</v>
      </c>
      <c r="D442" t="inlineStr">
        <is>
          <t>€/MWh</t>
        </is>
      </c>
      <c r="E442" s="54" t="n">
        <v>0.01757</v>
      </c>
      <c r="F442" s="54" t="n"/>
      <c r="G442" t="inlineStr">
        <is>
          <t>no aplica (precio mayorista)</t>
        </is>
      </c>
      <c r="J442" t="inlineStr">
        <is>
          <t>2021-03-13</t>
        </is>
      </c>
      <c r="K442" t="inlineStr">
        <is>
          <t>MIBGAS_Data_2021.xlsx</t>
        </is>
      </c>
      <c r="L442" t="inlineStr">
        <is>
          <t>volumen 74303 MWh</t>
        </is>
      </c>
    </row>
    <row r="443">
      <c r="A443" s="53" t="n">
        <v>44269</v>
      </c>
      <c r="B443" t="inlineStr">
        <is>
          <t>2021-03-14</t>
        </is>
      </c>
      <c r="C443" s="45" t="n">
        <v>17.65</v>
      </c>
      <c r="D443" t="inlineStr">
        <is>
          <t>€/MWh</t>
        </is>
      </c>
      <c r="E443" s="54" t="n">
        <v>0.01765</v>
      </c>
      <c r="F443" s="54" t="n"/>
      <c r="G443" t="inlineStr">
        <is>
          <t>no aplica (precio mayorista)</t>
        </is>
      </c>
      <c r="J443" t="inlineStr">
        <is>
          <t>2021-03-14</t>
        </is>
      </c>
      <c r="K443" t="inlineStr">
        <is>
          <t>MIBGAS_Data_2021.xlsx</t>
        </is>
      </c>
      <c r="L443" t="inlineStr">
        <is>
          <t>volumen 62930 MWh</t>
        </is>
      </c>
    </row>
    <row r="444">
      <c r="A444" s="53" t="n">
        <v>44270</v>
      </c>
      <c r="B444" t="inlineStr">
        <is>
          <t>2021-03-15</t>
        </is>
      </c>
      <c r="C444" s="45" t="n">
        <v>18.54</v>
      </c>
      <c r="D444" t="inlineStr">
        <is>
          <t>€/MWh</t>
        </is>
      </c>
      <c r="E444" s="54" t="n">
        <v>0.01854</v>
      </c>
      <c r="F444" s="54" t="n"/>
      <c r="G444" t="inlineStr">
        <is>
          <t>no aplica (precio mayorista)</t>
        </is>
      </c>
      <c r="J444" t="inlineStr">
        <is>
          <t>2021-03-15</t>
        </is>
      </c>
      <c r="K444" t="inlineStr">
        <is>
          <t>MIBGAS_Data_2021.xlsx</t>
        </is>
      </c>
      <c r="L444" t="inlineStr">
        <is>
          <t>volumen 64594 MWh</t>
        </is>
      </c>
    </row>
    <row r="445">
      <c r="A445" s="53" t="n">
        <v>44271</v>
      </c>
      <c r="B445" t="inlineStr">
        <is>
          <t>2021-03-16</t>
        </is>
      </c>
      <c r="C445" s="45" t="n">
        <v>17.8</v>
      </c>
      <c r="D445" t="inlineStr">
        <is>
          <t>€/MWh</t>
        </is>
      </c>
      <c r="E445" s="54" t="n">
        <v>0.0178</v>
      </c>
      <c r="F445" s="54" t="n"/>
      <c r="G445" t="inlineStr">
        <is>
          <t>no aplica (precio mayorista)</t>
        </is>
      </c>
      <c r="J445" t="inlineStr">
        <is>
          <t>2021-03-16</t>
        </is>
      </c>
      <c r="K445" t="inlineStr">
        <is>
          <t>MIBGAS_Data_2021.xlsx</t>
        </is>
      </c>
      <c r="L445" t="inlineStr">
        <is>
          <t>volumen 62170 MWh</t>
        </is>
      </c>
    </row>
    <row r="446">
      <c r="A446" s="53" t="n">
        <v>44272</v>
      </c>
      <c r="B446" t="inlineStr">
        <is>
          <t>2021-03-17</t>
        </is>
      </c>
      <c r="C446" s="45" t="n">
        <v>17.19</v>
      </c>
      <c r="D446" t="inlineStr">
        <is>
          <t>€/MWh</t>
        </is>
      </c>
      <c r="E446" s="54" t="n">
        <v>0.01719</v>
      </c>
      <c r="F446" s="54" t="n"/>
      <c r="G446" t="inlineStr">
        <is>
          <t>no aplica (precio mayorista)</t>
        </is>
      </c>
      <c r="J446" t="inlineStr">
        <is>
          <t>2021-03-17</t>
        </is>
      </c>
      <c r="K446" t="inlineStr">
        <is>
          <t>MIBGAS_Data_2021.xlsx</t>
        </is>
      </c>
      <c r="L446" t="inlineStr">
        <is>
          <t>volumen 82525 MWh</t>
        </is>
      </c>
    </row>
    <row r="447">
      <c r="A447" s="53" t="n">
        <v>44273</v>
      </c>
      <c r="B447" t="inlineStr">
        <is>
          <t>2021-03-18</t>
        </is>
      </c>
      <c r="C447" s="45" t="n">
        <v>17.56</v>
      </c>
      <c r="D447" t="inlineStr">
        <is>
          <t>€/MWh</t>
        </is>
      </c>
      <c r="E447" s="54" t="n">
        <v>0.01756</v>
      </c>
      <c r="F447" s="54" t="n"/>
      <c r="G447" t="inlineStr">
        <is>
          <t>no aplica (precio mayorista)</t>
        </is>
      </c>
      <c r="J447" t="inlineStr">
        <is>
          <t>2021-03-18</t>
        </is>
      </c>
      <c r="K447" t="inlineStr">
        <is>
          <t>MIBGAS_Data_2021.xlsx</t>
        </is>
      </c>
      <c r="L447" t="inlineStr">
        <is>
          <t>volumen 70923 MWh</t>
        </is>
      </c>
    </row>
    <row r="448">
      <c r="A448" s="53" t="n">
        <v>44274</v>
      </c>
      <c r="B448" t="inlineStr">
        <is>
          <t>2021-03-19</t>
        </is>
      </c>
      <c r="C448" s="45" t="n">
        <v>17.59</v>
      </c>
      <c r="D448" t="inlineStr">
        <is>
          <t>€/MWh</t>
        </is>
      </c>
      <c r="E448" s="54" t="n">
        <v>0.01759</v>
      </c>
      <c r="F448" s="54" t="n"/>
      <c r="G448" t="inlineStr">
        <is>
          <t>no aplica (precio mayorista)</t>
        </is>
      </c>
      <c r="J448" t="inlineStr">
        <is>
          <t>2021-03-19</t>
        </is>
      </c>
      <c r="K448" t="inlineStr">
        <is>
          <t>MIBGAS_Data_2021.xlsx</t>
        </is>
      </c>
      <c r="L448" t="inlineStr">
        <is>
          <t>volumen 54812 MWh</t>
        </is>
      </c>
    </row>
    <row r="449">
      <c r="A449" s="53" t="n">
        <v>44275</v>
      </c>
      <c r="B449" t="inlineStr">
        <is>
          <t>2021-03-20</t>
        </is>
      </c>
      <c r="C449" s="45" t="n">
        <v>16.99</v>
      </c>
      <c r="D449" t="inlineStr">
        <is>
          <t>€/MWh</t>
        </is>
      </c>
      <c r="E449" s="54" t="n">
        <v>0.01699</v>
      </c>
      <c r="F449" s="54" t="n"/>
      <c r="G449" t="inlineStr">
        <is>
          <t>no aplica (precio mayorista)</t>
        </is>
      </c>
      <c r="J449" t="inlineStr">
        <is>
          <t>2021-03-20</t>
        </is>
      </c>
      <c r="K449" t="inlineStr">
        <is>
          <t>MIBGAS_Data_2021.xlsx</t>
        </is>
      </c>
      <c r="L449" t="inlineStr">
        <is>
          <t>volumen 56934 MWh</t>
        </is>
      </c>
    </row>
    <row r="450">
      <c r="A450" s="53" t="n">
        <v>44276</v>
      </c>
      <c r="B450" t="inlineStr">
        <is>
          <t>2021-03-21</t>
        </is>
      </c>
      <c r="C450" s="45" t="n">
        <v>16.96</v>
      </c>
      <c r="D450" t="inlineStr">
        <is>
          <t>€/MWh</t>
        </is>
      </c>
      <c r="E450" s="54" t="n">
        <v>0.01696</v>
      </c>
      <c r="F450" s="54" t="n"/>
      <c r="G450" t="inlineStr">
        <is>
          <t>no aplica (precio mayorista)</t>
        </is>
      </c>
      <c r="J450" t="inlineStr">
        <is>
          <t>2021-03-21</t>
        </is>
      </c>
      <c r="K450" t="inlineStr">
        <is>
          <t>MIBGAS_Data_2021.xlsx</t>
        </is>
      </c>
      <c r="L450" t="inlineStr">
        <is>
          <t>volumen 55677 MWh</t>
        </is>
      </c>
    </row>
    <row r="451">
      <c r="A451" s="53" t="n">
        <v>44277</v>
      </c>
      <c r="B451" t="inlineStr">
        <is>
          <t>2021-03-22</t>
        </is>
      </c>
      <c r="C451" s="45" t="n">
        <v>18.26</v>
      </c>
      <c r="D451" t="inlineStr">
        <is>
          <t>€/MWh</t>
        </is>
      </c>
      <c r="E451" s="54" t="n">
        <v>0.01826</v>
      </c>
      <c r="F451" s="54" t="n"/>
      <c r="G451" t="inlineStr">
        <is>
          <t>no aplica (precio mayorista)</t>
        </is>
      </c>
      <c r="J451" t="inlineStr">
        <is>
          <t>2021-03-22</t>
        </is>
      </c>
      <c r="K451" t="inlineStr">
        <is>
          <t>MIBGAS_Data_2021.xlsx</t>
        </is>
      </c>
      <c r="L451" t="inlineStr">
        <is>
          <t>volumen 85210 MWh</t>
        </is>
      </c>
    </row>
    <row r="452">
      <c r="A452" s="53" t="n">
        <v>44278</v>
      </c>
      <c r="B452" t="inlineStr">
        <is>
          <t>2021-03-23</t>
        </is>
      </c>
      <c r="C452" s="45" t="n">
        <v>18.88</v>
      </c>
      <c r="D452" t="inlineStr">
        <is>
          <t>€/MWh</t>
        </is>
      </c>
      <c r="E452" s="54" t="n">
        <v>0.01888</v>
      </c>
      <c r="F452" s="54" t="n"/>
      <c r="G452" t="inlineStr">
        <is>
          <t>no aplica (precio mayorista)</t>
        </is>
      </c>
      <c r="J452" t="inlineStr">
        <is>
          <t>2021-03-23</t>
        </is>
      </c>
      <c r="K452" t="inlineStr">
        <is>
          <t>MIBGAS_Data_2021.xlsx</t>
        </is>
      </c>
      <c r="L452" t="inlineStr">
        <is>
          <t>volumen 125039 MWh</t>
        </is>
      </c>
    </row>
    <row r="453">
      <c r="A453" s="53" t="n">
        <v>44279</v>
      </c>
      <c r="B453" t="inlineStr">
        <is>
          <t>2021-03-24</t>
        </is>
      </c>
      <c r="C453" s="45" t="n">
        <v>18.51</v>
      </c>
      <c r="D453" t="inlineStr">
        <is>
          <t>€/MWh</t>
        </is>
      </c>
      <c r="E453" s="54" t="n">
        <v>0.01851</v>
      </c>
      <c r="F453" s="54" t="n"/>
      <c r="G453" t="inlineStr">
        <is>
          <t>no aplica (precio mayorista)</t>
        </is>
      </c>
      <c r="J453" t="inlineStr">
        <is>
          <t>2021-03-24</t>
        </is>
      </c>
      <c r="K453" t="inlineStr">
        <is>
          <t>MIBGAS_Data_2021.xlsx</t>
        </is>
      </c>
      <c r="L453" t="inlineStr">
        <is>
          <t>volumen 129243 MWh</t>
        </is>
      </c>
    </row>
    <row r="454">
      <c r="A454" s="53" t="n">
        <v>44280</v>
      </c>
      <c r="B454" t="inlineStr">
        <is>
          <t>2021-03-25</t>
        </is>
      </c>
      <c r="C454" s="45" t="n">
        <v>18.75</v>
      </c>
      <c r="D454" t="inlineStr">
        <is>
          <t>€/MWh</t>
        </is>
      </c>
      <c r="E454" s="54" t="n">
        <v>0.01875</v>
      </c>
      <c r="F454" s="54" t="n"/>
      <c r="G454" t="inlineStr">
        <is>
          <t>no aplica (precio mayorista)</t>
        </is>
      </c>
      <c r="J454" t="inlineStr">
        <is>
          <t>2021-03-25</t>
        </is>
      </c>
      <c r="K454" t="inlineStr">
        <is>
          <t>MIBGAS_Data_2021.xlsx</t>
        </is>
      </c>
      <c r="L454" t="inlineStr">
        <is>
          <t>volumen 100948 MWh</t>
        </is>
      </c>
    </row>
    <row r="455">
      <c r="A455" s="53" t="n">
        <v>44281</v>
      </c>
      <c r="B455" t="inlineStr">
        <is>
          <t>2021-03-26</t>
        </is>
      </c>
      <c r="C455" s="45" t="n">
        <v>18.52</v>
      </c>
      <c r="D455" t="inlineStr">
        <is>
          <t>€/MWh</t>
        </is>
      </c>
      <c r="E455" s="54" t="n">
        <v>0.01852</v>
      </c>
      <c r="F455" s="54" t="n"/>
      <c r="G455" t="inlineStr">
        <is>
          <t>no aplica (precio mayorista)</t>
        </is>
      </c>
      <c r="J455" t="inlineStr">
        <is>
          <t>2021-03-26</t>
        </is>
      </c>
      <c r="K455" t="inlineStr">
        <is>
          <t>MIBGAS_Data_2021.xlsx</t>
        </is>
      </c>
      <c r="L455" t="inlineStr">
        <is>
          <t>volumen 69564 MWh</t>
        </is>
      </c>
    </row>
    <row r="456">
      <c r="A456" s="53" t="n">
        <v>44282</v>
      </c>
      <c r="B456" t="inlineStr">
        <is>
          <t>2021-03-27</t>
        </is>
      </c>
      <c r="C456" s="45" t="n">
        <v>17.73</v>
      </c>
      <c r="D456" t="inlineStr">
        <is>
          <t>€/MWh</t>
        </is>
      </c>
      <c r="E456" s="54" t="n">
        <v>0.01773</v>
      </c>
      <c r="F456" s="54" t="n"/>
      <c r="G456" t="inlineStr">
        <is>
          <t>no aplica (precio mayorista)</t>
        </is>
      </c>
      <c r="J456" t="inlineStr">
        <is>
          <t>2021-03-27</t>
        </is>
      </c>
      <c r="K456" t="inlineStr">
        <is>
          <t>MIBGAS_Data_2021.xlsx</t>
        </is>
      </c>
      <c r="L456" t="inlineStr">
        <is>
          <t>volumen 67142 MWh</t>
        </is>
      </c>
    </row>
    <row r="457">
      <c r="A457" s="53" t="n">
        <v>44283</v>
      </c>
      <c r="B457" t="inlineStr">
        <is>
          <t>2021-03-28</t>
        </is>
      </c>
      <c r="C457" s="45" t="n">
        <v>17.73</v>
      </c>
      <c r="D457" t="inlineStr">
        <is>
          <t>€/MWh</t>
        </is>
      </c>
      <c r="E457" s="54" t="n">
        <v>0.01773</v>
      </c>
      <c r="F457" s="54" t="n"/>
      <c r="G457" t="inlineStr">
        <is>
          <t>no aplica (precio mayorista)</t>
        </is>
      </c>
      <c r="J457" t="inlineStr">
        <is>
          <t>2021-03-28</t>
        </is>
      </c>
      <c r="K457" t="inlineStr">
        <is>
          <t>MIBGAS_Data_2021.xlsx</t>
        </is>
      </c>
      <c r="L457" t="inlineStr">
        <is>
          <t>volumen 75643 MWh</t>
        </is>
      </c>
    </row>
    <row r="458">
      <c r="A458" s="53" t="n">
        <v>44284</v>
      </c>
      <c r="B458" t="inlineStr">
        <is>
          <t>2021-03-29</t>
        </is>
      </c>
      <c r="C458" s="45" t="n">
        <v>18.11</v>
      </c>
      <c r="D458" t="inlineStr">
        <is>
          <t>€/MWh</t>
        </is>
      </c>
      <c r="E458" s="54" t="n">
        <v>0.01811</v>
      </c>
      <c r="F458" s="54" t="n"/>
      <c r="G458" t="inlineStr">
        <is>
          <t>no aplica (precio mayorista)</t>
        </is>
      </c>
      <c r="J458" t="inlineStr">
        <is>
          <t>2021-03-29</t>
        </is>
      </c>
      <c r="K458" t="inlineStr">
        <is>
          <t>MIBGAS_Data_2021.xlsx</t>
        </is>
      </c>
      <c r="L458" t="inlineStr">
        <is>
          <t>volumen 73696 MWh</t>
        </is>
      </c>
    </row>
    <row r="459">
      <c r="A459" s="53" t="n">
        <v>44285</v>
      </c>
      <c r="B459" t="inlineStr">
        <is>
          <t>2021-03-30</t>
        </is>
      </c>
      <c r="C459" s="45" t="n">
        <v>18.04</v>
      </c>
      <c r="D459" t="inlineStr">
        <is>
          <t>€/MWh</t>
        </is>
      </c>
      <c r="E459" s="54" t="n">
        <v>0.01804</v>
      </c>
      <c r="F459" s="54" t="n"/>
      <c r="G459" t="inlineStr">
        <is>
          <t>no aplica (precio mayorista)</t>
        </is>
      </c>
      <c r="J459" t="inlineStr">
        <is>
          <t>2021-03-30</t>
        </is>
      </c>
      <c r="K459" t="inlineStr">
        <is>
          <t>MIBGAS_Data_2021.xlsx</t>
        </is>
      </c>
      <c r="L459" t="inlineStr">
        <is>
          <t>volumen 71910 MWh</t>
        </is>
      </c>
    </row>
    <row r="460">
      <c r="A460" s="53" t="n">
        <v>44286</v>
      </c>
      <c r="B460" t="inlineStr">
        <is>
          <t>2021-03-31</t>
        </is>
      </c>
      <c r="C460" s="45" t="n">
        <v>18.19</v>
      </c>
      <c r="D460" t="inlineStr">
        <is>
          <t>€/MWh</t>
        </is>
      </c>
      <c r="E460" s="54" t="n">
        <v>0.01819</v>
      </c>
      <c r="F460" s="54" t="n"/>
      <c r="G460" t="inlineStr">
        <is>
          <t>no aplica (precio mayorista)</t>
        </is>
      </c>
      <c r="J460" t="inlineStr">
        <is>
          <t>2021-03-31</t>
        </is>
      </c>
      <c r="K460" t="inlineStr">
        <is>
          <t>MIBGAS_Data_2021.xlsx</t>
        </is>
      </c>
      <c r="L460" t="inlineStr">
        <is>
          <t>volumen 77570 MWh</t>
        </is>
      </c>
    </row>
    <row r="461">
      <c r="A461" s="53" t="n">
        <v>44287</v>
      </c>
      <c r="B461" t="inlineStr">
        <is>
          <t>2021-04-01</t>
        </is>
      </c>
      <c r="C461" s="45" t="n">
        <v>18.52</v>
      </c>
      <c r="D461" t="inlineStr">
        <is>
          <t>€/MWh</t>
        </is>
      </c>
      <c r="E461" s="54" t="n">
        <v>0.01852</v>
      </c>
      <c r="F461" s="54" t="n"/>
      <c r="G461" t="inlineStr">
        <is>
          <t>no aplica (precio mayorista)</t>
        </is>
      </c>
      <c r="J461" t="inlineStr">
        <is>
          <t>2021-04-01</t>
        </is>
      </c>
      <c r="K461" t="inlineStr">
        <is>
          <t>MIBGAS_Data_2021.xlsx</t>
        </is>
      </c>
      <c r="L461" t="inlineStr">
        <is>
          <t>volumen 124934 MWh</t>
        </is>
      </c>
    </row>
    <row r="462">
      <c r="A462" s="53" t="n">
        <v>44288</v>
      </c>
      <c r="B462" t="inlineStr">
        <is>
          <t>2021-04-02</t>
        </is>
      </c>
      <c r="C462" s="45" t="n">
        <v>18.93</v>
      </c>
      <c r="D462" t="inlineStr">
        <is>
          <t>€/MWh</t>
        </is>
      </c>
      <c r="E462" s="54" t="n">
        <v>0.01893</v>
      </c>
      <c r="F462" s="54" t="n"/>
      <c r="G462" t="inlineStr">
        <is>
          <t>no aplica (precio mayorista)</t>
        </is>
      </c>
      <c r="J462" t="inlineStr">
        <is>
          <t>2021-04-02</t>
        </is>
      </c>
      <c r="K462" t="inlineStr">
        <is>
          <t>MIBGAS_Data_2021.xlsx</t>
        </is>
      </c>
      <c r="L462" t="inlineStr">
        <is>
          <t>volumen 94891 MWh</t>
        </is>
      </c>
    </row>
    <row r="463">
      <c r="A463" s="53" t="n">
        <v>44289</v>
      </c>
      <c r="B463" t="inlineStr">
        <is>
          <t>2021-04-03</t>
        </is>
      </c>
      <c r="C463" s="45" t="n">
        <v>18.92</v>
      </c>
      <c r="D463" t="inlineStr">
        <is>
          <t>€/MWh</t>
        </is>
      </c>
      <c r="E463" s="54" t="n">
        <v>0.01892</v>
      </c>
      <c r="F463" s="54" t="n"/>
      <c r="G463" t="inlineStr">
        <is>
          <t>no aplica (precio mayorista)</t>
        </is>
      </c>
      <c r="J463" t="inlineStr">
        <is>
          <t>2021-04-03</t>
        </is>
      </c>
      <c r="K463" t="inlineStr">
        <is>
          <t>MIBGAS_Data_2021.xlsx</t>
        </is>
      </c>
      <c r="L463" t="inlineStr">
        <is>
          <t>volumen 120291 MWh</t>
        </is>
      </c>
    </row>
    <row r="464">
      <c r="A464" s="53" t="n">
        <v>44290</v>
      </c>
      <c r="B464" t="inlineStr">
        <is>
          <t>2021-04-04</t>
        </is>
      </c>
      <c r="C464" s="45" t="n">
        <v>18.56</v>
      </c>
      <c r="D464" t="inlineStr">
        <is>
          <t>€/MWh</t>
        </is>
      </c>
      <c r="E464" s="54" t="n">
        <v>0.01856</v>
      </c>
      <c r="F464" s="54" t="n"/>
      <c r="G464" t="inlineStr">
        <is>
          <t>no aplica (precio mayorista)</t>
        </is>
      </c>
      <c r="J464" t="inlineStr">
        <is>
          <t>2021-04-04</t>
        </is>
      </c>
      <c r="K464" t="inlineStr">
        <is>
          <t>MIBGAS_Data_2021.xlsx</t>
        </is>
      </c>
      <c r="L464" t="inlineStr">
        <is>
          <t>volumen 104003 MWh</t>
        </is>
      </c>
    </row>
    <row r="465">
      <c r="A465" s="53" t="n">
        <v>44291</v>
      </c>
      <c r="B465" t="inlineStr">
        <is>
          <t>2021-04-05</t>
        </is>
      </c>
      <c r="C465" s="45" t="n">
        <v>18.9</v>
      </c>
      <c r="D465" t="inlineStr">
        <is>
          <t>€/MWh</t>
        </is>
      </c>
      <c r="E465" s="54" t="n">
        <v>0.0189</v>
      </c>
      <c r="F465" s="54" t="n"/>
      <c r="G465" t="inlineStr">
        <is>
          <t>no aplica (precio mayorista)</t>
        </is>
      </c>
      <c r="J465" t="inlineStr">
        <is>
          <t>2021-04-05</t>
        </is>
      </c>
      <c r="K465" t="inlineStr">
        <is>
          <t>MIBGAS_Data_2021.xlsx</t>
        </is>
      </c>
      <c r="L465" t="inlineStr">
        <is>
          <t>volumen 87349 MWh</t>
        </is>
      </c>
    </row>
    <row r="466">
      <c r="A466" s="53" t="n">
        <v>44292</v>
      </c>
      <c r="B466" t="inlineStr">
        <is>
          <t>2021-04-06</t>
        </is>
      </c>
      <c r="C466" s="45" t="n">
        <v>19.66</v>
      </c>
      <c r="D466" t="inlineStr">
        <is>
          <t>€/MWh</t>
        </is>
      </c>
      <c r="E466" s="54" t="n">
        <v>0.01966</v>
      </c>
      <c r="F466" s="54" t="n"/>
      <c r="G466" t="inlineStr">
        <is>
          <t>no aplica (precio mayorista)</t>
        </is>
      </c>
      <c r="J466" t="inlineStr">
        <is>
          <t>2021-04-06</t>
        </is>
      </c>
      <c r="K466" t="inlineStr">
        <is>
          <t>MIBGAS_Data_2021.xlsx</t>
        </is>
      </c>
      <c r="L466" t="inlineStr">
        <is>
          <t>volumen 82427 MWh</t>
        </is>
      </c>
    </row>
    <row r="467">
      <c r="A467" s="53" t="n">
        <v>44293</v>
      </c>
      <c r="B467" t="inlineStr">
        <is>
          <t>2021-04-07</t>
        </is>
      </c>
      <c r="C467" s="45" t="n">
        <v>20.63</v>
      </c>
      <c r="D467" t="inlineStr">
        <is>
          <t>€/MWh</t>
        </is>
      </c>
      <c r="E467" s="54" t="n">
        <v>0.02063</v>
      </c>
      <c r="F467" s="54" t="n"/>
      <c r="G467" t="inlineStr">
        <is>
          <t>no aplica (precio mayorista)</t>
        </is>
      </c>
      <c r="J467" t="inlineStr">
        <is>
          <t>2021-04-07</t>
        </is>
      </c>
      <c r="K467" t="inlineStr">
        <is>
          <t>MIBGAS_Data_2021.xlsx</t>
        </is>
      </c>
      <c r="L467" t="inlineStr">
        <is>
          <t>volumen 146813 MWh</t>
        </is>
      </c>
    </row>
    <row r="468">
      <c r="A468" s="53" t="n">
        <v>44294</v>
      </c>
      <c r="B468" t="inlineStr">
        <is>
          <t>2021-04-08</t>
        </is>
      </c>
      <c r="C468" s="45" t="n">
        <v>20.77</v>
      </c>
      <c r="D468" t="inlineStr">
        <is>
          <t>€/MWh</t>
        </is>
      </c>
      <c r="E468" s="54" t="n">
        <v>0.02077</v>
      </c>
      <c r="F468" s="54" t="n"/>
      <c r="G468" t="inlineStr">
        <is>
          <t>no aplica (precio mayorista)</t>
        </is>
      </c>
      <c r="J468" t="inlineStr">
        <is>
          <t>2021-04-08</t>
        </is>
      </c>
      <c r="K468" t="inlineStr">
        <is>
          <t>MIBGAS_Data_2021.xlsx</t>
        </is>
      </c>
      <c r="L468" t="inlineStr">
        <is>
          <t>volumen 139192 MWh</t>
        </is>
      </c>
    </row>
    <row r="469">
      <c r="A469" s="53" t="n">
        <v>44295</v>
      </c>
      <c r="B469" t="inlineStr">
        <is>
          <t>2021-04-09</t>
        </is>
      </c>
      <c r="C469" s="45" t="n">
        <v>20.45</v>
      </c>
      <c r="D469" t="inlineStr">
        <is>
          <t>€/MWh</t>
        </is>
      </c>
      <c r="E469" s="54" t="n">
        <v>0.02045</v>
      </c>
      <c r="F469" s="54" t="n"/>
      <c r="G469" t="inlineStr">
        <is>
          <t>no aplica (precio mayorista)</t>
        </is>
      </c>
      <c r="J469" t="inlineStr">
        <is>
          <t>2021-04-09</t>
        </is>
      </c>
      <c r="K469" t="inlineStr">
        <is>
          <t>MIBGAS_Data_2021.xlsx</t>
        </is>
      </c>
      <c r="L469" t="inlineStr">
        <is>
          <t>volumen 190033 MWh</t>
        </is>
      </c>
    </row>
    <row r="470">
      <c r="A470" s="53" t="n">
        <v>44296</v>
      </c>
      <c r="B470" t="inlineStr">
        <is>
          <t>2021-04-10</t>
        </is>
      </c>
      <c r="C470" s="45" t="n">
        <v>19.64</v>
      </c>
      <c r="D470" t="inlineStr">
        <is>
          <t>€/MWh</t>
        </is>
      </c>
      <c r="E470" s="54" t="n">
        <v>0.01964</v>
      </c>
      <c r="F470" s="54" t="n"/>
      <c r="G470" t="inlineStr">
        <is>
          <t>no aplica (precio mayorista)</t>
        </is>
      </c>
      <c r="J470" t="inlineStr">
        <is>
          <t>2021-04-10</t>
        </is>
      </c>
      <c r="K470" t="inlineStr">
        <is>
          <t>MIBGAS_Data_2021.xlsx</t>
        </is>
      </c>
      <c r="L470" t="inlineStr">
        <is>
          <t>volumen 141068 MWh</t>
        </is>
      </c>
    </row>
    <row r="471">
      <c r="A471" s="53" t="n">
        <v>44297</v>
      </c>
      <c r="B471" t="inlineStr">
        <is>
          <t>2021-04-11</t>
        </is>
      </c>
      <c r="C471" s="45" t="n">
        <v>19.48</v>
      </c>
      <c r="D471" t="inlineStr">
        <is>
          <t>€/MWh</t>
        </is>
      </c>
      <c r="E471" s="54" t="n">
        <v>0.01948</v>
      </c>
      <c r="F471" s="54" t="n"/>
      <c r="G471" t="inlineStr">
        <is>
          <t>no aplica (precio mayorista)</t>
        </is>
      </c>
      <c r="J471" t="inlineStr">
        <is>
          <t>2021-04-11</t>
        </is>
      </c>
      <c r="K471" t="inlineStr">
        <is>
          <t>MIBGAS_Data_2021.xlsx</t>
        </is>
      </c>
      <c r="L471" t="inlineStr">
        <is>
          <t>volumen 131713 MWh</t>
        </is>
      </c>
    </row>
    <row r="472">
      <c r="A472" s="53" t="n">
        <v>44298</v>
      </c>
      <c r="B472" t="inlineStr">
        <is>
          <t>2021-04-12</t>
        </is>
      </c>
      <c r="C472" s="45" t="n">
        <v>20.88</v>
      </c>
      <c r="D472" t="inlineStr">
        <is>
          <t>€/MWh</t>
        </is>
      </c>
      <c r="E472" s="54" t="n">
        <v>0.02088</v>
      </c>
      <c r="F472" s="54" t="n"/>
      <c r="G472" t="inlineStr">
        <is>
          <t>no aplica (precio mayorista)</t>
        </is>
      </c>
      <c r="J472" t="inlineStr">
        <is>
          <t>2021-04-12</t>
        </is>
      </c>
      <c r="K472" t="inlineStr">
        <is>
          <t>MIBGAS_Data_2021.xlsx</t>
        </is>
      </c>
      <c r="L472" t="inlineStr">
        <is>
          <t>volumen 147737 MWh</t>
        </is>
      </c>
    </row>
    <row r="473">
      <c r="A473" s="53" t="n">
        <v>44299</v>
      </c>
      <c r="B473" t="inlineStr">
        <is>
          <t>2021-04-13</t>
        </is>
      </c>
      <c r="C473" s="45" t="n">
        <v>21.16</v>
      </c>
      <c r="D473" t="inlineStr">
        <is>
          <t>€/MWh</t>
        </is>
      </c>
      <c r="E473" s="54" t="n">
        <v>0.02116</v>
      </c>
      <c r="F473" s="54" t="n"/>
      <c r="G473" t="inlineStr">
        <is>
          <t>no aplica (precio mayorista)</t>
        </is>
      </c>
      <c r="J473" t="inlineStr">
        <is>
          <t>2021-04-13</t>
        </is>
      </c>
      <c r="K473" t="inlineStr">
        <is>
          <t>MIBGAS_Data_2021.xlsx</t>
        </is>
      </c>
      <c r="L473" t="inlineStr">
        <is>
          <t>volumen 262250 MWh</t>
        </is>
      </c>
    </row>
    <row r="474">
      <c r="A474" s="53" t="n">
        <v>44300</v>
      </c>
      <c r="B474" t="inlineStr">
        <is>
          <t>2021-04-14</t>
        </is>
      </c>
      <c r="C474" s="45" t="n">
        <v>21.07</v>
      </c>
      <c r="D474" t="inlineStr">
        <is>
          <t>€/MWh</t>
        </is>
      </c>
      <c r="E474" s="54" t="n">
        <v>0.02107</v>
      </c>
      <c r="F474" s="54" t="n"/>
      <c r="G474" t="inlineStr">
        <is>
          <t>no aplica (precio mayorista)</t>
        </is>
      </c>
      <c r="J474" t="inlineStr">
        <is>
          <t>2021-04-14</t>
        </is>
      </c>
      <c r="K474" t="inlineStr">
        <is>
          <t>MIBGAS_Data_2021.xlsx</t>
        </is>
      </c>
      <c r="L474" t="inlineStr">
        <is>
          <t>volumen 235264 MWh</t>
        </is>
      </c>
    </row>
    <row r="475">
      <c r="A475" s="53" t="n">
        <v>44301</v>
      </c>
      <c r="B475" t="inlineStr">
        <is>
          <t>2021-04-15</t>
        </is>
      </c>
      <c r="C475" s="45" t="n">
        <v>21.18</v>
      </c>
      <c r="D475" t="inlineStr">
        <is>
          <t>€/MWh</t>
        </is>
      </c>
      <c r="E475" s="54" t="n">
        <v>0.02118</v>
      </c>
      <c r="F475" s="54" t="n"/>
      <c r="G475" t="inlineStr">
        <is>
          <t>no aplica (precio mayorista)</t>
        </is>
      </c>
      <c r="J475" t="inlineStr">
        <is>
          <t>2021-04-15</t>
        </is>
      </c>
      <c r="K475" t="inlineStr">
        <is>
          <t>MIBGAS_Data_2021.xlsx</t>
        </is>
      </c>
      <c r="L475" t="inlineStr">
        <is>
          <t>volumen 192962 MWh</t>
        </is>
      </c>
    </row>
    <row r="476">
      <c r="A476" s="53" t="n">
        <v>44302</v>
      </c>
      <c r="B476" t="inlineStr">
        <is>
          <t>2021-04-16</t>
        </is>
      </c>
      <c r="C476" s="45" t="n">
        <v>21.51</v>
      </c>
      <c r="D476" t="inlineStr">
        <is>
          <t>€/MWh</t>
        </is>
      </c>
      <c r="E476" s="54" t="n">
        <v>0.02151</v>
      </c>
      <c r="F476" s="54" t="n"/>
      <c r="G476" t="inlineStr">
        <is>
          <t>no aplica (precio mayorista)</t>
        </is>
      </c>
      <c r="J476" t="inlineStr">
        <is>
          <t>2021-04-16</t>
        </is>
      </c>
      <c r="K476" t="inlineStr">
        <is>
          <t>MIBGAS_Data_2021.xlsx</t>
        </is>
      </c>
      <c r="L476" t="inlineStr">
        <is>
          <t>volumen 156475 MWh</t>
        </is>
      </c>
    </row>
    <row r="477">
      <c r="A477" s="53" t="n">
        <v>44303</v>
      </c>
      <c r="B477" t="inlineStr">
        <is>
          <t>2021-04-17</t>
        </is>
      </c>
      <c r="C477" s="45" t="n">
        <v>21</v>
      </c>
      <c r="D477" t="inlineStr">
        <is>
          <t>€/MWh</t>
        </is>
      </c>
      <c r="E477" s="54" t="n">
        <v>0.021</v>
      </c>
      <c r="F477" s="54" t="n"/>
      <c r="G477" t="inlineStr">
        <is>
          <t>no aplica (precio mayorista)</t>
        </is>
      </c>
      <c r="J477" t="inlineStr">
        <is>
          <t>2021-04-17</t>
        </is>
      </c>
      <c r="K477" t="inlineStr">
        <is>
          <t>MIBGAS_Data_2021.xlsx</t>
        </is>
      </c>
      <c r="L477" t="inlineStr">
        <is>
          <t>volumen 112328 MWh</t>
        </is>
      </c>
    </row>
    <row r="478">
      <c r="A478" s="53" t="n">
        <v>44304</v>
      </c>
      <c r="B478" t="inlineStr">
        <is>
          <t>2021-04-18</t>
        </is>
      </c>
      <c r="C478" s="45" t="n">
        <v>21.38</v>
      </c>
      <c r="D478" t="inlineStr">
        <is>
          <t>€/MWh</t>
        </is>
      </c>
      <c r="E478" s="54" t="n">
        <v>0.02138</v>
      </c>
      <c r="F478" s="54" t="n"/>
      <c r="G478" t="inlineStr">
        <is>
          <t>no aplica (precio mayorista)</t>
        </is>
      </c>
      <c r="J478" t="inlineStr">
        <is>
          <t>2021-04-18</t>
        </is>
      </c>
      <c r="K478" t="inlineStr">
        <is>
          <t>MIBGAS_Data_2021.xlsx</t>
        </is>
      </c>
      <c r="L478" t="inlineStr">
        <is>
          <t>volumen 114795 MWh</t>
        </is>
      </c>
    </row>
    <row r="479">
      <c r="A479" s="53" t="n">
        <v>44305</v>
      </c>
      <c r="B479" t="inlineStr">
        <is>
          <t>2021-04-19</t>
        </is>
      </c>
      <c r="C479" s="45" t="n">
        <v>23.03</v>
      </c>
      <c r="D479" t="inlineStr">
        <is>
          <t>€/MWh</t>
        </is>
      </c>
      <c r="E479" s="54" t="n">
        <v>0.02303</v>
      </c>
      <c r="F479" s="54" t="n"/>
      <c r="G479" t="inlineStr">
        <is>
          <t>no aplica (precio mayorista)</t>
        </is>
      </c>
      <c r="J479" t="inlineStr">
        <is>
          <t>2021-04-19</t>
        </is>
      </c>
      <c r="K479" t="inlineStr">
        <is>
          <t>MIBGAS_Data_2021.xlsx</t>
        </is>
      </c>
      <c r="L479" t="inlineStr">
        <is>
          <t>volumen 238705 MWh</t>
        </is>
      </c>
    </row>
    <row r="480">
      <c r="A480" s="53" t="n">
        <v>44306</v>
      </c>
      <c r="B480" t="inlineStr">
        <is>
          <t>2021-04-20</t>
        </is>
      </c>
      <c r="C480" s="45" t="n">
        <v>22.62</v>
      </c>
      <c r="D480" t="inlineStr">
        <is>
          <t>€/MWh</t>
        </is>
      </c>
      <c r="E480" s="54" t="n">
        <v>0.02262</v>
      </c>
      <c r="F480" s="54" t="n"/>
      <c r="G480" t="inlineStr">
        <is>
          <t>no aplica (precio mayorista)</t>
        </is>
      </c>
      <c r="J480" t="inlineStr">
        <is>
          <t>2021-04-20</t>
        </is>
      </c>
      <c r="K480" t="inlineStr">
        <is>
          <t>MIBGAS_Data_2021.xlsx</t>
        </is>
      </c>
      <c r="L480" t="inlineStr">
        <is>
          <t>volumen 211670 MWh</t>
        </is>
      </c>
    </row>
    <row r="481">
      <c r="A481" s="53" t="n">
        <v>44307</v>
      </c>
      <c r="B481" t="inlineStr">
        <is>
          <t>2021-04-21</t>
        </is>
      </c>
      <c r="C481" s="45" t="n">
        <v>22.89</v>
      </c>
      <c r="D481" t="inlineStr">
        <is>
          <t>€/MWh</t>
        </is>
      </c>
      <c r="E481" s="54" t="n">
        <v>0.02289</v>
      </c>
      <c r="F481" s="54" t="n"/>
      <c r="G481" t="inlineStr">
        <is>
          <t>no aplica (precio mayorista)</t>
        </is>
      </c>
      <c r="J481" t="inlineStr">
        <is>
          <t>2021-04-21</t>
        </is>
      </c>
      <c r="K481" t="inlineStr">
        <is>
          <t>MIBGAS_Data_2021.xlsx</t>
        </is>
      </c>
      <c r="L481" t="inlineStr">
        <is>
          <t>volumen 181489 MWh</t>
        </is>
      </c>
    </row>
    <row r="482">
      <c r="A482" s="53" t="n">
        <v>44308</v>
      </c>
      <c r="B482" t="inlineStr">
        <is>
          <t>2021-04-22</t>
        </is>
      </c>
      <c r="C482" s="45" t="n">
        <v>22.39</v>
      </c>
      <c r="D482" t="inlineStr">
        <is>
          <t>€/MWh</t>
        </is>
      </c>
      <c r="E482" s="54" t="n">
        <v>0.02239</v>
      </c>
      <c r="F482" s="54" t="n"/>
      <c r="G482" t="inlineStr">
        <is>
          <t>no aplica (precio mayorista)</t>
        </is>
      </c>
      <c r="J482" t="inlineStr">
        <is>
          <t>2021-04-22</t>
        </is>
      </c>
      <c r="K482" t="inlineStr">
        <is>
          <t>MIBGAS_Data_2021.xlsx</t>
        </is>
      </c>
      <c r="L482" t="inlineStr">
        <is>
          <t>volumen 197926 MWh</t>
        </is>
      </c>
    </row>
    <row r="483">
      <c r="A483" s="53" t="n">
        <v>44309</v>
      </c>
      <c r="B483" t="inlineStr">
        <is>
          <t>2021-04-23</t>
        </is>
      </c>
      <c r="C483" s="45" t="n">
        <v>22.11</v>
      </c>
      <c r="D483" t="inlineStr">
        <is>
          <t>€/MWh</t>
        </is>
      </c>
      <c r="E483" s="54" t="n">
        <v>0.02211</v>
      </c>
      <c r="F483" s="54" t="n"/>
      <c r="G483" t="inlineStr">
        <is>
          <t>no aplica (precio mayorista)</t>
        </is>
      </c>
      <c r="J483" t="inlineStr">
        <is>
          <t>2021-04-23</t>
        </is>
      </c>
      <c r="K483" t="inlineStr">
        <is>
          <t>MIBGAS_Data_2021.xlsx</t>
        </is>
      </c>
      <c r="L483" t="inlineStr">
        <is>
          <t>volumen 131218 MWh</t>
        </is>
      </c>
    </row>
    <row r="484">
      <c r="A484" s="53" t="n">
        <v>44310</v>
      </c>
      <c r="B484" t="inlineStr">
        <is>
          <t>2021-04-24</t>
        </is>
      </c>
      <c r="C484" s="45" t="n">
        <v>20.8</v>
      </c>
      <c r="D484" t="inlineStr">
        <is>
          <t>€/MWh</t>
        </is>
      </c>
      <c r="E484" s="54" t="n">
        <v>0.0208</v>
      </c>
      <c r="F484" s="54" t="n"/>
      <c r="G484" t="inlineStr">
        <is>
          <t>no aplica (precio mayorista)</t>
        </is>
      </c>
      <c r="J484" t="inlineStr">
        <is>
          <t>2021-04-24</t>
        </is>
      </c>
      <c r="K484" t="inlineStr">
        <is>
          <t>MIBGAS_Data_2021.xlsx</t>
        </is>
      </c>
      <c r="L484" t="inlineStr">
        <is>
          <t>volumen 122951 MWh</t>
        </is>
      </c>
    </row>
    <row r="485">
      <c r="A485" s="53" t="n">
        <v>44311</v>
      </c>
      <c r="B485" t="inlineStr">
        <is>
          <t>2021-04-25</t>
        </is>
      </c>
      <c r="C485" s="45" t="n">
        <v>20.9</v>
      </c>
      <c r="D485" t="inlineStr">
        <is>
          <t>€/MWh</t>
        </is>
      </c>
      <c r="E485" s="54" t="n">
        <v>0.0209</v>
      </c>
      <c r="F485" s="54" t="n"/>
      <c r="G485" t="inlineStr">
        <is>
          <t>no aplica (precio mayorista)</t>
        </is>
      </c>
      <c r="J485" t="inlineStr">
        <is>
          <t>2021-04-25</t>
        </is>
      </c>
      <c r="K485" t="inlineStr">
        <is>
          <t>MIBGAS_Data_2021.xlsx</t>
        </is>
      </c>
      <c r="L485" t="inlineStr">
        <is>
          <t>volumen 149609 MWh</t>
        </is>
      </c>
    </row>
    <row r="486">
      <c r="A486" s="53" t="n">
        <v>44312</v>
      </c>
      <c r="B486" t="inlineStr">
        <is>
          <t>2021-04-26</t>
        </is>
      </c>
      <c r="C486" s="45" t="n">
        <v>22.14</v>
      </c>
      <c r="D486" t="inlineStr">
        <is>
          <t>€/MWh</t>
        </is>
      </c>
      <c r="E486" s="54" t="n">
        <v>0.02214</v>
      </c>
      <c r="F486" s="54" t="n"/>
      <c r="G486" t="inlineStr">
        <is>
          <t>no aplica (precio mayorista)</t>
        </is>
      </c>
      <c r="J486" t="inlineStr">
        <is>
          <t>2021-04-26</t>
        </is>
      </c>
      <c r="K486" t="inlineStr">
        <is>
          <t>MIBGAS_Data_2021.xlsx</t>
        </is>
      </c>
      <c r="L486" t="inlineStr">
        <is>
          <t>volumen 166105 MWh</t>
        </is>
      </c>
    </row>
    <row r="487">
      <c r="A487" s="53" t="n">
        <v>44313</v>
      </c>
      <c r="B487" t="inlineStr">
        <is>
          <t>2021-04-27</t>
        </is>
      </c>
      <c r="C487" s="45" t="n">
        <v>22.31</v>
      </c>
      <c r="D487" t="inlineStr">
        <is>
          <t>€/MWh</t>
        </is>
      </c>
      <c r="E487" s="54" t="n">
        <v>0.02231</v>
      </c>
      <c r="F487" s="54" t="n"/>
      <c r="G487" t="inlineStr">
        <is>
          <t>no aplica (precio mayorista)</t>
        </is>
      </c>
      <c r="J487" t="inlineStr">
        <is>
          <t>2021-04-27</t>
        </is>
      </c>
      <c r="K487" t="inlineStr">
        <is>
          <t>MIBGAS_Data_2021.xlsx</t>
        </is>
      </c>
      <c r="L487" t="inlineStr">
        <is>
          <t>volumen 166990 MWh</t>
        </is>
      </c>
    </row>
    <row r="488">
      <c r="A488" s="53" t="n">
        <v>44314</v>
      </c>
      <c r="B488" t="inlineStr">
        <is>
          <t>2021-04-28</t>
        </is>
      </c>
      <c r="C488" s="45" t="n">
        <v>22.72</v>
      </c>
      <c r="D488" t="inlineStr">
        <is>
          <t>€/MWh</t>
        </is>
      </c>
      <c r="E488" s="54" t="n">
        <v>0.02272</v>
      </c>
      <c r="F488" s="54" t="n"/>
      <c r="G488" t="inlineStr">
        <is>
          <t>no aplica (precio mayorista)</t>
        </is>
      </c>
      <c r="J488" t="inlineStr">
        <is>
          <t>2021-04-28</t>
        </is>
      </c>
      <c r="K488" t="inlineStr">
        <is>
          <t>MIBGAS_Data_2021.xlsx</t>
        </is>
      </c>
      <c r="L488" t="inlineStr">
        <is>
          <t>volumen 169035 MWh</t>
        </is>
      </c>
    </row>
    <row r="489">
      <c r="A489" s="53" t="n">
        <v>44315</v>
      </c>
      <c r="B489" t="inlineStr">
        <is>
          <t>2021-04-29</t>
        </is>
      </c>
      <c r="C489" s="45" t="n">
        <v>22.96</v>
      </c>
      <c r="D489" t="inlineStr">
        <is>
          <t>€/MWh</t>
        </is>
      </c>
      <c r="E489" s="54" t="n">
        <v>0.02296</v>
      </c>
      <c r="F489" s="54" t="n"/>
      <c r="G489" t="inlineStr">
        <is>
          <t>no aplica (precio mayorista)</t>
        </is>
      </c>
      <c r="J489" t="inlineStr">
        <is>
          <t>2021-04-29</t>
        </is>
      </c>
      <c r="K489" t="inlineStr">
        <is>
          <t>MIBGAS_Data_2021.xlsx</t>
        </is>
      </c>
      <c r="L489" t="inlineStr">
        <is>
          <t>volumen 136317 MWh</t>
        </is>
      </c>
    </row>
    <row r="490">
      <c r="A490" s="53" t="n">
        <v>44316</v>
      </c>
      <c r="B490" t="inlineStr">
        <is>
          <t>2021-04-30</t>
        </is>
      </c>
      <c r="C490" s="45" t="n">
        <v>23.58</v>
      </c>
      <c r="D490" t="inlineStr">
        <is>
          <t>€/MWh</t>
        </is>
      </c>
      <c r="E490" s="54" t="n">
        <v>0.02358</v>
      </c>
      <c r="F490" s="54" t="n"/>
      <c r="G490" t="inlineStr">
        <is>
          <t>no aplica (precio mayorista)</t>
        </is>
      </c>
      <c r="J490" t="inlineStr">
        <is>
          <t>2021-04-30</t>
        </is>
      </c>
      <c r="K490" t="inlineStr">
        <is>
          <t>MIBGAS_Data_2021.xlsx</t>
        </is>
      </c>
      <c r="L490" t="inlineStr">
        <is>
          <t>volumen 120963 MWh</t>
        </is>
      </c>
    </row>
    <row r="491">
      <c r="A491" s="53" t="n">
        <v>44317</v>
      </c>
      <c r="B491" t="inlineStr">
        <is>
          <t>2021-05-01</t>
        </is>
      </c>
      <c r="C491" s="45" t="n">
        <v>22.76</v>
      </c>
      <c r="D491" t="inlineStr">
        <is>
          <t>€/MWh</t>
        </is>
      </c>
      <c r="E491" s="54" t="n">
        <v>0.02276</v>
      </c>
      <c r="F491" s="54" t="n"/>
      <c r="G491" t="inlineStr">
        <is>
          <t>no aplica (precio mayorista)</t>
        </is>
      </c>
      <c r="J491" t="inlineStr">
        <is>
          <t>2021-05-01</t>
        </is>
      </c>
      <c r="K491" t="inlineStr">
        <is>
          <t>MIBGAS_Data_2021.xlsx</t>
        </is>
      </c>
      <c r="L491" t="inlineStr">
        <is>
          <t>volumen 107020 MWh</t>
        </is>
      </c>
    </row>
    <row r="492">
      <c r="A492" s="53" t="n">
        <v>44318</v>
      </c>
      <c r="B492" t="inlineStr">
        <is>
          <t>2021-05-02</t>
        </is>
      </c>
      <c r="C492" s="45" t="n">
        <v>23.61</v>
      </c>
      <c r="D492" t="inlineStr">
        <is>
          <t>€/MWh</t>
        </is>
      </c>
      <c r="E492" s="54" t="n">
        <v>0.02361</v>
      </c>
      <c r="F492" s="54" t="n"/>
      <c r="G492" t="inlineStr">
        <is>
          <t>no aplica (precio mayorista)</t>
        </is>
      </c>
      <c r="J492" t="inlineStr">
        <is>
          <t>2021-05-02</t>
        </is>
      </c>
      <c r="K492" t="inlineStr">
        <is>
          <t>MIBGAS_Data_2021.xlsx</t>
        </is>
      </c>
      <c r="L492" t="inlineStr">
        <is>
          <t>volumen 114246 MWh</t>
        </is>
      </c>
    </row>
    <row r="493">
      <c r="A493" s="53" t="n">
        <v>44319</v>
      </c>
      <c r="B493" t="inlineStr">
        <is>
          <t>2021-05-03</t>
        </is>
      </c>
      <c r="C493" s="45" t="n">
        <v>24.88</v>
      </c>
      <c r="D493" t="inlineStr">
        <is>
          <t>€/MWh</t>
        </is>
      </c>
      <c r="E493" s="54" t="n">
        <v>0.02488</v>
      </c>
      <c r="F493" s="54" t="n"/>
      <c r="G493" t="inlineStr">
        <is>
          <t>no aplica (precio mayorista)</t>
        </is>
      </c>
      <c r="J493" t="inlineStr">
        <is>
          <t>2021-05-03</t>
        </is>
      </c>
      <c r="K493" t="inlineStr">
        <is>
          <t>MIBGAS_Data_2021.xlsx</t>
        </is>
      </c>
      <c r="L493" t="inlineStr">
        <is>
          <t>volumen 127835 MWh</t>
        </is>
      </c>
    </row>
    <row r="494">
      <c r="A494" s="53" t="n">
        <v>44320</v>
      </c>
      <c r="B494" t="inlineStr">
        <is>
          <t>2021-05-04</t>
        </is>
      </c>
      <c r="C494" s="45" t="n">
        <v>26.35</v>
      </c>
      <c r="D494" t="inlineStr">
        <is>
          <t>€/MWh</t>
        </is>
      </c>
      <c r="E494" s="54" t="n">
        <v>0.02635</v>
      </c>
      <c r="F494" s="54" t="n"/>
      <c r="G494" t="inlineStr">
        <is>
          <t>no aplica (precio mayorista)</t>
        </is>
      </c>
      <c r="J494" t="inlineStr">
        <is>
          <t>2021-05-04</t>
        </is>
      </c>
      <c r="K494" t="inlineStr">
        <is>
          <t>MIBGAS_Data_2021.xlsx</t>
        </is>
      </c>
      <c r="L494" t="inlineStr">
        <is>
          <t>volumen 161771 MWh</t>
        </is>
      </c>
    </row>
    <row r="495">
      <c r="A495" s="53" t="n">
        <v>44321</v>
      </c>
      <c r="B495" t="inlineStr">
        <is>
          <t>2021-05-05</t>
        </is>
      </c>
      <c r="C495" s="45" t="n">
        <v>24.68</v>
      </c>
      <c r="D495" t="inlineStr">
        <is>
          <t>€/MWh</t>
        </is>
      </c>
      <c r="E495" s="54" t="n">
        <v>0.02468</v>
      </c>
      <c r="F495" s="54" t="n"/>
      <c r="G495" t="inlineStr">
        <is>
          <t>no aplica (precio mayorista)</t>
        </is>
      </c>
      <c r="J495" t="inlineStr">
        <is>
          <t>2021-05-05</t>
        </is>
      </c>
      <c r="K495" t="inlineStr">
        <is>
          <t>MIBGAS_Data_2021.xlsx</t>
        </is>
      </c>
      <c r="L495" t="inlineStr">
        <is>
          <t>volumen 114372 MWh</t>
        </is>
      </c>
    </row>
    <row r="496">
      <c r="A496" s="53" t="n">
        <v>44322</v>
      </c>
      <c r="B496" t="inlineStr">
        <is>
          <t>2021-05-06</t>
        </is>
      </c>
      <c r="C496" s="45" t="n">
        <v>24.56</v>
      </c>
      <c r="D496" t="inlineStr">
        <is>
          <t>€/MWh</t>
        </is>
      </c>
      <c r="E496" s="54" t="n">
        <v>0.02456</v>
      </c>
      <c r="F496" s="54" t="n"/>
      <c r="G496" t="inlineStr">
        <is>
          <t>no aplica (precio mayorista)</t>
        </is>
      </c>
      <c r="J496" t="inlineStr">
        <is>
          <t>2021-05-06</t>
        </is>
      </c>
      <c r="K496" t="inlineStr">
        <is>
          <t>MIBGAS_Data_2021.xlsx</t>
        </is>
      </c>
      <c r="L496" t="inlineStr">
        <is>
          <t>volumen 97965 MWh</t>
        </is>
      </c>
    </row>
    <row r="497">
      <c r="A497" s="53" t="n">
        <v>44323</v>
      </c>
      <c r="B497" t="inlineStr">
        <is>
          <t>2021-05-07</t>
        </is>
      </c>
      <c r="C497" s="45" t="n">
        <v>24.54</v>
      </c>
      <c r="D497" t="inlineStr">
        <is>
          <t>€/MWh</t>
        </is>
      </c>
      <c r="E497" s="54" t="n">
        <v>0.02454</v>
      </c>
      <c r="F497" s="54" t="n"/>
      <c r="G497" t="inlineStr">
        <is>
          <t>no aplica (precio mayorista)</t>
        </is>
      </c>
      <c r="J497" t="inlineStr">
        <is>
          <t>2021-05-07</t>
        </is>
      </c>
      <c r="K497" t="inlineStr">
        <is>
          <t>MIBGAS_Data_2021.xlsx</t>
        </is>
      </c>
      <c r="L497" t="inlineStr">
        <is>
          <t>volumen 113867 MWh</t>
        </is>
      </c>
    </row>
    <row r="498">
      <c r="A498" s="53" t="n">
        <v>44324</v>
      </c>
      <c r="B498" t="inlineStr">
        <is>
          <t>2021-05-08</t>
        </is>
      </c>
      <c r="C498" s="45" t="n">
        <v>23.75</v>
      </c>
      <c r="D498" t="inlineStr">
        <is>
          <t>€/MWh</t>
        </is>
      </c>
      <c r="E498" s="54" t="n">
        <v>0.02375</v>
      </c>
      <c r="F498" s="54" t="n"/>
      <c r="G498" t="inlineStr">
        <is>
          <t>no aplica (precio mayorista)</t>
        </is>
      </c>
      <c r="J498" t="inlineStr">
        <is>
          <t>2021-05-08</t>
        </is>
      </c>
      <c r="K498" t="inlineStr">
        <is>
          <t>MIBGAS_Data_2021.xlsx</t>
        </is>
      </c>
      <c r="L498" t="inlineStr">
        <is>
          <t>volumen 87344 MWh</t>
        </is>
      </c>
    </row>
    <row r="499">
      <c r="A499" s="53" t="n">
        <v>44325</v>
      </c>
      <c r="B499" t="inlineStr">
        <is>
          <t>2021-05-09</t>
        </is>
      </c>
      <c r="C499" s="45" t="n">
        <v>23.2</v>
      </c>
      <c r="D499" t="inlineStr">
        <is>
          <t>€/MWh</t>
        </is>
      </c>
      <c r="E499" s="54" t="n">
        <v>0.0232</v>
      </c>
      <c r="F499" s="54" t="n"/>
      <c r="G499" t="inlineStr">
        <is>
          <t>no aplica (precio mayorista)</t>
        </is>
      </c>
      <c r="J499" t="inlineStr">
        <is>
          <t>2021-05-09</t>
        </is>
      </c>
      <c r="K499" t="inlineStr">
        <is>
          <t>MIBGAS_Data_2021.xlsx</t>
        </is>
      </c>
      <c r="L499" t="inlineStr">
        <is>
          <t>volumen 127266 MWh</t>
        </is>
      </c>
    </row>
    <row r="500">
      <c r="A500" s="53" t="n">
        <v>44326</v>
      </c>
      <c r="B500" t="inlineStr">
        <is>
          <t>2021-05-10</t>
        </is>
      </c>
      <c r="C500" s="45" t="n">
        <v>23.32</v>
      </c>
      <c r="D500" t="inlineStr">
        <is>
          <t>€/MWh</t>
        </is>
      </c>
      <c r="E500" s="54" t="n">
        <v>0.02332</v>
      </c>
      <c r="F500" s="54" t="n"/>
      <c r="G500" t="inlineStr">
        <is>
          <t>no aplica (precio mayorista)</t>
        </is>
      </c>
      <c r="J500" t="inlineStr">
        <is>
          <t>2021-05-10</t>
        </is>
      </c>
      <c r="K500" t="inlineStr">
        <is>
          <t>MIBGAS_Data_2021.xlsx</t>
        </is>
      </c>
      <c r="L500" t="inlineStr">
        <is>
          <t>volumen 220297 MWh</t>
        </is>
      </c>
    </row>
    <row r="501">
      <c r="A501" s="53" t="n">
        <v>44327</v>
      </c>
      <c r="B501" t="inlineStr">
        <is>
          <t>2021-05-11</t>
        </is>
      </c>
      <c r="C501" s="45" t="n">
        <v>24.75</v>
      </c>
      <c r="D501" t="inlineStr">
        <is>
          <t>€/MWh</t>
        </is>
      </c>
      <c r="E501" s="54" t="n">
        <v>0.02475</v>
      </c>
      <c r="F501" s="54" t="n"/>
      <c r="G501" t="inlineStr">
        <is>
          <t>no aplica (precio mayorista)</t>
        </is>
      </c>
      <c r="J501" t="inlineStr">
        <is>
          <t>2021-05-11</t>
        </is>
      </c>
      <c r="K501" t="inlineStr">
        <is>
          <t>MIBGAS_Data_2021.xlsx</t>
        </is>
      </c>
      <c r="L501" t="inlineStr">
        <is>
          <t>volumen 85697 MWh</t>
        </is>
      </c>
    </row>
    <row r="502">
      <c r="A502" s="53" t="n">
        <v>44328</v>
      </c>
      <c r="B502" t="inlineStr">
        <is>
          <t>2021-05-12</t>
        </is>
      </c>
      <c r="C502" s="45" t="n">
        <v>25.23</v>
      </c>
      <c r="D502" t="inlineStr">
        <is>
          <t>€/MWh</t>
        </is>
      </c>
      <c r="E502" s="54" t="n">
        <v>0.02523</v>
      </c>
      <c r="F502" s="54" t="n"/>
      <c r="G502" t="inlineStr">
        <is>
          <t>no aplica (precio mayorista)</t>
        </is>
      </c>
      <c r="J502" t="inlineStr">
        <is>
          <t>2021-05-12</t>
        </is>
      </c>
      <c r="K502" t="inlineStr">
        <is>
          <t>MIBGAS_Data_2021.xlsx</t>
        </is>
      </c>
      <c r="L502" t="inlineStr">
        <is>
          <t>volumen 120637 MWh</t>
        </is>
      </c>
    </row>
    <row r="503">
      <c r="A503" s="53" t="n">
        <v>44329</v>
      </c>
      <c r="B503" t="inlineStr">
        <is>
          <t>2021-05-13</t>
        </is>
      </c>
      <c r="C503" s="45" t="n">
        <v>25</v>
      </c>
      <c r="D503" t="inlineStr">
        <is>
          <t>€/MWh</t>
        </is>
      </c>
      <c r="E503" s="54" t="n">
        <v>0.025</v>
      </c>
      <c r="F503" s="54" t="n"/>
      <c r="G503" t="inlineStr">
        <is>
          <t>no aplica (precio mayorista)</t>
        </is>
      </c>
      <c r="J503" t="inlineStr">
        <is>
          <t>2021-05-13</t>
        </is>
      </c>
      <c r="K503" t="inlineStr">
        <is>
          <t>MIBGAS_Data_2021.xlsx</t>
        </is>
      </c>
      <c r="L503" t="inlineStr">
        <is>
          <t>volumen 113280 MWh</t>
        </is>
      </c>
    </row>
    <row r="504">
      <c r="A504" s="53" t="n">
        <v>44330</v>
      </c>
      <c r="B504" t="inlineStr">
        <is>
          <t>2021-05-14</t>
        </is>
      </c>
      <c r="C504" s="45" t="n">
        <v>25.06</v>
      </c>
      <c r="D504" t="inlineStr">
        <is>
          <t>€/MWh</t>
        </is>
      </c>
      <c r="E504" s="54" t="n">
        <v>0.02506</v>
      </c>
      <c r="F504" s="54" t="n"/>
      <c r="G504" t="inlineStr">
        <is>
          <t>no aplica (precio mayorista)</t>
        </is>
      </c>
      <c r="J504" t="inlineStr">
        <is>
          <t>2021-05-14</t>
        </is>
      </c>
      <c r="K504" t="inlineStr">
        <is>
          <t>MIBGAS_Data_2021.xlsx</t>
        </is>
      </c>
      <c r="L504" t="inlineStr">
        <is>
          <t>volumen 128192 MWh</t>
        </is>
      </c>
    </row>
    <row r="505">
      <c r="A505" s="53" t="n">
        <v>44331</v>
      </c>
      <c r="B505" t="inlineStr">
        <is>
          <t>2021-05-15</t>
        </is>
      </c>
      <c r="C505" s="45" t="n">
        <v>24.88</v>
      </c>
      <c r="D505" t="inlineStr">
        <is>
          <t>€/MWh</t>
        </is>
      </c>
      <c r="E505" s="54" t="n">
        <v>0.02488</v>
      </c>
      <c r="F505" s="54" t="n"/>
      <c r="G505" t="inlineStr">
        <is>
          <t>no aplica (precio mayorista)</t>
        </is>
      </c>
      <c r="J505" t="inlineStr">
        <is>
          <t>2021-05-15</t>
        </is>
      </c>
      <c r="K505" t="inlineStr">
        <is>
          <t>MIBGAS_Data_2021.xlsx</t>
        </is>
      </c>
      <c r="L505" t="inlineStr">
        <is>
          <t>volumen 111667 MWh</t>
        </is>
      </c>
    </row>
    <row r="506">
      <c r="A506" s="53" t="n">
        <v>44332</v>
      </c>
      <c r="B506" t="inlineStr">
        <is>
          <t>2021-05-16</t>
        </is>
      </c>
      <c r="C506" s="45" t="n">
        <v>24.97</v>
      </c>
      <c r="D506" t="inlineStr">
        <is>
          <t>€/MWh</t>
        </is>
      </c>
      <c r="E506" s="54" t="n">
        <v>0.02497</v>
      </c>
      <c r="F506" s="54" t="n"/>
      <c r="G506" t="inlineStr">
        <is>
          <t>no aplica (precio mayorista)</t>
        </is>
      </c>
      <c r="J506" t="inlineStr">
        <is>
          <t>2021-05-16</t>
        </is>
      </c>
      <c r="K506" t="inlineStr">
        <is>
          <t>MIBGAS_Data_2021.xlsx</t>
        </is>
      </c>
      <c r="L506" t="inlineStr">
        <is>
          <t>volumen 110212 MWh</t>
        </is>
      </c>
    </row>
    <row r="507">
      <c r="A507" s="53" t="n">
        <v>44333</v>
      </c>
      <c r="B507" t="inlineStr">
        <is>
          <t>2021-05-17</t>
        </is>
      </c>
      <c r="C507" s="45" t="n">
        <v>25.83</v>
      </c>
      <c r="D507" t="inlineStr">
        <is>
          <t>€/MWh</t>
        </is>
      </c>
      <c r="E507" s="54" t="n">
        <v>0.02583</v>
      </c>
      <c r="F507" s="54" t="n"/>
      <c r="G507" t="inlineStr">
        <is>
          <t>no aplica (precio mayorista)</t>
        </is>
      </c>
      <c r="J507" t="inlineStr">
        <is>
          <t>2021-05-17</t>
        </is>
      </c>
      <c r="K507" t="inlineStr">
        <is>
          <t>MIBGAS_Data_2021.xlsx</t>
        </is>
      </c>
      <c r="L507" t="inlineStr">
        <is>
          <t>volumen 89620 MWh</t>
        </is>
      </c>
    </row>
    <row r="508">
      <c r="A508" s="53" t="n">
        <v>44334</v>
      </c>
      <c r="B508" t="inlineStr">
        <is>
          <t>2021-05-18</t>
        </is>
      </c>
      <c r="C508" s="45" t="n">
        <v>25.39</v>
      </c>
      <c r="D508" t="inlineStr">
        <is>
          <t>€/MWh</t>
        </is>
      </c>
      <c r="E508" s="54" t="n">
        <v>0.02539</v>
      </c>
      <c r="F508" s="54" t="n"/>
      <c r="G508" t="inlineStr">
        <is>
          <t>no aplica (precio mayorista)</t>
        </is>
      </c>
      <c r="J508" t="inlineStr">
        <is>
          <t>2021-05-18</t>
        </is>
      </c>
      <c r="K508" t="inlineStr">
        <is>
          <t>MIBGAS_Data_2021.xlsx</t>
        </is>
      </c>
      <c r="L508" t="inlineStr">
        <is>
          <t>volumen 94493 MWh</t>
        </is>
      </c>
    </row>
    <row r="509">
      <c r="A509" s="53" t="n">
        <v>44335</v>
      </c>
      <c r="B509" t="inlineStr">
        <is>
          <t>2021-05-19</t>
        </is>
      </c>
      <c r="C509" s="45" t="n">
        <v>24.33</v>
      </c>
      <c r="D509" t="inlineStr">
        <is>
          <t>€/MWh</t>
        </is>
      </c>
      <c r="E509" s="54" t="n">
        <v>0.02433</v>
      </c>
      <c r="F509" s="54" t="n"/>
      <c r="G509" t="inlineStr">
        <is>
          <t>no aplica (precio mayorista)</t>
        </is>
      </c>
      <c r="J509" t="inlineStr">
        <is>
          <t>2021-05-19</t>
        </is>
      </c>
      <c r="K509" t="inlineStr">
        <is>
          <t>MIBGAS_Data_2021.xlsx</t>
        </is>
      </c>
      <c r="L509" t="inlineStr">
        <is>
          <t>volumen 106906 MWh</t>
        </is>
      </c>
    </row>
    <row r="510">
      <c r="A510" s="53" t="n">
        <v>44336</v>
      </c>
      <c r="B510" t="inlineStr">
        <is>
          <t>2021-05-20</t>
        </is>
      </c>
      <c r="C510" s="45" t="n">
        <v>23.45</v>
      </c>
      <c r="D510" t="inlineStr">
        <is>
          <t>€/MWh</t>
        </is>
      </c>
      <c r="E510" s="54" t="n">
        <v>0.02345</v>
      </c>
      <c r="F510" s="54" t="n"/>
      <c r="G510" t="inlineStr">
        <is>
          <t>no aplica (precio mayorista)</t>
        </is>
      </c>
      <c r="J510" t="inlineStr">
        <is>
          <t>2021-05-20</t>
        </is>
      </c>
      <c r="K510" t="inlineStr">
        <is>
          <t>MIBGAS_Data_2021.xlsx</t>
        </is>
      </c>
      <c r="L510" t="inlineStr">
        <is>
          <t>volumen 120077 MWh</t>
        </is>
      </c>
    </row>
    <row r="511">
      <c r="A511" s="53" t="n">
        <v>44337</v>
      </c>
      <c r="B511" t="inlineStr">
        <is>
          <t>2021-05-21</t>
        </is>
      </c>
      <c r="C511" s="45" t="n">
        <v>23.66</v>
      </c>
      <c r="D511" t="inlineStr">
        <is>
          <t>€/MWh</t>
        </is>
      </c>
      <c r="E511" s="54" t="n">
        <v>0.02366</v>
      </c>
      <c r="F511" s="54" t="n"/>
      <c r="G511" t="inlineStr">
        <is>
          <t>no aplica (precio mayorista)</t>
        </is>
      </c>
      <c r="J511" t="inlineStr">
        <is>
          <t>2021-05-21</t>
        </is>
      </c>
      <c r="K511" t="inlineStr">
        <is>
          <t>MIBGAS_Data_2021.xlsx</t>
        </is>
      </c>
      <c r="L511" t="inlineStr">
        <is>
          <t>volumen 114836 MWh</t>
        </is>
      </c>
    </row>
    <row r="512">
      <c r="A512" s="53" t="n">
        <v>44338</v>
      </c>
      <c r="B512" t="inlineStr">
        <is>
          <t>2021-05-22</t>
        </is>
      </c>
      <c r="C512" s="45" t="n">
        <v>23.81</v>
      </c>
      <c r="D512" t="inlineStr">
        <is>
          <t>€/MWh</t>
        </is>
      </c>
      <c r="E512" s="54" t="n">
        <v>0.02381</v>
      </c>
      <c r="F512" s="54" t="n"/>
      <c r="G512" t="inlineStr">
        <is>
          <t>no aplica (precio mayorista)</t>
        </is>
      </c>
      <c r="J512" t="inlineStr">
        <is>
          <t>2021-05-22</t>
        </is>
      </c>
      <c r="K512" t="inlineStr">
        <is>
          <t>MIBGAS_Data_2021.xlsx</t>
        </is>
      </c>
      <c r="L512" t="inlineStr">
        <is>
          <t>volumen 97128 MWh</t>
        </is>
      </c>
    </row>
    <row r="513">
      <c r="A513" s="53" t="n">
        <v>44339</v>
      </c>
      <c r="B513" t="inlineStr">
        <is>
          <t>2021-05-23</t>
        </is>
      </c>
      <c r="C513" s="45" t="n">
        <v>23.97</v>
      </c>
      <c r="D513" t="inlineStr">
        <is>
          <t>€/MWh</t>
        </is>
      </c>
      <c r="E513" s="54" t="n">
        <v>0.02397</v>
      </c>
      <c r="F513" s="54" t="n"/>
      <c r="G513" t="inlineStr">
        <is>
          <t>no aplica (precio mayorista)</t>
        </is>
      </c>
      <c r="J513" t="inlineStr">
        <is>
          <t>2021-05-23</t>
        </is>
      </c>
      <c r="K513" t="inlineStr">
        <is>
          <t>MIBGAS_Data_2021.xlsx</t>
        </is>
      </c>
      <c r="L513" t="inlineStr">
        <is>
          <t>volumen 102468 MWh</t>
        </is>
      </c>
    </row>
    <row r="514">
      <c r="A514" s="53" t="n">
        <v>44340</v>
      </c>
      <c r="B514" t="inlineStr">
        <is>
          <t>2021-05-24</t>
        </is>
      </c>
      <c r="C514" s="45" t="n">
        <v>23.76</v>
      </c>
      <c r="D514" t="inlineStr">
        <is>
          <t>€/MWh</t>
        </is>
      </c>
      <c r="E514" s="54" t="n">
        <v>0.02376</v>
      </c>
      <c r="F514" s="54" t="n"/>
      <c r="G514" t="inlineStr">
        <is>
          <t>no aplica (precio mayorista)</t>
        </is>
      </c>
      <c r="J514" t="inlineStr">
        <is>
          <t>2021-05-24</t>
        </is>
      </c>
      <c r="K514" t="inlineStr">
        <is>
          <t>MIBGAS_Data_2021.xlsx</t>
        </is>
      </c>
      <c r="L514" t="inlineStr">
        <is>
          <t>volumen 109162 MWh</t>
        </is>
      </c>
    </row>
    <row r="515">
      <c r="A515" s="53" t="n">
        <v>44341</v>
      </c>
      <c r="B515" t="inlineStr">
        <is>
          <t>2021-05-25</t>
        </is>
      </c>
      <c r="C515" s="45" t="n">
        <v>25.06</v>
      </c>
      <c r="D515" t="inlineStr">
        <is>
          <t>€/MWh</t>
        </is>
      </c>
      <c r="E515" s="54" t="n">
        <v>0.02506</v>
      </c>
      <c r="F515" s="54" t="n"/>
      <c r="G515" t="inlineStr">
        <is>
          <t>no aplica (precio mayorista)</t>
        </is>
      </c>
      <c r="J515" t="inlineStr">
        <is>
          <t>2021-05-25</t>
        </is>
      </c>
      <c r="K515" t="inlineStr">
        <is>
          <t>MIBGAS_Data_2021.xlsx</t>
        </is>
      </c>
      <c r="L515" t="inlineStr">
        <is>
          <t>volumen 66887 MWh</t>
        </is>
      </c>
    </row>
    <row r="516">
      <c r="A516" s="53" t="n">
        <v>44342</v>
      </c>
      <c r="B516" t="inlineStr">
        <is>
          <t>2021-05-26</t>
        </is>
      </c>
      <c r="C516" s="45" t="n">
        <v>26.11</v>
      </c>
      <c r="D516" t="inlineStr">
        <is>
          <t>€/MWh</t>
        </is>
      </c>
      <c r="E516" s="54" t="n">
        <v>0.02611</v>
      </c>
      <c r="F516" s="54" t="n"/>
      <c r="G516" t="inlineStr">
        <is>
          <t>no aplica (precio mayorista)</t>
        </is>
      </c>
      <c r="J516" t="inlineStr">
        <is>
          <t>2021-05-26</t>
        </is>
      </c>
      <c r="K516" t="inlineStr">
        <is>
          <t>MIBGAS_Data_2021.xlsx</t>
        </is>
      </c>
      <c r="L516" t="inlineStr">
        <is>
          <t>volumen 93980 MWh</t>
        </is>
      </c>
    </row>
    <row r="517">
      <c r="A517" s="53" t="n">
        <v>44343</v>
      </c>
      <c r="B517" t="inlineStr">
        <is>
          <t>2021-05-27</t>
        </is>
      </c>
      <c r="C517" s="45" t="n">
        <v>26.46</v>
      </c>
      <c r="D517" t="inlineStr">
        <is>
          <t>€/MWh</t>
        </is>
      </c>
      <c r="E517" s="54" t="n">
        <v>0.02646</v>
      </c>
      <c r="F517" s="54" t="n"/>
      <c r="G517" t="inlineStr">
        <is>
          <t>no aplica (precio mayorista)</t>
        </is>
      </c>
      <c r="J517" t="inlineStr">
        <is>
          <t>2021-05-27</t>
        </is>
      </c>
      <c r="K517" t="inlineStr">
        <is>
          <t>MIBGAS_Data_2021.xlsx</t>
        </is>
      </c>
      <c r="L517" t="inlineStr">
        <is>
          <t>volumen 124712 MWh</t>
        </is>
      </c>
    </row>
    <row r="518">
      <c r="A518" s="53" t="n">
        <v>44344</v>
      </c>
      <c r="B518" t="inlineStr">
        <is>
          <t>2021-05-28</t>
        </is>
      </c>
      <c r="C518" s="45" t="n">
        <v>26.42</v>
      </c>
      <c r="D518" t="inlineStr">
        <is>
          <t>€/MWh</t>
        </is>
      </c>
      <c r="E518" s="54" t="n">
        <v>0.02642</v>
      </c>
      <c r="F518" s="54" t="n"/>
      <c r="G518" t="inlineStr">
        <is>
          <t>no aplica (precio mayorista)</t>
        </is>
      </c>
      <c r="J518" t="inlineStr">
        <is>
          <t>2021-05-28</t>
        </is>
      </c>
      <c r="K518" t="inlineStr">
        <is>
          <t>MIBGAS_Data_2021.xlsx</t>
        </is>
      </c>
      <c r="L518" t="inlineStr">
        <is>
          <t>volumen 122483 MWh</t>
        </is>
      </c>
    </row>
    <row r="519">
      <c r="A519" s="53" t="n">
        <v>44345</v>
      </c>
      <c r="B519" t="inlineStr">
        <is>
          <t>2021-05-29</t>
        </is>
      </c>
      <c r="C519" s="45" t="n">
        <v>24.87</v>
      </c>
      <c r="D519" t="inlineStr">
        <is>
          <t>€/MWh</t>
        </is>
      </c>
      <c r="E519" s="54" t="n">
        <v>0.02487</v>
      </c>
      <c r="F519" s="54" t="n"/>
      <c r="G519" t="inlineStr">
        <is>
          <t>no aplica (precio mayorista)</t>
        </is>
      </c>
      <c r="J519" t="inlineStr">
        <is>
          <t>2021-05-29</t>
        </is>
      </c>
      <c r="K519" t="inlineStr">
        <is>
          <t>MIBGAS_Data_2021.xlsx</t>
        </is>
      </c>
      <c r="L519" t="inlineStr">
        <is>
          <t>volumen 96954 MWh</t>
        </is>
      </c>
    </row>
    <row r="520">
      <c r="A520" s="53" t="n">
        <v>44346</v>
      </c>
      <c r="B520" t="inlineStr">
        <is>
          <t>2021-05-30</t>
        </is>
      </c>
      <c r="C520" s="45" t="n">
        <v>24.59</v>
      </c>
      <c r="D520" t="inlineStr">
        <is>
          <t>€/MWh</t>
        </is>
      </c>
      <c r="E520" s="54" t="n">
        <v>0.02459</v>
      </c>
      <c r="F520" s="54" t="n"/>
      <c r="G520" t="inlineStr">
        <is>
          <t>no aplica (precio mayorista)</t>
        </is>
      </c>
      <c r="J520" t="inlineStr">
        <is>
          <t>2021-05-30</t>
        </is>
      </c>
      <c r="K520" t="inlineStr">
        <is>
          <t>MIBGAS_Data_2021.xlsx</t>
        </is>
      </c>
      <c r="L520" t="inlineStr">
        <is>
          <t>volumen 112960 MWh</t>
        </is>
      </c>
    </row>
    <row r="521">
      <c r="A521" s="53" t="n">
        <v>44347</v>
      </c>
      <c r="B521" t="inlineStr">
        <is>
          <t>2021-05-31</t>
        </is>
      </c>
      <c r="C521" s="45" t="n">
        <v>26.37</v>
      </c>
      <c r="D521" t="inlineStr">
        <is>
          <t>€/MWh</t>
        </is>
      </c>
      <c r="E521" s="54" t="n">
        <v>0.02637</v>
      </c>
      <c r="F521" s="54" t="n"/>
      <c r="G521" t="inlineStr">
        <is>
          <t>no aplica (precio mayorista)</t>
        </is>
      </c>
      <c r="J521" t="inlineStr">
        <is>
          <t>2021-05-31</t>
        </is>
      </c>
      <c r="K521" t="inlineStr">
        <is>
          <t>MIBGAS_Data_2021.xlsx</t>
        </is>
      </c>
      <c r="L521" t="inlineStr">
        <is>
          <t>volumen 195208 MWh</t>
        </is>
      </c>
    </row>
    <row r="522">
      <c r="A522" s="53" t="n">
        <v>44348</v>
      </c>
      <c r="B522" t="inlineStr">
        <is>
          <t>2021-06-01</t>
        </is>
      </c>
      <c r="C522" s="45" t="n">
        <v>25.73</v>
      </c>
      <c r="D522" t="inlineStr">
        <is>
          <t>€/MWh</t>
        </is>
      </c>
      <c r="E522" s="54" t="n">
        <v>0.02573</v>
      </c>
      <c r="F522" s="54" t="n"/>
      <c r="G522" t="inlineStr">
        <is>
          <t>no aplica (precio mayorista)</t>
        </is>
      </c>
      <c r="J522" t="inlineStr">
        <is>
          <t>2021-06-01</t>
        </is>
      </c>
      <c r="K522" t="inlineStr">
        <is>
          <t>MIBGAS_Data_2021.xlsx</t>
        </is>
      </c>
      <c r="L522" t="inlineStr">
        <is>
          <t>volumen 143541 MWh</t>
        </is>
      </c>
    </row>
    <row r="523">
      <c r="A523" s="53" t="n">
        <v>44349</v>
      </c>
      <c r="B523" t="inlineStr">
        <is>
          <t>2021-06-02</t>
        </is>
      </c>
      <c r="C523" s="45" t="n">
        <v>26.3</v>
      </c>
      <c r="D523" t="inlineStr">
        <is>
          <t>€/MWh</t>
        </is>
      </c>
      <c r="E523" s="54" t="n">
        <v>0.0263</v>
      </c>
      <c r="F523" s="54" t="n"/>
      <c r="G523" t="inlineStr">
        <is>
          <t>no aplica (precio mayorista)</t>
        </is>
      </c>
      <c r="J523" t="inlineStr">
        <is>
          <t>2021-06-02</t>
        </is>
      </c>
      <c r="K523" t="inlineStr">
        <is>
          <t>MIBGAS_Data_2021.xlsx</t>
        </is>
      </c>
      <c r="L523" t="inlineStr">
        <is>
          <t>volumen 109974 MWh</t>
        </is>
      </c>
    </row>
    <row r="524">
      <c r="A524" s="53" t="n">
        <v>44350</v>
      </c>
      <c r="B524" t="inlineStr">
        <is>
          <t>2021-06-03</t>
        </is>
      </c>
      <c r="C524" s="45" t="n">
        <v>25.64</v>
      </c>
      <c r="D524" t="inlineStr">
        <is>
          <t>€/MWh</t>
        </is>
      </c>
      <c r="E524" s="54" t="n">
        <v>0.02564</v>
      </c>
      <c r="F524" s="54" t="n"/>
      <c r="G524" t="inlineStr">
        <is>
          <t>no aplica (precio mayorista)</t>
        </is>
      </c>
      <c r="J524" t="inlineStr">
        <is>
          <t>2021-06-03</t>
        </is>
      </c>
      <c r="K524" t="inlineStr">
        <is>
          <t>MIBGAS_Data_2021.xlsx</t>
        </is>
      </c>
      <c r="L524" t="inlineStr">
        <is>
          <t>volumen 86661 MWh</t>
        </is>
      </c>
    </row>
    <row r="525">
      <c r="A525" s="53" t="n">
        <v>44351</v>
      </c>
      <c r="B525" t="inlineStr">
        <is>
          <t>2021-06-04</t>
        </is>
      </c>
      <c r="C525" s="45" t="n">
        <v>25.2</v>
      </c>
      <c r="D525" t="inlineStr">
        <is>
          <t>€/MWh</t>
        </is>
      </c>
      <c r="E525" s="54" t="n">
        <v>0.0252</v>
      </c>
      <c r="F525" s="54" t="n"/>
      <c r="G525" t="inlineStr">
        <is>
          <t>no aplica (precio mayorista)</t>
        </is>
      </c>
      <c r="J525" t="inlineStr">
        <is>
          <t>2021-06-04</t>
        </is>
      </c>
      <c r="K525" t="inlineStr">
        <is>
          <t>MIBGAS_Data_2021.xlsx</t>
        </is>
      </c>
      <c r="L525" t="inlineStr">
        <is>
          <t>volumen 84583 MWh</t>
        </is>
      </c>
    </row>
    <row r="526">
      <c r="A526" s="53" t="n">
        <v>44352</v>
      </c>
      <c r="B526" t="inlineStr">
        <is>
          <t>2021-06-05</t>
        </is>
      </c>
      <c r="C526" s="45" t="n">
        <v>25.18</v>
      </c>
      <c r="D526" t="inlineStr">
        <is>
          <t>€/MWh</t>
        </is>
      </c>
      <c r="E526" s="54" t="n">
        <v>0.02518</v>
      </c>
      <c r="F526" s="54" t="n"/>
      <c r="G526" t="inlineStr">
        <is>
          <t>no aplica (precio mayorista)</t>
        </is>
      </c>
      <c r="J526" t="inlineStr">
        <is>
          <t>2021-06-05</t>
        </is>
      </c>
      <c r="K526" t="inlineStr">
        <is>
          <t>MIBGAS_Data_2021.xlsx</t>
        </is>
      </c>
      <c r="L526" t="inlineStr">
        <is>
          <t>volumen 78962 MWh</t>
        </is>
      </c>
    </row>
    <row r="527">
      <c r="A527" s="53" t="n">
        <v>44353</v>
      </c>
      <c r="B527" t="inlineStr">
        <is>
          <t>2021-06-06</t>
        </is>
      </c>
      <c r="C527" s="45" t="n">
        <v>25.01</v>
      </c>
      <c r="D527" t="inlineStr">
        <is>
          <t>€/MWh</t>
        </is>
      </c>
      <c r="E527" s="54" t="n">
        <v>0.02501</v>
      </c>
      <c r="F527" s="54" t="n"/>
      <c r="G527" t="inlineStr">
        <is>
          <t>no aplica (precio mayorista)</t>
        </is>
      </c>
      <c r="J527" t="inlineStr">
        <is>
          <t>2021-06-06</t>
        </is>
      </c>
      <c r="K527" t="inlineStr">
        <is>
          <t>MIBGAS_Data_2021.xlsx</t>
        </is>
      </c>
      <c r="L527" t="inlineStr">
        <is>
          <t>volumen 88008 MWh</t>
        </is>
      </c>
    </row>
    <row r="528">
      <c r="A528" s="53" t="n">
        <v>44354</v>
      </c>
      <c r="B528" t="inlineStr">
        <is>
          <t>2021-06-07</t>
        </is>
      </c>
      <c r="C528" s="45" t="n">
        <v>26.25</v>
      </c>
      <c r="D528" t="inlineStr">
        <is>
          <t>€/MWh</t>
        </is>
      </c>
      <c r="E528" s="54" t="n">
        <v>0.02625</v>
      </c>
      <c r="F528" s="54" t="n"/>
      <c r="G528" t="inlineStr">
        <is>
          <t>no aplica (precio mayorista)</t>
        </is>
      </c>
      <c r="J528" t="inlineStr">
        <is>
          <t>2021-06-07</t>
        </is>
      </c>
      <c r="K528" t="inlineStr">
        <is>
          <t>MIBGAS_Data_2021.xlsx</t>
        </is>
      </c>
      <c r="L528" t="inlineStr">
        <is>
          <t>volumen 102115 MWh</t>
        </is>
      </c>
    </row>
    <row r="529">
      <c r="A529" s="53" t="n">
        <v>44355</v>
      </c>
      <c r="B529" t="inlineStr">
        <is>
          <t>2021-06-08</t>
        </is>
      </c>
      <c r="C529" s="45" t="n">
        <v>26.84</v>
      </c>
      <c r="D529" t="inlineStr">
        <is>
          <t>€/MWh</t>
        </is>
      </c>
      <c r="E529" s="54" t="n">
        <v>0.02684</v>
      </c>
      <c r="F529" s="54" t="n"/>
      <c r="G529" t="inlineStr">
        <is>
          <t>no aplica (precio mayorista)</t>
        </is>
      </c>
      <c r="J529" t="inlineStr">
        <is>
          <t>2021-06-08</t>
        </is>
      </c>
      <c r="K529" t="inlineStr">
        <is>
          <t>MIBGAS_Data_2021.xlsx</t>
        </is>
      </c>
      <c r="L529" t="inlineStr">
        <is>
          <t>volumen 107416 MWh</t>
        </is>
      </c>
    </row>
    <row r="530">
      <c r="A530" s="53" t="n">
        <v>44356</v>
      </c>
      <c r="B530" t="inlineStr">
        <is>
          <t>2021-06-09</t>
        </is>
      </c>
      <c r="C530" s="45" t="n">
        <v>27.83</v>
      </c>
      <c r="D530" t="inlineStr">
        <is>
          <t>€/MWh</t>
        </is>
      </c>
      <c r="E530" s="54" t="n">
        <v>0.02783</v>
      </c>
      <c r="F530" s="54" t="n"/>
      <c r="G530" t="inlineStr">
        <is>
          <t>no aplica (precio mayorista)</t>
        </is>
      </c>
      <c r="J530" t="inlineStr">
        <is>
          <t>2021-06-09</t>
        </is>
      </c>
      <c r="K530" t="inlineStr">
        <is>
          <t>MIBGAS_Data_2021.xlsx</t>
        </is>
      </c>
      <c r="L530" t="inlineStr">
        <is>
          <t>volumen 96073 MWh</t>
        </is>
      </c>
    </row>
    <row r="531">
      <c r="A531" s="53" t="n">
        <v>44357</v>
      </c>
      <c r="B531" t="inlineStr">
        <is>
          <t>2021-06-10</t>
        </is>
      </c>
      <c r="C531" s="45" t="n">
        <v>28.25</v>
      </c>
      <c r="D531" t="inlineStr">
        <is>
          <t>€/MWh</t>
        </is>
      </c>
      <c r="E531" s="54" t="n">
        <v>0.02825</v>
      </c>
      <c r="F531" s="54" t="n"/>
      <c r="G531" t="inlineStr">
        <is>
          <t>no aplica (precio mayorista)</t>
        </is>
      </c>
      <c r="J531" t="inlineStr">
        <is>
          <t>2021-06-10</t>
        </is>
      </c>
      <c r="K531" t="inlineStr">
        <is>
          <t>MIBGAS_Data_2021.xlsx</t>
        </is>
      </c>
      <c r="L531" t="inlineStr">
        <is>
          <t>volumen 97108 MWh</t>
        </is>
      </c>
    </row>
    <row r="532">
      <c r="A532" s="53" t="n">
        <v>44358</v>
      </c>
      <c r="B532" t="inlineStr">
        <is>
          <t>2021-06-11</t>
        </is>
      </c>
      <c r="C532" s="45" t="n">
        <v>28.08</v>
      </c>
      <c r="D532" t="inlineStr">
        <is>
          <t>€/MWh</t>
        </is>
      </c>
      <c r="E532" s="54" t="n">
        <v>0.02808</v>
      </c>
      <c r="F532" s="54" t="n"/>
      <c r="G532" t="inlineStr">
        <is>
          <t>no aplica (precio mayorista)</t>
        </is>
      </c>
      <c r="J532" t="inlineStr">
        <is>
          <t>2021-06-11</t>
        </is>
      </c>
      <c r="K532" t="inlineStr">
        <is>
          <t>MIBGAS_Data_2021.xlsx</t>
        </is>
      </c>
      <c r="L532" t="inlineStr">
        <is>
          <t>volumen 84220 MWh</t>
        </is>
      </c>
    </row>
    <row r="533">
      <c r="A533" s="53" t="n">
        <v>44359</v>
      </c>
      <c r="B533" t="inlineStr">
        <is>
          <t>2021-06-12</t>
        </is>
      </c>
      <c r="C533" s="45" t="n">
        <v>27.42</v>
      </c>
      <c r="D533" t="inlineStr">
        <is>
          <t>€/MWh</t>
        </is>
      </c>
      <c r="E533" s="54" t="n">
        <v>0.02742</v>
      </c>
      <c r="F533" s="54" t="n"/>
      <c r="G533" t="inlineStr">
        <is>
          <t>no aplica (precio mayorista)</t>
        </is>
      </c>
      <c r="J533" t="inlineStr">
        <is>
          <t>2021-06-12</t>
        </is>
      </c>
      <c r="K533" t="inlineStr">
        <is>
          <t>MIBGAS_Data_2021.xlsx</t>
        </is>
      </c>
      <c r="L533" t="inlineStr">
        <is>
          <t>volumen 93388 MWh</t>
        </is>
      </c>
    </row>
    <row r="534">
      <c r="A534" s="53" t="n">
        <v>44360</v>
      </c>
      <c r="B534" t="inlineStr">
        <is>
          <t>2021-06-13</t>
        </is>
      </c>
      <c r="C534" s="45" t="n">
        <v>27.22</v>
      </c>
      <c r="D534" t="inlineStr">
        <is>
          <t>€/MWh</t>
        </is>
      </c>
      <c r="E534" s="54" t="n">
        <v>0.02722</v>
      </c>
      <c r="F534" s="54" t="n"/>
      <c r="G534" t="inlineStr">
        <is>
          <t>no aplica (precio mayorista)</t>
        </is>
      </c>
      <c r="J534" t="inlineStr">
        <is>
          <t>2021-06-13</t>
        </is>
      </c>
      <c r="K534" t="inlineStr">
        <is>
          <t>MIBGAS_Data_2021.xlsx</t>
        </is>
      </c>
      <c r="L534" t="inlineStr">
        <is>
          <t>volumen 111169 MWh</t>
        </is>
      </c>
    </row>
    <row r="535">
      <c r="A535" s="53" t="n">
        <v>44361</v>
      </c>
      <c r="B535" t="inlineStr">
        <is>
          <t>2021-06-14</t>
        </is>
      </c>
      <c r="C535" s="45" t="n">
        <v>28.76</v>
      </c>
      <c r="D535" t="inlineStr">
        <is>
          <t>€/MWh</t>
        </is>
      </c>
      <c r="E535" s="54" t="n">
        <v>0.02876</v>
      </c>
      <c r="F535" s="54" t="n"/>
      <c r="G535" t="inlineStr">
        <is>
          <t>no aplica (precio mayorista)</t>
        </is>
      </c>
      <c r="J535" t="inlineStr">
        <is>
          <t>2021-06-14</t>
        </is>
      </c>
      <c r="K535" t="inlineStr">
        <is>
          <t>MIBGAS_Data_2021.xlsx</t>
        </is>
      </c>
      <c r="L535" t="inlineStr">
        <is>
          <t>volumen 123937 MWh</t>
        </is>
      </c>
    </row>
    <row r="536">
      <c r="A536" s="53" t="n">
        <v>44362</v>
      </c>
      <c r="B536" t="inlineStr">
        <is>
          <t>2021-06-15</t>
        </is>
      </c>
      <c r="C536" s="45" t="n">
        <v>29.33</v>
      </c>
      <c r="D536" t="inlineStr">
        <is>
          <t>€/MWh</t>
        </is>
      </c>
      <c r="E536" s="54" t="n">
        <v>0.02933</v>
      </c>
      <c r="F536" s="54" t="n"/>
      <c r="G536" t="inlineStr">
        <is>
          <t>no aplica (precio mayorista)</t>
        </is>
      </c>
      <c r="J536" t="inlineStr">
        <is>
          <t>2021-06-15</t>
        </is>
      </c>
      <c r="K536" t="inlineStr">
        <is>
          <t>MIBGAS_Data_2021.xlsx</t>
        </is>
      </c>
      <c r="L536" t="inlineStr">
        <is>
          <t>volumen 118147 MWh</t>
        </is>
      </c>
    </row>
    <row r="537">
      <c r="A537" s="53" t="n">
        <v>44363</v>
      </c>
      <c r="B537" t="inlineStr">
        <is>
          <t>2021-06-16</t>
        </is>
      </c>
      <c r="C537" s="45" t="n">
        <v>29.14</v>
      </c>
      <c r="D537" t="inlineStr">
        <is>
          <t>€/MWh</t>
        </is>
      </c>
      <c r="E537" s="54" t="n">
        <v>0.02914</v>
      </c>
      <c r="F537" s="54" t="n"/>
      <c r="G537" t="inlineStr">
        <is>
          <t>no aplica (precio mayorista)</t>
        </is>
      </c>
      <c r="J537" t="inlineStr">
        <is>
          <t>2021-06-16</t>
        </is>
      </c>
      <c r="K537" t="inlineStr">
        <is>
          <t>MIBGAS_Data_2021.xlsx</t>
        </is>
      </c>
      <c r="L537" t="inlineStr">
        <is>
          <t>volumen 130221 MWh</t>
        </is>
      </c>
    </row>
    <row r="538">
      <c r="A538" s="53" t="n">
        <v>44364</v>
      </c>
      <c r="B538" t="inlineStr">
        <is>
          <t>2021-06-17</t>
        </is>
      </c>
      <c r="C538" s="45" t="n">
        <v>29.5</v>
      </c>
      <c r="D538" t="inlineStr">
        <is>
          <t>€/MWh</t>
        </is>
      </c>
      <c r="E538" s="54" t="n">
        <v>0.0295</v>
      </c>
      <c r="F538" s="54" t="n"/>
      <c r="G538" t="inlineStr">
        <is>
          <t>no aplica (precio mayorista)</t>
        </is>
      </c>
      <c r="J538" t="inlineStr">
        <is>
          <t>2021-06-17</t>
        </is>
      </c>
      <c r="K538" t="inlineStr">
        <is>
          <t>MIBGAS_Data_2021.xlsx</t>
        </is>
      </c>
      <c r="L538" t="inlineStr">
        <is>
          <t>volumen 111437 MWh</t>
        </is>
      </c>
    </row>
    <row r="539">
      <c r="A539" s="53" t="n">
        <v>44365</v>
      </c>
      <c r="B539" t="inlineStr">
        <is>
          <t>2021-06-18</t>
        </is>
      </c>
      <c r="C539" s="45" t="n">
        <v>29.39</v>
      </c>
      <c r="D539" t="inlineStr">
        <is>
          <t>€/MWh</t>
        </is>
      </c>
      <c r="E539" s="54" t="n">
        <v>0.02939</v>
      </c>
      <c r="F539" s="54" t="n"/>
      <c r="G539" t="inlineStr">
        <is>
          <t>no aplica (precio mayorista)</t>
        </is>
      </c>
      <c r="J539" t="inlineStr">
        <is>
          <t>2021-06-18</t>
        </is>
      </c>
      <c r="K539" t="inlineStr">
        <is>
          <t>MIBGAS_Data_2021.xlsx</t>
        </is>
      </c>
      <c r="L539" t="inlineStr">
        <is>
          <t>volumen 126361 MWh</t>
        </is>
      </c>
    </row>
    <row r="540">
      <c r="A540" s="53" t="n">
        <v>44366</v>
      </c>
      <c r="B540" t="inlineStr">
        <is>
          <t>2021-06-19</t>
        </is>
      </c>
      <c r="C540" s="45" t="n">
        <v>28.7</v>
      </c>
      <c r="D540" t="inlineStr">
        <is>
          <t>€/MWh</t>
        </is>
      </c>
      <c r="E540" s="54" t="n">
        <v>0.0287</v>
      </c>
      <c r="F540" s="54" t="n"/>
      <c r="G540" t="inlineStr">
        <is>
          <t>no aplica (precio mayorista)</t>
        </is>
      </c>
      <c r="J540" t="inlineStr">
        <is>
          <t>2021-06-19</t>
        </is>
      </c>
      <c r="K540" t="inlineStr">
        <is>
          <t>MIBGAS_Data_2021.xlsx</t>
        </is>
      </c>
      <c r="L540" t="inlineStr">
        <is>
          <t>volumen 94191 MWh</t>
        </is>
      </c>
    </row>
    <row r="541">
      <c r="A541" s="53" t="n">
        <v>44367</v>
      </c>
      <c r="B541" t="inlineStr">
        <is>
          <t>2021-06-20</t>
        </is>
      </c>
      <c r="C541" s="45" t="n">
        <v>28.04</v>
      </c>
      <c r="D541" t="inlineStr">
        <is>
          <t>€/MWh</t>
        </is>
      </c>
      <c r="E541" s="54" t="n">
        <v>0.02804</v>
      </c>
      <c r="F541" s="54" t="n"/>
      <c r="G541" t="inlineStr">
        <is>
          <t>no aplica (precio mayorista)</t>
        </is>
      </c>
      <c r="J541" t="inlineStr">
        <is>
          <t>2021-06-20</t>
        </is>
      </c>
      <c r="K541" t="inlineStr">
        <is>
          <t>MIBGAS_Data_2021.xlsx</t>
        </is>
      </c>
      <c r="L541" t="inlineStr">
        <is>
          <t>volumen 102434 MWh</t>
        </is>
      </c>
    </row>
    <row r="542">
      <c r="A542" s="53" t="n">
        <v>44368</v>
      </c>
      <c r="B542" t="inlineStr">
        <is>
          <t>2021-06-21</t>
        </is>
      </c>
      <c r="C542" s="45" t="n">
        <v>29.69</v>
      </c>
      <c r="D542" t="inlineStr">
        <is>
          <t>€/MWh</t>
        </is>
      </c>
      <c r="E542" s="54" t="n">
        <v>0.02969</v>
      </c>
      <c r="F542" s="54" t="n"/>
      <c r="G542" t="inlineStr">
        <is>
          <t>no aplica (precio mayorista)</t>
        </is>
      </c>
      <c r="J542" t="inlineStr">
        <is>
          <t>2021-06-21</t>
        </is>
      </c>
      <c r="K542" t="inlineStr">
        <is>
          <t>MIBGAS_Data_2021.xlsx</t>
        </is>
      </c>
      <c r="L542" t="inlineStr">
        <is>
          <t>volumen 88555 MWh</t>
        </is>
      </c>
    </row>
    <row r="543">
      <c r="A543" s="53" t="n">
        <v>44369</v>
      </c>
      <c r="B543" t="inlineStr">
        <is>
          <t>2021-06-22</t>
        </is>
      </c>
      <c r="C543" s="45" t="n">
        <v>29.83</v>
      </c>
      <c r="D543" t="inlineStr">
        <is>
          <t>€/MWh</t>
        </is>
      </c>
      <c r="E543" s="54" t="n">
        <v>0.02983</v>
      </c>
      <c r="F543" s="54" t="n"/>
      <c r="G543" t="inlineStr">
        <is>
          <t>no aplica (precio mayorista)</t>
        </is>
      </c>
      <c r="J543" t="inlineStr">
        <is>
          <t>2021-06-22</t>
        </is>
      </c>
      <c r="K543" t="inlineStr">
        <is>
          <t>MIBGAS_Data_2021.xlsx</t>
        </is>
      </c>
      <c r="L543" t="inlineStr">
        <is>
          <t>volumen 88065 MWh</t>
        </is>
      </c>
    </row>
    <row r="544">
      <c r="A544" s="53" t="n">
        <v>44370</v>
      </c>
      <c r="B544" t="inlineStr">
        <is>
          <t>2021-06-23</t>
        </is>
      </c>
      <c r="C544" s="45" t="n">
        <v>30.51</v>
      </c>
      <c r="D544" t="inlineStr">
        <is>
          <t>€/MWh</t>
        </is>
      </c>
      <c r="E544" s="54" t="n">
        <v>0.03051</v>
      </c>
      <c r="F544" s="54" t="n"/>
      <c r="G544" t="inlineStr">
        <is>
          <t>no aplica (precio mayorista)</t>
        </is>
      </c>
      <c r="J544" t="inlineStr">
        <is>
          <t>2021-06-23</t>
        </is>
      </c>
      <c r="K544" t="inlineStr">
        <is>
          <t>MIBGAS_Data_2021.xlsx</t>
        </is>
      </c>
      <c r="L544" t="inlineStr">
        <is>
          <t>volumen 69620 MWh</t>
        </is>
      </c>
    </row>
    <row r="545">
      <c r="A545" s="53" t="n">
        <v>44371</v>
      </c>
      <c r="B545" t="inlineStr">
        <is>
          <t>2021-06-24</t>
        </is>
      </c>
      <c r="C545" s="45" t="n">
        <v>30.61</v>
      </c>
      <c r="D545" t="inlineStr">
        <is>
          <t>€/MWh</t>
        </is>
      </c>
      <c r="E545" s="54" t="n">
        <v>0.03061</v>
      </c>
      <c r="F545" s="54" t="n"/>
      <c r="G545" t="inlineStr">
        <is>
          <t>no aplica (precio mayorista)</t>
        </is>
      </c>
      <c r="J545" t="inlineStr">
        <is>
          <t>2021-06-24</t>
        </is>
      </c>
      <c r="K545" t="inlineStr">
        <is>
          <t>MIBGAS_Data_2021.xlsx</t>
        </is>
      </c>
      <c r="L545" t="inlineStr">
        <is>
          <t>volumen 136868 MWh</t>
        </is>
      </c>
    </row>
    <row r="546">
      <c r="A546" s="53" t="n">
        <v>44372</v>
      </c>
      <c r="B546" t="inlineStr">
        <is>
          <t>2021-06-25</t>
        </is>
      </c>
      <c r="C546" s="45" t="n">
        <v>31.25</v>
      </c>
      <c r="D546" t="inlineStr">
        <is>
          <t>€/MWh</t>
        </is>
      </c>
      <c r="E546" s="54" t="n">
        <v>0.03125</v>
      </c>
      <c r="F546" s="54" t="n"/>
      <c r="G546" t="inlineStr">
        <is>
          <t>no aplica (precio mayorista)</t>
        </is>
      </c>
      <c r="J546" t="inlineStr">
        <is>
          <t>2021-06-25</t>
        </is>
      </c>
      <c r="K546" t="inlineStr">
        <is>
          <t>MIBGAS_Data_2021.xlsx</t>
        </is>
      </c>
      <c r="L546" t="inlineStr">
        <is>
          <t>volumen 102489 MWh</t>
        </is>
      </c>
    </row>
    <row r="547">
      <c r="A547" s="53" t="n">
        <v>44373</v>
      </c>
      <c r="B547" t="inlineStr">
        <is>
          <t>2021-06-26</t>
        </is>
      </c>
      <c r="C547" s="45" t="n">
        <v>30.78</v>
      </c>
      <c r="D547" t="inlineStr">
        <is>
          <t>€/MWh</t>
        </is>
      </c>
      <c r="E547" s="54" t="n">
        <v>0.03078</v>
      </c>
      <c r="F547" s="54" t="n"/>
      <c r="G547" t="inlineStr">
        <is>
          <t>no aplica (precio mayorista)</t>
        </is>
      </c>
      <c r="J547" t="inlineStr">
        <is>
          <t>2021-06-26</t>
        </is>
      </c>
      <c r="K547" t="inlineStr">
        <is>
          <t>MIBGAS_Data_2021.xlsx</t>
        </is>
      </c>
      <c r="L547" t="inlineStr">
        <is>
          <t>volumen 84776 MWh</t>
        </is>
      </c>
    </row>
    <row r="548">
      <c r="A548" s="53" t="n">
        <v>44374</v>
      </c>
      <c r="B548" t="inlineStr">
        <is>
          <t>2021-06-27</t>
        </is>
      </c>
      <c r="C548" s="45" t="n">
        <v>30.92</v>
      </c>
      <c r="D548" t="inlineStr">
        <is>
          <t>€/MWh</t>
        </is>
      </c>
      <c r="E548" s="54" t="n">
        <v>0.03092</v>
      </c>
      <c r="F548" s="54" t="n"/>
      <c r="G548" t="inlineStr">
        <is>
          <t>no aplica (precio mayorista)</t>
        </is>
      </c>
      <c r="J548" t="inlineStr">
        <is>
          <t>2021-06-27</t>
        </is>
      </c>
      <c r="K548" t="inlineStr">
        <is>
          <t>MIBGAS_Data_2021.xlsx</t>
        </is>
      </c>
      <c r="L548" t="inlineStr">
        <is>
          <t>volumen 88174 MWh</t>
        </is>
      </c>
    </row>
    <row r="549">
      <c r="A549" s="53" t="n">
        <v>44375</v>
      </c>
      <c r="B549" t="inlineStr">
        <is>
          <t>2021-06-28</t>
        </is>
      </c>
      <c r="C549" s="45" t="n">
        <v>31.91</v>
      </c>
      <c r="D549" t="inlineStr">
        <is>
          <t>€/MWh</t>
        </is>
      </c>
      <c r="E549" s="54" t="n">
        <v>0.03191</v>
      </c>
      <c r="F549" s="54" t="n"/>
      <c r="G549" t="inlineStr">
        <is>
          <t>no aplica (precio mayorista)</t>
        </is>
      </c>
      <c r="J549" t="inlineStr">
        <is>
          <t>2021-06-28</t>
        </is>
      </c>
      <c r="K549" t="inlineStr">
        <is>
          <t>MIBGAS_Data_2021.xlsx</t>
        </is>
      </c>
      <c r="L549" t="inlineStr">
        <is>
          <t>volumen 80306 MWh</t>
        </is>
      </c>
    </row>
    <row r="550">
      <c r="A550" s="53" t="n">
        <v>44376</v>
      </c>
      <c r="B550" t="inlineStr">
        <is>
          <t>2021-06-29</t>
        </is>
      </c>
      <c r="C550" s="45" t="n">
        <v>32.53</v>
      </c>
      <c r="D550" t="inlineStr">
        <is>
          <t>€/MWh</t>
        </is>
      </c>
      <c r="E550" s="54" t="n">
        <v>0.03253</v>
      </c>
      <c r="F550" s="54" t="n"/>
      <c r="G550" t="inlineStr">
        <is>
          <t>no aplica (precio mayorista)</t>
        </is>
      </c>
      <c r="J550" t="inlineStr">
        <is>
          <t>2021-06-29</t>
        </is>
      </c>
      <c r="K550" t="inlineStr">
        <is>
          <t>MIBGAS_Data_2021.xlsx</t>
        </is>
      </c>
      <c r="L550" t="inlineStr">
        <is>
          <t>volumen 83940 MWh</t>
        </is>
      </c>
    </row>
    <row r="551">
      <c r="A551" s="53" t="n">
        <v>44377</v>
      </c>
      <c r="B551" t="inlineStr">
        <is>
          <t>2021-06-30</t>
        </is>
      </c>
      <c r="C551" s="45" t="n">
        <v>34.13</v>
      </c>
      <c r="D551" t="inlineStr">
        <is>
          <t>€/MWh</t>
        </is>
      </c>
      <c r="E551" s="54" t="n">
        <v>0.03413</v>
      </c>
      <c r="F551" s="54" t="n"/>
      <c r="G551" t="inlineStr">
        <is>
          <t>no aplica (precio mayorista)</t>
        </is>
      </c>
      <c r="J551" t="inlineStr">
        <is>
          <t>2021-06-30</t>
        </is>
      </c>
      <c r="K551" t="inlineStr">
        <is>
          <t>MIBGAS_Data_2021.xlsx</t>
        </is>
      </c>
      <c r="L551" t="inlineStr">
        <is>
          <t>volumen 101162 MWh</t>
        </is>
      </c>
    </row>
    <row r="552">
      <c r="A552" s="53" t="n">
        <v>44378</v>
      </c>
      <c r="B552" t="inlineStr">
        <is>
          <t>2021-07-01</t>
        </is>
      </c>
      <c r="C552" s="45" t="n">
        <v>36.13</v>
      </c>
      <c r="D552" t="inlineStr">
        <is>
          <t>€/MWh</t>
        </is>
      </c>
      <c r="E552" s="54" t="n">
        <v>0.03613</v>
      </c>
      <c r="F552" s="54" t="n"/>
      <c r="G552" t="inlineStr">
        <is>
          <t>no aplica (precio mayorista)</t>
        </is>
      </c>
      <c r="J552" t="inlineStr">
        <is>
          <t>2021-07-01</t>
        </is>
      </c>
      <c r="K552" t="inlineStr">
        <is>
          <t>MIBGAS_Data_2021.xlsx</t>
        </is>
      </c>
      <c r="L552" t="inlineStr">
        <is>
          <t>volumen 63008 MWh</t>
        </is>
      </c>
    </row>
    <row r="553">
      <c r="A553" s="53" t="n">
        <v>44379</v>
      </c>
      <c r="B553" t="inlineStr">
        <is>
          <t>2021-07-02</t>
        </is>
      </c>
      <c r="C553" s="45" t="n">
        <v>38.09</v>
      </c>
      <c r="D553" t="inlineStr">
        <is>
          <t>€/MWh</t>
        </is>
      </c>
      <c r="E553" s="54" t="n">
        <v>0.03809</v>
      </c>
      <c r="F553" s="54" t="n"/>
      <c r="G553" t="inlineStr">
        <is>
          <t>no aplica (precio mayorista)</t>
        </is>
      </c>
      <c r="J553" t="inlineStr">
        <is>
          <t>2021-07-02</t>
        </is>
      </c>
      <c r="K553" t="inlineStr">
        <is>
          <t>MIBGAS_Data_2021.xlsx</t>
        </is>
      </c>
      <c r="L553" t="inlineStr">
        <is>
          <t>volumen 89522 MWh</t>
        </is>
      </c>
    </row>
    <row r="554">
      <c r="A554" s="53" t="n">
        <v>44380</v>
      </c>
      <c r="B554" t="inlineStr">
        <is>
          <t>2021-07-03</t>
        </is>
      </c>
      <c r="C554" s="45" t="n">
        <v>35.68</v>
      </c>
      <c r="D554" t="inlineStr">
        <is>
          <t>€/MWh</t>
        </is>
      </c>
      <c r="E554" s="54" t="n">
        <v>0.03568</v>
      </c>
      <c r="F554" s="54" t="n"/>
      <c r="G554" t="inlineStr">
        <is>
          <t>no aplica (precio mayorista)</t>
        </is>
      </c>
      <c r="J554" t="inlineStr">
        <is>
          <t>2021-07-03</t>
        </is>
      </c>
      <c r="K554" t="inlineStr">
        <is>
          <t>MIBGAS_Data_2021.xlsx</t>
        </is>
      </c>
      <c r="L554" t="inlineStr">
        <is>
          <t>volumen 111669 MWh</t>
        </is>
      </c>
    </row>
    <row r="555">
      <c r="A555" s="53" t="n">
        <v>44381</v>
      </c>
      <c r="B555" t="inlineStr">
        <is>
          <t>2021-07-04</t>
        </is>
      </c>
      <c r="C555" s="45" t="n">
        <v>35.34</v>
      </c>
      <c r="D555" t="inlineStr">
        <is>
          <t>€/MWh</t>
        </is>
      </c>
      <c r="E555" s="54" t="n">
        <v>0.03534</v>
      </c>
      <c r="F555" s="54" t="n"/>
      <c r="G555" t="inlineStr">
        <is>
          <t>no aplica (precio mayorista)</t>
        </is>
      </c>
      <c r="J555" t="inlineStr">
        <is>
          <t>2021-07-04</t>
        </is>
      </c>
      <c r="K555" t="inlineStr">
        <is>
          <t>MIBGAS_Data_2021.xlsx</t>
        </is>
      </c>
      <c r="L555" t="inlineStr">
        <is>
          <t>volumen 100732 MWh</t>
        </is>
      </c>
    </row>
    <row r="556">
      <c r="A556" s="53" t="n">
        <v>44382</v>
      </c>
      <c r="B556" t="inlineStr">
        <is>
          <t>2021-07-05</t>
        </is>
      </c>
      <c r="C556" s="45" t="n">
        <v>36.9</v>
      </c>
      <c r="D556" t="inlineStr">
        <is>
          <t>€/MWh</t>
        </is>
      </c>
      <c r="E556" s="54" t="n">
        <v>0.0369</v>
      </c>
      <c r="F556" s="54" t="n"/>
      <c r="G556" t="inlineStr">
        <is>
          <t>no aplica (precio mayorista)</t>
        </is>
      </c>
      <c r="J556" t="inlineStr">
        <is>
          <t>2021-07-05</t>
        </is>
      </c>
      <c r="K556" t="inlineStr">
        <is>
          <t>MIBGAS_Data_2021.xlsx</t>
        </is>
      </c>
      <c r="L556" t="inlineStr">
        <is>
          <t>volumen 102901 MWh</t>
        </is>
      </c>
    </row>
    <row r="557">
      <c r="A557" s="53" t="n">
        <v>44383</v>
      </c>
      <c r="B557" t="inlineStr">
        <is>
          <t>2021-07-06</t>
        </is>
      </c>
      <c r="C557" s="45" t="n">
        <v>36.87</v>
      </c>
      <c r="D557" t="inlineStr">
        <is>
          <t>€/MWh</t>
        </is>
      </c>
      <c r="E557" s="54" t="n">
        <v>0.03687</v>
      </c>
      <c r="F557" s="54" t="n"/>
      <c r="G557" t="inlineStr">
        <is>
          <t>no aplica (precio mayorista)</t>
        </is>
      </c>
      <c r="J557" t="inlineStr">
        <is>
          <t>2021-07-06</t>
        </is>
      </c>
      <c r="K557" t="inlineStr">
        <is>
          <t>MIBGAS_Data_2021.xlsx</t>
        </is>
      </c>
      <c r="L557" t="inlineStr">
        <is>
          <t>volumen 99268 MWh</t>
        </is>
      </c>
    </row>
    <row r="558">
      <c r="A558" s="53" t="n">
        <v>44384</v>
      </c>
      <c r="B558" t="inlineStr">
        <is>
          <t>2021-07-07</t>
        </is>
      </c>
      <c r="C558" s="45" t="n">
        <v>36.82</v>
      </c>
      <c r="D558" t="inlineStr">
        <is>
          <t>€/MWh</t>
        </is>
      </c>
      <c r="E558" s="54" t="n">
        <v>0.03682</v>
      </c>
      <c r="F558" s="54" t="n"/>
      <c r="G558" t="inlineStr">
        <is>
          <t>no aplica (precio mayorista)</t>
        </is>
      </c>
      <c r="J558" t="inlineStr">
        <is>
          <t>2021-07-07</t>
        </is>
      </c>
      <c r="K558" t="inlineStr">
        <is>
          <t>MIBGAS_Data_2021.xlsx</t>
        </is>
      </c>
      <c r="L558" t="inlineStr">
        <is>
          <t>volumen 105962 MWh</t>
        </is>
      </c>
    </row>
    <row r="559">
      <c r="A559" s="53" t="n">
        <v>44385</v>
      </c>
      <c r="B559" t="inlineStr">
        <is>
          <t>2021-07-08</t>
        </is>
      </c>
      <c r="C559" s="45" t="n">
        <v>35.27</v>
      </c>
      <c r="D559" t="inlineStr">
        <is>
          <t>€/MWh</t>
        </is>
      </c>
      <c r="E559" s="54" t="n">
        <v>0.03527</v>
      </c>
      <c r="F559" s="54" t="n"/>
      <c r="G559" t="inlineStr">
        <is>
          <t>no aplica (precio mayorista)</t>
        </is>
      </c>
      <c r="J559" t="inlineStr">
        <is>
          <t>2021-07-08</t>
        </is>
      </c>
      <c r="K559" t="inlineStr">
        <is>
          <t>MIBGAS_Data_2021.xlsx</t>
        </is>
      </c>
      <c r="L559" t="inlineStr">
        <is>
          <t>volumen 121392 MWh</t>
        </is>
      </c>
    </row>
    <row r="560">
      <c r="A560" s="53" t="n">
        <v>44386</v>
      </c>
      <c r="B560" t="inlineStr">
        <is>
          <t>2021-07-09</t>
        </is>
      </c>
      <c r="C560" s="45" t="n">
        <v>34.38</v>
      </c>
      <c r="D560" t="inlineStr">
        <is>
          <t>€/MWh</t>
        </is>
      </c>
      <c r="E560" s="54" t="n">
        <v>0.03438</v>
      </c>
      <c r="F560" s="54" t="n"/>
      <c r="G560" t="inlineStr">
        <is>
          <t>no aplica (precio mayorista)</t>
        </is>
      </c>
      <c r="J560" t="inlineStr">
        <is>
          <t>2021-07-09</t>
        </is>
      </c>
      <c r="K560" t="inlineStr">
        <is>
          <t>MIBGAS_Data_2021.xlsx</t>
        </is>
      </c>
      <c r="L560" t="inlineStr">
        <is>
          <t>volumen 99441 MWh</t>
        </is>
      </c>
    </row>
    <row r="561">
      <c r="A561" s="53" t="n">
        <v>44387</v>
      </c>
      <c r="B561" t="inlineStr">
        <is>
          <t>2021-07-10</t>
        </is>
      </c>
      <c r="C561" s="45" t="n">
        <v>35.87</v>
      </c>
      <c r="D561" t="inlineStr">
        <is>
          <t>€/MWh</t>
        </is>
      </c>
      <c r="E561" s="54" t="n">
        <v>0.03587</v>
      </c>
      <c r="F561" s="54" t="n"/>
      <c r="G561" t="inlineStr">
        <is>
          <t>no aplica (precio mayorista)</t>
        </is>
      </c>
      <c r="J561" t="inlineStr">
        <is>
          <t>2021-07-10</t>
        </is>
      </c>
      <c r="K561" t="inlineStr">
        <is>
          <t>MIBGAS_Data_2021.xlsx</t>
        </is>
      </c>
      <c r="L561" t="inlineStr">
        <is>
          <t>volumen 94716 MWh</t>
        </is>
      </c>
    </row>
    <row r="562">
      <c r="A562" s="53" t="n">
        <v>44388</v>
      </c>
      <c r="B562" t="inlineStr">
        <is>
          <t>2021-07-11</t>
        </is>
      </c>
      <c r="C562" s="45" t="n">
        <v>35.91</v>
      </c>
      <c r="D562" t="inlineStr">
        <is>
          <t>€/MWh</t>
        </is>
      </c>
      <c r="E562" s="54" t="n">
        <v>0.03591</v>
      </c>
      <c r="F562" s="54" t="n"/>
      <c r="G562" t="inlineStr">
        <is>
          <t>no aplica (precio mayorista)</t>
        </is>
      </c>
      <c r="J562" t="inlineStr">
        <is>
          <t>2021-07-11</t>
        </is>
      </c>
      <c r="K562" t="inlineStr">
        <is>
          <t>MIBGAS_Data_2021.xlsx</t>
        </is>
      </c>
      <c r="L562" t="inlineStr">
        <is>
          <t>volumen 110968 MWh</t>
        </is>
      </c>
    </row>
    <row r="563">
      <c r="A563" s="53" t="n">
        <v>44389</v>
      </c>
      <c r="B563" t="inlineStr">
        <is>
          <t>2021-07-12</t>
        </is>
      </c>
      <c r="C563" s="45" t="n">
        <v>35.61</v>
      </c>
      <c r="D563" t="inlineStr">
        <is>
          <t>€/MWh</t>
        </is>
      </c>
      <c r="E563" s="54" t="n">
        <v>0.03561</v>
      </c>
      <c r="F563" s="54" t="n"/>
      <c r="G563" t="inlineStr">
        <is>
          <t>no aplica (precio mayorista)</t>
        </is>
      </c>
      <c r="J563" t="inlineStr">
        <is>
          <t>2021-07-12</t>
        </is>
      </c>
      <c r="K563" t="inlineStr">
        <is>
          <t>MIBGAS_Data_2021.xlsx</t>
        </is>
      </c>
      <c r="L563" t="inlineStr">
        <is>
          <t>volumen 101269 MWh</t>
        </is>
      </c>
    </row>
    <row r="564">
      <c r="A564" s="53" t="n">
        <v>44390</v>
      </c>
      <c r="B564" t="inlineStr">
        <is>
          <t>2021-07-13</t>
        </is>
      </c>
      <c r="C564" s="45" t="n">
        <v>35.43</v>
      </c>
      <c r="D564" t="inlineStr">
        <is>
          <t>€/MWh</t>
        </is>
      </c>
      <c r="E564" s="54" t="n">
        <v>0.03543</v>
      </c>
      <c r="F564" s="54" t="n"/>
      <c r="G564" t="inlineStr">
        <is>
          <t>no aplica (precio mayorista)</t>
        </is>
      </c>
      <c r="J564" t="inlineStr">
        <is>
          <t>2021-07-13</t>
        </is>
      </c>
      <c r="K564" t="inlineStr">
        <is>
          <t>MIBGAS_Data_2021.xlsx</t>
        </is>
      </c>
      <c r="L564" t="inlineStr">
        <is>
          <t>volumen 111823 MWh</t>
        </is>
      </c>
    </row>
    <row r="565">
      <c r="A565" s="53" t="n">
        <v>44391</v>
      </c>
      <c r="B565" t="inlineStr">
        <is>
          <t>2021-07-14</t>
        </is>
      </c>
      <c r="C565" s="45" t="n">
        <v>34.87</v>
      </c>
      <c r="D565" t="inlineStr">
        <is>
          <t>€/MWh</t>
        </is>
      </c>
      <c r="E565" s="54" t="n">
        <v>0.03487</v>
      </c>
      <c r="F565" s="54" t="n"/>
      <c r="G565" t="inlineStr">
        <is>
          <t>no aplica (precio mayorista)</t>
        </is>
      </c>
      <c r="J565" t="inlineStr">
        <is>
          <t>2021-07-14</t>
        </is>
      </c>
      <c r="K565" t="inlineStr">
        <is>
          <t>MIBGAS_Data_2021.xlsx</t>
        </is>
      </c>
      <c r="L565" t="inlineStr">
        <is>
          <t>volumen 107819 MWh</t>
        </is>
      </c>
    </row>
    <row r="566">
      <c r="A566" s="53" t="n">
        <v>44392</v>
      </c>
      <c r="B566" t="inlineStr">
        <is>
          <t>2021-07-15</t>
        </is>
      </c>
      <c r="C566" s="45" t="n">
        <v>34.26</v>
      </c>
      <c r="D566" t="inlineStr">
        <is>
          <t>€/MWh</t>
        </is>
      </c>
      <c r="E566" s="54" t="n">
        <v>0.03426</v>
      </c>
      <c r="F566" s="54" t="n"/>
      <c r="G566" t="inlineStr">
        <is>
          <t>no aplica (precio mayorista)</t>
        </is>
      </c>
      <c r="J566" t="inlineStr">
        <is>
          <t>2021-07-15</t>
        </is>
      </c>
      <c r="K566" t="inlineStr">
        <is>
          <t>MIBGAS_Data_2021.xlsx</t>
        </is>
      </c>
      <c r="L566" t="inlineStr">
        <is>
          <t>volumen 106229 MWh</t>
        </is>
      </c>
    </row>
    <row r="567">
      <c r="A567" s="53" t="n">
        <v>44393</v>
      </c>
      <c r="B567" t="inlineStr">
        <is>
          <t>2021-07-16</t>
        </is>
      </c>
      <c r="C567" s="45" t="n">
        <v>34.3</v>
      </c>
      <c r="D567" t="inlineStr">
        <is>
          <t>€/MWh</t>
        </is>
      </c>
      <c r="E567" s="54" t="n">
        <v>0.0343</v>
      </c>
      <c r="F567" s="54" t="n"/>
      <c r="G567" t="inlineStr">
        <is>
          <t>no aplica (precio mayorista)</t>
        </is>
      </c>
      <c r="J567" t="inlineStr">
        <is>
          <t>2021-07-16</t>
        </is>
      </c>
      <c r="K567" t="inlineStr">
        <is>
          <t>MIBGAS_Data_2021.xlsx</t>
        </is>
      </c>
      <c r="L567" t="inlineStr">
        <is>
          <t>volumen 92708 MWh</t>
        </is>
      </c>
    </row>
    <row r="568">
      <c r="A568" s="53" t="n">
        <v>44394</v>
      </c>
      <c r="B568" t="inlineStr">
        <is>
          <t>2021-07-17</t>
        </is>
      </c>
      <c r="C568" s="45" t="n">
        <v>34.5</v>
      </c>
      <c r="D568" t="inlineStr">
        <is>
          <t>€/MWh</t>
        </is>
      </c>
      <c r="E568" s="54" t="n">
        <v>0.0345</v>
      </c>
      <c r="F568" s="54" t="n"/>
      <c r="G568" t="inlineStr">
        <is>
          <t>no aplica (precio mayorista)</t>
        </is>
      </c>
      <c r="J568" t="inlineStr">
        <is>
          <t>2021-07-17</t>
        </is>
      </c>
      <c r="K568" t="inlineStr">
        <is>
          <t>MIBGAS_Data_2021.xlsx</t>
        </is>
      </c>
      <c r="L568" t="inlineStr">
        <is>
          <t>volumen 129303 MWh</t>
        </is>
      </c>
    </row>
    <row r="569">
      <c r="A569" s="53" t="n">
        <v>44395</v>
      </c>
      <c r="B569" t="inlineStr">
        <is>
          <t>2021-07-18</t>
        </is>
      </c>
      <c r="C569" s="45" t="n">
        <v>34.33</v>
      </c>
      <c r="D569" t="inlineStr">
        <is>
          <t>€/MWh</t>
        </is>
      </c>
      <c r="E569" s="54" t="n">
        <v>0.03433</v>
      </c>
      <c r="F569" s="54" t="n"/>
      <c r="G569" t="inlineStr">
        <is>
          <t>no aplica (precio mayorista)</t>
        </is>
      </c>
      <c r="J569" t="inlineStr">
        <is>
          <t>2021-07-18</t>
        </is>
      </c>
      <c r="K569" t="inlineStr">
        <is>
          <t>MIBGAS_Data_2021.xlsx</t>
        </is>
      </c>
      <c r="L569" t="inlineStr">
        <is>
          <t>volumen 110305 MWh</t>
        </is>
      </c>
    </row>
    <row r="570">
      <c r="A570" s="53" t="n">
        <v>44396</v>
      </c>
      <c r="B570" t="inlineStr">
        <is>
          <t>2021-07-19</t>
        </is>
      </c>
      <c r="C570" s="45" t="n">
        <v>36.78</v>
      </c>
      <c r="D570" t="inlineStr">
        <is>
          <t>€/MWh</t>
        </is>
      </c>
      <c r="E570" s="54" t="n">
        <v>0.03678</v>
      </c>
      <c r="F570" s="54" t="n"/>
      <c r="G570" t="inlineStr">
        <is>
          <t>no aplica (precio mayorista)</t>
        </is>
      </c>
      <c r="J570" t="inlineStr">
        <is>
          <t>2021-07-19</t>
        </is>
      </c>
      <c r="K570" t="inlineStr">
        <is>
          <t>MIBGAS_Data_2021.xlsx</t>
        </is>
      </c>
      <c r="L570" t="inlineStr">
        <is>
          <t>volumen 84577 MWh</t>
        </is>
      </c>
    </row>
    <row r="571">
      <c r="A571" s="53" t="n">
        <v>44397</v>
      </c>
      <c r="B571" t="inlineStr">
        <is>
          <t>2021-07-20</t>
        </is>
      </c>
      <c r="C571" s="45" t="n">
        <v>38.01</v>
      </c>
      <c r="D571" t="inlineStr">
        <is>
          <t>€/MWh</t>
        </is>
      </c>
      <c r="E571" s="54" t="n">
        <v>0.03801</v>
      </c>
      <c r="F571" s="54" t="n"/>
      <c r="G571" t="inlineStr">
        <is>
          <t>no aplica (precio mayorista)</t>
        </is>
      </c>
      <c r="J571" t="inlineStr">
        <is>
          <t>2021-07-20</t>
        </is>
      </c>
      <c r="K571" t="inlineStr">
        <is>
          <t>MIBGAS_Data_2021.xlsx</t>
        </is>
      </c>
      <c r="L571" t="inlineStr">
        <is>
          <t>volumen 91676 MWh</t>
        </is>
      </c>
    </row>
    <row r="572">
      <c r="A572" s="53" t="n">
        <v>44398</v>
      </c>
      <c r="B572" t="inlineStr">
        <is>
          <t>2021-07-21</t>
        </is>
      </c>
      <c r="C572" s="45" t="n">
        <v>37.41</v>
      </c>
      <c r="D572" t="inlineStr">
        <is>
          <t>€/MWh</t>
        </is>
      </c>
      <c r="E572" s="54" t="n">
        <v>0.03741</v>
      </c>
      <c r="F572" s="54" t="n"/>
      <c r="G572" t="inlineStr">
        <is>
          <t>no aplica (precio mayorista)</t>
        </is>
      </c>
      <c r="J572" t="inlineStr">
        <is>
          <t>2021-07-21</t>
        </is>
      </c>
      <c r="K572" t="inlineStr">
        <is>
          <t>MIBGAS_Data_2021.xlsx</t>
        </is>
      </c>
      <c r="L572" t="inlineStr">
        <is>
          <t>volumen 120364 MWh</t>
        </is>
      </c>
    </row>
    <row r="573">
      <c r="A573" s="53" t="n">
        <v>44399</v>
      </c>
      <c r="B573" t="inlineStr">
        <is>
          <t>2021-07-22</t>
        </is>
      </c>
      <c r="C573" s="45" t="n">
        <v>37.74</v>
      </c>
      <c r="D573" t="inlineStr">
        <is>
          <t>€/MWh</t>
        </is>
      </c>
      <c r="E573" s="54" t="n">
        <v>0.03774</v>
      </c>
      <c r="F573" s="54" t="n"/>
      <c r="G573" t="inlineStr">
        <is>
          <t>no aplica (precio mayorista)</t>
        </is>
      </c>
      <c r="J573" t="inlineStr">
        <is>
          <t>2021-07-22</t>
        </is>
      </c>
      <c r="K573" t="inlineStr">
        <is>
          <t>MIBGAS_Data_2021.xlsx</t>
        </is>
      </c>
      <c r="L573" t="inlineStr">
        <is>
          <t>volumen 118374 MWh</t>
        </is>
      </c>
    </row>
    <row r="574">
      <c r="A574" s="53" t="n">
        <v>44400</v>
      </c>
      <c r="B574" t="inlineStr">
        <is>
          <t>2021-07-23</t>
        </is>
      </c>
      <c r="C574" s="45" t="n">
        <v>36.64</v>
      </c>
      <c r="D574" t="inlineStr">
        <is>
          <t>€/MWh</t>
        </is>
      </c>
      <c r="E574" s="54" t="n">
        <v>0.03664</v>
      </c>
      <c r="F574" s="54" t="n"/>
      <c r="G574" t="inlineStr">
        <is>
          <t>no aplica (precio mayorista)</t>
        </is>
      </c>
      <c r="J574" t="inlineStr">
        <is>
          <t>2021-07-23</t>
        </is>
      </c>
      <c r="K574" t="inlineStr">
        <is>
          <t>MIBGAS_Data_2021.xlsx</t>
        </is>
      </c>
      <c r="L574" t="inlineStr">
        <is>
          <t>volumen 68744 MWh</t>
        </is>
      </c>
    </row>
    <row r="575">
      <c r="A575" s="53" t="n">
        <v>44401</v>
      </c>
      <c r="B575" t="inlineStr">
        <is>
          <t>2021-07-24</t>
        </is>
      </c>
      <c r="C575" s="45" t="n">
        <v>35.43</v>
      </c>
      <c r="D575" t="inlineStr">
        <is>
          <t>€/MWh</t>
        </is>
      </c>
      <c r="E575" s="54" t="n">
        <v>0.03543</v>
      </c>
      <c r="F575" s="54" t="n"/>
      <c r="G575" t="inlineStr">
        <is>
          <t>no aplica (precio mayorista)</t>
        </is>
      </c>
      <c r="J575" t="inlineStr">
        <is>
          <t>2021-07-24</t>
        </is>
      </c>
      <c r="K575" t="inlineStr">
        <is>
          <t>MIBGAS_Data_2021.xlsx</t>
        </is>
      </c>
      <c r="L575" t="inlineStr">
        <is>
          <t>volumen 103883 MWh</t>
        </is>
      </c>
    </row>
    <row r="576">
      <c r="A576" s="53" t="n">
        <v>44402</v>
      </c>
      <c r="B576" t="inlineStr">
        <is>
          <t>2021-07-25</t>
        </is>
      </c>
      <c r="C576" s="45" t="n">
        <v>35.47</v>
      </c>
      <c r="D576" t="inlineStr">
        <is>
          <t>€/MWh</t>
        </is>
      </c>
      <c r="E576" s="54" t="n">
        <v>0.03547</v>
      </c>
      <c r="F576" s="54" t="n"/>
      <c r="G576" t="inlineStr">
        <is>
          <t>no aplica (precio mayorista)</t>
        </is>
      </c>
      <c r="J576" t="inlineStr">
        <is>
          <t>2021-07-25</t>
        </is>
      </c>
      <c r="K576" t="inlineStr">
        <is>
          <t>MIBGAS_Data_2021.xlsx</t>
        </is>
      </c>
      <c r="L576" t="inlineStr">
        <is>
          <t>volumen 90508 MWh</t>
        </is>
      </c>
    </row>
    <row r="577">
      <c r="A577" s="53" t="n">
        <v>44403</v>
      </c>
      <c r="B577" t="inlineStr">
        <is>
          <t>2021-07-26</t>
        </is>
      </c>
      <c r="C577" s="45" t="n">
        <v>38.11</v>
      </c>
      <c r="D577" t="inlineStr">
        <is>
          <t>€/MWh</t>
        </is>
      </c>
      <c r="E577" s="54" t="n">
        <v>0.03811</v>
      </c>
      <c r="F577" s="54" t="n"/>
      <c r="G577" t="inlineStr">
        <is>
          <t>no aplica (precio mayorista)</t>
        </is>
      </c>
      <c r="J577" t="inlineStr">
        <is>
          <t>2021-07-26</t>
        </is>
      </c>
      <c r="K577" t="inlineStr">
        <is>
          <t>MIBGAS_Data_2021.xlsx</t>
        </is>
      </c>
      <c r="L577" t="inlineStr">
        <is>
          <t>volumen 101748 MWh</t>
        </is>
      </c>
    </row>
    <row r="578">
      <c r="A578" s="53" t="n">
        <v>44404</v>
      </c>
      <c r="B578" t="inlineStr">
        <is>
          <t>2021-07-27</t>
        </is>
      </c>
      <c r="C578" s="45" t="n">
        <v>37.77</v>
      </c>
      <c r="D578" t="inlineStr">
        <is>
          <t>€/MWh</t>
        </is>
      </c>
      <c r="E578" s="54" t="n">
        <v>0.03777</v>
      </c>
      <c r="F578" s="54" t="n"/>
      <c r="G578" t="inlineStr">
        <is>
          <t>no aplica (precio mayorista)</t>
        </is>
      </c>
      <c r="J578" t="inlineStr">
        <is>
          <t>2021-07-27</t>
        </is>
      </c>
      <c r="K578" t="inlineStr">
        <is>
          <t>MIBGAS_Data_2021.xlsx</t>
        </is>
      </c>
      <c r="L578" t="inlineStr">
        <is>
          <t>volumen 77768 MWh</t>
        </is>
      </c>
    </row>
    <row r="579">
      <c r="A579" s="53" t="n">
        <v>44405</v>
      </c>
      <c r="B579" t="inlineStr">
        <is>
          <t>2021-07-28</t>
        </is>
      </c>
      <c r="C579" s="45" t="n">
        <v>38.24</v>
      </c>
      <c r="D579" t="inlineStr">
        <is>
          <t>€/MWh</t>
        </is>
      </c>
      <c r="E579" s="54" t="n">
        <v>0.03824</v>
      </c>
      <c r="F579" s="54" t="n"/>
      <c r="G579" t="inlineStr">
        <is>
          <t>no aplica (precio mayorista)</t>
        </is>
      </c>
      <c r="J579" t="inlineStr">
        <is>
          <t>2021-07-28</t>
        </is>
      </c>
      <c r="K579" t="inlineStr">
        <is>
          <t>MIBGAS_Data_2021.xlsx</t>
        </is>
      </c>
      <c r="L579" t="inlineStr">
        <is>
          <t>volumen 91814 MWh</t>
        </is>
      </c>
    </row>
    <row r="580">
      <c r="A580" s="53" t="n">
        <v>44406</v>
      </c>
      <c r="B580" t="inlineStr">
        <is>
          <t>2021-07-29</t>
        </is>
      </c>
      <c r="C580" s="45" t="n">
        <v>39.38</v>
      </c>
      <c r="D580" t="inlineStr">
        <is>
          <t>€/MWh</t>
        </is>
      </c>
      <c r="E580" s="54" t="n">
        <v>0.03938</v>
      </c>
      <c r="F580" s="54" t="n"/>
      <c r="G580" t="inlineStr">
        <is>
          <t>no aplica (precio mayorista)</t>
        </is>
      </c>
      <c r="J580" t="inlineStr">
        <is>
          <t>2021-07-29</t>
        </is>
      </c>
      <c r="K580" t="inlineStr">
        <is>
          <t>MIBGAS_Data_2021.xlsx</t>
        </is>
      </c>
      <c r="L580" t="inlineStr">
        <is>
          <t>volumen 102817 MWh</t>
        </is>
      </c>
    </row>
    <row r="581">
      <c r="A581" s="53" t="n">
        <v>44407</v>
      </c>
      <c r="B581" t="inlineStr">
        <is>
          <t>2021-07-30</t>
        </is>
      </c>
      <c r="C581" s="45" t="n">
        <v>40.27</v>
      </c>
      <c r="D581" t="inlineStr">
        <is>
          <t>€/MWh</t>
        </is>
      </c>
      <c r="E581" s="54" t="n">
        <v>0.04027</v>
      </c>
      <c r="F581" s="54" t="n"/>
      <c r="G581" t="inlineStr">
        <is>
          <t>no aplica (precio mayorista)</t>
        </is>
      </c>
      <c r="J581" t="inlineStr">
        <is>
          <t>2021-07-30</t>
        </is>
      </c>
      <c r="K581" t="inlineStr">
        <is>
          <t>MIBGAS_Data_2021.xlsx</t>
        </is>
      </c>
      <c r="L581" t="inlineStr">
        <is>
          <t>volumen 132934 MWh</t>
        </is>
      </c>
    </row>
    <row r="582">
      <c r="A582" s="53" t="n">
        <v>44408</v>
      </c>
      <c r="B582" t="inlineStr">
        <is>
          <t>2021-07-31</t>
        </is>
      </c>
      <c r="C582" s="45" t="n">
        <v>38.87</v>
      </c>
      <c r="D582" t="inlineStr">
        <is>
          <t>€/MWh</t>
        </is>
      </c>
      <c r="E582" s="54" t="n">
        <v>0.03887</v>
      </c>
      <c r="F582" s="54" t="n"/>
      <c r="G582" t="inlineStr">
        <is>
          <t>no aplica (precio mayorista)</t>
        </is>
      </c>
      <c r="J582" t="inlineStr">
        <is>
          <t>2021-07-31</t>
        </is>
      </c>
      <c r="K582" t="inlineStr">
        <is>
          <t>MIBGAS_Data_2021.xlsx</t>
        </is>
      </c>
      <c r="L582" t="inlineStr">
        <is>
          <t>volumen 183040 MWh</t>
        </is>
      </c>
    </row>
    <row r="583">
      <c r="A583" s="53" t="n">
        <v>44409</v>
      </c>
      <c r="B583" t="inlineStr">
        <is>
          <t>2021-08-01</t>
        </is>
      </c>
      <c r="C583" s="45" t="n">
        <v>39.53</v>
      </c>
      <c r="D583" t="inlineStr">
        <is>
          <t>€/MWh</t>
        </is>
      </c>
      <c r="E583" s="54" t="n">
        <v>0.03953</v>
      </c>
      <c r="F583" s="54" t="n"/>
      <c r="G583" t="inlineStr">
        <is>
          <t>no aplica (precio mayorista)</t>
        </is>
      </c>
      <c r="J583" t="inlineStr">
        <is>
          <t>2021-08-01</t>
        </is>
      </c>
      <c r="K583" t="inlineStr">
        <is>
          <t>MIBGAS_Data_2021.xlsx</t>
        </is>
      </c>
      <c r="L583" t="inlineStr">
        <is>
          <t>volumen 127014 MWh</t>
        </is>
      </c>
    </row>
    <row r="584">
      <c r="A584" s="53" t="n">
        <v>44410</v>
      </c>
      <c r="B584" t="inlineStr">
        <is>
          <t>2021-08-02</t>
        </is>
      </c>
      <c r="C584" s="45" t="n">
        <v>41.55</v>
      </c>
      <c r="D584" t="inlineStr">
        <is>
          <t>€/MWh</t>
        </is>
      </c>
      <c r="E584" s="54" t="n">
        <v>0.04155</v>
      </c>
      <c r="F584" s="54" t="n"/>
      <c r="G584" t="inlineStr">
        <is>
          <t>no aplica (precio mayorista)</t>
        </is>
      </c>
      <c r="J584" t="inlineStr">
        <is>
          <t>2021-08-02</t>
        </is>
      </c>
      <c r="K584" t="inlineStr">
        <is>
          <t>MIBGAS_Data_2021.xlsx</t>
        </is>
      </c>
      <c r="L584" t="inlineStr">
        <is>
          <t>volumen 107345 MWh</t>
        </is>
      </c>
    </row>
    <row r="585">
      <c r="A585" s="53" t="n">
        <v>44411</v>
      </c>
      <c r="B585" t="inlineStr">
        <is>
          <t>2021-08-03</t>
        </is>
      </c>
      <c r="C585" s="45" t="n">
        <v>41.79</v>
      </c>
      <c r="D585" t="inlineStr">
        <is>
          <t>€/MWh</t>
        </is>
      </c>
      <c r="E585" s="54" t="n">
        <v>0.04179</v>
      </c>
      <c r="F585" s="54" t="n"/>
      <c r="G585" t="inlineStr">
        <is>
          <t>no aplica (precio mayorista)</t>
        </is>
      </c>
      <c r="J585" t="inlineStr">
        <is>
          <t>2021-08-03</t>
        </is>
      </c>
      <c r="K585" t="inlineStr">
        <is>
          <t>MIBGAS_Data_2021.xlsx</t>
        </is>
      </c>
      <c r="L585" t="inlineStr">
        <is>
          <t>volumen 138389 MWh</t>
        </is>
      </c>
    </row>
    <row r="586">
      <c r="A586" s="53" t="n">
        <v>44412</v>
      </c>
      <c r="B586" t="inlineStr">
        <is>
          <t>2021-08-04</t>
        </is>
      </c>
      <c r="C586" s="45" t="n">
        <v>41.99</v>
      </c>
      <c r="D586" t="inlineStr">
        <is>
          <t>€/MWh</t>
        </is>
      </c>
      <c r="E586" s="54" t="n">
        <v>0.04199</v>
      </c>
      <c r="F586" s="54" t="n"/>
      <c r="G586" t="inlineStr">
        <is>
          <t>no aplica (precio mayorista)</t>
        </is>
      </c>
      <c r="J586" t="inlineStr">
        <is>
          <t>2021-08-04</t>
        </is>
      </c>
      <c r="K586" t="inlineStr">
        <is>
          <t>MIBGAS_Data_2021.xlsx</t>
        </is>
      </c>
      <c r="L586" t="inlineStr">
        <is>
          <t>volumen 95329 MWh</t>
        </is>
      </c>
    </row>
    <row r="587">
      <c r="A587" s="53" t="n">
        <v>44413</v>
      </c>
      <c r="B587" t="inlineStr">
        <is>
          <t>2021-08-05</t>
        </is>
      </c>
      <c r="C587" s="45" t="n">
        <v>41.77</v>
      </c>
      <c r="D587" t="inlineStr">
        <is>
          <t>€/MWh</t>
        </is>
      </c>
      <c r="E587" s="54" t="n">
        <v>0.04177</v>
      </c>
      <c r="F587" s="54" t="n"/>
      <c r="G587" t="inlineStr">
        <is>
          <t>no aplica (precio mayorista)</t>
        </is>
      </c>
      <c r="J587" t="inlineStr">
        <is>
          <t>2021-08-05</t>
        </is>
      </c>
      <c r="K587" t="inlineStr">
        <is>
          <t>MIBGAS_Data_2021.xlsx</t>
        </is>
      </c>
      <c r="L587" t="inlineStr">
        <is>
          <t>volumen 93657 MWh</t>
        </is>
      </c>
    </row>
    <row r="588">
      <c r="A588" s="53" t="n">
        <v>44414</v>
      </c>
      <c r="B588" t="inlineStr">
        <is>
          <t>2021-08-06</t>
        </is>
      </c>
      <c r="C588" s="45" t="n">
        <v>41.93</v>
      </c>
      <c r="D588" t="inlineStr">
        <is>
          <t>€/MWh</t>
        </is>
      </c>
      <c r="E588" s="54" t="n">
        <v>0.04193</v>
      </c>
      <c r="F588" s="54" t="n"/>
      <c r="G588" t="inlineStr">
        <is>
          <t>no aplica (precio mayorista)</t>
        </is>
      </c>
      <c r="J588" t="inlineStr">
        <is>
          <t>2021-08-06</t>
        </is>
      </c>
      <c r="K588" t="inlineStr">
        <is>
          <t>MIBGAS_Data_2021.xlsx</t>
        </is>
      </c>
      <c r="L588" t="inlineStr">
        <is>
          <t>volumen 105275 MWh</t>
        </is>
      </c>
    </row>
    <row r="589">
      <c r="A589" s="53" t="n">
        <v>44415</v>
      </c>
      <c r="B589" t="inlineStr">
        <is>
          <t>2021-08-07</t>
        </is>
      </c>
      <c r="C589" s="45" t="n">
        <v>42.59</v>
      </c>
      <c r="D589" t="inlineStr">
        <is>
          <t>€/MWh</t>
        </is>
      </c>
      <c r="E589" s="54" t="n">
        <v>0.04259</v>
      </c>
      <c r="F589" s="54" t="n"/>
      <c r="G589" t="inlineStr">
        <is>
          <t>no aplica (precio mayorista)</t>
        </is>
      </c>
      <c r="J589" t="inlineStr">
        <is>
          <t>2021-08-07</t>
        </is>
      </c>
      <c r="K589" t="inlineStr">
        <is>
          <t>MIBGAS_Data_2021.xlsx</t>
        </is>
      </c>
      <c r="L589" t="inlineStr">
        <is>
          <t>volumen 84488 MWh</t>
        </is>
      </c>
    </row>
    <row r="590">
      <c r="A590" s="53" t="n">
        <v>44416</v>
      </c>
      <c r="B590" t="inlineStr">
        <is>
          <t>2021-08-08</t>
        </is>
      </c>
      <c r="C590" s="45" t="n">
        <v>42.71</v>
      </c>
      <c r="D590" t="inlineStr">
        <is>
          <t>€/MWh</t>
        </is>
      </c>
      <c r="E590" s="54" t="n">
        <v>0.04271</v>
      </c>
      <c r="F590" s="54" t="n"/>
      <c r="G590" t="inlineStr">
        <is>
          <t>no aplica (precio mayorista)</t>
        </is>
      </c>
      <c r="J590" t="inlineStr">
        <is>
          <t>2021-08-08</t>
        </is>
      </c>
      <c r="K590" t="inlineStr">
        <is>
          <t>MIBGAS_Data_2021.xlsx</t>
        </is>
      </c>
      <c r="L590" t="inlineStr">
        <is>
          <t>volumen 94911 MWh</t>
        </is>
      </c>
    </row>
    <row r="591">
      <c r="A591" s="53" t="n">
        <v>44417</v>
      </c>
      <c r="B591" t="inlineStr">
        <is>
          <t>2021-08-09</t>
        </is>
      </c>
      <c r="C591" s="45" t="n">
        <v>42.56</v>
      </c>
      <c r="D591" t="inlineStr">
        <is>
          <t>€/MWh</t>
        </is>
      </c>
      <c r="E591" s="54" t="n">
        <v>0.04256</v>
      </c>
      <c r="F591" s="54" t="n"/>
      <c r="G591" t="inlineStr">
        <is>
          <t>no aplica (precio mayorista)</t>
        </is>
      </c>
      <c r="J591" t="inlineStr">
        <is>
          <t>2021-08-09</t>
        </is>
      </c>
      <c r="K591" t="inlineStr">
        <is>
          <t>MIBGAS_Data_2021.xlsx</t>
        </is>
      </c>
      <c r="L591" t="inlineStr">
        <is>
          <t>volumen 153371 MWh</t>
        </is>
      </c>
    </row>
    <row r="592">
      <c r="A592" s="53" t="n">
        <v>44418</v>
      </c>
      <c r="B592" t="inlineStr">
        <is>
          <t>2021-08-10</t>
        </is>
      </c>
      <c r="C592" s="45" t="n">
        <v>43.58</v>
      </c>
      <c r="D592" t="inlineStr">
        <is>
          <t>€/MWh</t>
        </is>
      </c>
      <c r="E592" s="54" t="n">
        <v>0.04358</v>
      </c>
      <c r="F592" s="54" t="n"/>
      <c r="G592" t="inlineStr">
        <is>
          <t>no aplica (precio mayorista)</t>
        </is>
      </c>
      <c r="J592" t="inlineStr">
        <is>
          <t>2021-08-10</t>
        </is>
      </c>
      <c r="K592" t="inlineStr">
        <is>
          <t>MIBGAS_Data_2021.xlsx</t>
        </is>
      </c>
      <c r="L592" t="inlineStr">
        <is>
          <t>volumen 87629 MWh</t>
        </is>
      </c>
    </row>
    <row r="593">
      <c r="A593" s="53" t="n">
        <v>44419</v>
      </c>
      <c r="B593" t="inlineStr">
        <is>
          <t>2021-08-11</t>
        </is>
      </c>
      <c r="C593" s="45" t="n">
        <v>44.84</v>
      </c>
      <c r="D593" t="inlineStr">
        <is>
          <t>€/MWh</t>
        </is>
      </c>
      <c r="E593" s="54" t="n">
        <v>0.04484</v>
      </c>
      <c r="F593" s="54" t="n"/>
      <c r="G593" t="inlineStr">
        <is>
          <t>no aplica (precio mayorista)</t>
        </is>
      </c>
      <c r="J593" t="inlineStr">
        <is>
          <t>2021-08-11</t>
        </is>
      </c>
      <c r="K593" t="inlineStr">
        <is>
          <t>MIBGAS_Data_2021.xlsx</t>
        </is>
      </c>
      <c r="L593" t="inlineStr">
        <is>
          <t>volumen 91225 MWh</t>
        </is>
      </c>
    </row>
    <row r="594">
      <c r="A594" s="53" t="n">
        <v>44420</v>
      </c>
      <c r="B594" t="inlineStr">
        <is>
          <t>2021-08-12</t>
        </is>
      </c>
      <c r="C594" s="45" t="n">
        <v>45.79</v>
      </c>
      <c r="D594" t="inlineStr">
        <is>
          <t>€/MWh</t>
        </is>
      </c>
      <c r="E594" s="54" t="n">
        <v>0.04579</v>
      </c>
      <c r="F594" s="54" t="n"/>
      <c r="G594" t="inlineStr">
        <is>
          <t>no aplica (precio mayorista)</t>
        </is>
      </c>
      <c r="J594" t="inlineStr">
        <is>
          <t>2021-08-12</t>
        </is>
      </c>
      <c r="K594" t="inlineStr">
        <is>
          <t>MIBGAS_Data_2021.xlsx</t>
        </is>
      </c>
      <c r="L594" t="inlineStr">
        <is>
          <t>volumen 97968 MWh</t>
        </is>
      </c>
    </row>
    <row r="595">
      <c r="A595" s="53" t="n">
        <v>44421</v>
      </c>
      <c r="B595" t="inlineStr">
        <is>
          <t>2021-08-13</t>
        </is>
      </c>
      <c r="C595" s="45" t="n">
        <v>46.4</v>
      </c>
      <c r="D595" t="inlineStr">
        <is>
          <t>€/MWh</t>
        </is>
      </c>
      <c r="E595" s="54" t="n">
        <v>0.0464</v>
      </c>
      <c r="F595" s="54" t="n"/>
      <c r="G595" t="inlineStr">
        <is>
          <t>no aplica (precio mayorista)</t>
        </is>
      </c>
      <c r="J595" t="inlineStr">
        <is>
          <t>2021-08-13</t>
        </is>
      </c>
      <c r="K595" t="inlineStr">
        <is>
          <t>MIBGAS_Data_2021.xlsx</t>
        </is>
      </c>
      <c r="L595" t="inlineStr">
        <is>
          <t>volumen 110879 MWh</t>
        </is>
      </c>
    </row>
    <row r="596">
      <c r="A596" s="53" t="n">
        <v>44422</v>
      </c>
      <c r="B596" t="inlineStr">
        <is>
          <t>2021-08-14</t>
        </is>
      </c>
      <c r="C596" s="45" t="n">
        <v>48.57</v>
      </c>
      <c r="D596" t="inlineStr">
        <is>
          <t>€/MWh</t>
        </is>
      </c>
      <c r="E596" s="54" t="n">
        <v>0.04857</v>
      </c>
      <c r="F596" s="54" t="n"/>
      <c r="G596" t="inlineStr">
        <is>
          <t>no aplica (precio mayorista)</t>
        </is>
      </c>
      <c r="J596" t="inlineStr">
        <is>
          <t>2021-08-14</t>
        </is>
      </c>
      <c r="K596" t="inlineStr">
        <is>
          <t>MIBGAS_Data_2021.xlsx</t>
        </is>
      </c>
      <c r="L596" t="inlineStr">
        <is>
          <t>volumen 228957 MWh</t>
        </is>
      </c>
    </row>
    <row r="597">
      <c r="A597" s="53" t="n">
        <v>44423</v>
      </c>
      <c r="B597" t="inlineStr">
        <is>
          <t>2021-08-15</t>
        </is>
      </c>
      <c r="C597" s="45" t="n">
        <v>45.76</v>
      </c>
      <c r="D597" t="inlineStr">
        <is>
          <t>€/MWh</t>
        </is>
      </c>
      <c r="E597" s="54" t="n">
        <v>0.04576</v>
      </c>
      <c r="F597" s="54" t="n"/>
      <c r="G597" t="inlineStr">
        <is>
          <t>no aplica (precio mayorista)</t>
        </is>
      </c>
      <c r="J597" t="inlineStr">
        <is>
          <t>2021-08-15</t>
        </is>
      </c>
      <c r="K597" t="inlineStr">
        <is>
          <t>MIBGAS_Data_2021.xlsx</t>
        </is>
      </c>
      <c r="L597" t="inlineStr">
        <is>
          <t>volumen 171040 MWh</t>
        </is>
      </c>
    </row>
    <row r="598">
      <c r="A598" s="53" t="n">
        <v>44424</v>
      </c>
      <c r="B598" t="inlineStr">
        <is>
          <t>2021-08-16</t>
        </is>
      </c>
      <c r="C598" s="45" t="n">
        <v>46.06</v>
      </c>
      <c r="D598" t="inlineStr">
        <is>
          <t>€/MWh</t>
        </is>
      </c>
      <c r="E598" s="54" t="n">
        <v>0.04606</v>
      </c>
      <c r="F598" s="54" t="n"/>
      <c r="G598" t="inlineStr">
        <is>
          <t>no aplica (precio mayorista)</t>
        </is>
      </c>
      <c r="J598" t="inlineStr">
        <is>
          <t>2021-08-16</t>
        </is>
      </c>
      <c r="K598" t="inlineStr">
        <is>
          <t>MIBGAS_Data_2021.xlsx</t>
        </is>
      </c>
      <c r="L598" t="inlineStr">
        <is>
          <t>volumen 114329 MWh</t>
        </is>
      </c>
    </row>
    <row r="599">
      <c r="A599" s="53" t="n">
        <v>44425</v>
      </c>
      <c r="B599" t="inlineStr">
        <is>
          <t>2021-08-17</t>
        </is>
      </c>
      <c r="C599" s="45" t="n">
        <v>47.24</v>
      </c>
      <c r="D599" t="inlineStr">
        <is>
          <t>€/MWh</t>
        </is>
      </c>
      <c r="E599" s="54" t="n">
        <v>0.04724</v>
      </c>
      <c r="F599" s="54" t="n"/>
      <c r="G599" t="inlineStr">
        <is>
          <t>no aplica (precio mayorista)</t>
        </is>
      </c>
      <c r="J599" t="inlineStr">
        <is>
          <t>2021-08-17</t>
        </is>
      </c>
      <c r="K599" t="inlineStr">
        <is>
          <t>MIBGAS_Data_2021.xlsx</t>
        </is>
      </c>
      <c r="L599" t="inlineStr">
        <is>
          <t>volumen 140461 MWh</t>
        </is>
      </c>
    </row>
    <row r="600">
      <c r="A600" s="53" t="n">
        <v>44426</v>
      </c>
      <c r="B600" t="inlineStr">
        <is>
          <t>2021-08-18</t>
        </is>
      </c>
      <c r="C600" s="45" t="n">
        <v>47.36</v>
      </c>
      <c r="D600" t="inlineStr">
        <is>
          <t>€/MWh</t>
        </is>
      </c>
      <c r="E600" s="54" t="n">
        <v>0.04736</v>
      </c>
      <c r="F600" s="54" t="n"/>
      <c r="G600" t="inlineStr">
        <is>
          <t>no aplica (precio mayorista)</t>
        </is>
      </c>
      <c r="J600" t="inlineStr">
        <is>
          <t>2021-08-18</t>
        </is>
      </c>
      <c r="K600" t="inlineStr">
        <is>
          <t>MIBGAS_Data_2021.xlsx</t>
        </is>
      </c>
      <c r="L600" t="inlineStr">
        <is>
          <t>volumen 114589 MWh</t>
        </is>
      </c>
    </row>
    <row r="601">
      <c r="A601" s="53" t="n">
        <v>44427</v>
      </c>
      <c r="B601" t="inlineStr">
        <is>
          <t>2021-08-19</t>
        </is>
      </c>
      <c r="C601" s="45" t="n">
        <v>45.08</v>
      </c>
      <c r="D601" t="inlineStr">
        <is>
          <t>€/MWh</t>
        </is>
      </c>
      <c r="E601" s="54" t="n">
        <v>0.04508</v>
      </c>
      <c r="F601" s="54" t="n"/>
      <c r="G601" t="inlineStr">
        <is>
          <t>no aplica (precio mayorista)</t>
        </is>
      </c>
      <c r="J601" t="inlineStr">
        <is>
          <t>2021-08-19</t>
        </is>
      </c>
      <c r="K601" t="inlineStr">
        <is>
          <t>MIBGAS_Data_2021.xlsx</t>
        </is>
      </c>
      <c r="L601" t="inlineStr">
        <is>
          <t>volumen 118518 MWh</t>
        </is>
      </c>
    </row>
    <row r="602">
      <c r="A602" s="53" t="n">
        <v>44428</v>
      </c>
      <c r="B602" t="inlineStr">
        <is>
          <t>2021-08-20</t>
        </is>
      </c>
      <c r="C602" s="45" t="n">
        <v>42.98</v>
      </c>
      <c r="D602" t="inlineStr">
        <is>
          <t>€/MWh</t>
        </is>
      </c>
      <c r="E602" s="54" t="n">
        <v>0.04298</v>
      </c>
      <c r="F602" s="54" t="n"/>
      <c r="G602" t="inlineStr">
        <is>
          <t>no aplica (precio mayorista)</t>
        </is>
      </c>
      <c r="J602" t="inlineStr">
        <is>
          <t>2021-08-20</t>
        </is>
      </c>
      <c r="K602" t="inlineStr">
        <is>
          <t>MIBGAS_Data_2021.xlsx</t>
        </is>
      </c>
      <c r="L602" t="inlineStr">
        <is>
          <t>volumen 118670 MWh</t>
        </is>
      </c>
    </row>
    <row r="603">
      <c r="A603" s="53" t="n">
        <v>44429</v>
      </c>
      <c r="B603" t="inlineStr">
        <is>
          <t>2021-08-21</t>
        </is>
      </c>
      <c r="C603" s="45" t="n">
        <v>41.8</v>
      </c>
      <c r="D603" t="inlineStr">
        <is>
          <t>€/MWh</t>
        </is>
      </c>
      <c r="E603" s="54" t="n">
        <v>0.0418</v>
      </c>
      <c r="F603" s="54" t="n"/>
      <c r="G603" t="inlineStr">
        <is>
          <t>no aplica (precio mayorista)</t>
        </is>
      </c>
      <c r="J603" t="inlineStr">
        <is>
          <t>2021-08-21</t>
        </is>
      </c>
      <c r="K603" t="inlineStr">
        <is>
          <t>MIBGAS_Data_2021.xlsx</t>
        </is>
      </c>
      <c r="L603" t="inlineStr">
        <is>
          <t>volumen 120293 MWh</t>
        </is>
      </c>
    </row>
    <row r="604">
      <c r="A604" s="53" t="n">
        <v>44430</v>
      </c>
      <c r="B604" t="inlineStr">
        <is>
          <t>2021-08-22</t>
        </is>
      </c>
      <c r="C604" s="45" t="n">
        <v>41.43</v>
      </c>
      <c r="D604" t="inlineStr">
        <is>
          <t>€/MWh</t>
        </is>
      </c>
      <c r="E604" s="54" t="n">
        <v>0.04143</v>
      </c>
      <c r="F604" s="54" t="n"/>
      <c r="G604" t="inlineStr">
        <is>
          <t>no aplica (precio mayorista)</t>
        </is>
      </c>
      <c r="J604" t="inlineStr">
        <is>
          <t>2021-08-22</t>
        </is>
      </c>
      <c r="K604" t="inlineStr">
        <is>
          <t>MIBGAS_Data_2021.xlsx</t>
        </is>
      </c>
      <c r="L604" t="inlineStr">
        <is>
          <t>volumen 123444 MWh</t>
        </is>
      </c>
    </row>
    <row r="605">
      <c r="A605" s="53" t="n">
        <v>44431</v>
      </c>
      <c r="B605" t="inlineStr">
        <is>
          <t>2021-08-23</t>
        </is>
      </c>
      <c r="C605" s="45" t="n">
        <v>41.93</v>
      </c>
      <c r="D605" t="inlineStr">
        <is>
          <t>€/MWh</t>
        </is>
      </c>
      <c r="E605" s="54" t="n">
        <v>0.04193</v>
      </c>
      <c r="F605" s="54" t="n"/>
      <c r="G605" t="inlineStr">
        <is>
          <t>no aplica (precio mayorista)</t>
        </is>
      </c>
      <c r="J605" t="inlineStr">
        <is>
          <t>2021-08-23</t>
        </is>
      </c>
      <c r="K605" t="inlineStr">
        <is>
          <t>MIBGAS_Data_2021.xlsx</t>
        </is>
      </c>
      <c r="L605" t="inlineStr">
        <is>
          <t>volumen 95326 MWh</t>
        </is>
      </c>
    </row>
    <row r="606">
      <c r="A606" s="53" t="n">
        <v>44432</v>
      </c>
      <c r="B606" t="inlineStr">
        <is>
          <t>2021-08-24</t>
        </is>
      </c>
      <c r="C606" s="45" t="n">
        <v>43.22</v>
      </c>
      <c r="D606" t="inlineStr">
        <is>
          <t>€/MWh</t>
        </is>
      </c>
      <c r="E606" s="54" t="n">
        <v>0.04322</v>
      </c>
      <c r="F606" s="54" t="n"/>
      <c r="G606" t="inlineStr">
        <is>
          <t>no aplica (precio mayorista)</t>
        </is>
      </c>
      <c r="J606" t="inlineStr">
        <is>
          <t>2021-08-24</t>
        </is>
      </c>
      <c r="K606" t="inlineStr">
        <is>
          <t>MIBGAS_Data_2021.xlsx</t>
        </is>
      </c>
      <c r="L606" t="inlineStr">
        <is>
          <t>volumen 88254 MWh</t>
        </is>
      </c>
    </row>
    <row r="607">
      <c r="A607" s="53" t="n">
        <v>44433</v>
      </c>
      <c r="B607" t="inlineStr">
        <is>
          <t>2021-08-25</t>
        </is>
      </c>
      <c r="C607" s="45" t="n">
        <v>46.02</v>
      </c>
      <c r="D607" t="inlineStr">
        <is>
          <t>€/MWh</t>
        </is>
      </c>
      <c r="E607" s="54" t="n">
        <v>0.04602</v>
      </c>
      <c r="F607" s="54" t="n"/>
      <c r="G607" t="inlineStr">
        <is>
          <t>no aplica (precio mayorista)</t>
        </is>
      </c>
      <c r="J607" t="inlineStr">
        <is>
          <t>2021-08-25</t>
        </is>
      </c>
      <c r="K607" t="inlineStr">
        <is>
          <t>MIBGAS_Data_2021.xlsx</t>
        </is>
      </c>
      <c r="L607" t="inlineStr">
        <is>
          <t>volumen 138990 MWh</t>
        </is>
      </c>
    </row>
    <row r="608">
      <c r="A608" s="53" t="n">
        <v>44434</v>
      </c>
      <c r="B608" t="inlineStr">
        <is>
          <t>2021-08-26</t>
        </is>
      </c>
      <c r="C608" s="45" t="n">
        <v>47.43</v>
      </c>
      <c r="D608" t="inlineStr">
        <is>
          <t>€/MWh</t>
        </is>
      </c>
      <c r="E608" s="54" t="n">
        <v>0.04743</v>
      </c>
      <c r="F608" s="54" t="n"/>
      <c r="G608" t="inlineStr">
        <is>
          <t>no aplica (precio mayorista)</t>
        </is>
      </c>
      <c r="J608" t="inlineStr">
        <is>
          <t>2021-08-26</t>
        </is>
      </c>
      <c r="K608" t="inlineStr">
        <is>
          <t>MIBGAS_Data_2021.xlsx</t>
        </is>
      </c>
      <c r="L608" t="inlineStr">
        <is>
          <t>volumen 192167 MWh</t>
        </is>
      </c>
    </row>
    <row r="609">
      <c r="A609" s="53" t="n">
        <v>44435</v>
      </c>
      <c r="B609" t="inlineStr">
        <is>
          <t>2021-08-27</t>
        </is>
      </c>
      <c r="C609" s="45" t="n">
        <v>46.71</v>
      </c>
      <c r="D609" t="inlineStr">
        <is>
          <t>€/MWh</t>
        </is>
      </c>
      <c r="E609" s="54" t="n">
        <v>0.04671</v>
      </c>
      <c r="F609" s="54" t="n"/>
      <c r="G609" t="inlineStr">
        <is>
          <t>no aplica (precio mayorista)</t>
        </is>
      </c>
      <c r="J609" t="inlineStr">
        <is>
          <t>2021-08-27</t>
        </is>
      </c>
      <c r="K609" t="inlineStr">
        <is>
          <t>MIBGAS_Data_2021.xlsx</t>
        </is>
      </c>
      <c r="L609" t="inlineStr">
        <is>
          <t>volumen 144772 MWh</t>
        </is>
      </c>
    </row>
    <row r="610">
      <c r="A610" s="53" t="n">
        <v>44436</v>
      </c>
      <c r="B610" t="inlineStr">
        <is>
          <t>2021-08-28</t>
        </is>
      </c>
      <c r="C610" s="45" t="n">
        <v>46.28</v>
      </c>
      <c r="D610" t="inlineStr">
        <is>
          <t>€/MWh</t>
        </is>
      </c>
      <c r="E610" s="54" t="n">
        <v>0.04628</v>
      </c>
      <c r="F610" s="54" t="n"/>
      <c r="G610" t="inlineStr">
        <is>
          <t>no aplica (precio mayorista)</t>
        </is>
      </c>
      <c r="J610" t="inlineStr">
        <is>
          <t>2021-08-28</t>
        </is>
      </c>
      <c r="K610" t="inlineStr">
        <is>
          <t>MIBGAS_Data_2021.xlsx</t>
        </is>
      </c>
      <c r="L610" t="inlineStr">
        <is>
          <t>volumen 92174 MWh</t>
        </is>
      </c>
    </row>
    <row r="611">
      <c r="A611" s="53" t="n">
        <v>44437</v>
      </c>
      <c r="B611" t="inlineStr">
        <is>
          <t>2021-08-29</t>
        </is>
      </c>
      <c r="C611" s="45" t="n">
        <v>47.19</v>
      </c>
      <c r="D611" t="inlineStr">
        <is>
          <t>€/MWh</t>
        </is>
      </c>
      <c r="E611" s="54" t="n">
        <v>0.04719</v>
      </c>
      <c r="F611" s="54" t="n"/>
      <c r="G611" t="inlineStr">
        <is>
          <t>no aplica (precio mayorista)</t>
        </is>
      </c>
      <c r="J611" t="inlineStr">
        <is>
          <t>2021-08-29</t>
        </is>
      </c>
      <c r="K611" t="inlineStr">
        <is>
          <t>MIBGAS_Data_2021.xlsx</t>
        </is>
      </c>
      <c r="L611" t="inlineStr">
        <is>
          <t>volumen 112994 MWh</t>
        </is>
      </c>
    </row>
    <row r="612">
      <c r="A612" s="53" t="n">
        <v>44438</v>
      </c>
      <c r="B612" t="inlineStr">
        <is>
          <t>2021-08-30</t>
        </is>
      </c>
      <c r="C612" s="45" t="n">
        <v>49.69</v>
      </c>
      <c r="D612" t="inlineStr">
        <is>
          <t>€/MWh</t>
        </is>
      </c>
      <c r="E612" s="54" t="n">
        <v>0.04969</v>
      </c>
      <c r="F612" s="54" t="n"/>
      <c r="G612" t="inlineStr">
        <is>
          <t>no aplica (precio mayorista)</t>
        </is>
      </c>
      <c r="J612" t="inlineStr">
        <is>
          <t>2021-08-30</t>
        </is>
      </c>
      <c r="K612" t="inlineStr">
        <is>
          <t>MIBGAS_Data_2021.xlsx</t>
        </is>
      </c>
      <c r="L612" t="inlineStr">
        <is>
          <t>volumen 131758 MWh</t>
        </is>
      </c>
    </row>
    <row r="613">
      <c r="A613" s="53" t="n">
        <v>44439</v>
      </c>
      <c r="B613" t="inlineStr">
        <is>
          <t>2021-08-31</t>
        </is>
      </c>
      <c r="C613" s="45" t="n">
        <v>50.96</v>
      </c>
      <c r="D613" t="inlineStr">
        <is>
          <t>€/MWh</t>
        </is>
      </c>
      <c r="E613" s="54" t="n">
        <v>0.05096</v>
      </c>
      <c r="F613" s="54" t="n"/>
      <c r="G613" t="inlineStr">
        <is>
          <t>no aplica (precio mayorista)</t>
        </is>
      </c>
      <c r="J613" t="inlineStr">
        <is>
          <t>2021-08-31</t>
        </is>
      </c>
      <c r="K613" t="inlineStr">
        <is>
          <t>MIBGAS_Data_2021.xlsx</t>
        </is>
      </c>
      <c r="L613" t="inlineStr">
        <is>
          <t>volumen 160274 MWh</t>
        </is>
      </c>
    </row>
    <row r="614">
      <c r="A614" s="53" t="n">
        <v>44440</v>
      </c>
      <c r="B614" t="inlineStr">
        <is>
          <t>2021-09-01</t>
        </is>
      </c>
      <c r="C614" s="45" t="n">
        <v>52.48</v>
      </c>
      <c r="D614" t="inlineStr">
        <is>
          <t>€/MWh</t>
        </is>
      </c>
      <c r="E614" s="54" t="n">
        <v>0.05248</v>
      </c>
      <c r="F614" s="54" t="n"/>
      <c r="G614" t="inlineStr">
        <is>
          <t>no aplica (precio mayorista)</t>
        </is>
      </c>
      <c r="J614" t="inlineStr">
        <is>
          <t>2021-09-01</t>
        </is>
      </c>
      <c r="K614" t="inlineStr">
        <is>
          <t>MIBGAS_Data_2021.xlsx</t>
        </is>
      </c>
      <c r="L614" t="inlineStr">
        <is>
          <t>volumen 109023 MWh</t>
        </is>
      </c>
    </row>
    <row r="615">
      <c r="A615" s="53" t="n">
        <v>44441</v>
      </c>
      <c r="B615" t="inlineStr">
        <is>
          <t>2021-09-02</t>
        </is>
      </c>
      <c r="C615" s="45" t="n">
        <v>53.71</v>
      </c>
      <c r="D615" t="inlineStr">
        <is>
          <t>€/MWh</t>
        </is>
      </c>
      <c r="E615" s="54" t="n">
        <v>0.05371</v>
      </c>
      <c r="F615" s="54" t="n"/>
      <c r="G615" t="inlineStr">
        <is>
          <t>no aplica (precio mayorista)</t>
        </is>
      </c>
      <c r="J615" t="inlineStr">
        <is>
          <t>2021-09-02</t>
        </is>
      </c>
      <c r="K615" t="inlineStr">
        <is>
          <t>MIBGAS_Data_2021.xlsx</t>
        </is>
      </c>
      <c r="L615" t="inlineStr">
        <is>
          <t>volumen 134104 MWh</t>
        </is>
      </c>
    </row>
    <row r="616">
      <c r="A616" s="53" t="n">
        <v>44442</v>
      </c>
      <c r="B616" t="inlineStr">
        <is>
          <t>2021-09-03</t>
        </is>
      </c>
      <c r="C616" s="45" t="n">
        <v>53.11</v>
      </c>
      <c r="D616" t="inlineStr">
        <is>
          <t>€/MWh</t>
        </is>
      </c>
      <c r="E616" s="54" t="n">
        <v>0.05311</v>
      </c>
      <c r="F616" s="54" t="n"/>
      <c r="G616" t="inlineStr">
        <is>
          <t>no aplica (precio mayorista)</t>
        </is>
      </c>
      <c r="J616" t="inlineStr">
        <is>
          <t>2021-09-03</t>
        </is>
      </c>
      <c r="K616" t="inlineStr">
        <is>
          <t>MIBGAS_Data_2021.xlsx</t>
        </is>
      </c>
      <c r="L616" t="inlineStr">
        <is>
          <t>volumen 103717 MWh</t>
        </is>
      </c>
    </row>
    <row r="617">
      <c r="A617" s="53" t="n">
        <v>44443</v>
      </c>
      <c r="B617" t="inlineStr">
        <is>
          <t>2021-09-04</t>
        </is>
      </c>
      <c r="C617" s="45" t="n">
        <v>52.01</v>
      </c>
      <c r="D617" t="inlineStr">
        <is>
          <t>€/MWh</t>
        </is>
      </c>
      <c r="E617" s="54" t="n">
        <v>0.05201</v>
      </c>
      <c r="F617" s="54" t="n"/>
      <c r="G617" t="inlineStr">
        <is>
          <t>no aplica (precio mayorista)</t>
        </is>
      </c>
      <c r="J617" t="inlineStr">
        <is>
          <t>2021-09-04</t>
        </is>
      </c>
      <c r="K617" t="inlineStr">
        <is>
          <t>MIBGAS_Data_2021.xlsx</t>
        </is>
      </c>
      <c r="L617" t="inlineStr">
        <is>
          <t>volumen 92448 MWh</t>
        </is>
      </c>
    </row>
    <row r="618">
      <c r="A618" s="53" t="n">
        <v>44444</v>
      </c>
      <c r="B618" t="inlineStr">
        <is>
          <t>2021-09-05</t>
        </is>
      </c>
      <c r="C618" s="45" t="n">
        <v>51.52</v>
      </c>
      <c r="D618" t="inlineStr">
        <is>
          <t>€/MWh</t>
        </is>
      </c>
      <c r="E618" s="54" t="n">
        <v>0.05152</v>
      </c>
      <c r="F618" s="54" t="n"/>
      <c r="G618" t="inlineStr">
        <is>
          <t>no aplica (precio mayorista)</t>
        </is>
      </c>
      <c r="J618" t="inlineStr">
        <is>
          <t>2021-09-05</t>
        </is>
      </c>
      <c r="K618" t="inlineStr">
        <is>
          <t>MIBGAS_Data_2021.xlsx</t>
        </is>
      </c>
      <c r="L618" t="inlineStr">
        <is>
          <t>volumen 100582 MWh</t>
        </is>
      </c>
    </row>
    <row r="619">
      <c r="A619" s="53" t="n">
        <v>44445</v>
      </c>
      <c r="B619" t="inlineStr">
        <is>
          <t>2021-09-06</t>
        </is>
      </c>
      <c r="C619" s="45" t="n">
        <v>53.49</v>
      </c>
      <c r="D619" t="inlineStr">
        <is>
          <t>€/MWh</t>
        </is>
      </c>
      <c r="E619" s="54" t="n">
        <v>0.05349</v>
      </c>
      <c r="F619" s="54" t="n"/>
      <c r="G619" t="inlineStr">
        <is>
          <t>no aplica (precio mayorista)</t>
        </is>
      </c>
      <c r="J619" t="inlineStr">
        <is>
          <t>2021-09-06</t>
        </is>
      </c>
      <c r="K619" t="inlineStr">
        <is>
          <t>MIBGAS_Data_2021.xlsx</t>
        </is>
      </c>
      <c r="L619" t="inlineStr">
        <is>
          <t>volumen 85915 MWh</t>
        </is>
      </c>
    </row>
    <row r="620">
      <c r="A620" s="53" t="n">
        <v>44446</v>
      </c>
      <c r="B620" t="inlineStr">
        <is>
          <t>2021-09-07</t>
        </is>
      </c>
      <c r="C620" s="45" t="n">
        <v>54.14</v>
      </c>
      <c r="D620" t="inlineStr">
        <is>
          <t>€/MWh</t>
        </is>
      </c>
      <c r="E620" s="54" t="n">
        <v>0.05414</v>
      </c>
      <c r="F620" s="54" t="n"/>
      <c r="G620" t="inlineStr">
        <is>
          <t>no aplica (precio mayorista)</t>
        </is>
      </c>
      <c r="J620" t="inlineStr">
        <is>
          <t>2021-09-07</t>
        </is>
      </c>
      <c r="K620" t="inlineStr">
        <is>
          <t>MIBGAS_Data_2021.xlsx</t>
        </is>
      </c>
      <c r="L620" t="inlineStr">
        <is>
          <t>volumen 80208 MWh</t>
        </is>
      </c>
    </row>
    <row r="621">
      <c r="A621" s="53" t="n">
        <v>44447</v>
      </c>
      <c r="B621" t="inlineStr">
        <is>
          <t>2021-09-08</t>
        </is>
      </c>
      <c r="C621" s="45" t="n">
        <v>55.04</v>
      </c>
      <c r="D621" t="inlineStr">
        <is>
          <t>€/MWh</t>
        </is>
      </c>
      <c r="E621" s="54" t="n">
        <v>0.05504</v>
      </c>
      <c r="F621" s="54" t="n"/>
      <c r="G621" t="inlineStr">
        <is>
          <t>no aplica (precio mayorista)</t>
        </is>
      </c>
      <c r="J621" t="inlineStr">
        <is>
          <t>2021-09-08</t>
        </is>
      </c>
      <c r="K621" t="inlineStr">
        <is>
          <t>MIBGAS_Data_2021.xlsx</t>
        </is>
      </c>
      <c r="L621" t="inlineStr">
        <is>
          <t>volumen 71693 MWh</t>
        </is>
      </c>
    </row>
    <row r="622">
      <c r="A622" s="53" t="n">
        <v>44448</v>
      </c>
      <c r="B622" t="inlineStr">
        <is>
          <t>2021-09-09</t>
        </is>
      </c>
      <c r="C622" s="45" t="n">
        <v>58.54</v>
      </c>
      <c r="D622" t="inlineStr">
        <is>
          <t>€/MWh</t>
        </is>
      </c>
      <c r="E622" s="54" t="n">
        <v>0.05854</v>
      </c>
      <c r="F622" s="54" t="n"/>
      <c r="G622" t="inlineStr">
        <is>
          <t>no aplica (precio mayorista)</t>
        </is>
      </c>
      <c r="J622" t="inlineStr">
        <is>
          <t>2021-09-09</t>
        </is>
      </c>
      <c r="K622" t="inlineStr">
        <is>
          <t>MIBGAS_Data_2021.xlsx</t>
        </is>
      </c>
      <c r="L622" t="inlineStr">
        <is>
          <t>volumen 117116 MWh</t>
        </is>
      </c>
    </row>
    <row r="623">
      <c r="A623" s="53" t="n">
        <v>44449</v>
      </c>
      <c r="B623" t="inlineStr">
        <is>
          <t>2021-09-10</t>
        </is>
      </c>
      <c r="C623" s="45" t="n">
        <v>58.96</v>
      </c>
      <c r="D623" t="inlineStr">
        <is>
          <t>€/MWh</t>
        </is>
      </c>
      <c r="E623" s="54" t="n">
        <v>0.05896</v>
      </c>
      <c r="F623" s="54" t="n"/>
      <c r="G623" t="inlineStr">
        <is>
          <t>no aplica (precio mayorista)</t>
        </is>
      </c>
      <c r="J623" t="inlineStr">
        <is>
          <t>2021-09-10</t>
        </is>
      </c>
      <c r="K623" t="inlineStr">
        <is>
          <t>MIBGAS_Data_2021.xlsx</t>
        </is>
      </c>
      <c r="L623" t="inlineStr">
        <is>
          <t>volumen 147862 MWh</t>
        </is>
      </c>
    </row>
    <row r="624">
      <c r="A624" s="53" t="n">
        <v>44450</v>
      </c>
      <c r="B624" t="inlineStr">
        <is>
          <t>2021-09-11</t>
        </is>
      </c>
      <c r="C624" s="45" t="n">
        <v>59.17</v>
      </c>
      <c r="D624" t="inlineStr">
        <is>
          <t>€/MWh</t>
        </is>
      </c>
      <c r="E624" s="54" t="n">
        <v>0.05917</v>
      </c>
      <c r="F624" s="54" t="n"/>
      <c r="G624" t="inlineStr">
        <is>
          <t>no aplica (precio mayorista)</t>
        </is>
      </c>
      <c r="J624" t="inlineStr">
        <is>
          <t>2021-09-11</t>
        </is>
      </c>
      <c r="K624" t="inlineStr">
        <is>
          <t>MIBGAS_Data_2021.xlsx</t>
        </is>
      </c>
      <c r="L624" t="inlineStr">
        <is>
          <t>volumen 101373 MWh</t>
        </is>
      </c>
    </row>
    <row r="625">
      <c r="A625" s="53" t="n">
        <v>44451</v>
      </c>
      <c r="B625" t="inlineStr">
        <is>
          <t>2021-09-12</t>
        </is>
      </c>
      <c r="C625" s="45" t="n">
        <v>58.87</v>
      </c>
      <c r="D625" t="inlineStr">
        <is>
          <t>€/MWh</t>
        </is>
      </c>
      <c r="E625" s="54" t="n">
        <v>0.05887</v>
      </c>
      <c r="F625" s="54" t="n"/>
      <c r="G625" t="inlineStr">
        <is>
          <t>no aplica (precio mayorista)</t>
        </is>
      </c>
      <c r="J625" t="inlineStr">
        <is>
          <t>2021-09-12</t>
        </is>
      </c>
      <c r="K625" t="inlineStr">
        <is>
          <t>MIBGAS_Data_2021.xlsx</t>
        </is>
      </c>
      <c r="L625" t="inlineStr">
        <is>
          <t>volumen 84461 MWh</t>
        </is>
      </c>
    </row>
    <row r="626">
      <c r="A626" s="53" t="n">
        <v>44452</v>
      </c>
      <c r="B626" t="inlineStr">
        <is>
          <t>2021-09-13</t>
        </is>
      </c>
      <c r="C626" s="45" t="n">
        <v>61.77</v>
      </c>
      <c r="D626" t="inlineStr">
        <is>
          <t>€/MWh</t>
        </is>
      </c>
      <c r="E626" s="54" t="n">
        <v>0.06177</v>
      </c>
      <c r="F626" s="54" t="n"/>
      <c r="G626" t="inlineStr">
        <is>
          <t>no aplica (precio mayorista)</t>
        </is>
      </c>
      <c r="J626" t="inlineStr">
        <is>
          <t>2021-09-13</t>
        </is>
      </c>
      <c r="K626" t="inlineStr">
        <is>
          <t>MIBGAS_Data_2021.xlsx</t>
        </is>
      </c>
      <c r="L626" t="inlineStr">
        <is>
          <t>volumen 129185 MWh</t>
        </is>
      </c>
    </row>
    <row r="627">
      <c r="A627" s="53" t="n">
        <v>44453</v>
      </c>
      <c r="B627" t="inlineStr">
        <is>
          <t>2021-09-14</t>
        </is>
      </c>
      <c r="C627" s="45" t="n">
        <v>66.26000000000001</v>
      </c>
      <c r="D627" t="inlineStr">
        <is>
          <t>€/MWh</t>
        </is>
      </c>
      <c r="E627" s="54" t="n">
        <v>0.06626</v>
      </c>
      <c r="F627" s="54" t="n"/>
      <c r="G627" t="inlineStr">
        <is>
          <t>no aplica (precio mayorista)</t>
        </is>
      </c>
      <c r="J627" t="inlineStr">
        <is>
          <t>2021-09-14</t>
        </is>
      </c>
      <c r="K627" t="inlineStr">
        <is>
          <t>MIBGAS_Data_2021.xlsx</t>
        </is>
      </c>
      <c r="L627" t="inlineStr">
        <is>
          <t>volumen 185776 MWh</t>
        </is>
      </c>
    </row>
    <row r="628">
      <c r="A628" s="53" t="n">
        <v>44454</v>
      </c>
      <c r="B628" t="inlineStr">
        <is>
          <t>2021-09-15</t>
        </is>
      </c>
      <c r="C628" s="45" t="n">
        <v>71.29000000000001</v>
      </c>
      <c r="D628" t="inlineStr">
        <is>
          <t>€/MWh</t>
        </is>
      </c>
      <c r="E628" s="54" t="n">
        <v>0.07129000000000001</v>
      </c>
      <c r="F628" s="54" t="n"/>
      <c r="G628" t="inlineStr">
        <is>
          <t>no aplica (precio mayorista)</t>
        </is>
      </c>
      <c r="J628" t="inlineStr">
        <is>
          <t>2021-09-15</t>
        </is>
      </c>
      <c r="K628" t="inlineStr">
        <is>
          <t>MIBGAS_Data_2021.xlsx</t>
        </is>
      </c>
      <c r="L628" t="inlineStr">
        <is>
          <t>volumen 261817 MWh</t>
        </is>
      </c>
    </row>
    <row r="629">
      <c r="A629" s="53" t="n">
        <v>44455</v>
      </c>
      <c r="B629" t="inlineStr">
        <is>
          <t>2021-09-16</t>
        </is>
      </c>
      <c r="C629" s="45" t="n">
        <v>73.43000000000001</v>
      </c>
      <c r="D629" t="inlineStr">
        <is>
          <t>€/MWh</t>
        </is>
      </c>
      <c r="E629" s="54" t="n">
        <v>0.07343</v>
      </c>
      <c r="F629" s="54" t="n"/>
      <c r="G629" t="inlineStr">
        <is>
          <t>no aplica (precio mayorista)</t>
        </is>
      </c>
      <c r="J629" t="inlineStr">
        <is>
          <t>2021-09-16</t>
        </is>
      </c>
      <c r="K629" t="inlineStr">
        <is>
          <t>MIBGAS_Data_2021.xlsx</t>
        </is>
      </c>
      <c r="L629" t="inlineStr">
        <is>
          <t>volumen 233511 MWh</t>
        </is>
      </c>
    </row>
    <row r="630">
      <c r="A630" s="53" t="n">
        <v>44456</v>
      </c>
      <c r="B630" t="inlineStr">
        <is>
          <t>2021-09-17</t>
        </is>
      </c>
      <c r="C630" s="45" t="n">
        <v>67.34999999999999</v>
      </c>
      <c r="D630" t="inlineStr">
        <is>
          <t>€/MWh</t>
        </is>
      </c>
      <c r="E630" s="54" t="n">
        <v>0.06734999999999999</v>
      </c>
      <c r="F630" s="54" t="n"/>
      <c r="G630" t="inlineStr">
        <is>
          <t>no aplica (precio mayorista)</t>
        </is>
      </c>
      <c r="J630" t="inlineStr">
        <is>
          <t>2021-09-17</t>
        </is>
      </c>
      <c r="K630" t="inlineStr">
        <is>
          <t>MIBGAS_Data_2021.xlsx</t>
        </is>
      </c>
      <c r="L630" t="inlineStr">
        <is>
          <t>volumen 202461 MWh</t>
        </is>
      </c>
    </row>
    <row r="631">
      <c r="A631" s="53" t="n">
        <v>44457</v>
      </c>
      <c r="B631" t="inlineStr">
        <is>
          <t>2021-09-18</t>
        </is>
      </c>
      <c r="C631" s="45" t="n">
        <v>65.3</v>
      </c>
      <c r="D631" t="inlineStr">
        <is>
          <t>€/MWh</t>
        </is>
      </c>
      <c r="E631" s="54" t="n">
        <v>0.0653</v>
      </c>
      <c r="F631" s="54" t="n"/>
      <c r="G631" t="inlineStr">
        <is>
          <t>no aplica (precio mayorista)</t>
        </is>
      </c>
      <c r="J631" t="inlineStr">
        <is>
          <t>2021-09-18</t>
        </is>
      </c>
      <c r="K631" t="inlineStr">
        <is>
          <t>MIBGAS_Data_2021.xlsx</t>
        </is>
      </c>
      <c r="L631" t="inlineStr">
        <is>
          <t>volumen 134127 MWh</t>
        </is>
      </c>
    </row>
    <row r="632">
      <c r="A632" s="53" t="n">
        <v>44458</v>
      </c>
      <c r="B632" t="inlineStr">
        <is>
          <t>2021-09-19</t>
        </is>
      </c>
      <c r="C632" s="45" t="n">
        <v>62.33</v>
      </c>
      <c r="D632" t="inlineStr">
        <is>
          <t>€/MWh</t>
        </is>
      </c>
      <c r="E632" s="54" t="n">
        <v>0.06233</v>
      </c>
      <c r="F632" s="54" t="n"/>
      <c r="G632" t="inlineStr">
        <is>
          <t>no aplica (precio mayorista)</t>
        </is>
      </c>
      <c r="J632" t="inlineStr">
        <is>
          <t>2021-09-19</t>
        </is>
      </c>
      <c r="K632" t="inlineStr">
        <is>
          <t>MIBGAS_Data_2021.xlsx</t>
        </is>
      </c>
      <c r="L632" t="inlineStr">
        <is>
          <t>volumen 180070 MWh</t>
        </is>
      </c>
    </row>
    <row r="633">
      <c r="A633" s="53" t="n">
        <v>44459</v>
      </c>
      <c r="B633" t="inlineStr">
        <is>
          <t>2021-09-20</t>
        </is>
      </c>
      <c r="C633" s="45" t="n">
        <v>68</v>
      </c>
      <c r="D633" t="inlineStr">
        <is>
          <t>€/MWh</t>
        </is>
      </c>
      <c r="E633" s="54" t="n">
        <v>0.068</v>
      </c>
      <c r="F633" s="54" t="n"/>
      <c r="G633" t="inlineStr">
        <is>
          <t>no aplica (precio mayorista)</t>
        </is>
      </c>
      <c r="J633" t="inlineStr">
        <is>
          <t>2021-09-20</t>
        </is>
      </c>
      <c r="K633" t="inlineStr">
        <is>
          <t>MIBGAS_Data_2021.xlsx</t>
        </is>
      </c>
      <c r="L633" t="inlineStr">
        <is>
          <t>volumen 162250 MWh</t>
        </is>
      </c>
    </row>
    <row r="634">
      <c r="A634" s="53" t="n">
        <v>44460</v>
      </c>
      <c r="B634" t="inlineStr">
        <is>
          <t>2021-09-21</t>
        </is>
      </c>
      <c r="C634" s="45" t="n">
        <v>71.65000000000001</v>
      </c>
      <c r="D634" t="inlineStr">
        <is>
          <t>€/MWh</t>
        </is>
      </c>
      <c r="E634" s="54" t="n">
        <v>0.07165000000000001</v>
      </c>
      <c r="F634" s="54" t="n"/>
      <c r="G634" t="inlineStr">
        <is>
          <t>no aplica (precio mayorista)</t>
        </is>
      </c>
      <c r="J634" t="inlineStr">
        <is>
          <t>2021-09-21</t>
        </is>
      </c>
      <c r="K634" t="inlineStr">
        <is>
          <t>MIBGAS_Data_2021.xlsx</t>
        </is>
      </c>
      <c r="L634" t="inlineStr">
        <is>
          <t>volumen 192754 MWh</t>
        </is>
      </c>
    </row>
    <row r="635">
      <c r="A635" s="53" t="n">
        <v>44461</v>
      </c>
      <c r="B635" t="inlineStr">
        <is>
          <t>2021-09-22</t>
        </is>
      </c>
      <c r="C635" s="45" t="n">
        <v>72.95</v>
      </c>
      <c r="D635" t="inlineStr">
        <is>
          <t>€/MWh</t>
        </is>
      </c>
      <c r="E635" s="54" t="n">
        <v>0.07295</v>
      </c>
      <c r="F635" s="54" t="n"/>
      <c r="G635" t="inlineStr">
        <is>
          <t>no aplica (precio mayorista)</t>
        </is>
      </c>
      <c r="J635" t="inlineStr">
        <is>
          <t>2021-09-22</t>
        </is>
      </c>
      <c r="K635" t="inlineStr">
        <is>
          <t>MIBGAS_Data_2021.xlsx</t>
        </is>
      </c>
      <c r="L635" t="inlineStr">
        <is>
          <t>volumen 110452 MWh</t>
        </is>
      </c>
    </row>
    <row r="636">
      <c r="A636" s="53" t="n">
        <v>44462</v>
      </c>
      <c r="B636" t="inlineStr">
        <is>
          <t>2021-09-23</t>
        </is>
      </c>
      <c r="C636" s="45" t="n">
        <v>70.20999999999999</v>
      </c>
      <c r="D636" t="inlineStr">
        <is>
          <t>€/MWh</t>
        </is>
      </c>
      <c r="E636" s="54" t="n">
        <v>0.07020999999999999</v>
      </c>
      <c r="F636" s="54" t="n"/>
      <c r="G636" t="inlineStr">
        <is>
          <t>no aplica (precio mayorista)</t>
        </is>
      </c>
      <c r="J636" t="inlineStr">
        <is>
          <t>2021-09-23</t>
        </is>
      </c>
      <c r="K636" t="inlineStr">
        <is>
          <t>MIBGAS_Data_2021.xlsx</t>
        </is>
      </c>
      <c r="L636" t="inlineStr">
        <is>
          <t>volumen 120543 MWh</t>
        </is>
      </c>
    </row>
    <row r="637">
      <c r="A637" s="53" t="n">
        <v>44463</v>
      </c>
      <c r="B637" t="inlineStr">
        <is>
          <t>2021-09-24</t>
        </is>
      </c>
      <c r="C637" s="45" t="n">
        <v>69.94</v>
      </c>
      <c r="D637" t="inlineStr">
        <is>
          <t>€/MWh</t>
        </is>
      </c>
      <c r="E637" s="54" t="n">
        <v>0.06994</v>
      </c>
      <c r="F637" s="54" t="n"/>
      <c r="G637" t="inlineStr">
        <is>
          <t>no aplica (precio mayorista)</t>
        </is>
      </c>
      <c r="J637" t="inlineStr">
        <is>
          <t>2021-09-24</t>
        </is>
      </c>
      <c r="K637" t="inlineStr">
        <is>
          <t>MIBGAS_Data_2021.xlsx</t>
        </is>
      </c>
      <c r="L637" t="inlineStr">
        <is>
          <t>volumen 125682 MWh</t>
        </is>
      </c>
    </row>
    <row r="638">
      <c r="A638" s="53" t="n">
        <v>44464</v>
      </c>
      <c r="B638" t="inlineStr">
        <is>
          <t>2021-09-25</t>
        </is>
      </c>
      <c r="C638" s="45" t="n">
        <v>68.61</v>
      </c>
      <c r="D638" t="inlineStr">
        <is>
          <t>€/MWh</t>
        </is>
      </c>
      <c r="E638" s="54" t="n">
        <v>0.06861</v>
      </c>
      <c r="F638" s="54" t="n"/>
      <c r="G638" t="inlineStr">
        <is>
          <t>no aplica (precio mayorista)</t>
        </is>
      </c>
      <c r="J638" t="inlineStr">
        <is>
          <t>2021-09-25</t>
        </is>
      </c>
      <c r="K638" t="inlineStr">
        <is>
          <t>MIBGAS_Data_2021.xlsx</t>
        </is>
      </c>
      <c r="L638" t="inlineStr">
        <is>
          <t>volumen 91304 MWh</t>
        </is>
      </c>
    </row>
    <row r="639">
      <c r="A639" s="53" t="n">
        <v>44465</v>
      </c>
      <c r="B639" t="inlineStr">
        <is>
          <t>2021-09-26</t>
        </is>
      </c>
      <c r="C639" s="45" t="n">
        <v>69.09999999999999</v>
      </c>
      <c r="D639" t="inlineStr">
        <is>
          <t>€/MWh</t>
        </is>
      </c>
      <c r="E639" s="54" t="n">
        <v>0.06909999999999999</v>
      </c>
      <c r="F639" s="54" t="n"/>
      <c r="G639" t="inlineStr">
        <is>
          <t>no aplica (precio mayorista)</t>
        </is>
      </c>
      <c r="J639" t="inlineStr">
        <is>
          <t>2021-09-26</t>
        </is>
      </c>
      <c r="K639" t="inlineStr">
        <is>
          <t>MIBGAS_Data_2021.xlsx</t>
        </is>
      </c>
      <c r="L639" t="inlineStr">
        <is>
          <t>volumen 149366 MWh</t>
        </is>
      </c>
    </row>
    <row r="640">
      <c r="A640" s="53" t="n">
        <v>44466</v>
      </c>
      <c r="B640" t="inlineStr">
        <is>
          <t>2021-09-27</t>
        </is>
      </c>
      <c r="C640" s="45" t="n">
        <v>71.93000000000001</v>
      </c>
      <c r="D640" t="inlineStr">
        <is>
          <t>€/MWh</t>
        </is>
      </c>
      <c r="E640" s="54" t="n">
        <v>0.07192999999999999</v>
      </c>
      <c r="F640" s="54" t="n"/>
      <c r="G640" t="inlineStr">
        <is>
          <t>no aplica (precio mayorista)</t>
        </is>
      </c>
      <c r="J640" t="inlineStr">
        <is>
          <t>2021-09-27</t>
        </is>
      </c>
      <c r="K640" t="inlineStr">
        <is>
          <t>MIBGAS_Data_2021.xlsx</t>
        </is>
      </c>
      <c r="L640" t="inlineStr">
        <is>
          <t>volumen 182739 MWh</t>
        </is>
      </c>
    </row>
    <row r="641">
      <c r="A641" s="53" t="n">
        <v>44467</v>
      </c>
      <c r="B641" t="inlineStr">
        <is>
          <t>2021-09-28</t>
        </is>
      </c>
      <c r="C641" s="45" t="n">
        <v>78.8</v>
      </c>
      <c r="D641" t="inlineStr">
        <is>
          <t>€/MWh</t>
        </is>
      </c>
      <c r="E641" s="54" t="n">
        <v>0.0788</v>
      </c>
      <c r="F641" s="54" t="n"/>
      <c r="G641" t="inlineStr">
        <is>
          <t>no aplica (precio mayorista)</t>
        </is>
      </c>
      <c r="J641" t="inlineStr">
        <is>
          <t>2021-09-28</t>
        </is>
      </c>
      <c r="K641" t="inlineStr">
        <is>
          <t>MIBGAS_Data_2021.xlsx</t>
        </is>
      </c>
      <c r="L641" t="inlineStr">
        <is>
          <t>volumen 122033 MWh</t>
        </is>
      </c>
    </row>
    <row r="642">
      <c r="A642" s="53" t="n">
        <v>44468</v>
      </c>
      <c r="B642" t="inlineStr">
        <is>
          <t>2021-09-29</t>
        </is>
      </c>
      <c r="C642" s="45" t="n">
        <v>82.28</v>
      </c>
      <c r="D642" t="inlineStr">
        <is>
          <t>€/MWh</t>
        </is>
      </c>
      <c r="E642" s="54" t="n">
        <v>0.08228000000000001</v>
      </c>
      <c r="F642" s="54" t="n"/>
      <c r="G642" t="inlineStr">
        <is>
          <t>no aplica (precio mayorista)</t>
        </is>
      </c>
      <c r="J642" t="inlineStr">
        <is>
          <t>2021-09-29</t>
        </is>
      </c>
      <c r="K642" t="inlineStr">
        <is>
          <t>MIBGAS_Data_2021.xlsx</t>
        </is>
      </c>
      <c r="L642" t="inlineStr">
        <is>
          <t>volumen 117456 MWh</t>
        </is>
      </c>
    </row>
    <row r="643">
      <c r="A643" s="53" t="n">
        <v>44469</v>
      </c>
      <c r="B643" t="inlineStr">
        <is>
          <t>2021-09-30</t>
        </is>
      </c>
      <c r="C643" s="45" t="n">
        <v>88.23999999999999</v>
      </c>
      <c r="D643" t="inlineStr">
        <is>
          <t>€/MWh</t>
        </is>
      </c>
      <c r="E643" s="54" t="n">
        <v>0.08824</v>
      </c>
      <c r="F643" s="54" t="n"/>
      <c r="G643" t="inlineStr">
        <is>
          <t>no aplica (precio mayorista)</t>
        </is>
      </c>
      <c r="J643" t="inlineStr">
        <is>
          <t>2021-09-30</t>
        </is>
      </c>
      <c r="K643" t="inlineStr">
        <is>
          <t>MIBGAS_Data_2021.xlsx</t>
        </is>
      </c>
      <c r="L643" t="inlineStr">
        <is>
          <t>volumen 170296 MWh</t>
        </is>
      </c>
    </row>
    <row r="644">
      <c r="A644" s="53" t="n">
        <v>44470</v>
      </c>
      <c r="B644" t="inlineStr">
        <is>
          <t>2021-10-01</t>
        </is>
      </c>
      <c r="C644" s="45" t="n">
        <v>97.8</v>
      </c>
      <c r="D644" t="inlineStr">
        <is>
          <t>€/MWh</t>
        </is>
      </c>
      <c r="E644" s="54" t="n">
        <v>0.0978</v>
      </c>
      <c r="F644" s="54" t="n"/>
      <c r="G644" t="inlineStr">
        <is>
          <t>no aplica (precio mayorista)</t>
        </is>
      </c>
      <c r="J644" t="inlineStr">
        <is>
          <t>2021-10-01</t>
        </is>
      </c>
      <c r="K644" t="inlineStr">
        <is>
          <t>MIBGAS_Data_2021.xlsx</t>
        </is>
      </c>
      <c r="L644" t="inlineStr">
        <is>
          <t>volumen 191842 MWh</t>
        </is>
      </c>
    </row>
    <row r="645">
      <c r="A645" s="53" t="n">
        <v>44471</v>
      </c>
      <c r="B645" t="inlineStr">
        <is>
          <t>2021-10-02</t>
        </is>
      </c>
      <c r="C645" s="45" t="n">
        <v>86.52</v>
      </c>
      <c r="D645" t="inlineStr">
        <is>
          <t>€/MWh</t>
        </is>
      </c>
      <c r="E645" s="54" t="n">
        <v>0.08652</v>
      </c>
      <c r="F645" s="54" t="n"/>
      <c r="G645" t="inlineStr">
        <is>
          <t>no aplica (precio mayorista)</t>
        </is>
      </c>
      <c r="J645" t="inlineStr">
        <is>
          <t>2021-10-02</t>
        </is>
      </c>
      <c r="K645" t="inlineStr">
        <is>
          <t>MIBGAS_Data_2021.xlsx</t>
        </is>
      </c>
      <c r="L645" t="inlineStr">
        <is>
          <t>volumen 133093 MWh</t>
        </is>
      </c>
    </row>
    <row r="646">
      <c r="A646" s="53" t="n">
        <v>44472</v>
      </c>
      <c r="B646" t="inlineStr">
        <is>
          <t>2021-10-03</t>
        </is>
      </c>
      <c r="C646" s="45" t="n">
        <v>86.34</v>
      </c>
      <c r="D646" t="inlineStr">
        <is>
          <t>€/MWh</t>
        </is>
      </c>
      <c r="E646" s="54" t="n">
        <v>0.08634</v>
      </c>
      <c r="F646" s="54" t="n"/>
      <c r="G646" t="inlineStr">
        <is>
          <t>no aplica (precio mayorista)</t>
        </is>
      </c>
      <c r="J646" t="inlineStr">
        <is>
          <t>2021-10-03</t>
        </is>
      </c>
      <c r="K646" t="inlineStr">
        <is>
          <t>MIBGAS_Data_2021.xlsx</t>
        </is>
      </c>
      <c r="L646" t="inlineStr">
        <is>
          <t>volumen 145889 MWh</t>
        </is>
      </c>
    </row>
    <row r="647">
      <c r="A647" s="53" t="n">
        <v>44473</v>
      </c>
      <c r="B647" t="inlineStr">
        <is>
          <t>2021-10-04</t>
        </is>
      </c>
      <c r="C647" s="45" t="n">
        <v>88.58</v>
      </c>
      <c r="D647" t="inlineStr">
        <is>
          <t>€/MWh</t>
        </is>
      </c>
      <c r="E647" s="54" t="n">
        <v>0.08858000000000001</v>
      </c>
      <c r="F647" s="54" t="n"/>
      <c r="G647" t="inlineStr">
        <is>
          <t>no aplica (precio mayorista)</t>
        </is>
      </c>
      <c r="J647" t="inlineStr">
        <is>
          <t>2021-10-04</t>
        </is>
      </c>
      <c r="K647" t="inlineStr">
        <is>
          <t>MIBGAS_Data_2021.xlsx</t>
        </is>
      </c>
      <c r="L647" t="inlineStr">
        <is>
          <t>volumen 247210 MWh</t>
        </is>
      </c>
    </row>
    <row r="648">
      <c r="A648" s="53" t="n">
        <v>44474</v>
      </c>
      <c r="B648" t="inlineStr">
        <is>
          <t>2021-10-05</t>
        </is>
      </c>
      <c r="C648" s="45" t="n">
        <v>96.98999999999999</v>
      </c>
      <c r="D648" t="inlineStr">
        <is>
          <t>€/MWh</t>
        </is>
      </c>
      <c r="E648" s="54" t="n">
        <v>0.09699000000000001</v>
      </c>
      <c r="F648" s="54" t="n"/>
      <c r="G648" t="inlineStr">
        <is>
          <t>no aplica (precio mayorista)</t>
        </is>
      </c>
      <c r="J648" t="inlineStr">
        <is>
          <t>2021-10-05</t>
        </is>
      </c>
      <c r="K648" t="inlineStr">
        <is>
          <t>MIBGAS_Data_2021.xlsx</t>
        </is>
      </c>
      <c r="L648" t="inlineStr">
        <is>
          <t>volumen 138523 MWh</t>
        </is>
      </c>
    </row>
    <row r="649">
      <c r="A649" s="53" t="n">
        <v>44475</v>
      </c>
      <c r="B649" t="inlineStr">
        <is>
          <t>2021-10-06</t>
        </is>
      </c>
      <c r="C649" s="45" t="n">
        <v>115.41</v>
      </c>
      <c r="D649" t="inlineStr">
        <is>
          <t>€/MWh</t>
        </is>
      </c>
      <c r="E649" s="54" t="n">
        <v>0.11541</v>
      </c>
      <c r="F649" s="54" t="n"/>
      <c r="G649" t="inlineStr">
        <is>
          <t>no aplica (precio mayorista)</t>
        </is>
      </c>
      <c r="J649" t="inlineStr">
        <is>
          <t>2021-10-06</t>
        </is>
      </c>
      <c r="K649" t="inlineStr">
        <is>
          <t>MIBGAS_Data_2021.xlsx</t>
        </is>
      </c>
      <c r="L649" t="inlineStr">
        <is>
          <t>volumen 107659 MWh</t>
        </is>
      </c>
    </row>
    <row r="650">
      <c r="A650" s="53" t="n">
        <v>44476</v>
      </c>
      <c r="B650" t="inlineStr">
        <is>
          <t>2021-10-07</t>
        </is>
      </c>
      <c r="C650" s="45" t="n">
        <v>107.99</v>
      </c>
      <c r="D650" t="inlineStr">
        <is>
          <t>€/MWh</t>
        </is>
      </c>
      <c r="E650" s="54" t="n">
        <v>0.10799</v>
      </c>
      <c r="F650" s="54" t="n"/>
      <c r="G650" t="inlineStr">
        <is>
          <t>no aplica (precio mayorista)</t>
        </is>
      </c>
      <c r="J650" t="inlineStr">
        <is>
          <t>2021-10-07</t>
        </is>
      </c>
      <c r="K650" t="inlineStr">
        <is>
          <t>MIBGAS_Data_2021.xlsx</t>
        </is>
      </c>
      <c r="L650" t="inlineStr">
        <is>
          <t>volumen 129789 MWh</t>
        </is>
      </c>
    </row>
    <row r="651">
      <c r="A651" s="53" t="n">
        <v>44477</v>
      </c>
      <c r="B651" t="inlineStr">
        <is>
          <t>2021-10-08</t>
        </is>
      </c>
      <c r="C651" s="45" t="n">
        <v>96.59</v>
      </c>
      <c r="D651" t="inlineStr">
        <is>
          <t>€/MWh</t>
        </is>
      </c>
      <c r="E651" s="54" t="n">
        <v>0.09659</v>
      </c>
      <c r="F651" s="54" t="n"/>
      <c r="G651" t="inlineStr">
        <is>
          <t>no aplica (precio mayorista)</t>
        </is>
      </c>
      <c r="J651" t="inlineStr">
        <is>
          <t>2021-10-08</t>
        </is>
      </c>
      <c r="K651" t="inlineStr">
        <is>
          <t>MIBGAS_Data_2021.xlsx</t>
        </is>
      </c>
      <c r="L651" t="inlineStr">
        <is>
          <t>volumen 132474 MWh</t>
        </is>
      </c>
    </row>
    <row r="652">
      <c r="A652" s="53" t="n">
        <v>44478</v>
      </c>
      <c r="B652" t="inlineStr">
        <is>
          <t>2021-10-09</t>
        </is>
      </c>
      <c r="C652" s="45" t="n">
        <v>91.63</v>
      </c>
      <c r="D652" t="inlineStr">
        <is>
          <t>€/MWh</t>
        </is>
      </c>
      <c r="E652" s="54" t="n">
        <v>0.09163</v>
      </c>
      <c r="F652" s="54" t="n"/>
      <c r="G652" t="inlineStr">
        <is>
          <t>no aplica (precio mayorista)</t>
        </is>
      </c>
      <c r="J652" t="inlineStr">
        <is>
          <t>2021-10-09</t>
        </is>
      </c>
      <c r="K652" t="inlineStr">
        <is>
          <t>MIBGAS_Data_2021.xlsx</t>
        </is>
      </c>
      <c r="L652" t="inlineStr">
        <is>
          <t>volumen 125677 MWh</t>
        </is>
      </c>
    </row>
    <row r="653">
      <c r="A653" s="53" t="n">
        <v>44479</v>
      </c>
      <c r="B653" t="inlineStr">
        <is>
          <t>2021-10-10</t>
        </is>
      </c>
      <c r="C653" s="45" t="n">
        <v>85.17</v>
      </c>
      <c r="D653" t="inlineStr">
        <is>
          <t>€/MWh</t>
        </is>
      </c>
      <c r="E653" s="54" t="n">
        <v>0.08517</v>
      </c>
      <c r="F653" s="54" t="n"/>
      <c r="G653" t="inlineStr">
        <is>
          <t>no aplica (precio mayorista)</t>
        </is>
      </c>
      <c r="J653" t="inlineStr">
        <is>
          <t>2021-10-10</t>
        </is>
      </c>
      <c r="K653" t="inlineStr">
        <is>
          <t>MIBGAS_Data_2021.xlsx</t>
        </is>
      </c>
      <c r="L653" t="inlineStr">
        <is>
          <t>volumen 245434 MWh</t>
        </is>
      </c>
    </row>
    <row r="654">
      <c r="A654" s="53" t="n">
        <v>44480</v>
      </c>
      <c r="B654" t="inlineStr">
        <is>
          <t>2021-10-11</t>
        </is>
      </c>
      <c r="C654" s="45" t="n">
        <v>83.09</v>
      </c>
      <c r="D654" t="inlineStr">
        <is>
          <t>€/MWh</t>
        </is>
      </c>
      <c r="E654" s="54" t="n">
        <v>0.08309</v>
      </c>
      <c r="F654" s="54" t="n"/>
      <c r="G654" t="inlineStr">
        <is>
          <t>no aplica (precio mayorista)</t>
        </is>
      </c>
      <c r="J654" t="inlineStr">
        <is>
          <t>2021-10-11</t>
        </is>
      </c>
      <c r="K654" t="inlineStr">
        <is>
          <t>MIBGAS_Data_2021.xlsx</t>
        </is>
      </c>
      <c r="L654" t="inlineStr">
        <is>
          <t>volumen 303692 MWh</t>
        </is>
      </c>
    </row>
    <row r="655">
      <c r="A655" s="53" t="n">
        <v>44481</v>
      </c>
      <c r="B655" t="inlineStr">
        <is>
          <t>2021-10-12</t>
        </is>
      </c>
      <c r="C655" s="45" t="n">
        <v>84.37</v>
      </c>
      <c r="D655" t="inlineStr">
        <is>
          <t>€/MWh</t>
        </is>
      </c>
      <c r="E655" s="54" t="n">
        <v>0.08437</v>
      </c>
      <c r="F655" s="54" t="n"/>
      <c r="G655" t="inlineStr">
        <is>
          <t>no aplica (precio mayorista)</t>
        </is>
      </c>
      <c r="J655" t="inlineStr">
        <is>
          <t>2021-10-12</t>
        </is>
      </c>
      <c r="K655" t="inlineStr">
        <is>
          <t>MIBGAS_Data_2021.xlsx</t>
        </is>
      </c>
      <c r="L655" t="inlineStr">
        <is>
          <t>volumen 118732 MWh</t>
        </is>
      </c>
    </row>
    <row r="656">
      <c r="A656" s="53" t="n">
        <v>44482</v>
      </c>
      <c r="B656" t="inlineStr">
        <is>
          <t>2021-10-13</t>
        </is>
      </c>
      <c r="C656" s="45" t="n">
        <v>88.29000000000001</v>
      </c>
      <c r="D656" t="inlineStr">
        <is>
          <t>€/MWh</t>
        </is>
      </c>
      <c r="E656" s="54" t="n">
        <v>0.08828999999999999</v>
      </c>
      <c r="F656" s="54" t="n"/>
      <c r="G656" t="inlineStr">
        <is>
          <t>no aplica (precio mayorista)</t>
        </is>
      </c>
      <c r="J656" t="inlineStr">
        <is>
          <t>2021-10-13</t>
        </is>
      </c>
      <c r="K656" t="inlineStr">
        <is>
          <t>MIBGAS_Data_2021.xlsx</t>
        </is>
      </c>
      <c r="L656" t="inlineStr">
        <is>
          <t>volumen 123944 MWh</t>
        </is>
      </c>
    </row>
    <row r="657">
      <c r="A657" s="53" t="n">
        <v>44483</v>
      </c>
      <c r="B657" t="inlineStr">
        <is>
          <t>2021-10-14</t>
        </is>
      </c>
      <c r="C657" s="45" t="n">
        <v>93.42</v>
      </c>
      <c r="D657" t="inlineStr">
        <is>
          <t>€/MWh</t>
        </is>
      </c>
      <c r="E657" s="54" t="n">
        <v>0.09342</v>
      </c>
      <c r="F657" s="54" t="n"/>
      <c r="G657" t="inlineStr">
        <is>
          <t>no aplica (precio mayorista)</t>
        </is>
      </c>
      <c r="J657" t="inlineStr">
        <is>
          <t>2021-10-14</t>
        </is>
      </c>
      <c r="K657" t="inlineStr">
        <is>
          <t>MIBGAS_Data_2021.xlsx</t>
        </is>
      </c>
      <c r="L657" t="inlineStr">
        <is>
          <t>volumen 173414 MWh</t>
        </is>
      </c>
    </row>
    <row r="658">
      <c r="A658" s="53" t="n">
        <v>44484</v>
      </c>
      <c r="B658" t="inlineStr">
        <is>
          <t>2021-10-15</t>
        </is>
      </c>
      <c r="C658" s="45" t="n">
        <v>97.37</v>
      </c>
      <c r="D658" t="inlineStr">
        <is>
          <t>€/MWh</t>
        </is>
      </c>
      <c r="E658" s="54" t="n">
        <v>0.09737</v>
      </c>
      <c r="F658" s="54" t="n"/>
      <c r="G658" t="inlineStr">
        <is>
          <t>no aplica (precio mayorista)</t>
        </is>
      </c>
      <c r="J658" t="inlineStr">
        <is>
          <t>2021-10-15</t>
        </is>
      </c>
      <c r="K658" t="inlineStr">
        <is>
          <t>MIBGAS_Data_2021.xlsx</t>
        </is>
      </c>
      <c r="L658" t="inlineStr">
        <is>
          <t>volumen 241846 MWh</t>
        </is>
      </c>
    </row>
    <row r="659">
      <c r="A659" s="53" t="n">
        <v>44485</v>
      </c>
      <c r="B659" t="inlineStr">
        <is>
          <t>2021-10-16</t>
        </is>
      </c>
      <c r="C659" s="45" t="n">
        <v>91.54000000000001</v>
      </c>
      <c r="D659" t="inlineStr">
        <is>
          <t>€/MWh</t>
        </is>
      </c>
      <c r="E659" s="54" t="n">
        <v>0.09154</v>
      </c>
      <c r="F659" s="54" t="n"/>
      <c r="G659" t="inlineStr">
        <is>
          <t>no aplica (precio mayorista)</t>
        </is>
      </c>
      <c r="J659" t="inlineStr">
        <is>
          <t>2021-10-16</t>
        </is>
      </c>
      <c r="K659" t="inlineStr">
        <is>
          <t>MIBGAS_Data_2021.xlsx</t>
        </is>
      </c>
      <c r="L659" t="inlineStr">
        <is>
          <t>volumen 194077 MWh</t>
        </is>
      </c>
    </row>
    <row r="660">
      <c r="A660" s="53" t="n">
        <v>44486</v>
      </c>
      <c r="B660" t="inlineStr">
        <is>
          <t>2021-10-17</t>
        </is>
      </c>
      <c r="C660" s="45" t="n">
        <v>91.84</v>
      </c>
      <c r="D660" t="inlineStr">
        <is>
          <t>€/MWh</t>
        </is>
      </c>
      <c r="E660" s="54" t="n">
        <v>0.09184</v>
      </c>
      <c r="F660" s="54" t="n"/>
      <c r="G660" t="inlineStr">
        <is>
          <t>no aplica (precio mayorista)</t>
        </is>
      </c>
      <c r="J660" t="inlineStr">
        <is>
          <t>2021-10-17</t>
        </is>
      </c>
      <c r="K660" t="inlineStr">
        <is>
          <t>MIBGAS_Data_2021.xlsx</t>
        </is>
      </c>
      <c r="L660" t="inlineStr">
        <is>
          <t>volumen 171706 MWh</t>
        </is>
      </c>
    </row>
    <row r="661">
      <c r="A661" s="53" t="n">
        <v>44487</v>
      </c>
      <c r="B661" t="inlineStr">
        <is>
          <t>2021-10-18</t>
        </is>
      </c>
      <c r="C661" s="45" t="n">
        <v>93.95</v>
      </c>
      <c r="D661" t="inlineStr">
        <is>
          <t>€/MWh</t>
        </is>
      </c>
      <c r="E661" s="54" t="n">
        <v>0.09395000000000001</v>
      </c>
      <c r="F661" s="54" t="n"/>
      <c r="G661" t="inlineStr">
        <is>
          <t>no aplica (precio mayorista)</t>
        </is>
      </c>
      <c r="J661" t="inlineStr">
        <is>
          <t>2021-10-18</t>
        </is>
      </c>
      <c r="K661" t="inlineStr">
        <is>
          <t>MIBGAS_Data_2021.xlsx</t>
        </is>
      </c>
      <c r="L661" t="inlineStr">
        <is>
          <t>volumen 313408 MWh</t>
        </is>
      </c>
    </row>
    <row r="662">
      <c r="A662" s="53" t="n">
        <v>44488</v>
      </c>
      <c r="B662" t="inlineStr">
        <is>
          <t>2021-10-19</t>
        </is>
      </c>
      <c r="C662" s="45" t="n">
        <v>90.86</v>
      </c>
      <c r="D662" t="inlineStr">
        <is>
          <t>€/MWh</t>
        </is>
      </c>
      <c r="E662" s="54" t="n">
        <v>0.09086</v>
      </c>
      <c r="F662" s="54" t="n"/>
      <c r="G662" t="inlineStr">
        <is>
          <t>no aplica (precio mayorista)</t>
        </is>
      </c>
      <c r="J662" t="inlineStr">
        <is>
          <t>2021-10-19</t>
        </is>
      </c>
      <c r="K662" t="inlineStr">
        <is>
          <t>MIBGAS_Data_2021.xlsx</t>
        </is>
      </c>
      <c r="L662" t="inlineStr">
        <is>
          <t>volumen 174703 MWh</t>
        </is>
      </c>
    </row>
    <row r="663">
      <c r="A663" s="53" t="n">
        <v>44489</v>
      </c>
      <c r="B663" t="inlineStr">
        <is>
          <t>2021-10-20</t>
        </is>
      </c>
      <c r="C663" s="45" t="n">
        <v>87.34999999999999</v>
      </c>
      <c r="D663" t="inlineStr">
        <is>
          <t>€/MWh</t>
        </is>
      </c>
      <c r="E663" s="54" t="n">
        <v>0.08735</v>
      </c>
      <c r="F663" s="54" t="n"/>
      <c r="G663" t="inlineStr">
        <is>
          <t>no aplica (precio mayorista)</t>
        </is>
      </c>
      <c r="J663" t="inlineStr">
        <is>
          <t>2021-10-20</t>
        </is>
      </c>
      <c r="K663" t="inlineStr">
        <is>
          <t>MIBGAS_Data_2021.xlsx</t>
        </is>
      </c>
      <c r="L663" t="inlineStr">
        <is>
          <t>volumen 281093 MWh</t>
        </is>
      </c>
    </row>
    <row r="664">
      <c r="A664" s="53" t="n">
        <v>44490</v>
      </c>
      <c r="B664" t="inlineStr">
        <is>
          <t>2021-10-21</t>
        </is>
      </c>
      <c r="C664" s="45" t="n">
        <v>89.43000000000001</v>
      </c>
      <c r="D664" t="inlineStr">
        <is>
          <t>€/MWh</t>
        </is>
      </c>
      <c r="E664" s="54" t="n">
        <v>0.08943</v>
      </c>
      <c r="F664" s="54" t="n"/>
      <c r="G664" t="inlineStr">
        <is>
          <t>no aplica (precio mayorista)</t>
        </is>
      </c>
      <c r="J664" t="inlineStr">
        <is>
          <t>2021-10-21</t>
        </is>
      </c>
      <c r="K664" t="inlineStr">
        <is>
          <t>MIBGAS_Data_2021.xlsx</t>
        </is>
      </c>
      <c r="L664" t="inlineStr">
        <is>
          <t>volumen 101973 MWh</t>
        </is>
      </c>
    </row>
    <row r="665">
      <c r="A665" s="53" t="n">
        <v>44491</v>
      </c>
      <c r="B665" t="inlineStr">
        <is>
          <t>2021-10-22</t>
        </is>
      </c>
      <c r="C665" s="45" t="n">
        <v>88.06999999999999</v>
      </c>
      <c r="D665" t="inlineStr">
        <is>
          <t>€/MWh</t>
        </is>
      </c>
      <c r="E665" s="54" t="n">
        <v>0.08807</v>
      </c>
      <c r="F665" s="54" t="n"/>
      <c r="G665" t="inlineStr">
        <is>
          <t>no aplica (precio mayorista)</t>
        </is>
      </c>
      <c r="J665" t="inlineStr">
        <is>
          <t>2021-10-22</t>
        </is>
      </c>
      <c r="K665" t="inlineStr">
        <is>
          <t>MIBGAS_Data_2021.xlsx</t>
        </is>
      </c>
      <c r="L665" t="inlineStr">
        <is>
          <t>volumen 145046 MWh</t>
        </is>
      </c>
    </row>
    <row r="666">
      <c r="A666" s="53" t="n">
        <v>44492</v>
      </c>
      <c r="B666" t="inlineStr">
        <is>
          <t>2021-10-23</t>
        </is>
      </c>
      <c r="C666" s="45" t="n">
        <v>89.37</v>
      </c>
      <c r="D666" t="inlineStr">
        <is>
          <t>€/MWh</t>
        </is>
      </c>
      <c r="E666" s="54" t="n">
        <v>0.08937</v>
      </c>
      <c r="F666" s="54" t="n"/>
      <c r="G666" t="inlineStr">
        <is>
          <t>no aplica (precio mayorista)</t>
        </is>
      </c>
      <c r="J666" t="inlineStr">
        <is>
          <t>2021-10-23</t>
        </is>
      </c>
      <c r="K666" t="inlineStr">
        <is>
          <t>MIBGAS_Data_2021.xlsx</t>
        </is>
      </c>
      <c r="L666" t="inlineStr">
        <is>
          <t>volumen 169254 MWh</t>
        </is>
      </c>
    </row>
    <row r="667">
      <c r="A667" s="53" t="n">
        <v>44493</v>
      </c>
      <c r="B667" t="inlineStr">
        <is>
          <t>2021-10-24</t>
        </is>
      </c>
      <c r="C667" s="45" t="n">
        <v>88.70999999999999</v>
      </c>
      <c r="D667" t="inlineStr">
        <is>
          <t>€/MWh</t>
        </is>
      </c>
      <c r="E667" s="54" t="n">
        <v>0.08871</v>
      </c>
      <c r="F667" s="54" t="n"/>
      <c r="G667" t="inlineStr">
        <is>
          <t>no aplica (precio mayorista)</t>
        </is>
      </c>
      <c r="J667" t="inlineStr">
        <is>
          <t>2021-10-24</t>
        </is>
      </c>
      <c r="K667" t="inlineStr">
        <is>
          <t>MIBGAS_Data_2021.xlsx</t>
        </is>
      </c>
      <c r="L667" t="inlineStr">
        <is>
          <t>volumen 156603 MWh</t>
        </is>
      </c>
    </row>
    <row r="668">
      <c r="A668" s="53" t="n">
        <v>44494</v>
      </c>
      <c r="B668" t="inlineStr">
        <is>
          <t>2021-10-25</t>
        </is>
      </c>
      <c r="C668" s="45" t="n">
        <v>92.75</v>
      </c>
      <c r="D668" t="inlineStr">
        <is>
          <t>€/MWh</t>
        </is>
      </c>
      <c r="E668" s="54" t="n">
        <v>0.09275</v>
      </c>
      <c r="F668" s="54" t="n"/>
      <c r="G668" t="inlineStr">
        <is>
          <t>no aplica (precio mayorista)</t>
        </is>
      </c>
      <c r="J668" t="inlineStr">
        <is>
          <t>2021-10-25</t>
        </is>
      </c>
      <c r="K668" t="inlineStr">
        <is>
          <t>MIBGAS_Data_2021.xlsx</t>
        </is>
      </c>
      <c r="L668" t="inlineStr">
        <is>
          <t>volumen 212554 MWh</t>
        </is>
      </c>
    </row>
    <row r="669">
      <c r="A669" s="53" t="n">
        <v>44495</v>
      </c>
      <c r="B669" t="inlineStr">
        <is>
          <t>2021-10-26</t>
        </is>
      </c>
      <c r="C669" s="45" t="n">
        <v>93.41</v>
      </c>
      <c r="D669" t="inlineStr">
        <is>
          <t>€/MWh</t>
        </is>
      </c>
      <c r="E669" s="54" t="n">
        <v>0.09341000000000001</v>
      </c>
      <c r="F669" s="54" t="n"/>
      <c r="G669" t="inlineStr">
        <is>
          <t>no aplica (precio mayorista)</t>
        </is>
      </c>
      <c r="J669" t="inlineStr">
        <is>
          <t>2021-10-26</t>
        </is>
      </c>
      <c r="K669" t="inlineStr">
        <is>
          <t>MIBGAS_Data_2021.xlsx</t>
        </is>
      </c>
      <c r="L669" t="inlineStr">
        <is>
          <t>volumen 190177 MWh</t>
        </is>
      </c>
    </row>
    <row r="670">
      <c r="A670" s="53" t="n">
        <v>44496</v>
      </c>
      <c r="B670" t="inlineStr">
        <is>
          <t>2021-10-27</t>
        </is>
      </c>
      <c r="C670" s="45" t="n">
        <v>90.61</v>
      </c>
      <c r="D670" t="inlineStr">
        <is>
          <t>€/MWh</t>
        </is>
      </c>
      <c r="E670" s="54" t="n">
        <v>0.09061</v>
      </c>
      <c r="F670" s="54" t="n"/>
      <c r="G670" t="inlineStr">
        <is>
          <t>no aplica (precio mayorista)</t>
        </is>
      </c>
      <c r="J670" t="inlineStr">
        <is>
          <t>2021-10-27</t>
        </is>
      </c>
      <c r="K670" t="inlineStr">
        <is>
          <t>MIBGAS_Data_2021.xlsx</t>
        </is>
      </c>
      <c r="L670" t="inlineStr">
        <is>
          <t>volumen 257858 MWh</t>
        </is>
      </c>
    </row>
    <row r="671">
      <c r="A671" s="53" t="n">
        <v>44497</v>
      </c>
      <c r="B671" t="inlineStr">
        <is>
          <t>2021-10-28</t>
        </is>
      </c>
      <c r="C671" s="45" t="n">
        <v>82.72</v>
      </c>
      <c r="D671" t="inlineStr">
        <is>
          <t>€/MWh</t>
        </is>
      </c>
      <c r="E671" s="54" t="n">
        <v>0.08272</v>
      </c>
      <c r="F671" s="54" t="n"/>
      <c r="G671" t="inlineStr">
        <is>
          <t>no aplica (precio mayorista)</t>
        </is>
      </c>
      <c r="J671" t="inlineStr">
        <is>
          <t>2021-10-28</t>
        </is>
      </c>
      <c r="K671" t="inlineStr">
        <is>
          <t>MIBGAS_Data_2021.xlsx</t>
        </is>
      </c>
      <c r="L671" t="inlineStr">
        <is>
          <t>volumen 239679 MWh</t>
        </is>
      </c>
    </row>
    <row r="672">
      <c r="A672" s="53" t="n">
        <v>44498</v>
      </c>
      <c r="B672" t="inlineStr">
        <is>
          <t>2021-10-29</t>
        </is>
      </c>
      <c r="C672" s="45" t="n">
        <v>71.31999999999999</v>
      </c>
      <c r="D672" t="inlineStr">
        <is>
          <t>€/MWh</t>
        </is>
      </c>
      <c r="E672" s="54" t="n">
        <v>0.07131999999999999</v>
      </c>
      <c r="F672" s="54" t="n"/>
      <c r="G672" t="inlineStr">
        <is>
          <t>no aplica (precio mayorista)</t>
        </is>
      </c>
      <c r="J672" t="inlineStr">
        <is>
          <t>2021-10-29</t>
        </is>
      </c>
      <c r="K672" t="inlineStr">
        <is>
          <t>MIBGAS_Data_2021.xlsx</t>
        </is>
      </c>
      <c r="L672" t="inlineStr">
        <is>
          <t>volumen 216795 MWh</t>
        </is>
      </c>
    </row>
    <row r="673">
      <c r="A673" s="53" t="n">
        <v>44499</v>
      </c>
      <c r="B673" t="inlineStr">
        <is>
          <t>2021-10-30</t>
        </is>
      </c>
      <c r="C673" s="45" t="n">
        <v>70.5</v>
      </c>
      <c r="D673" t="inlineStr">
        <is>
          <t>€/MWh</t>
        </is>
      </c>
      <c r="E673" s="54" t="n">
        <v>0.07049999999999999</v>
      </c>
      <c r="F673" s="54" t="n"/>
      <c r="G673" t="inlineStr">
        <is>
          <t>no aplica (precio mayorista)</t>
        </is>
      </c>
      <c r="J673" t="inlineStr">
        <is>
          <t>2021-10-30</t>
        </is>
      </c>
      <c r="K673" t="inlineStr">
        <is>
          <t>MIBGAS_Data_2021.xlsx</t>
        </is>
      </c>
      <c r="L673" t="inlineStr">
        <is>
          <t>volumen 165449 MWh</t>
        </is>
      </c>
    </row>
    <row r="674">
      <c r="A674" s="53" t="n">
        <v>44500</v>
      </c>
      <c r="B674" t="inlineStr">
        <is>
          <t>2021-10-31</t>
        </is>
      </c>
      <c r="C674" s="45" t="n">
        <v>68.86</v>
      </c>
      <c r="D674" t="inlineStr">
        <is>
          <t>€/MWh</t>
        </is>
      </c>
      <c r="E674" s="54" t="n">
        <v>0.06886</v>
      </c>
      <c r="F674" s="54" t="n"/>
      <c r="G674" t="inlineStr">
        <is>
          <t>no aplica (precio mayorista)</t>
        </is>
      </c>
      <c r="J674" t="inlineStr">
        <is>
          <t>2021-10-31</t>
        </is>
      </c>
      <c r="K674" t="inlineStr">
        <is>
          <t>MIBGAS_Data_2021.xlsx</t>
        </is>
      </c>
      <c r="L674" t="inlineStr">
        <is>
          <t>volumen 178520 MWh</t>
        </is>
      </c>
    </row>
    <row r="675">
      <c r="A675" s="53" t="n">
        <v>44501</v>
      </c>
      <c r="B675" t="inlineStr">
        <is>
          <t>2021-11-01</t>
        </is>
      </c>
      <c r="C675" s="45" t="n">
        <v>60.96</v>
      </c>
      <c r="D675" t="inlineStr">
        <is>
          <t>€/MWh</t>
        </is>
      </c>
      <c r="E675" s="54" t="n">
        <v>0.06096</v>
      </c>
      <c r="F675" s="54" t="n"/>
      <c r="G675" t="inlineStr">
        <is>
          <t>no aplica (precio mayorista)</t>
        </is>
      </c>
      <c r="J675" t="inlineStr">
        <is>
          <t>2021-11-01</t>
        </is>
      </c>
      <c r="K675" t="inlineStr">
        <is>
          <t>MIBGAS_Data_2021.xlsx</t>
        </is>
      </c>
      <c r="L675" t="inlineStr">
        <is>
          <t>volumen 218090 MWh</t>
        </is>
      </c>
    </row>
    <row r="676">
      <c r="A676" s="53" t="n">
        <v>44502</v>
      </c>
      <c r="B676" t="inlineStr">
        <is>
          <t>2021-11-02</t>
        </is>
      </c>
      <c r="C676" s="45" t="n">
        <v>63.52</v>
      </c>
      <c r="D676" t="inlineStr">
        <is>
          <t>€/MWh</t>
        </is>
      </c>
      <c r="E676" s="54" t="n">
        <v>0.06351999999999999</v>
      </c>
      <c r="F676" s="54" t="n"/>
      <c r="G676" t="inlineStr">
        <is>
          <t>no aplica (precio mayorista)</t>
        </is>
      </c>
      <c r="J676" t="inlineStr">
        <is>
          <t>2021-11-02</t>
        </is>
      </c>
      <c r="K676" t="inlineStr">
        <is>
          <t>MIBGAS_Data_2021.xlsx</t>
        </is>
      </c>
      <c r="L676" t="inlineStr">
        <is>
          <t>volumen 168577 MWh</t>
        </is>
      </c>
    </row>
    <row r="677">
      <c r="A677" s="53" t="n">
        <v>44503</v>
      </c>
      <c r="B677" t="inlineStr">
        <is>
          <t>2021-11-03</t>
        </is>
      </c>
      <c r="C677" s="45" t="n">
        <v>69.59999999999999</v>
      </c>
      <c r="D677" t="inlineStr">
        <is>
          <t>€/MWh</t>
        </is>
      </c>
      <c r="E677" s="54" t="n">
        <v>0.0696</v>
      </c>
      <c r="F677" s="54" t="n"/>
      <c r="G677" t="inlineStr">
        <is>
          <t>no aplica (precio mayorista)</t>
        </is>
      </c>
      <c r="J677" t="inlineStr">
        <is>
          <t>2021-11-03</t>
        </is>
      </c>
      <c r="K677" t="inlineStr">
        <is>
          <t>MIBGAS_Data_2021.xlsx</t>
        </is>
      </c>
      <c r="L677" t="inlineStr">
        <is>
          <t>volumen 92934 MWh</t>
        </is>
      </c>
    </row>
    <row r="678">
      <c r="A678" s="53" t="n">
        <v>44504</v>
      </c>
      <c r="B678" t="inlineStr">
        <is>
          <t>2021-11-04</t>
        </is>
      </c>
      <c r="C678" s="45" t="n">
        <v>75.09</v>
      </c>
      <c r="D678" t="inlineStr">
        <is>
          <t>€/MWh</t>
        </is>
      </c>
      <c r="E678" s="54" t="n">
        <v>0.07509</v>
      </c>
      <c r="F678" s="54" t="n"/>
      <c r="G678" t="inlineStr">
        <is>
          <t>no aplica (precio mayorista)</t>
        </is>
      </c>
      <c r="J678" t="inlineStr">
        <is>
          <t>2021-11-04</t>
        </is>
      </c>
      <c r="K678" t="inlineStr">
        <is>
          <t>MIBGAS_Data_2021.xlsx</t>
        </is>
      </c>
      <c r="L678" t="inlineStr">
        <is>
          <t>volumen 95305 MWh</t>
        </is>
      </c>
    </row>
    <row r="679">
      <c r="A679" s="53" t="n">
        <v>44505</v>
      </c>
      <c r="B679" t="inlineStr">
        <is>
          <t>2021-11-05</t>
        </is>
      </c>
      <c r="C679" s="45" t="n">
        <v>72.81999999999999</v>
      </c>
      <c r="D679" t="inlineStr">
        <is>
          <t>€/MWh</t>
        </is>
      </c>
      <c r="E679" s="54" t="n">
        <v>0.07282</v>
      </c>
      <c r="F679" s="54" t="n"/>
      <c r="G679" t="inlineStr">
        <is>
          <t>no aplica (precio mayorista)</t>
        </is>
      </c>
      <c r="J679" t="inlineStr">
        <is>
          <t>2021-11-05</t>
        </is>
      </c>
      <c r="K679" t="inlineStr">
        <is>
          <t>MIBGAS_Data_2021.xlsx</t>
        </is>
      </c>
      <c r="L679" t="inlineStr">
        <is>
          <t>volumen 126941 MWh</t>
        </is>
      </c>
    </row>
    <row r="680">
      <c r="A680" s="53" t="n">
        <v>44506</v>
      </c>
      <c r="B680" t="inlineStr">
        <is>
          <t>2021-11-06</t>
        </is>
      </c>
      <c r="C680" s="45" t="n">
        <v>71.08</v>
      </c>
      <c r="D680" t="inlineStr">
        <is>
          <t>€/MWh</t>
        </is>
      </c>
      <c r="E680" s="54" t="n">
        <v>0.07108</v>
      </c>
      <c r="F680" s="54" t="n"/>
      <c r="G680" t="inlineStr">
        <is>
          <t>no aplica (precio mayorista)</t>
        </is>
      </c>
      <c r="J680" t="inlineStr">
        <is>
          <t>2021-11-06</t>
        </is>
      </c>
      <c r="K680" t="inlineStr">
        <is>
          <t>MIBGAS_Data_2021.xlsx</t>
        </is>
      </c>
      <c r="L680" t="inlineStr">
        <is>
          <t>volumen 120699 MWh</t>
        </is>
      </c>
    </row>
    <row r="681">
      <c r="A681" s="53" t="n">
        <v>44507</v>
      </c>
      <c r="B681" t="inlineStr">
        <is>
          <t>2021-11-07</t>
        </is>
      </c>
      <c r="C681" s="45" t="n">
        <v>70.62</v>
      </c>
      <c r="D681" t="inlineStr">
        <is>
          <t>€/MWh</t>
        </is>
      </c>
      <c r="E681" s="54" t="n">
        <v>0.07062</v>
      </c>
      <c r="F681" s="54" t="n"/>
      <c r="G681" t="inlineStr">
        <is>
          <t>no aplica (precio mayorista)</t>
        </is>
      </c>
      <c r="J681" t="inlineStr">
        <is>
          <t>2021-11-07</t>
        </is>
      </c>
      <c r="K681" t="inlineStr">
        <is>
          <t>MIBGAS_Data_2021.xlsx</t>
        </is>
      </c>
      <c r="L681" t="inlineStr">
        <is>
          <t>volumen 132764 MWh</t>
        </is>
      </c>
    </row>
    <row r="682">
      <c r="A682" s="53" t="n">
        <v>44508</v>
      </c>
      <c r="B682" t="inlineStr">
        <is>
          <t>2021-11-08</t>
        </is>
      </c>
      <c r="C682" s="45" t="n">
        <v>74.56999999999999</v>
      </c>
      <c r="D682" t="inlineStr">
        <is>
          <t>€/MWh</t>
        </is>
      </c>
      <c r="E682" s="54" t="n">
        <v>0.07457</v>
      </c>
      <c r="F682" s="54" t="n"/>
      <c r="G682" t="inlineStr">
        <is>
          <t>no aplica (precio mayorista)</t>
        </is>
      </c>
      <c r="J682" t="inlineStr">
        <is>
          <t>2021-11-08</t>
        </is>
      </c>
      <c r="K682" t="inlineStr">
        <is>
          <t>MIBGAS_Data_2021.xlsx</t>
        </is>
      </c>
      <c r="L682" t="inlineStr">
        <is>
          <t>volumen 159584 MWh</t>
        </is>
      </c>
    </row>
    <row r="683">
      <c r="A683" s="53" t="n">
        <v>44509</v>
      </c>
      <c r="B683" t="inlineStr">
        <is>
          <t>2021-11-09</t>
        </is>
      </c>
      <c r="C683" s="45" t="n">
        <v>76.79000000000001</v>
      </c>
      <c r="D683" t="inlineStr">
        <is>
          <t>€/MWh</t>
        </is>
      </c>
      <c r="E683" s="54" t="n">
        <v>0.07679</v>
      </c>
      <c r="F683" s="54" t="n"/>
      <c r="G683" t="inlineStr">
        <is>
          <t>no aplica (precio mayorista)</t>
        </is>
      </c>
      <c r="J683" t="inlineStr">
        <is>
          <t>2021-11-09</t>
        </is>
      </c>
      <c r="K683" t="inlineStr">
        <is>
          <t>MIBGAS_Data_2021.xlsx</t>
        </is>
      </c>
      <c r="L683" t="inlineStr">
        <is>
          <t>volumen 189954 MWh</t>
        </is>
      </c>
    </row>
    <row r="684">
      <c r="A684" s="53" t="n">
        <v>44510</v>
      </c>
      <c r="B684" t="inlineStr">
        <is>
          <t>2021-11-10</t>
        </is>
      </c>
      <c r="C684" s="45" t="n">
        <v>72.70999999999999</v>
      </c>
      <c r="D684" t="inlineStr">
        <is>
          <t>€/MWh</t>
        </is>
      </c>
      <c r="E684" s="54" t="n">
        <v>0.07271</v>
      </c>
      <c r="F684" s="54" t="n"/>
      <c r="G684" t="inlineStr">
        <is>
          <t>no aplica (precio mayorista)</t>
        </is>
      </c>
      <c r="J684" t="inlineStr">
        <is>
          <t>2021-11-10</t>
        </is>
      </c>
      <c r="K684" t="inlineStr">
        <is>
          <t>MIBGAS_Data_2021.xlsx</t>
        </is>
      </c>
      <c r="L684" t="inlineStr">
        <is>
          <t>volumen 323687 MWh</t>
        </is>
      </c>
    </row>
    <row r="685">
      <c r="A685" s="53" t="n">
        <v>44511</v>
      </c>
      <c r="B685" t="inlineStr">
        <is>
          <t>2021-11-11</t>
        </is>
      </c>
      <c r="C685" s="45" t="n">
        <v>73.44</v>
      </c>
      <c r="D685" t="inlineStr">
        <is>
          <t>€/MWh</t>
        </is>
      </c>
      <c r="E685" s="54" t="n">
        <v>0.07344000000000001</v>
      </c>
      <c r="F685" s="54" t="n"/>
      <c r="G685" t="inlineStr">
        <is>
          <t>no aplica (precio mayorista)</t>
        </is>
      </c>
      <c r="J685" t="inlineStr">
        <is>
          <t>2021-11-11</t>
        </is>
      </c>
      <c r="K685" t="inlineStr">
        <is>
          <t>MIBGAS_Data_2021.xlsx</t>
        </is>
      </c>
      <c r="L685" t="inlineStr">
        <is>
          <t>volumen 349811 MWh</t>
        </is>
      </c>
    </row>
    <row r="686">
      <c r="A686" s="53" t="n">
        <v>44512</v>
      </c>
      <c r="B686" t="inlineStr">
        <is>
          <t>2021-11-12</t>
        </is>
      </c>
      <c r="C686" s="45" t="n">
        <v>75.94</v>
      </c>
      <c r="D686" t="inlineStr">
        <is>
          <t>€/MWh</t>
        </is>
      </c>
      <c r="E686" s="54" t="n">
        <v>0.07593999999999999</v>
      </c>
      <c r="F686" s="54" t="n"/>
      <c r="G686" t="inlineStr">
        <is>
          <t>no aplica (precio mayorista)</t>
        </is>
      </c>
      <c r="J686" t="inlineStr">
        <is>
          <t>2021-11-12</t>
        </is>
      </c>
      <c r="K686" t="inlineStr">
        <is>
          <t>MIBGAS_Data_2021.xlsx</t>
        </is>
      </c>
      <c r="L686" t="inlineStr">
        <is>
          <t>volumen 266469 MWh</t>
        </is>
      </c>
    </row>
    <row r="687">
      <c r="A687" s="53" t="n">
        <v>44513</v>
      </c>
      <c r="B687" t="inlineStr">
        <is>
          <t>2021-11-13</t>
        </is>
      </c>
      <c r="C687" s="45" t="n">
        <v>75.45</v>
      </c>
      <c r="D687" t="inlineStr">
        <is>
          <t>€/MWh</t>
        </is>
      </c>
      <c r="E687" s="54" t="n">
        <v>0.07545</v>
      </c>
      <c r="F687" s="54" t="n"/>
      <c r="G687" t="inlineStr">
        <is>
          <t>no aplica (precio mayorista)</t>
        </is>
      </c>
      <c r="J687" t="inlineStr">
        <is>
          <t>2021-11-13</t>
        </is>
      </c>
      <c r="K687" t="inlineStr">
        <is>
          <t>MIBGAS_Data_2021.xlsx</t>
        </is>
      </c>
      <c r="L687" t="inlineStr">
        <is>
          <t>volumen 131836 MWh</t>
        </is>
      </c>
    </row>
    <row r="688">
      <c r="A688" s="53" t="n">
        <v>44514</v>
      </c>
      <c r="B688" t="inlineStr">
        <is>
          <t>2021-11-14</t>
        </is>
      </c>
      <c r="C688" s="45" t="n">
        <v>74.61</v>
      </c>
      <c r="D688" t="inlineStr">
        <is>
          <t>€/MWh</t>
        </is>
      </c>
      <c r="E688" s="54" t="n">
        <v>0.07461</v>
      </c>
      <c r="F688" s="54" t="n"/>
      <c r="G688" t="inlineStr">
        <is>
          <t>no aplica (precio mayorista)</t>
        </is>
      </c>
      <c r="J688" t="inlineStr">
        <is>
          <t>2021-11-14</t>
        </is>
      </c>
      <c r="K688" t="inlineStr">
        <is>
          <t>MIBGAS_Data_2021.xlsx</t>
        </is>
      </c>
      <c r="L688" t="inlineStr">
        <is>
          <t>volumen 232860 MWh</t>
        </is>
      </c>
    </row>
    <row r="689">
      <c r="A689" s="53" t="n">
        <v>44515</v>
      </c>
      <c r="B689" t="inlineStr">
        <is>
          <t>2021-11-15</t>
        </is>
      </c>
      <c r="C689" s="45" t="n">
        <v>78.77</v>
      </c>
      <c r="D689" t="inlineStr">
        <is>
          <t>€/MWh</t>
        </is>
      </c>
      <c r="E689" s="54" t="n">
        <v>0.07877000000000001</v>
      </c>
      <c r="F689" s="54" t="n"/>
      <c r="G689" t="inlineStr">
        <is>
          <t>no aplica (precio mayorista)</t>
        </is>
      </c>
      <c r="J689" t="inlineStr">
        <is>
          <t>2021-11-15</t>
        </is>
      </c>
      <c r="K689" t="inlineStr">
        <is>
          <t>MIBGAS_Data_2021.xlsx</t>
        </is>
      </c>
      <c r="L689" t="inlineStr">
        <is>
          <t>volumen 159894 MWh</t>
        </is>
      </c>
    </row>
    <row r="690">
      <c r="A690" s="53" t="n">
        <v>44516</v>
      </c>
      <c r="B690" t="inlineStr">
        <is>
          <t>2021-11-16</t>
        </is>
      </c>
      <c r="C690" s="45" t="n">
        <v>82.67</v>
      </c>
      <c r="D690" t="inlineStr">
        <is>
          <t>€/MWh</t>
        </is>
      </c>
      <c r="E690" s="54" t="n">
        <v>0.08266999999999999</v>
      </c>
      <c r="F690" s="54" t="n"/>
      <c r="G690" t="inlineStr">
        <is>
          <t>no aplica (precio mayorista)</t>
        </is>
      </c>
      <c r="J690" t="inlineStr">
        <is>
          <t>2021-11-16</t>
        </is>
      </c>
      <c r="K690" t="inlineStr">
        <is>
          <t>MIBGAS_Data_2021.xlsx</t>
        </is>
      </c>
      <c r="L690" t="inlineStr">
        <is>
          <t>volumen 218198 MWh</t>
        </is>
      </c>
    </row>
    <row r="691">
      <c r="A691" s="53" t="n">
        <v>44517</v>
      </c>
      <c r="B691" t="inlineStr">
        <is>
          <t>2021-11-17</t>
        </is>
      </c>
      <c r="C691" s="45" t="n">
        <v>91.78</v>
      </c>
      <c r="D691" t="inlineStr">
        <is>
          <t>€/MWh</t>
        </is>
      </c>
      <c r="E691" s="54" t="n">
        <v>0.09178</v>
      </c>
      <c r="F691" s="54" t="n"/>
      <c r="G691" t="inlineStr">
        <is>
          <t>no aplica (precio mayorista)</t>
        </is>
      </c>
      <c r="J691" t="inlineStr">
        <is>
          <t>2021-11-17</t>
        </is>
      </c>
      <c r="K691" t="inlineStr">
        <is>
          <t>MIBGAS_Data_2021.xlsx</t>
        </is>
      </c>
      <c r="L691" t="inlineStr">
        <is>
          <t>volumen 140928 MWh</t>
        </is>
      </c>
    </row>
    <row r="692">
      <c r="A692" s="53" t="n">
        <v>44518</v>
      </c>
      <c r="B692" t="inlineStr">
        <is>
          <t>2021-11-18</t>
        </is>
      </c>
      <c r="C692" s="45" t="n">
        <v>98.15000000000001</v>
      </c>
      <c r="D692" t="inlineStr">
        <is>
          <t>€/MWh</t>
        </is>
      </c>
      <c r="E692" s="54" t="n">
        <v>0.09815</v>
      </c>
      <c r="F692" s="54" t="n"/>
      <c r="G692" t="inlineStr">
        <is>
          <t>no aplica (precio mayorista)</t>
        </is>
      </c>
      <c r="J692" t="inlineStr">
        <is>
          <t>2021-11-18</t>
        </is>
      </c>
      <c r="K692" t="inlineStr">
        <is>
          <t>MIBGAS_Data_2021.xlsx</t>
        </is>
      </c>
      <c r="L692" t="inlineStr">
        <is>
          <t>volumen 167632 MWh</t>
        </is>
      </c>
    </row>
    <row r="693">
      <c r="A693" s="53" t="n">
        <v>44519</v>
      </c>
      <c r="B693" t="inlineStr">
        <is>
          <t>2021-11-19</t>
        </is>
      </c>
      <c r="C693" s="45" t="n">
        <v>94.37</v>
      </c>
      <c r="D693" t="inlineStr">
        <is>
          <t>€/MWh</t>
        </is>
      </c>
      <c r="E693" s="54" t="n">
        <v>0.09437</v>
      </c>
      <c r="F693" s="54" t="n"/>
      <c r="G693" t="inlineStr">
        <is>
          <t>no aplica (precio mayorista)</t>
        </is>
      </c>
      <c r="J693" t="inlineStr">
        <is>
          <t>2021-11-19</t>
        </is>
      </c>
      <c r="K693" t="inlineStr">
        <is>
          <t>MIBGAS_Data_2021.xlsx</t>
        </is>
      </c>
      <c r="L693" t="inlineStr">
        <is>
          <t>volumen 215522 MWh</t>
        </is>
      </c>
    </row>
    <row r="694">
      <c r="A694" s="53" t="n">
        <v>44520</v>
      </c>
      <c r="B694" t="inlineStr">
        <is>
          <t>2021-11-20</t>
        </is>
      </c>
      <c r="C694" s="45" t="n">
        <v>93.27</v>
      </c>
      <c r="D694" t="inlineStr">
        <is>
          <t>€/MWh</t>
        </is>
      </c>
      <c r="E694" s="54" t="n">
        <v>0.09327000000000001</v>
      </c>
      <c r="F694" s="54" t="n"/>
      <c r="G694" t="inlineStr">
        <is>
          <t>no aplica (precio mayorista)</t>
        </is>
      </c>
      <c r="J694" t="inlineStr">
        <is>
          <t>2021-11-20</t>
        </is>
      </c>
      <c r="K694" t="inlineStr">
        <is>
          <t>MIBGAS_Data_2021.xlsx</t>
        </is>
      </c>
      <c r="L694" t="inlineStr">
        <is>
          <t>volumen 230398 MWh</t>
        </is>
      </c>
    </row>
    <row r="695">
      <c r="A695" s="53" t="n">
        <v>44521</v>
      </c>
      <c r="B695" t="inlineStr">
        <is>
          <t>2021-11-21</t>
        </is>
      </c>
      <c r="C695" s="45" t="n">
        <v>92.48</v>
      </c>
      <c r="D695" t="inlineStr">
        <is>
          <t>€/MWh</t>
        </is>
      </c>
      <c r="E695" s="54" t="n">
        <v>0.09248000000000001</v>
      </c>
      <c r="F695" s="54" t="n"/>
      <c r="G695" t="inlineStr">
        <is>
          <t>no aplica (precio mayorista)</t>
        </is>
      </c>
      <c r="J695" t="inlineStr">
        <is>
          <t>2021-11-21</t>
        </is>
      </c>
      <c r="K695" t="inlineStr">
        <is>
          <t>MIBGAS_Data_2021.xlsx</t>
        </is>
      </c>
      <c r="L695" t="inlineStr">
        <is>
          <t>volumen 242664 MWh</t>
        </is>
      </c>
    </row>
    <row r="696">
      <c r="A696" s="53" t="n">
        <v>44522</v>
      </c>
      <c r="B696" t="inlineStr">
        <is>
          <t>2021-11-22</t>
        </is>
      </c>
      <c r="C696" s="45" t="n">
        <v>91.42</v>
      </c>
      <c r="D696" t="inlineStr">
        <is>
          <t>€/MWh</t>
        </is>
      </c>
      <c r="E696" s="54" t="n">
        <v>0.09142</v>
      </c>
      <c r="F696" s="54" t="n"/>
      <c r="G696" t="inlineStr">
        <is>
          <t>no aplica (precio mayorista)</t>
        </is>
      </c>
      <c r="J696" t="inlineStr">
        <is>
          <t>2021-11-22</t>
        </is>
      </c>
      <c r="K696" t="inlineStr">
        <is>
          <t>MIBGAS_Data_2021.xlsx</t>
        </is>
      </c>
      <c r="L696" t="inlineStr">
        <is>
          <t>volumen 316730 MWh</t>
        </is>
      </c>
    </row>
    <row r="697">
      <c r="A697" s="53" t="n">
        <v>44523</v>
      </c>
      <c r="B697" t="inlineStr">
        <is>
          <t>2021-11-23</t>
        </is>
      </c>
      <c r="C697" s="45" t="n">
        <v>88.98999999999999</v>
      </c>
      <c r="D697" t="inlineStr">
        <is>
          <t>€/MWh</t>
        </is>
      </c>
      <c r="E697" s="54" t="n">
        <v>0.08899</v>
      </c>
      <c r="F697" s="54" t="n"/>
      <c r="G697" t="inlineStr">
        <is>
          <t>no aplica (precio mayorista)</t>
        </is>
      </c>
      <c r="J697" t="inlineStr">
        <is>
          <t>2021-11-23</t>
        </is>
      </c>
      <c r="K697" t="inlineStr">
        <is>
          <t>MIBGAS_Data_2021.xlsx</t>
        </is>
      </c>
      <c r="L697" t="inlineStr">
        <is>
          <t>volumen 278601 MWh</t>
        </is>
      </c>
    </row>
    <row r="698">
      <c r="A698" s="53" t="n">
        <v>44524</v>
      </c>
      <c r="B698" t="inlineStr">
        <is>
          <t>2021-11-24</t>
        </is>
      </c>
      <c r="C698" s="45" t="n">
        <v>96.17</v>
      </c>
      <c r="D698" t="inlineStr">
        <is>
          <t>€/MWh</t>
        </is>
      </c>
      <c r="E698" s="54" t="n">
        <v>0.09617000000000001</v>
      </c>
      <c r="F698" s="54" t="n"/>
      <c r="G698" t="inlineStr">
        <is>
          <t>no aplica (precio mayorista)</t>
        </is>
      </c>
      <c r="J698" t="inlineStr">
        <is>
          <t>2021-11-24</t>
        </is>
      </c>
      <c r="K698" t="inlineStr">
        <is>
          <t>MIBGAS_Data_2021.xlsx</t>
        </is>
      </c>
      <c r="L698" t="inlineStr">
        <is>
          <t>volumen 272254 MWh</t>
        </is>
      </c>
    </row>
    <row r="699">
      <c r="A699" s="53" t="n">
        <v>44525</v>
      </c>
      <c r="B699" t="inlineStr">
        <is>
          <t>2021-11-25</t>
        </is>
      </c>
      <c r="C699" s="45" t="n">
        <v>95.48999999999999</v>
      </c>
      <c r="D699" t="inlineStr">
        <is>
          <t>€/MWh</t>
        </is>
      </c>
      <c r="E699" s="54" t="n">
        <v>0.09549000000000001</v>
      </c>
      <c r="F699" s="54" t="n"/>
      <c r="G699" t="inlineStr">
        <is>
          <t>no aplica (precio mayorista)</t>
        </is>
      </c>
      <c r="J699" t="inlineStr">
        <is>
          <t>2021-11-25</t>
        </is>
      </c>
      <c r="K699" t="inlineStr">
        <is>
          <t>MIBGAS_Data_2021.xlsx</t>
        </is>
      </c>
      <c r="L699" t="inlineStr">
        <is>
          <t>volumen 223604 MWh</t>
        </is>
      </c>
    </row>
    <row r="700">
      <c r="A700" s="53" t="n">
        <v>44526</v>
      </c>
      <c r="B700" t="inlineStr">
        <is>
          <t>2021-11-26</t>
        </is>
      </c>
      <c r="C700" s="45" t="n">
        <v>95.40000000000001</v>
      </c>
      <c r="D700" t="inlineStr">
        <is>
          <t>€/MWh</t>
        </is>
      </c>
      <c r="E700" s="54" t="n">
        <v>0.0954</v>
      </c>
      <c r="F700" s="54" t="n"/>
      <c r="G700" t="inlineStr">
        <is>
          <t>no aplica (precio mayorista)</t>
        </is>
      </c>
      <c r="J700" t="inlineStr">
        <is>
          <t>2021-11-26</t>
        </is>
      </c>
      <c r="K700" t="inlineStr">
        <is>
          <t>MIBGAS_Data_2021.xlsx</t>
        </is>
      </c>
      <c r="L700" t="inlineStr">
        <is>
          <t>volumen 152784 MWh</t>
        </is>
      </c>
    </row>
    <row r="701">
      <c r="A701" s="53" t="n">
        <v>44527</v>
      </c>
      <c r="B701" t="inlineStr">
        <is>
          <t>2021-11-27</t>
        </is>
      </c>
      <c r="C701" s="45" t="n">
        <v>92.81</v>
      </c>
      <c r="D701" t="inlineStr">
        <is>
          <t>€/MWh</t>
        </is>
      </c>
      <c r="E701" s="54" t="n">
        <v>0.09281</v>
      </c>
      <c r="F701" s="54" t="n"/>
      <c r="G701" t="inlineStr">
        <is>
          <t>no aplica (precio mayorista)</t>
        </is>
      </c>
      <c r="J701" t="inlineStr">
        <is>
          <t>2021-11-27</t>
        </is>
      </c>
      <c r="K701" t="inlineStr">
        <is>
          <t>MIBGAS_Data_2021.xlsx</t>
        </is>
      </c>
      <c r="L701" t="inlineStr">
        <is>
          <t>volumen 175769 MWh</t>
        </is>
      </c>
    </row>
    <row r="702">
      <c r="A702" s="53" t="n">
        <v>44528</v>
      </c>
      <c r="B702" t="inlineStr">
        <is>
          <t>2021-11-28</t>
        </is>
      </c>
      <c r="C702" s="45" t="n">
        <v>92.81</v>
      </c>
      <c r="D702" t="inlineStr">
        <is>
          <t>€/MWh</t>
        </is>
      </c>
      <c r="E702" s="54" t="n">
        <v>0.09281</v>
      </c>
      <c r="F702" s="54" t="n"/>
      <c r="G702" t="inlineStr">
        <is>
          <t>no aplica (precio mayorista)</t>
        </is>
      </c>
      <c r="J702" t="inlineStr">
        <is>
          <t>2021-11-28</t>
        </is>
      </c>
      <c r="K702" t="inlineStr">
        <is>
          <t>MIBGAS_Data_2021.xlsx</t>
        </is>
      </c>
      <c r="L702" t="inlineStr">
        <is>
          <t>volumen 191491 MWh</t>
        </is>
      </c>
    </row>
    <row r="703">
      <c r="A703" s="53" t="n">
        <v>44529</v>
      </c>
      <c r="B703" t="inlineStr">
        <is>
          <t>2021-11-29</t>
        </is>
      </c>
      <c r="C703" s="45" t="n">
        <v>100.84</v>
      </c>
      <c r="D703" t="inlineStr">
        <is>
          <t>€/MWh</t>
        </is>
      </c>
      <c r="E703" s="54" t="n">
        <v>0.10084</v>
      </c>
      <c r="F703" s="54" t="n"/>
      <c r="G703" t="inlineStr">
        <is>
          <t>no aplica (precio mayorista)</t>
        </is>
      </c>
      <c r="J703" t="inlineStr">
        <is>
          <t>2021-11-29</t>
        </is>
      </c>
      <c r="K703" t="inlineStr">
        <is>
          <t>MIBGAS_Data_2021.xlsx</t>
        </is>
      </c>
      <c r="L703" t="inlineStr">
        <is>
          <t>volumen 419939 MWh</t>
        </is>
      </c>
    </row>
    <row r="704">
      <c r="A704" s="53" t="n">
        <v>44530</v>
      </c>
      <c r="B704" t="inlineStr">
        <is>
          <t>2021-11-30</t>
        </is>
      </c>
      <c r="C704" s="45" t="n">
        <v>100.54</v>
      </c>
      <c r="D704" t="inlineStr">
        <is>
          <t>€/MWh</t>
        </is>
      </c>
      <c r="E704" s="54" t="n">
        <v>0.10054</v>
      </c>
      <c r="F704" s="54" t="n"/>
      <c r="G704" t="inlineStr">
        <is>
          <t>no aplica (precio mayorista)</t>
        </is>
      </c>
      <c r="J704" t="inlineStr">
        <is>
          <t>2021-11-30</t>
        </is>
      </c>
      <c r="K704" t="inlineStr">
        <is>
          <t>MIBGAS_Data_2021.xlsx</t>
        </is>
      </c>
      <c r="L704" t="inlineStr">
        <is>
          <t>volumen 406278 MWh</t>
        </is>
      </c>
    </row>
    <row r="705">
      <c r="A705" s="53" t="n">
        <v>44531</v>
      </c>
      <c r="B705" t="inlineStr">
        <is>
          <t>2021-12-01</t>
        </is>
      </c>
      <c r="C705" s="45" t="n">
        <v>98</v>
      </c>
      <c r="D705" t="inlineStr">
        <is>
          <t>€/MWh</t>
        </is>
      </c>
      <c r="E705" s="54" t="n">
        <v>0.098</v>
      </c>
      <c r="F705" s="54" t="n"/>
      <c r="G705" t="inlineStr">
        <is>
          <t>no aplica (precio mayorista)</t>
        </is>
      </c>
      <c r="J705" t="inlineStr">
        <is>
          <t>2021-12-01</t>
        </is>
      </c>
      <c r="K705" t="inlineStr">
        <is>
          <t>MIBGAS_Data_2021.xlsx</t>
        </is>
      </c>
      <c r="L705" t="inlineStr">
        <is>
          <t>volumen 190435 MWh</t>
        </is>
      </c>
    </row>
    <row r="706">
      <c r="A706" s="53" t="n">
        <v>44532</v>
      </c>
      <c r="B706" t="inlineStr">
        <is>
          <t>2021-12-02</t>
        </is>
      </c>
      <c r="C706" s="45" t="n">
        <v>96.55</v>
      </c>
      <c r="D706" t="inlineStr">
        <is>
          <t>€/MWh</t>
        </is>
      </c>
      <c r="E706" s="54" t="n">
        <v>0.09655</v>
      </c>
      <c r="F706" s="54" t="n"/>
      <c r="G706" t="inlineStr">
        <is>
          <t>no aplica (precio mayorista)</t>
        </is>
      </c>
      <c r="J706" t="inlineStr">
        <is>
          <t>2021-12-02</t>
        </is>
      </c>
      <c r="K706" t="inlineStr">
        <is>
          <t>MIBGAS_Data_2021.xlsx</t>
        </is>
      </c>
      <c r="L706" t="inlineStr">
        <is>
          <t>volumen 161965 MWh</t>
        </is>
      </c>
    </row>
    <row r="707">
      <c r="A707" s="53" t="n">
        <v>44533</v>
      </c>
      <c r="B707" t="inlineStr">
        <is>
          <t>2021-12-03</t>
        </is>
      </c>
      <c r="C707" s="45" t="n">
        <v>94.95999999999999</v>
      </c>
      <c r="D707" t="inlineStr">
        <is>
          <t>€/MWh</t>
        </is>
      </c>
      <c r="E707" s="54" t="n">
        <v>0.09496</v>
      </c>
      <c r="F707" s="54" t="n"/>
      <c r="G707" t="inlineStr">
        <is>
          <t>no aplica (precio mayorista)</t>
        </is>
      </c>
      <c r="J707" t="inlineStr">
        <is>
          <t>2021-12-03</t>
        </is>
      </c>
      <c r="K707" t="inlineStr">
        <is>
          <t>MIBGAS_Data_2021.xlsx</t>
        </is>
      </c>
      <c r="L707" t="inlineStr">
        <is>
          <t>volumen 241068 MWh</t>
        </is>
      </c>
    </row>
    <row r="708">
      <c r="A708" s="53" t="n">
        <v>44534</v>
      </c>
      <c r="B708" t="inlineStr">
        <is>
          <t>2021-12-04</t>
        </is>
      </c>
      <c r="C708" s="45" t="n">
        <v>93.25</v>
      </c>
      <c r="D708" t="inlineStr">
        <is>
          <t>€/MWh</t>
        </is>
      </c>
      <c r="E708" s="54" t="n">
        <v>0.09325</v>
      </c>
      <c r="F708" s="54" t="n"/>
      <c r="G708" t="inlineStr">
        <is>
          <t>no aplica (precio mayorista)</t>
        </is>
      </c>
      <c r="J708" t="inlineStr">
        <is>
          <t>2021-12-04</t>
        </is>
      </c>
      <c r="K708" t="inlineStr">
        <is>
          <t>MIBGAS_Data_2021.xlsx</t>
        </is>
      </c>
      <c r="L708" t="inlineStr">
        <is>
          <t>volumen 185881 MWh</t>
        </is>
      </c>
    </row>
    <row r="709">
      <c r="A709" s="53" t="n">
        <v>44535</v>
      </c>
      <c r="B709" t="inlineStr">
        <is>
          <t>2021-12-05</t>
        </is>
      </c>
      <c r="C709" s="45" t="n">
        <v>89.66</v>
      </c>
      <c r="D709" t="inlineStr">
        <is>
          <t>€/MWh</t>
        </is>
      </c>
      <c r="E709" s="54" t="n">
        <v>0.08966</v>
      </c>
      <c r="F709" s="54" t="n"/>
      <c r="G709" t="inlineStr">
        <is>
          <t>no aplica (precio mayorista)</t>
        </is>
      </c>
      <c r="J709" t="inlineStr">
        <is>
          <t>2021-12-05</t>
        </is>
      </c>
      <c r="K709" t="inlineStr">
        <is>
          <t>MIBGAS_Data_2021.xlsx</t>
        </is>
      </c>
      <c r="L709" t="inlineStr">
        <is>
          <t>volumen 287888 MWh</t>
        </is>
      </c>
    </row>
    <row r="710">
      <c r="A710" s="53" t="n">
        <v>44536</v>
      </c>
      <c r="B710" t="inlineStr">
        <is>
          <t>2021-12-06</t>
        </is>
      </c>
      <c r="C710" s="45" t="n">
        <v>91.70999999999999</v>
      </c>
      <c r="D710" t="inlineStr">
        <is>
          <t>€/MWh</t>
        </is>
      </c>
      <c r="E710" s="54" t="n">
        <v>0.09171</v>
      </c>
      <c r="F710" s="54" t="n"/>
      <c r="G710" t="inlineStr">
        <is>
          <t>no aplica (precio mayorista)</t>
        </is>
      </c>
      <c r="J710" t="inlineStr">
        <is>
          <t>2021-12-06</t>
        </is>
      </c>
      <c r="K710" t="inlineStr">
        <is>
          <t>MIBGAS_Data_2021.xlsx</t>
        </is>
      </c>
      <c r="L710" t="inlineStr">
        <is>
          <t>volumen 123060 MWh</t>
        </is>
      </c>
    </row>
    <row r="711">
      <c r="A711" s="53" t="n">
        <v>44537</v>
      </c>
      <c r="B711" t="inlineStr">
        <is>
          <t>2021-12-07</t>
        </is>
      </c>
      <c r="C711" s="45" t="n">
        <v>92.59999999999999</v>
      </c>
      <c r="D711" t="inlineStr">
        <is>
          <t>€/MWh</t>
        </is>
      </c>
      <c r="E711" s="54" t="n">
        <v>0.0926</v>
      </c>
      <c r="F711" s="54" t="n"/>
      <c r="G711" t="inlineStr">
        <is>
          <t>no aplica (precio mayorista)</t>
        </is>
      </c>
      <c r="J711" t="inlineStr">
        <is>
          <t>2021-12-07</t>
        </is>
      </c>
      <c r="K711" t="inlineStr">
        <is>
          <t>MIBGAS_Data_2021.xlsx</t>
        </is>
      </c>
      <c r="L711" t="inlineStr">
        <is>
          <t>volumen 148961 MWh</t>
        </is>
      </c>
    </row>
    <row r="712">
      <c r="A712" s="53" t="n">
        <v>44538</v>
      </c>
      <c r="B712" t="inlineStr">
        <is>
          <t>2021-12-08</t>
        </is>
      </c>
      <c r="C712" s="45" t="n">
        <v>96.66</v>
      </c>
      <c r="D712" t="inlineStr">
        <is>
          <t>€/MWh</t>
        </is>
      </c>
      <c r="E712" s="54" t="n">
        <v>0.09666</v>
      </c>
      <c r="F712" s="54" t="n"/>
      <c r="G712" t="inlineStr">
        <is>
          <t>no aplica (precio mayorista)</t>
        </is>
      </c>
      <c r="J712" t="inlineStr">
        <is>
          <t>2021-12-08</t>
        </is>
      </c>
      <c r="K712" t="inlineStr">
        <is>
          <t>MIBGAS_Data_2021.xlsx</t>
        </is>
      </c>
      <c r="L712" t="inlineStr">
        <is>
          <t>volumen 176864 MWh</t>
        </is>
      </c>
    </row>
    <row r="713">
      <c r="A713" s="53" t="n">
        <v>44539</v>
      </c>
      <c r="B713" t="inlineStr">
        <is>
          <t>2021-12-09</t>
        </is>
      </c>
      <c r="C713" s="45" t="n">
        <v>101.22</v>
      </c>
      <c r="D713" t="inlineStr">
        <is>
          <t>€/MWh</t>
        </is>
      </c>
      <c r="E713" s="54" t="n">
        <v>0.10122</v>
      </c>
      <c r="F713" s="54" t="n"/>
      <c r="G713" t="inlineStr">
        <is>
          <t>no aplica (precio mayorista)</t>
        </is>
      </c>
      <c r="J713" t="inlineStr">
        <is>
          <t>2021-12-09</t>
        </is>
      </c>
      <c r="K713" t="inlineStr">
        <is>
          <t>MIBGAS_Data_2021.xlsx</t>
        </is>
      </c>
      <c r="L713" t="inlineStr">
        <is>
          <t>volumen 175345 MWh</t>
        </is>
      </c>
    </row>
    <row r="714">
      <c r="A714" s="53" t="n">
        <v>44540</v>
      </c>
      <c r="B714" t="inlineStr">
        <is>
          <t>2021-12-10</t>
        </is>
      </c>
      <c r="C714" s="45" t="n">
        <v>101.15</v>
      </c>
      <c r="D714" t="inlineStr">
        <is>
          <t>€/MWh</t>
        </is>
      </c>
      <c r="E714" s="54" t="n">
        <v>0.10115</v>
      </c>
      <c r="F714" s="54" t="n"/>
      <c r="G714" t="inlineStr">
        <is>
          <t>no aplica (precio mayorista)</t>
        </is>
      </c>
      <c r="J714" t="inlineStr">
        <is>
          <t>2021-12-10</t>
        </is>
      </c>
      <c r="K714" t="inlineStr">
        <is>
          <t>MIBGAS_Data_2021.xlsx</t>
        </is>
      </c>
      <c r="L714" t="inlineStr">
        <is>
          <t>volumen 163835 MWh</t>
        </is>
      </c>
    </row>
    <row r="715">
      <c r="A715" s="53" t="n">
        <v>44541</v>
      </c>
      <c r="B715" t="inlineStr">
        <is>
          <t>2021-12-11</t>
        </is>
      </c>
      <c r="C715" s="45" t="n">
        <v>104.91</v>
      </c>
      <c r="D715" t="inlineStr">
        <is>
          <t>€/MWh</t>
        </is>
      </c>
      <c r="E715" s="54" t="n">
        <v>0.10491</v>
      </c>
      <c r="F715" s="54" t="n"/>
      <c r="G715" t="inlineStr">
        <is>
          <t>no aplica (precio mayorista)</t>
        </is>
      </c>
      <c r="J715" t="inlineStr">
        <is>
          <t>2021-12-11</t>
        </is>
      </c>
      <c r="K715" t="inlineStr">
        <is>
          <t>MIBGAS_Data_2021.xlsx</t>
        </is>
      </c>
      <c r="L715" t="inlineStr">
        <is>
          <t>volumen 112601 MWh</t>
        </is>
      </c>
    </row>
    <row r="716">
      <c r="A716" s="53" t="n">
        <v>44542</v>
      </c>
      <c r="B716" t="inlineStr">
        <is>
          <t>2021-12-12</t>
        </is>
      </c>
      <c r="C716" s="45" t="n">
        <v>107.67</v>
      </c>
      <c r="D716" t="inlineStr">
        <is>
          <t>€/MWh</t>
        </is>
      </c>
      <c r="E716" s="54" t="n">
        <v>0.10767</v>
      </c>
      <c r="F716" s="54" t="n"/>
      <c r="G716" t="inlineStr">
        <is>
          <t>no aplica (precio mayorista)</t>
        </is>
      </c>
      <c r="J716" t="inlineStr">
        <is>
          <t>2021-12-12</t>
        </is>
      </c>
      <c r="K716" t="inlineStr">
        <is>
          <t>MIBGAS_Data_2021.xlsx</t>
        </is>
      </c>
      <c r="L716" t="inlineStr">
        <is>
          <t>volumen 141501 MWh</t>
        </is>
      </c>
    </row>
    <row r="717">
      <c r="A717" s="53" t="n">
        <v>44543</v>
      </c>
      <c r="B717" t="inlineStr">
        <is>
          <t>2021-12-13</t>
        </is>
      </c>
      <c r="C717" s="45" t="n">
        <v>113.38</v>
      </c>
      <c r="D717" t="inlineStr">
        <is>
          <t>€/MWh</t>
        </is>
      </c>
      <c r="E717" s="54" t="n">
        <v>0.11338</v>
      </c>
      <c r="F717" s="54" t="n"/>
      <c r="G717" t="inlineStr">
        <is>
          <t>no aplica (precio mayorista)</t>
        </is>
      </c>
      <c r="J717" t="inlineStr">
        <is>
          <t>2021-12-13</t>
        </is>
      </c>
      <c r="K717" t="inlineStr">
        <is>
          <t>MIBGAS_Data_2021.xlsx</t>
        </is>
      </c>
      <c r="L717" t="inlineStr">
        <is>
          <t>volumen 300090 MWh</t>
        </is>
      </c>
    </row>
    <row r="718">
      <c r="A718" s="53" t="n">
        <v>44544</v>
      </c>
      <c r="B718" t="inlineStr">
        <is>
          <t>2021-12-14</t>
        </is>
      </c>
      <c r="C718" s="45" t="n">
        <v>119.23</v>
      </c>
      <c r="D718" t="inlineStr">
        <is>
          <t>€/MWh</t>
        </is>
      </c>
      <c r="E718" s="54" t="n">
        <v>0.11923</v>
      </c>
      <c r="F718" s="54" t="n"/>
      <c r="G718" t="inlineStr">
        <is>
          <t>no aplica (precio mayorista)</t>
        </is>
      </c>
      <c r="J718" t="inlineStr">
        <is>
          <t>2021-12-14</t>
        </is>
      </c>
      <c r="K718" t="inlineStr">
        <is>
          <t>MIBGAS_Data_2021.xlsx</t>
        </is>
      </c>
      <c r="L718" t="inlineStr">
        <is>
          <t>volumen 255371 MWh</t>
        </is>
      </c>
    </row>
    <row r="719">
      <c r="A719" s="53" t="n">
        <v>44545</v>
      </c>
      <c r="B719" t="inlineStr">
        <is>
          <t>2021-12-15</t>
        </is>
      </c>
      <c r="C719" s="45" t="n">
        <v>124.69</v>
      </c>
      <c r="D719" t="inlineStr">
        <is>
          <t>€/MWh</t>
        </is>
      </c>
      <c r="E719" s="54" t="n">
        <v>0.12469</v>
      </c>
      <c r="F719" s="54" t="n"/>
      <c r="G719" t="inlineStr">
        <is>
          <t>no aplica (precio mayorista)</t>
        </is>
      </c>
      <c r="J719" t="inlineStr">
        <is>
          <t>2021-12-15</t>
        </is>
      </c>
      <c r="K719" t="inlineStr">
        <is>
          <t>MIBGAS_Data_2021.xlsx</t>
        </is>
      </c>
      <c r="L719" t="inlineStr">
        <is>
          <t>volumen 242599 MWh</t>
        </is>
      </c>
    </row>
    <row r="720">
      <c r="A720" s="53" t="n">
        <v>44546</v>
      </c>
      <c r="B720" t="inlineStr">
        <is>
          <t>2021-12-16</t>
        </is>
      </c>
      <c r="C720" s="45" t="n">
        <v>129.74</v>
      </c>
      <c r="D720" t="inlineStr">
        <is>
          <t>€/MWh</t>
        </is>
      </c>
      <c r="E720" s="54" t="n">
        <v>0.12974</v>
      </c>
      <c r="F720" s="54" t="n"/>
      <c r="G720" t="inlineStr">
        <is>
          <t>no aplica (precio mayorista)</t>
        </is>
      </c>
      <c r="J720" t="inlineStr">
        <is>
          <t>2021-12-16</t>
        </is>
      </c>
      <c r="K720" t="inlineStr">
        <is>
          <t>MIBGAS_Data_2021.xlsx</t>
        </is>
      </c>
      <c r="L720" t="inlineStr">
        <is>
          <t>volumen 188109 MWh</t>
        </is>
      </c>
    </row>
    <row r="721">
      <c r="A721" s="53" t="n">
        <v>44547</v>
      </c>
      <c r="B721" t="inlineStr">
        <is>
          <t>2021-12-17</t>
        </is>
      </c>
      <c r="C721" s="45" t="n">
        <v>133.94</v>
      </c>
      <c r="D721" t="inlineStr">
        <is>
          <t>€/MWh</t>
        </is>
      </c>
      <c r="E721" s="54" t="n">
        <v>0.13394</v>
      </c>
      <c r="F721" s="54" t="n"/>
      <c r="G721" t="inlineStr">
        <is>
          <t>no aplica (precio mayorista)</t>
        </is>
      </c>
      <c r="J721" t="inlineStr">
        <is>
          <t>2021-12-17</t>
        </is>
      </c>
      <c r="K721" t="inlineStr">
        <is>
          <t>MIBGAS_Data_2021.xlsx</t>
        </is>
      </c>
      <c r="L721" t="inlineStr">
        <is>
          <t>volumen 194024 MWh</t>
        </is>
      </c>
    </row>
    <row r="722">
      <c r="A722" s="53" t="n">
        <v>44548</v>
      </c>
      <c r="B722" t="inlineStr">
        <is>
          <t>2021-12-18</t>
        </is>
      </c>
      <c r="C722" s="45" t="n">
        <v>137.53</v>
      </c>
      <c r="D722" t="inlineStr">
        <is>
          <t>€/MWh</t>
        </is>
      </c>
      <c r="E722" s="54" t="n">
        <v>0.13753</v>
      </c>
      <c r="F722" s="54" t="n"/>
      <c r="G722" t="inlineStr">
        <is>
          <t>no aplica (precio mayorista)</t>
        </is>
      </c>
      <c r="J722" t="inlineStr">
        <is>
          <t>2021-12-18</t>
        </is>
      </c>
      <c r="K722" t="inlineStr">
        <is>
          <t>MIBGAS_Data_2021.xlsx</t>
        </is>
      </c>
      <c r="L722" t="inlineStr">
        <is>
          <t>volumen 172476 MWh</t>
        </is>
      </c>
    </row>
    <row r="723">
      <c r="A723" s="53" t="n">
        <v>44549</v>
      </c>
      <c r="B723" t="inlineStr">
        <is>
          <t>2021-12-19</t>
        </is>
      </c>
      <c r="C723" s="45" t="n">
        <v>142</v>
      </c>
      <c r="D723" t="inlineStr">
        <is>
          <t>€/MWh</t>
        </is>
      </c>
      <c r="E723" s="54" t="n">
        <v>0.142</v>
      </c>
      <c r="F723" s="54" t="n"/>
      <c r="G723" t="inlineStr">
        <is>
          <t>no aplica (precio mayorista)</t>
        </is>
      </c>
      <c r="J723" t="inlineStr">
        <is>
          <t>2021-12-19</t>
        </is>
      </c>
      <c r="K723" t="inlineStr">
        <is>
          <t>MIBGAS_Data_2021.xlsx</t>
        </is>
      </c>
      <c r="L723" t="inlineStr">
        <is>
          <t>volumen 153184 MWh</t>
        </is>
      </c>
    </row>
    <row r="724">
      <c r="A724" s="53" t="n">
        <v>44550</v>
      </c>
      <c r="B724" t="inlineStr">
        <is>
          <t>2021-12-20</t>
        </is>
      </c>
      <c r="C724" s="45" t="n">
        <v>146.99</v>
      </c>
      <c r="D724" t="inlineStr">
        <is>
          <t>€/MWh</t>
        </is>
      </c>
      <c r="E724" s="54" t="n">
        <v>0.14699</v>
      </c>
      <c r="F724" s="54" t="n"/>
      <c r="G724" t="inlineStr">
        <is>
          <t>no aplica (precio mayorista)</t>
        </is>
      </c>
      <c r="J724" t="inlineStr">
        <is>
          <t>2021-12-20</t>
        </is>
      </c>
      <c r="K724" t="inlineStr">
        <is>
          <t>MIBGAS_Data_2021.xlsx</t>
        </is>
      </c>
      <c r="L724" t="inlineStr">
        <is>
          <t>volumen 236724 MWh</t>
        </is>
      </c>
    </row>
    <row r="725">
      <c r="A725" s="53" t="n">
        <v>44551</v>
      </c>
      <c r="B725" t="inlineStr">
        <is>
          <t>2021-12-21</t>
        </is>
      </c>
      <c r="C725" s="45" t="n">
        <v>154.76</v>
      </c>
      <c r="D725" t="inlineStr">
        <is>
          <t>€/MWh</t>
        </is>
      </c>
      <c r="E725" s="54" t="n">
        <v>0.15476</v>
      </c>
      <c r="F725" s="54" t="n"/>
      <c r="G725" t="inlineStr">
        <is>
          <t>no aplica (precio mayorista)</t>
        </is>
      </c>
      <c r="J725" t="inlineStr">
        <is>
          <t>2021-12-21</t>
        </is>
      </c>
      <c r="K725" t="inlineStr">
        <is>
          <t>MIBGAS_Data_2021.xlsx</t>
        </is>
      </c>
      <c r="L725" t="inlineStr">
        <is>
          <t>volumen 343299 MWh</t>
        </is>
      </c>
    </row>
    <row r="726">
      <c r="A726" s="53" t="n">
        <v>44552</v>
      </c>
      <c r="B726" t="inlineStr">
        <is>
          <t>2021-12-22</t>
        </is>
      </c>
      <c r="C726" s="45" t="n">
        <v>172.12</v>
      </c>
      <c r="D726" t="inlineStr">
        <is>
          <t>€/MWh</t>
        </is>
      </c>
      <c r="E726" s="54" t="n">
        <v>0.17212</v>
      </c>
      <c r="F726" s="54" t="n"/>
      <c r="G726" t="inlineStr">
        <is>
          <t>no aplica (precio mayorista)</t>
        </is>
      </c>
      <c r="J726" t="inlineStr">
        <is>
          <t>2021-12-22</t>
        </is>
      </c>
      <c r="K726" t="inlineStr">
        <is>
          <t>MIBGAS_Data_2021.xlsx</t>
        </is>
      </c>
      <c r="L726" t="inlineStr">
        <is>
          <t>volumen 239210 MWh</t>
        </is>
      </c>
    </row>
    <row r="727">
      <c r="A727" s="53" t="n">
        <v>44553</v>
      </c>
      <c r="B727" t="inlineStr">
        <is>
          <t>2021-12-23</t>
        </is>
      </c>
      <c r="C727" s="45" t="n">
        <v>161.98</v>
      </c>
      <c r="D727" t="inlineStr">
        <is>
          <t>€/MWh</t>
        </is>
      </c>
      <c r="E727" s="54" t="n">
        <v>0.16198</v>
      </c>
      <c r="F727" s="54" t="n"/>
      <c r="G727" t="inlineStr">
        <is>
          <t>no aplica (precio mayorista)</t>
        </is>
      </c>
      <c r="J727" t="inlineStr">
        <is>
          <t>2021-12-23</t>
        </is>
      </c>
      <c r="K727" t="inlineStr">
        <is>
          <t>MIBGAS_Data_2021.xlsx</t>
        </is>
      </c>
      <c r="L727" t="inlineStr">
        <is>
          <t>volumen 261934 MWh</t>
        </is>
      </c>
    </row>
    <row r="728">
      <c r="A728" s="53" t="n">
        <v>44554</v>
      </c>
      <c r="B728" t="inlineStr">
        <is>
          <t>2021-12-24</t>
        </is>
      </c>
      <c r="C728" s="45" t="n">
        <v>122.85</v>
      </c>
      <c r="D728" t="inlineStr">
        <is>
          <t>€/MWh</t>
        </is>
      </c>
      <c r="E728" s="54" t="n">
        <v>0.12285</v>
      </c>
      <c r="F728" s="54" t="n"/>
      <c r="G728" t="inlineStr">
        <is>
          <t>no aplica (precio mayorista)</t>
        </is>
      </c>
      <c r="J728" t="inlineStr">
        <is>
          <t>2021-12-24</t>
        </is>
      </c>
      <c r="K728" t="inlineStr">
        <is>
          <t>MIBGAS_Data_2021.xlsx</t>
        </is>
      </c>
      <c r="L728" t="inlineStr">
        <is>
          <t>volumen 260503 MWh</t>
        </is>
      </c>
    </row>
    <row r="729">
      <c r="A729" s="53" t="n">
        <v>44555</v>
      </c>
      <c r="B729" t="inlineStr">
        <is>
          <t>2021-12-25</t>
        </is>
      </c>
      <c r="C729" s="45" t="n">
        <v>90.62</v>
      </c>
      <c r="D729" t="inlineStr">
        <is>
          <t>€/MWh</t>
        </is>
      </c>
      <c r="E729" s="54" t="n">
        <v>0.09062000000000001</v>
      </c>
      <c r="F729" s="54" t="n"/>
      <c r="G729" t="inlineStr">
        <is>
          <t>no aplica (precio mayorista)</t>
        </is>
      </c>
      <c r="J729" t="inlineStr">
        <is>
          <t>2021-12-25</t>
        </is>
      </c>
      <c r="K729" t="inlineStr">
        <is>
          <t>MIBGAS_Data_2021.xlsx</t>
        </is>
      </c>
      <c r="L729" t="inlineStr">
        <is>
          <t>volumen 246280 MWh</t>
        </is>
      </c>
    </row>
    <row r="730">
      <c r="A730" s="53" t="n">
        <v>44556</v>
      </c>
      <c r="B730" t="inlineStr">
        <is>
          <t>2021-12-26</t>
        </is>
      </c>
      <c r="C730" s="45" t="n">
        <v>96.73</v>
      </c>
      <c r="D730" t="inlineStr">
        <is>
          <t>€/MWh</t>
        </is>
      </c>
      <c r="E730" s="54" t="n">
        <v>0.09673</v>
      </c>
      <c r="F730" s="54" t="n"/>
      <c r="G730" t="inlineStr">
        <is>
          <t>no aplica (precio mayorista)</t>
        </is>
      </c>
      <c r="J730" t="inlineStr">
        <is>
          <t>2021-12-26</t>
        </is>
      </c>
      <c r="K730" t="inlineStr">
        <is>
          <t>MIBGAS_Data_2021.xlsx</t>
        </is>
      </c>
      <c r="L730" t="inlineStr">
        <is>
          <t>volumen 171162 MWh</t>
        </is>
      </c>
    </row>
    <row r="731">
      <c r="A731" s="53" t="n">
        <v>44557</v>
      </c>
      <c r="B731" t="inlineStr">
        <is>
          <t>2021-12-27</t>
        </is>
      </c>
      <c r="C731" s="45" t="n">
        <v>97.45999999999999</v>
      </c>
      <c r="D731" t="inlineStr">
        <is>
          <t>€/MWh</t>
        </is>
      </c>
      <c r="E731" s="54" t="n">
        <v>0.09746</v>
      </c>
      <c r="F731" s="54" t="n"/>
      <c r="G731" t="inlineStr">
        <is>
          <t>no aplica (precio mayorista)</t>
        </is>
      </c>
      <c r="J731" t="inlineStr">
        <is>
          <t>2021-12-27</t>
        </is>
      </c>
      <c r="K731" t="inlineStr">
        <is>
          <t>MIBGAS_Data_2021.xlsx</t>
        </is>
      </c>
      <c r="L731" t="inlineStr">
        <is>
          <t>volumen 162660 MWh</t>
        </is>
      </c>
    </row>
    <row r="732">
      <c r="A732" s="53" t="n">
        <v>44558</v>
      </c>
      <c r="B732" t="inlineStr">
        <is>
          <t>2021-12-28</t>
        </is>
      </c>
      <c r="C732" s="45" t="n">
        <v>93.5</v>
      </c>
      <c r="D732" t="inlineStr">
        <is>
          <t>€/MWh</t>
        </is>
      </c>
      <c r="E732" s="54" t="n">
        <v>0.0935</v>
      </c>
      <c r="F732" s="54" t="n"/>
      <c r="G732" t="inlineStr">
        <is>
          <t>no aplica (precio mayorista)</t>
        </is>
      </c>
      <c r="J732" t="inlineStr">
        <is>
          <t>2021-12-28</t>
        </is>
      </c>
      <c r="K732" t="inlineStr">
        <is>
          <t>MIBGAS_Data_2021.xlsx</t>
        </is>
      </c>
      <c r="L732" t="inlineStr">
        <is>
          <t>volumen 294197 MWh</t>
        </is>
      </c>
    </row>
    <row r="733">
      <c r="A733" s="53" t="n">
        <v>44559</v>
      </c>
      <c r="B733" t="inlineStr">
        <is>
          <t>2021-12-29</t>
        </is>
      </c>
      <c r="C733" s="45" t="n">
        <v>93.31</v>
      </c>
      <c r="D733" t="inlineStr">
        <is>
          <t>€/MWh</t>
        </is>
      </c>
      <c r="E733" s="54" t="n">
        <v>0.09331</v>
      </c>
      <c r="F733" s="54" t="n"/>
      <c r="G733" t="inlineStr">
        <is>
          <t>no aplica (precio mayorista)</t>
        </is>
      </c>
      <c r="J733" t="inlineStr">
        <is>
          <t>2021-12-29</t>
        </is>
      </c>
      <c r="K733" t="inlineStr">
        <is>
          <t>MIBGAS_Data_2021.xlsx</t>
        </is>
      </c>
      <c r="L733" t="inlineStr">
        <is>
          <t>volumen 207694 MWh</t>
        </is>
      </c>
    </row>
    <row r="734">
      <c r="A734" s="53" t="n">
        <v>44560</v>
      </c>
      <c r="B734" t="inlineStr">
        <is>
          <t>2021-12-30</t>
        </is>
      </c>
      <c r="C734" s="45" t="n">
        <v>91.05</v>
      </c>
      <c r="D734" t="inlineStr">
        <is>
          <t>€/MWh</t>
        </is>
      </c>
      <c r="E734" s="54" t="n">
        <v>0.09105000000000001</v>
      </c>
      <c r="F734" s="54" t="n"/>
      <c r="G734" t="inlineStr">
        <is>
          <t>no aplica (precio mayorista)</t>
        </is>
      </c>
      <c r="J734" t="inlineStr">
        <is>
          <t>2021-12-30</t>
        </is>
      </c>
      <c r="K734" t="inlineStr">
        <is>
          <t>MIBGAS_Data_2021.xlsx</t>
        </is>
      </c>
      <c r="L734" t="inlineStr">
        <is>
          <t>volumen 188541 MWh</t>
        </is>
      </c>
    </row>
    <row r="735">
      <c r="A735" s="53" t="n">
        <v>44561</v>
      </c>
      <c r="B735" t="inlineStr">
        <is>
          <t>2021-12-31</t>
        </is>
      </c>
      <c r="C735" s="45" t="n">
        <v>80.31999999999999</v>
      </c>
      <c r="D735" t="inlineStr">
        <is>
          <t>€/MWh</t>
        </is>
      </c>
      <c r="E735" s="54" t="n">
        <v>0.08032</v>
      </c>
      <c r="F735" s="54" t="n"/>
      <c r="G735" t="inlineStr">
        <is>
          <t>no aplica (precio mayorista)</t>
        </is>
      </c>
      <c r="J735" t="inlineStr">
        <is>
          <t>2021-12-31</t>
        </is>
      </c>
      <c r="K735" t="inlineStr">
        <is>
          <t>MIBGAS_Data_2021.xlsx</t>
        </is>
      </c>
      <c r="L735" t="inlineStr">
        <is>
          <t>volumen 166121 MWh</t>
        </is>
      </c>
    </row>
    <row r="736">
      <c r="A736" s="53" t="n">
        <v>44562</v>
      </c>
      <c r="B736" t="inlineStr">
        <is>
          <t>2022-01-01</t>
        </is>
      </c>
      <c r="C736" s="45" t="n">
        <v>57.89</v>
      </c>
      <c r="D736" t="inlineStr">
        <is>
          <t>€/MWh</t>
        </is>
      </c>
      <c r="E736" s="54" t="n">
        <v>0.05789</v>
      </c>
      <c r="F736" s="54" t="n"/>
      <c r="G736" t="inlineStr">
        <is>
          <t>no aplica (precio mayorista)</t>
        </is>
      </c>
      <c r="J736" t="inlineStr">
        <is>
          <t>2022-01-01</t>
        </is>
      </c>
      <c r="K736" t="inlineStr">
        <is>
          <t>MIBGAS_Data_2022.xlsx</t>
        </is>
      </c>
      <c r="L736" t="inlineStr">
        <is>
          <t>volumen 196432 MWh</t>
        </is>
      </c>
    </row>
    <row r="737">
      <c r="A737" s="53" t="n">
        <v>44563</v>
      </c>
      <c r="B737" t="inlineStr">
        <is>
          <t>2022-01-02</t>
        </is>
      </c>
      <c r="C737" s="45" t="n">
        <v>59.79</v>
      </c>
      <c r="D737" t="inlineStr">
        <is>
          <t>€/MWh</t>
        </is>
      </c>
      <c r="E737" s="54" t="n">
        <v>0.05979</v>
      </c>
      <c r="F737" s="54" t="n"/>
      <c r="G737" t="inlineStr">
        <is>
          <t>no aplica (precio mayorista)</t>
        </is>
      </c>
      <c r="J737" t="inlineStr">
        <is>
          <t>2022-01-02</t>
        </is>
      </c>
      <c r="K737" t="inlineStr">
        <is>
          <t>MIBGAS_Data_2022.xlsx</t>
        </is>
      </c>
      <c r="L737" t="inlineStr">
        <is>
          <t>volumen 177894 MWh</t>
        </is>
      </c>
    </row>
    <row r="738">
      <c r="A738" s="53" t="n">
        <v>44564</v>
      </c>
      <c r="B738" t="inlineStr">
        <is>
          <t>2022-01-03</t>
        </is>
      </c>
      <c r="C738" s="45" t="n">
        <v>66.53</v>
      </c>
      <c r="D738" t="inlineStr">
        <is>
          <t>€/MWh</t>
        </is>
      </c>
      <c r="E738" s="54" t="n">
        <v>0.06653000000000001</v>
      </c>
      <c r="F738" s="54" t="n"/>
      <c r="G738" t="inlineStr">
        <is>
          <t>no aplica (precio mayorista)</t>
        </is>
      </c>
      <c r="J738" t="inlineStr">
        <is>
          <t>2022-01-03</t>
        </is>
      </c>
      <c r="K738" t="inlineStr">
        <is>
          <t>MIBGAS_Data_2022.xlsx</t>
        </is>
      </c>
      <c r="L738" t="inlineStr">
        <is>
          <t>volumen 157146 MWh</t>
        </is>
      </c>
    </row>
    <row r="739">
      <c r="A739" s="53" t="n">
        <v>44565</v>
      </c>
      <c r="B739" t="inlineStr">
        <is>
          <t>2022-01-04</t>
        </is>
      </c>
      <c r="C739" s="45" t="n">
        <v>77.37</v>
      </c>
      <c r="D739" t="inlineStr">
        <is>
          <t>€/MWh</t>
        </is>
      </c>
      <c r="E739" s="54" t="n">
        <v>0.07736999999999999</v>
      </c>
      <c r="F739" s="54" t="n"/>
      <c r="G739" t="inlineStr">
        <is>
          <t>no aplica (precio mayorista)</t>
        </is>
      </c>
      <c r="J739" t="inlineStr">
        <is>
          <t>2022-01-04</t>
        </is>
      </c>
      <c r="K739" t="inlineStr">
        <is>
          <t>MIBGAS_Data_2022.xlsx</t>
        </is>
      </c>
      <c r="L739" t="inlineStr">
        <is>
          <t>volumen 202813 MWh</t>
        </is>
      </c>
    </row>
    <row r="740">
      <c r="A740" s="53" t="n">
        <v>44566</v>
      </c>
      <c r="B740" t="inlineStr">
        <is>
          <t>2022-01-05</t>
        </is>
      </c>
      <c r="C740" s="45" t="n">
        <v>88.45999999999999</v>
      </c>
      <c r="D740" t="inlineStr">
        <is>
          <t>€/MWh</t>
        </is>
      </c>
      <c r="E740" s="54" t="n">
        <v>0.08846</v>
      </c>
      <c r="F740" s="54" t="n"/>
      <c r="G740" t="inlineStr">
        <is>
          <t>no aplica (precio mayorista)</t>
        </is>
      </c>
      <c r="J740" t="inlineStr">
        <is>
          <t>2022-01-05</t>
        </is>
      </c>
      <c r="K740" t="inlineStr">
        <is>
          <t>MIBGAS_Data_2022.xlsx</t>
        </is>
      </c>
      <c r="L740" t="inlineStr">
        <is>
          <t>volumen 133162 MWh</t>
        </is>
      </c>
    </row>
    <row r="741">
      <c r="A741" s="53" t="n">
        <v>44567</v>
      </c>
      <c r="B741" t="inlineStr">
        <is>
          <t>2022-01-06</t>
        </is>
      </c>
      <c r="C741" s="45" t="n">
        <v>92.13</v>
      </c>
      <c r="D741" t="inlineStr">
        <is>
          <t>€/MWh</t>
        </is>
      </c>
      <c r="E741" s="54" t="n">
        <v>0.09213</v>
      </c>
      <c r="F741" s="54" t="n"/>
      <c r="G741" t="inlineStr">
        <is>
          <t>no aplica (precio mayorista)</t>
        </is>
      </c>
      <c r="J741" t="inlineStr">
        <is>
          <t>2022-01-06</t>
        </is>
      </c>
      <c r="K741" t="inlineStr">
        <is>
          <t>MIBGAS_Data_2022.xlsx</t>
        </is>
      </c>
      <c r="L741" t="inlineStr">
        <is>
          <t>volumen 193913 MWh</t>
        </is>
      </c>
    </row>
    <row r="742">
      <c r="A742" s="53" t="n">
        <v>44568</v>
      </c>
      <c r="B742" t="inlineStr">
        <is>
          <t>2022-01-07</t>
        </is>
      </c>
      <c r="C742" s="45" t="n">
        <v>91.81</v>
      </c>
      <c r="D742" t="inlineStr">
        <is>
          <t>€/MWh</t>
        </is>
      </c>
      <c r="E742" s="54" t="n">
        <v>0.09181</v>
      </c>
      <c r="F742" s="54" t="n"/>
      <c r="G742" t="inlineStr">
        <is>
          <t>no aplica (precio mayorista)</t>
        </is>
      </c>
      <c r="J742" t="inlineStr">
        <is>
          <t>2022-01-07</t>
        </is>
      </c>
      <c r="K742" t="inlineStr">
        <is>
          <t>MIBGAS_Data_2022.xlsx</t>
        </is>
      </c>
      <c r="L742" t="inlineStr">
        <is>
          <t>volumen 150114 MWh</t>
        </is>
      </c>
    </row>
    <row r="743">
      <c r="A743" s="53" t="n">
        <v>44569</v>
      </c>
      <c r="B743" t="inlineStr">
        <is>
          <t>2022-01-08</t>
        </is>
      </c>
      <c r="C743" s="45" t="n">
        <v>89.63</v>
      </c>
      <c r="D743" t="inlineStr">
        <is>
          <t>€/MWh</t>
        </is>
      </c>
      <c r="E743" s="54" t="n">
        <v>0.08963</v>
      </c>
      <c r="F743" s="54" t="n"/>
      <c r="G743" t="inlineStr">
        <is>
          <t>no aplica (precio mayorista)</t>
        </is>
      </c>
      <c r="J743" t="inlineStr">
        <is>
          <t>2022-01-08</t>
        </is>
      </c>
      <c r="K743" t="inlineStr">
        <is>
          <t>MIBGAS_Data_2022.xlsx</t>
        </is>
      </c>
      <c r="L743" t="inlineStr">
        <is>
          <t>volumen 118606 MWh</t>
        </is>
      </c>
    </row>
    <row r="744">
      <c r="A744" s="53" t="n">
        <v>44570</v>
      </c>
      <c r="B744" t="inlineStr">
        <is>
          <t>2022-01-09</t>
        </is>
      </c>
      <c r="C744" s="45" t="n">
        <v>89.27</v>
      </c>
      <c r="D744" t="inlineStr">
        <is>
          <t>€/MWh</t>
        </is>
      </c>
      <c r="E744" s="54" t="n">
        <v>0.08927</v>
      </c>
      <c r="F744" s="54" t="n"/>
      <c r="G744" t="inlineStr">
        <is>
          <t>no aplica (precio mayorista)</t>
        </is>
      </c>
      <c r="J744" t="inlineStr">
        <is>
          <t>2022-01-09</t>
        </is>
      </c>
      <c r="K744" t="inlineStr">
        <is>
          <t>MIBGAS_Data_2022.xlsx</t>
        </is>
      </c>
      <c r="L744" t="inlineStr">
        <is>
          <t>volumen 128759 MWh</t>
        </is>
      </c>
    </row>
    <row r="745">
      <c r="A745" s="53" t="n">
        <v>44571</v>
      </c>
      <c r="B745" t="inlineStr">
        <is>
          <t>2022-01-10</t>
        </is>
      </c>
      <c r="C745" s="45" t="n">
        <v>88.05</v>
      </c>
      <c r="D745" t="inlineStr">
        <is>
          <t>€/MWh</t>
        </is>
      </c>
      <c r="E745" s="54" t="n">
        <v>0.08805</v>
      </c>
      <c r="F745" s="54" t="n"/>
      <c r="G745" t="inlineStr">
        <is>
          <t>no aplica (precio mayorista)</t>
        </is>
      </c>
      <c r="J745" t="inlineStr">
        <is>
          <t>2022-01-10</t>
        </is>
      </c>
      <c r="K745" t="inlineStr">
        <is>
          <t>MIBGAS_Data_2022.xlsx</t>
        </is>
      </c>
      <c r="L745" t="inlineStr">
        <is>
          <t>volumen 157034 MWh</t>
        </is>
      </c>
    </row>
    <row r="746">
      <c r="A746" s="53" t="n">
        <v>44572</v>
      </c>
      <c r="B746" t="inlineStr">
        <is>
          <t>2022-01-11</t>
        </is>
      </c>
      <c r="C746" s="45" t="n">
        <v>84.69</v>
      </c>
      <c r="D746" t="inlineStr">
        <is>
          <t>€/MWh</t>
        </is>
      </c>
      <c r="E746" s="54" t="n">
        <v>0.08469</v>
      </c>
      <c r="F746" s="54" t="n"/>
      <c r="G746" t="inlineStr">
        <is>
          <t>no aplica (precio mayorista)</t>
        </is>
      </c>
      <c r="J746" t="inlineStr">
        <is>
          <t>2022-01-11</t>
        </is>
      </c>
      <c r="K746" t="inlineStr">
        <is>
          <t>MIBGAS_Data_2022.xlsx</t>
        </is>
      </c>
      <c r="L746" t="inlineStr">
        <is>
          <t>volumen 180607 MWh</t>
        </is>
      </c>
    </row>
    <row r="747">
      <c r="A747" s="53" t="n">
        <v>44573</v>
      </c>
      <c r="B747" t="inlineStr">
        <is>
          <t>2022-01-12</t>
        </is>
      </c>
      <c r="C747" s="45" t="n">
        <v>80.27</v>
      </c>
      <c r="D747" t="inlineStr">
        <is>
          <t>€/MWh</t>
        </is>
      </c>
      <c r="E747" s="54" t="n">
        <v>0.08026999999999999</v>
      </c>
      <c r="F747" s="54" t="n"/>
      <c r="G747" t="inlineStr">
        <is>
          <t>no aplica (precio mayorista)</t>
        </is>
      </c>
      <c r="J747" t="inlineStr">
        <is>
          <t>2022-01-12</t>
        </is>
      </c>
      <c r="K747" t="inlineStr">
        <is>
          <t>MIBGAS_Data_2022.xlsx</t>
        </is>
      </c>
      <c r="L747" t="inlineStr">
        <is>
          <t>volumen 179000 MWh</t>
        </is>
      </c>
    </row>
    <row r="748">
      <c r="A748" s="53" t="n">
        <v>44574</v>
      </c>
      <c r="B748" t="inlineStr">
        <is>
          <t>2022-01-13</t>
        </is>
      </c>
      <c r="C748" s="45" t="n">
        <v>76.95999999999999</v>
      </c>
      <c r="D748" t="inlineStr">
        <is>
          <t>€/MWh</t>
        </is>
      </c>
      <c r="E748" s="54" t="n">
        <v>0.07696</v>
      </c>
      <c r="F748" s="54" t="n"/>
      <c r="G748" t="inlineStr">
        <is>
          <t>no aplica (precio mayorista)</t>
        </is>
      </c>
      <c r="J748" t="inlineStr">
        <is>
          <t>2022-01-13</t>
        </is>
      </c>
      <c r="K748" t="inlineStr">
        <is>
          <t>MIBGAS_Data_2022.xlsx</t>
        </is>
      </c>
      <c r="L748" t="inlineStr">
        <is>
          <t>volumen 239123 MWh</t>
        </is>
      </c>
    </row>
    <row r="749">
      <c r="A749" s="53" t="n">
        <v>44575</v>
      </c>
      <c r="B749" t="inlineStr">
        <is>
          <t>2022-01-14</t>
        </is>
      </c>
      <c r="C749" s="45" t="n">
        <v>84.20999999999999</v>
      </c>
      <c r="D749" t="inlineStr">
        <is>
          <t>€/MWh</t>
        </is>
      </c>
      <c r="E749" s="54" t="n">
        <v>0.08420999999999999</v>
      </c>
      <c r="F749" s="54" t="n"/>
      <c r="G749" t="inlineStr">
        <is>
          <t>no aplica (precio mayorista)</t>
        </is>
      </c>
      <c r="J749" t="inlineStr">
        <is>
          <t>2022-01-14</t>
        </is>
      </c>
      <c r="K749" t="inlineStr">
        <is>
          <t>MIBGAS_Data_2022.xlsx</t>
        </is>
      </c>
      <c r="L749" t="inlineStr">
        <is>
          <t>volumen 339783 MWh</t>
        </is>
      </c>
    </row>
    <row r="750">
      <c r="A750" s="53" t="n">
        <v>44576</v>
      </c>
      <c r="B750" t="inlineStr">
        <is>
          <t>2022-01-15</t>
        </is>
      </c>
      <c r="C750" s="45" t="n">
        <v>87.05</v>
      </c>
      <c r="D750" t="inlineStr">
        <is>
          <t>€/MWh</t>
        </is>
      </c>
      <c r="E750" s="54" t="n">
        <v>0.08705</v>
      </c>
      <c r="F750" s="54" t="n"/>
      <c r="G750" t="inlineStr">
        <is>
          <t>no aplica (precio mayorista)</t>
        </is>
      </c>
      <c r="J750" t="inlineStr">
        <is>
          <t>2022-01-15</t>
        </is>
      </c>
      <c r="K750" t="inlineStr">
        <is>
          <t>MIBGAS_Data_2022.xlsx</t>
        </is>
      </c>
      <c r="L750" t="inlineStr">
        <is>
          <t>volumen 172218 MWh</t>
        </is>
      </c>
    </row>
    <row r="751">
      <c r="A751" s="53" t="n">
        <v>44577</v>
      </c>
      <c r="B751" t="inlineStr">
        <is>
          <t>2022-01-16</t>
        </is>
      </c>
      <c r="C751" s="45" t="n">
        <v>88.5</v>
      </c>
      <c r="D751" t="inlineStr">
        <is>
          <t>€/MWh</t>
        </is>
      </c>
      <c r="E751" s="54" t="n">
        <v>0.0885</v>
      </c>
      <c r="F751" s="54" t="n"/>
      <c r="G751" t="inlineStr">
        <is>
          <t>no aplica (precio mayorista)</t>
        </is>
      </c>
      <c r="J751" t="inlineStr">
        <is>
          <t>2022-01-16</t>
        </is>
      </c>
      <c r="K751" t="inlineStr">
        <is>
          <t>MIBGAS_Data_2022.xlsx</t>
        </is>
      </c>
      <c r="L751" t="inlineStr">
        <is>
          <t>volumen 246436 MWh</t>
        </is>
      </c>
    </row>
    <row r="752">
      <c r="A752" s="53" t="n">
        <v>44578</v>
      </c>
      <c r="B752" t="inlineStr">
        <is>
          <t>2022-01-17</t>
        </is>
      </c>
      <c r="C752" s="45" t="n">
        <v>86.41</v>
      </c>
      <c r="D752" t="inlineStr">
        <is>
          <t>€/MWh</t>
        </is>
      </c>
      <c r="E752" s="54" t="n">
        <v>0.08641</v>
      </c>
      <c r="F752" s="54" t="n"/>
      <c r="G752" t="inlineStr">
        <is>
          <t>no aplica (precio mayorista)</t>
        </is>
      </c>
      <c r="J752" t="inlineStr">
        <is>
          <t>2022-01-17</t>
        </is>
      </c>
      <c r="K752" t="inlineStr">
        <is>
          <t>MIBGAS_Data_2022.xlsx</t>
        </is>
      </c>
      <c r="L752" t="inlineStr">
        <is>
          <t>volumen 407366 MWh</t>
        </is>
      </c>
    </row>
    <row r="753">
      <c r="A753" s="53" t="n">
        <v>44579</v>
      </c>
      <c r="B753" t="inlineStr">
        <is>
          <t>2022-01-18</t>
        </is>
      </c>
      <c r="C753" s="45" t="n">
        <v>80.17</v>
      </c>
      <c r="D753" t="inlineStr">
        <is>
          <t>€/MWh</t>
        </is>
      </c>
      <c r="E753" s="54" t="n">
        <v>0.08017000000000001</v>
      </c>
      <c r="F753" s="54" t="n"/>
      <c r="G753" t="inlineStr">
        <is>
          <t>no aplica (precio mayorista)</t>
        </is>
      </c>
      <c r="J753" t="inlineStr">
        <is>
          <t>2022-01-18</t>
        </is>
      </c>
      <c r="K753" t="inlineStr">
        <is>
          <t>MIBGAS_Data_2022.xlsx</t>
        </is>
      </c>
      <c r="L753" t="inlineStr">
        <is>
          <t>volumen 403323 MWh</t>
        </is>
      </c>
    </row>
    <row r="754">
      <c r="A754" s="53" t="n">
        <v>44580</v>
      </c>
      <c r="B754" t="inlineStr">
        <is>
          <t>2022-01-19</t>
        </is>
      </c>
      <c r="C754" s="45" t="n">
        <v>76.47</v>
      </c>
      <c r="D754" t="inlineStr">
        <is>
          <t>€/MWh</t>
        </is>
      </c>
      <c r="E754" s="54" t="n">
        <v>0.07647</v>
      </c>
      <c r="F754" s="54" t="n"/>
      <c r="G754" t="inlineStr">
        <is>
          <t>no aplica (precio mayorista)</t>
        </is>
      </c>
      <c r="J754" t="inlineStr">
        <is>
          <t>2022-01-19</t>
        </is>
      </c>
      <c r="K754" t="inlineStr">
        <is>
          <t>MIBGAS_Data_2022.xlsx</t>
        </is>
      </c>
      <c r="L754" t="inlineStr">
        <is>
          <t>volumen 306411 MWh</t>
        </is>
      </c>
    </row>
    <row r="755">
      <c r="A755" s="53" t="n">
        <v>44581</v>
      </c>
      <c r="B755" t="inlineStr">
        <is>
          <t>2022-01-20</t>
        </is>
      </c>
      <c r="C755" s="45" t="n">
        <v>72.75</v>
      </c>
      <c r="D755" t="inlineStr">
        <is>
          <t>€/MWh</t>
        </is>
      </c>
      <c r="E755" s="54" t="n">
        <v>0.07275</v>
      </c>
      <c r="F755" s="54" t="n"/>
      <c r="G755" t="inlineStr">
        <is>
          <t>no aplica (precio mayorista)</t>
        </is>
      </c>
      <c r="J755" t="inlineStr">
        <is>
          <t>2022-01-20</t>
        </is>
      </c>
      <c r="K755" t="inlineStr">
        <is>
          <t>MIBGAS_Data_2022.xlsx</t>
        </is>
      </c>
      <c r="L755" t="inlineStr">
        <is>
          <t>volumen 249636 MWh</t>
        </is>
      </c>
    </row>
    <row r="756">
      <c r="A756" s="53" t="n">
        <v>44582</v>
      </c>
      <c r="B756" t="inlineStr">
        <is>
          <t>2022-01-21</t>
        </is>
      </c>
      <c r="C756" s="45" t="n">
        <v>73.90000000000001</v>
      </c>
      <c r="D756" t="inlineStr">
        <is>
          <t>€/MWh</t>
        </is>
      </c>
      <c r="E756" s="54" t="n">
        <v>0.07389999999999999</v>
      </c>
      <c r="F756" s="54" t="n"/>
      <c r="G756" t="inlineStr">
        <is>
          <t>no aplica (precio mayorista)</t>
        </is>
      </c>
      <c r="J756" t="inlineStr">
        <is>
          <t>2022-01-21</t>
        </is>
      </c>
      <c r="K756" t="inlineStr">
        <is>
          <t>MIBGAS_Data_2022.xlsx</t>
        </is>
      </c>
      <c r="L756" t="inlineStr">
        <is>
          <t>volumen 163194 MWh</t>
        </is>
      </c>
    </row>
    <row r="757">
      <c r="A757" s="53" t="n">
        <v>44583</v>
      </c>
      <c r="B757" t="inlineStr">
        <is>
          <t>2022-01-22</t>
        </is>
      </c>
      <c r="C757" s="45" t="n">
        <v>78.29000000000001</v>
      </c>
      <c r="D757" t="inlineStr">
        <is>
          <t>€/MWh</t>
        </is>
      </c>
      <c r="E757" s="54" t="n">
        <v>0.07829</v>
      </c>
      <c r="F757" s="54" t="n"/>
      <c r="G757" t="inlineStr">
        <is>
          <t>no aplica (precio mayorista)</t>
        </is>
      </c>
      <c r="J757" t="inlineStr">
        <is>
          <t>2022-01-22</t>
        </is>
      </c>
      <c r="K757" t="inlineStr">
        <is>
          <t>MIBGAS_Data_2022.xlsx</t>
        </is>
      </c>
      <c r="L757" t="inlineStr">
        <is>
          <t>volumen 181829 MWh</t>
        </is>
      </c>
    </row>
    <row r="758">
      <c r="A758" s="53" t="n">
        <v>44584</v>
      </c>
      <c r="B758" t="inlineStr">
        <is>
          <t>2022-01-23</t>
        </is>
      </c>
      <c r="C758" s="45" t="n">
        <v>80.11</v>
      </c>
      <c r="D758" t="inlineStr">
        <is>
          <t>€/MWh</t>
        </is>
      </c>
      <c r="E758" s="54" t="n">
        <v>0.08011</v>
      </c>
      <c r="F758" s="54" t="n"/>
      <c r="G758" t="inlineStr">
        <is>
          <t>no aplica (precio mayorista)</t>
        </is>
      </c>
      <c r="J758" t="inlineStr">
        <is>
          <t>2022-01-23</t>
        </is>
      </c>
      <c r="K758" t="inlineStr">
        <is>
          <t>MIBGAS_Data_2022.xlsx</t>
        </is>
      </c>
      <c r="L758" t="inlineStr">
        <is>
          <t>volumen 214724 MWh</t>
        </is>
      </c>
    </row>
    <row r="759">
      <c r="A759" s="53" t="n">
        <v>44585</v>
      </c>
      <c r="B759" t="inlineStr">
        <is>
          <t>2022-01-24</t>
        </is>
      </c>
      <c r="C759" s="45" t="n">
        <v>85.59</v>
      </c>
      <c r="D759" t="inlineStr">
        <is>
          <t>€/MWh</t>
        </is>
      </c>
      <c r="E759" s="54" t="n">
        <v>0.08559</v>
      </c>
      <c r="F759" s="54" t="n"/>
      <c r="G759" t="inlineStr">
        <is>
          <t>no aplica (precio mayorista)</t>
        </is>
      </c>
      <c r="J759" t="inlineStr">
        <is>
          <t>2022-01-24</t>
        </is>
      </c>
      <c r="K759" t="inlineStr">
        <is>
          <t>MIBGAS_Data_2022.xlsx</t>
        </is>
      </c>
      <c r="L759" t="inlineStr">
        <is>
          <t>volumen 317540 MWh</t>
        </is>
      </c>
    </row>
    <row r="760">
      <c r="A760" s="53" t="n">
        <v>44586</v>
      </c>
      <c r="B760" t="inlineStr">
        <is>
          <t>2022-01-25</t>
        </is>
      </c>
      <c r="C760" s="45" t="n">
        <v>88.55</v>
      </c>
      <c r="D760" t="inlineStr">
        <is>
          <t>€/MWh</t>
        </is>
      </c>
      <c r="E760" s="54" t="n">
        <v>0.08855</v>
      </c>
      <c r="F760" s="54" t="n"/>
      <c r="G760" t="inlineStr">
        <is>
          <t>no aplica (precio mayorista)</t>
        </is>
      </c>
      <c r="J760" t="inlineStr">
        <is>
          <t>2022-01-25</t>
        </is>
      </c>
      <c r="K760" t="inlineStr">
        <is>
          <t>MIBGAS_Data_2022.xlsx</t>
        </is>
      </c>
      <c r="L760" t="inlineStr">
        <is>
          <t>volumen 326430 MWh</t>
        </is>
      </c>
    </row>
    <row r="761">
      <c r="A761" s="53" t="n">
        <v>44587</v>
      </c>
      <c r="B761" t="inlineStr">
        <is>
          <t>2022-01-26</t>
        </is>
      </c>
      <c r="C761" s="45" t="n">
        <v>90.56</v>
      </c>
      <c r="D761" t="inlineStr">
        <is>
          <t>€/MWh</t>
        </is>
      </c>
      <c r="E761" s="54" t="n">
        <v>0.09056</v>
      </c>
      <c r="F761" s="54" t="n"/>
      <c r="G761" t="inlineStr">
        <is>
          <t>no aplica (precio mayorista)</t>
        </is>
      </c>
      <c r="J761" t="inlineStr">
        <is>
          <t>2022-01-26</t>
        </is>
      </c>
      <c r="K761" t="inlineStr">
        <is>
          <t>MIBGAS_Data_2022.xlsx</t>
        </is>
      </c>
      <c r="L761" t="inlineStr">
        <is>
          <t>volumen 295441 MWh</t>
        </is>
      </c>
    </row>
    <row r="762">
      <c r="A762" s="53" t="n">
        <v>44588</v>
      </c>
      <c r="B762" t="inlineStr">
        <is>
          <t>2022-01-27</t>
        </is>
      </c>
      <c r="C762" s="45" t="n">
        <v>90.31999999999999</v>
      </c>
      <c r="D762" t="inlineStr">
        <is>
          <t>€/MWh</t>
        </is>
      </c>
      <c r="E762" s="54" t="n">
        <v>0.09032</v>
      </c>
      <c r="F762" s="54" t="n"/>
      <c r="G762" t="inlineStr">
        <is>
          <t>no aplica (precio mayorista)</t>
        </is>
      </c>
      <c r="J762" t="inlineStr">
        <is>
          <t>2022-01-27</t>
        </is>
      </c>
      <c r="K762" t="inlineStr">
        <is>
          <t>MIBGAS_Data_2022.xlsx</t>
        </is>
      </c>
      <c r="L762" t="inlineStr">
        <is>
          <t>volumen 280005 MWh</t>
        </is>
      </c>
    </row>
    <row r="763">
      <c r="A763" s="53" t="n">
        <v>44589</v>
      </c>
      <c r="B763" t="inlineStr">
        <is>
          <t>2022-01-28</t>
        </is>
      </c>
      <c r="C763" s="45" t="n">
        <v>90.81</v>
      </c>
      <c r="D763" t="inlineStr">
        <is>
          <t>€/MWh</t>
        </is>
      </c>
      <c r="E763" s="54" t="n">
        <v>0.09081</v>
      </c>
      <c r="F763" s="54" t="n"/>
      <c r="G763" t="inlineStr">
        <is>
          <t>no aplica (precio mayorista)</t>
        </is>
      </c>
      <c r="J763" t="inlineStr">
        <is>
          <t>2022-01-28</t>
        </is>
      </c>
      <c r="K763" t="inlineStr">
        <is>
          <t>MIBGAS_Data_2022.xlsx</t>
        </is>
      </c>
      <c r="L763" t="inlineStr">
        <is>
          <t>volumen 187313 MWh</t>
        </is>
      </c>
    </row>
    <row r="764">
      <c r="A764" s="53" t="n">
        <v>44590</v>
      </c>
      <c r="B764" t="inlineStr">
        <is>
          <t>2022-01-29</t>
        </is>
      </c>
      <c r="C764" s="45" t="n">
        <v>91.63</v>
      </c>
      <c r="D764" t="inlineStr">
        <is>
          <t>€/MWh</t>
        </is>
      </c>
      <c r="E764" s="54" t="n">
        <v>0.09163</v>
      </c>
      <c r="F764" s="54" t="n"/>
      <c r="G764" t="inlineStr">
        <is>
          <t>no aplica (precio mayorista)</t>
        </is>
      </c>
      <c r="J764" t="inlineStr">
        <is>
          <t>2022-01-29</t>
        </is>
      </c>
      <c r="K764" t="inlineStr">
        <is>
          <t>MIBGAS_Data_2022.xlsx</t>
        </is>
      </c>
      <c r="L764" t="inlineStr">
        <is>
          <t>volumen 151528 MWh</t>
        </is>
      </c>
    </row>
    <row r="765">
      <c r="A765" s="53" t="n">
        <v>44591</v>
      </c>
      <c r="B765" t="inlineStr">
        <is>
          <t>2022-01-30</t>
        </is>
      </c>
      <c r="C765" s="45" t="n">
        <v>92.15000000000001</v>
      </c>
      <c r="D765" t="inlineStr">
        <is>
          <t>€/MWh</t>
        </is>
      </c>
      <c r="E765" s="54" t="n">
        <v>0.09215</v>
      </c>
      <c r="F765" s="54" t="n"/>
      <c r="G765" t="inlineStr">
        <is>
          <t>no aplica (precio mayorista)</t>
        </is>
      </c>
      <c r="J765" t="inlineStr">
        <is>
          <t>2022-01-30</t>
        </is>
      </c>
      <c r="K765" t="inlineStr">
        <is>
          <t>MIBGAS_Data_2022.xlsx</t>
        </is>
      </c>
      <c r="L765" t="inlineStr">
        <is>
          <t>volumen 174340 MWh</t>
        </is>
      </c>
    </row>
    <row r="766">
      <c r="A766" s="53" t="n">
        <v>44592</v>
      </c>
      <c r="B766" t="inlineStr">
        <is>
          <t>2022-01-31</t>
        </is>
      </c>
      <c r="C766" s="45" t="n">
        <v>87.81</v>
      </c>
      <c r="D766" t="inlineStr">
        <is>
          <t>€/MWh</t>
        </is>
      </c>
      <c r="E766" s="54" t="n">
        <v>0.08781</v>
      </c>
      <c r="F766" s="54" t="n"/>
      <c r="G766" t="inlineStr">
        <is>
          <t>no aplica (precio mayorista)</t>
        </is>
      </c>
      <c r="J766" t="inlineStr">
        <is>
          <t>2022-01-31</t>
        </is>
      </c>
      <c r="K766" t="inlineStr">
        <is>
          <t>MIBGAS_Data_2022.xlsx</t>
        </is>
      </c>
      <c r="L766" t="inlineStr">
        <is>
          <t>volumen 206475 MWh</t>
        </is>
      </c>
    </row>
    <row r="767">
      <c r="A767" s="53" t="n">
        <v>44593</v>
      </c>
      <c r="B767" t="inlineStr">
        <is>
          <t>2022-02-01</t>
        </is>
      </c>
      <c r="C767" s="45" t="n">
        <v>79.29000000000001</v>
      </c>
      <c r="D767" t="inlineStr">
        <is>
          <t>€/MWh</t>
        </is>
      </c>
      <c r="E767" s="54" t="n">
        <v>0.07929</v>
      </c>
      <c r="F767" s="54" t="n"/>
      <c r="G767" t="inlineStr">
        <is>
          <t>no aplica (precio mayorista)</t>
        </is>
      </c>
      <c r="J767" t="inlineStr">
        <is>
          <t>2022-02-01</t>
        </is>
      </c>
      <c r="K767" t="inlineStr">
        <is>
          <t>MIBGAS_Data_2022.xlsx</t>
        </is>
      </c>
      <c r="L767" t="inlineStr">
        <is>
          <t>volumen 205539 MWh</t>
        </is>
      </c>
    </row>
    <row r="768">
      <c r="A768" s="53" t="n">
        <v>44594</v>
      </c>
      <c r="B768" t="inlineStr">
        <is>
          <t>2022-02-02</t>
        </is>
      </c>
      <c r="C768" s="45" t="n">
        <v>77.26000000000001</v>
      </c>
      <c r="D768" t="inlineStr">
        <is>
          <t>€/MWh</t>
        </is>
      </c>
      <c r="E768" s="54" t="n">
        <v>0.07726</v>
      </c>
      <c r="F768" s="54" t="n"/>
      <c r="G768" t="inlineStr">
        <is>
          <t>no aplica (precio mayorista)</t>
        </is>
      </c>
      <c r="J768" t="inlineStr">
        <is>
          <t>2022-02-02</t>
        </is>
      </c>
      <c r="K768" t="inlineStr">
        <is>
          <t>MIBGAS_Data_2022.xlsx</t>
        </is>
      </c>
      <c r="L768" t="inlineStr">
        <is>
          <t>volumen 216322 MWh</t>
        </is>
      </c>
    </row>
    <row r="769">
      <c r="A769" s="53" t="n">
        <v>44595</v>
      </c>
      <c r="B769" t="inlineStr">
        <is>
          <t>2022-02-03</t>
        </is>
      </c>
      <c r="C769" s="45" t="n">
        <v>78.05</v>
      </c>
      <c r="D769" t="inlineStr">
        <is>
          <t>€/MWh</t>
        </is>
      </c>
      <c r="E769" s="54" t="n">
        <v>0.07804999999999999</v>
      </c>
      <c r="F769" s="54" t="n"/>
      <c r="G769" t="inlineStr">
        <is>
          <t>no aplica (precio mayorista)</t>
        </is>
      </c>
      <c r="J769" t="inlineStr">
        <is>
          <t>2022-02-03</t>
        </is>
      </c>
      <c r="K769" t="inlineStr">
        <is>
          <t>MIBGAS_Data_2022.xlsx</t>
        </is>
      </c>
      <c r="L769" t="inlineStr">
        <is>
          <t>volumen 225581 MWh</t>
        </is>
      </c>
    </row>
    <row r="770">
      <c r="A770" s="53" t="n">
        <v>44596</v>
      </c>
      <c r="B770" t="inlineStr">
        <is>
          <t>2022-02-04</t>
        </is>
      </c>
      <c r="C770" s="45" t="n">
        <v>79.04000000000001</v>
      </c>
      <c r="D770" t="inlineStr">
        <is>
          <t>€/MWh</t>
        </is>
      </c>
      <c r="E770" s="54" t="n">
        <v>0.07904</v>
      </c>
      <c r="F770" s="54" t="n"/>
      <c r="G770" t="inlineStr">
        <is>
          <t>no aplica (precio mayorista)</t>
        </is>
      </c>
      <c r="J770" t="inlineStr">
        <is>
          <t>2022-02-04</t>
        </is>
      </c>
      <c r="K770" t="inlineStr">
        <is>
          <t>MIBGAS_Data_2022.xlsx</t>
        </is>
      </c>
      <c r="L770" t="inlineStr">
        <is>
          <t>volumen 187554 MWh</t>
        </is>
      </c>
    </row>
    <row r="771">
      <c r="A771" s="53" t="n">
        <v>44597</v>
      </c>
      <c r="B771" t="inlineStr">
        <is>
          <t>2022-02-05</t>
        </is>
      </c>
      <c r="C771" s="45" t="n">
        <v>80.17</v>
      </c>
      <c r="D771" t="inlineStr">
        <is>
          <t>€/MWh</t>
        </is>
      </c>
      <c r="E771" s="54" t="n">
        <v>0.08017000000000001</v>
      </c>
      <c r="F771" s="54" t="n"/>
      <c r="G771" t="inlineStr">
        <is>
          <t>no aplica (precio mayorista)</t>
        </is>
      </c>
      <c r="J771" t="inlineStr">
        <is>
          <t>2022-02-05</t>
        </is>
      </c>
      <c r="K771" t="inlineStr">
        <is>
          <t>MIBGAS_Data_2022.xlsx</t>
        </is>
      </c>
      <c r="L771" t="inlineStr">
        <is>
          <t>volumen 163918 MWh</t>
        </is>
      </c>
    </row>
    <row r="772">
      <c r="A772" s="53" t="n">
        <v>44598</v>
      </c>
      <c r="B772" t="inlineStr">
        <is>
          <t>2022-02-06</t>
        </is>
      </c>
      <c r="C772" s="45" t="n">
        <v>80.36</v>
      </c>
      <c r="D772" t="inlineStr">
        <is>
          <t>€/MWh</t>
        </is>
      </c>
      <c r="E772" s="54" t="n">
        <v>0.08036</v>
      </c>
      <c r="F772" s="54" t="n"/>
      <c r="G772" t="inlineStr">
        <is>
          <t>no aplica (precio mayorista)</t>
        </is>
      </c>
      <c r="J772" t="inlineStr">
        <is>
          <t>2022-02-06</t>
        </is>
      </c>
      <c r="K772" t="inlineStr">
        <is>
          <t>MIBGAS_Data_2022.xlsx</t>
        </is>
      </c>
      <c r="L772" t="inlineStr">
        <is>
          <t>volumen 191971 MWh</t>
        </is>
      </c>
    </row>
    <row r="773">
      <c r="A773" s="53" t="n">
        <v>44599</v>
      </c>
      <c r="B773" t="inlineStr">
        <is>
          <t>2022-02-07</t>
        </is>
      </c>
      <c r="C773" s="45" t="n">
        <v>79.88</v>
      </c>
      <c r="D773" t="inlineStr">
        <is>
          <t>€/MWh</t>
        </is>
      </c>
      <c r="E773" s="54" t="n">
        <v>0.07988000000000001</v>
      </c>
      <c r="F773" s="54" t="n"/>
      <c r="G773" t="inlineStr">
        <is>
          <t>no aplica (precio mayorista)</t>
        </is>
      </c>
      <c r="J773" t="inlineStr">
        <is>
          <t>2022-02-07</t>
        </is>
      </c>
      <c r="K773" t="inlineStr">
        <is>
          <t>MIBGAS_Data_2022.xlsx</t>
        </is>
      </c>
      <c r="L773" t="inlineStr">
        <is>
          <t>volumen 138615 MWh</t>
        </is>
      </c>
    </row>
    <row r="774">
      <c r="A774" s="53" t="n">
        <v>44600</v>
      </c>
      <c r="B774" t="inlineStr">
        <is>
          <t>2022-02-08</t>
        </is>
      </c>
      <c r="C774" s="45" t="n">
        <v>78.7</v>
      </c>
      <c r="D774" t="inlineStr">
        <is>
          <t>€/MWh</t>
        </is>
      </c>
      <c r="E774" s="54" t="n">
        <v>0.07870000000000001</v>
      </c>
      <c r="F774" s="54" t="n"/>
      <c r="G774" t="inlineStr">
        <is>
          <t>no aplica (precio mayorista)</t>
        </is>
      </c>
      <c r="J774" t="inlineStr">
        <is>
          <t>2022-02-08</t>
        </is>
      </c>
      <c r="K774" t="inlineStr">
        <is>
          <t>MIBGAS_Data_2022.xlsx</t>
        </is>
      </c>
      <c r="L774" t="inlineStr">
        <is>
          <t>volumen 245503 MWh</t>
        </is>
      </c>
    </row>
    <row r="775">
      <c r="A775" s="53" t="n">
        <v>44601</v>
      </c>
      <c r="B775" t="inlineStr">
        <is>
          <t>2022-02-09</t>
        </is>
      </c>
      <c r="C775" s="45" t="n">
        <v>79.56999999999999</v>
      </c>
      <c r="D775" t="inlineStr">
        <is>
          <t>€/MWh</t>
        </is>
      </c>
      <c r="E775" s="54" t="n">
        <v>0.07957</v>
      </c>
      <c r="F775" s="54" t="n"/>
      <c r="G775" t="inlineStr">
        <is>
          <t>no aplica (precio mayorista)</t>
        </is>
      </c>
      <c r="J775" t="inlineStr">
        <is>
          <t>2022-02-09</t>
        </is>
      </c>
      <c r="K775" t="inlineStr">
        <is>
          <t>MIBGAS_Data_2022.xlsx</t>
        </is>
      </c>
      <c r="L775" t="inlineStr">
        <is>
          <t>volumen 252482 MWh</t>
        </is>
      </c>
    </row>
    <row r="776">
      <c r="A776" s="53" t="n">
        <v>44602</v>
      </c>
      <c r="B776" t="inlineStr">
        <is>
          <t>2022-02-10</t>
        </is>
      </c>
      <c r="C776" s="45" t="n">
        <v>76.37</v>
      </c>
      <c r="D776" t="inlineStr">
        <is>
          <t>€/MWh</t>
        </is>
      </c>
      <c r="E776" s="54" t="n">
        <v>0.07636999999999999</v>
      </c>
      <c r="F776" s="54" t="n"/>
      <c r="G776" t="inlineStr">
        <is>
          <t>no aplica (precio mayorista)</t>
        </is>
      </c>
      <c r="J776" t="inlineStr">
        <is>
          <t>2022-02-10</t>
        </is>
      </c>
      <c r="K776" t="inlineStr">
        <is>
          <t>MIBGAS_Data_2022.xlsx</t>
        </is>
      </c>
      <c r="L776" t="inlineStr">
        <is>
          <t>volumen 225800 MWh</t>
        </is>
      </c>
    </row>
    <row r="777">
      <c r="A777" s="53" t="n">
        <v>44603</v>
      </c>
      <c r="B777" t="inlineStr">
        <is>
          <t>2022-02-11</t>
        </is>
      </c>
      <c r="C777" s="45" t="n">
        <v>75.22</v>
      </c>
      <c r="D777" t="inlineStr">
        <is>
          <t>€/MWh</t>
        </is>
      </c>
      <c r="E777" s="54" t="n">
        <v>0.07522</v>
      </c>
      <c r="F777" s="54" t="n"/>
      <c r="G777" t="inlineStr">
        <is>
          <t>no aplica (precio mayorista)</t>
        </is>
      </c>
      <c r="J777" t="inlineStr">
        <is>
          <t>2022-02-11</t>
        </is>
      </c>
      <c r="K777" t="inlineStr">
        <is>
          <t>MIBGAS_Data_2022.xlsx</t>
        </is>
      </c>
      <c r="L777" t="inlineStr">
        <is>
          <t>volumen 201863 MWh</t>
        </is>
      </c>
    </row>
    <row r="778">
      <c r="A778" s="53" t="n">
        <v>44604</v>
      </c>
      <c r="B778" t="inlineStr">
        <is>
          <t>2022-02-12</t>
        </is>
      </c>
      <c r="C778" s="45" t="n">
        <v>75.18000000000001</v>
      </c>
      <c r="D778" t="inlineStr">
        <is>
          <t>€/MWh</t>
        </is>
      </c>
      <c r="E778" s="54" t="n">
        <v>0.07518</v>
      </c>
      <c r="F778" s="54" t="n"/>
      <c r="G778" t="inlineStr">
        <is>
          <t>no aplica (precio mayorista)</t>
        </is>
      </c>
      <c r="J778" t="inlineStr">
        <is>
          <t>2022-02-12</t>
        </is>
      </c>
      <c r="K778" t="inlineStr">
        <is>
          <t>MIBGAS_Data_2022.xlsx</t>
        </is>
      </c>
      <c r="L778" t="inlineStr">
        <is>
          <t>volumen 161025 MWh</t>
        </is>
      </c>
    </row>
    <row r="779">
      <c r="A779" s="53" t="n">
        <v>44605</v>
      </c>
      <c r="B779" t="inlineStr">
        <is>
          <t>2022-02-13</t>
        </is>
      </c>
      <c r="C779" s="45" t="n">
        <v>75.29000000000001</v>
      </c>
      <c r="D779" t="inlineStr">
        <is>
          <t>€/MWh</t>
        </is>
      </c>
      <c r="E779" s="54" t="n">
        <v>0.07529</v>
      </c>
      <c r="F779" s="54" t="n"/>
      <c r="G779" t="inlineStr">
        <is>
          <t>no aplica (precio mayorista)</t>
        </is>
      </c>
      <c r="J779" t="inlineStr">
        <is>
          <t>2022-02-13</t>
        </is>
      </c>
      <c r="K779" t="inlineStr">
        <is>
          <t>MIBGAS_Data_2022.xlsx</t>
        </is>
      </c>
      <c r="L779" t="inlineStr">
        <is>
          <t>volumen 225710 MWh</t>
        </is>
      </c>
    </row>
    <row r="780">
      <c r="A780" s="53" t="n">
        <v>44606</v>
      </c>
      <c r="B780" t="inlineStr">
        <is>
          <t>2022-02-14</t>
        </is>
      </c>
      <c r="C780" s="45" t="n">
        <v>77.83</v>
      </c>
      <c r="D780" t="inlineStr">
        <is>
          <t>€/MWh</t>
        </is>
      </c>
      <c r="E780" s="54" t="n">
        <v>0.07783</v>
      </c>
      <c r="F780" s="54" t="n"/>
      <c r="G780" t="inlineStr">
        <is>
          <t>no aplica (precio mayorista)</t>
        </is>
      </c>
      <c r="J780" t="inlineStr">
        <is>
          <t>2022-02-14</t>
        </is>
      </c>
      <c r="K780" t="inlineStr">
        <is>
          <t>MIBGAS_Data_2022.xlsx</t>
        </is>
      </c>
      <c r="L780" t="inlineStr">
        <is>
          <t>volumen 150085 MWh</t>
        </is>
      </c>
    </row>
    <row r="781">
      <c r="A781" s="53" t="n">
        <v>44607</v>
      </c>
      <c r="B781" t="inlineStr">
        <is>
          <t>2022-02-15</t>
        </is>
      </c>
      <c r="C781" s="45" t="n">
        <v>78.11</v>
      </c>
      <c r="D781" t="inlineStr">
        <is>
          <t>€/MWh</t>
        </is>
      </c>
      <c r="E781" s="54" t="n">
        <v>0.07811</v>
      </c>
      <c r="F781" s="54" t="n"/>
      <c r="G781" t="inlineStr">
        <is>
          <t>no aplica (precio mayorista)</t>
        </is>
      </c>
      <c r="J781" t="inlineStr">
        <is>
          <t>2022-02-15</t>
        </is>
      </c>
      <c r="K781" t="inlineStr">
        <is>
          <t>MIBGAS_Data_2022.xlsx</t>
        </is>
      </c>
      <c r="L781" t="inlineStr">
        <is>
          <t>volumen 140790 MWh</t>
        </is>
      </c>
    </row>
    <row r="782">
      <c r="A782" s="53" t="n">
        <v>44608</v>
      </c>
      <c r="B782" t="inlineStr">
        <is>
          <t>2022-02-16</t>
        </is>
      </c>
      <c r="C782" s="45" t="n">
        <v>69.69</v>
      </c>
      <c r="D782" t="inlineStr">
        <is>
          <t>€/MWh</t>
        </is>
      </c>
      <c r="E782" s="54" t="n">
        <v>0.06969</v>
      </c>
      <c r="F782" s="54" t="n"/>
      <c r="G782" t="inlineStr">
        <is>
          <t>no aplica (precio mayorista)</t>
        </is>
      </c>
      <c r="J782" t="inlineStr">
        <is>
          <t>2022-02-16</t>
        </is>
      </c>
      <c r="K782" t="inlineStr">
        <is>
          <t>MIBGAS_Data_2022.xlsx</t>
        </is>
      </c>
      <c r="L782" t="inlineStr">
        <is>
          <t>volumen 202697 MWh</t>
        </is>
      </c>
    </row>
    <row r="783">
      <c r="A783" s="53" t="n">
        <v>44609</v>
      </c>
      <c r="B783" t="inlineStr">
        <is>
          <t>2022-02-17</t>
        </is>
      </c>
      <c r="C783" s="45" t="n">
        <v>70.52</v>
      </c>
      <c r="D783" t="inlineStr">
        <is>
          <t>€/MWh</t>
        </is>
      </c>
      <c r="E783" s="54" t="n">
        <v>0.07052</v>
      </c>
      <c r="F783" s="54" t="n"/>
      <c r="G783" t="inlineStr">
        <is>
          <t>no aplica (precio mayorista)</t>
        </is>
      </c>
      <c r="J783" t="inlineStr">
        <is>
          <t>2022-02-17</t>
        </is>
      </c>
      <c r="K783" t="inlineStr">
        <is>
          <t>MIBGAS_Data_2022.xlsx</t>
        </is>
      </c>
      <c r="L783" t="inlineStr">
        <is>
          <t>volumen 170393 MWh</t>
        </is>
      </c>
    </row>
    <row r="784">
      <c r="A784" s="53" t="n">
        <v>44610</v>
      </c>
      <c r="B784" t="inlineStr">
        <is>
          <t>2022-02-18</t>
        </is>
      </c>
      <c r="C784" s="45" t="n">
        <v>70.68000000000001</v>
      </c>
      <c r="D784" t="inlineStr">
        <is>
          <t>€/MWh</t>
        </is>
      </c>
      <c r="E784" s="54" t="n">
        <v>0.07068000000000001</v>
      </c>
      <c r="F784" s="54" t="n"/>
      <c r="G784" t="inlineStr">
        <is>
          <t>no aplica (precio mayorista)</t>
        </is>
      </c>
      <c r="J784" t="inlineStr">
        <is>
          <t>2022-02-18</t>
        </is>
      </c>
      <c r="K784" t="inlineStr">
        <is>
          <t>MIBGAS_Data_2022.xlsx</t>
        </is>
      </c>
      <c r="L784" t="inlineStr">
        <is>
          <t>volumen 223292 MWh</t>
        </is>
      </c>
    </row>
    <row r="785">
      <c r="A785" s="53" t="n">
        <v>44611</v>
      </c>
      <c r="B785" t="inlineStr">
        <is>
          <t>2022-02-19</t>
        </is>
      </c>
      <c r="C785" s="45" t="n">
        <v>71.08</v>
      </c>
      <c r="D785" t="inlineStr">
        <is>
          <t>€/MWh</t>
        </is>
      </c>
      <c r="E785" s="54" t="n">
        <v>0.07108</v>
      </c>
      <c r="F785" s="54" t="n"/>
      <c r="G785" t="inlineStr">
        <is>
          <t>no aplica (precio mayorista)</t>
        </is>
      </c>
      <c r="J785" t="inlineStr">
        <is>
          <t>2022-02-19</t>
        </is>
      </c>
      <c r="K785" t="inlineStr">
        <is>
          <t>MIBGAS_Data_2022.xlsx</t>
        </is>
      </c>
      <c r="L785" t="inlineStr">
        <is>
          <t>volumen 152607 MWh</t>
        </is>
      </c>
    </row>
    <row r="786">
      <c r="A786" s="53" t="n">
        <v>44612</v>
      </c>
      <c r="B786" t="inlineStr">
        <is>
          <t>2022-02-20</t>
        </is>
      </c>
      <c r="C786" s="45" t="n">
        <v>73.04000000000001</v>
      </c>
      <c r="D786" t="inlineStr">
        <is>
          <t>€/MWh</t>
        </is>
      </c>
      <c r="E786" s="54" t="n">
        <v>0.07303999999999999</v>
      </c>
      <c r="F786" s="54" t="n"/>
      <c r="G786" t="inlineStr">
        <is>
          <t>no aplica (precio mayorista)</t>
        </is>
      </c>
      <c r="J786" t="inlineStr">
        <is>
          <t>2022-02-20</t>
        </is>
      </c>
      <c r="K786" t="inlineStr">
        <is>
          <t>MIBGAS_Data_2022.xlsx</t>
        </is>
      </c>
      <c r="L786" t="inlineStr">
        <is>
          <t>volumen 173656 MWh</t>
        </is>
      </c>
    </row>
    <row r="787">
      <c r="A787" s="53" t="n">
        <v>44613</v>
      </c>
      <c r="B787" t="inlineStr">
        <is>
          <t>2022-02-21</t>
        </is>
      </c>
      <c r="C787" s="45" t="n">
        <v>73.88</v>
      </c>
      <c r="D787" t="inlineStr">
        <is>
          <t>€/MWh</t>
        </is>
      </c>
      <c r="E787" s="54" t="n">
        <v>0.07388</v>
      </c>
      <c r="F787" s="54" t="n"/>
      <c r="G787" t="inlineStr">
        <is>
          <t>no aplica (precio mayorista)</t>
        </is>
      </c>
      <c r="J787" t="inlineStr">
        <is>
          <t>2022-02-21</t>
        </is>
      </c>
      <c r="K787" t="inlineStr">
        <is>
          <t>MIBGAS_Data_2022.xlsx</t>
        </is>
      </c>
      <c r="L787" t="inlineStr">
        <is>
          <t>volumen 116306 MWh</t>
        </is>
      </c>
    </row>
    <row r="788">
      <c r="A788" s="53" t="n">
        <v>44614</v>
      </c>
      <c r="B788" t="inlineStr">
        <is>
          <t>2022-02-22</t>
        </is>
      </c>
      <c r="C788" s="45" t="n">
        <v>74.18000000000001</v>
      </c>
      <c r="D788" t="inlineStr">
        <is>
          <t>€/MWh</t>
        </is>
      </c>
      <c r="E788" s="54" t="n">
        <v>0.07418</v>
      </c>
      <c r="F788" s="54" t="n"/>
      <c r="G788" t="inlineStr">
        <is>
          <t>no aplica (precio mayorista)</t>
        </is>
      </c>
      <c r="J788" t="inlineStr">
        <is>
          <t>2022-02-22</t>
        </is>
      </c>
      <c r="K788" t="inlineStr">
        <is>
          <t>MIBGAS_Data_2022.xlsx</t>
        </is>
      </c>
      <c r="L788" t="inlineStr">
        <is>
          <t>volumen 137373 MWh</t>
        </is>
      </c>
    </row>
    <row r="789">
      <c r="A789" s="53" t="n">
        <v>44615</v>
      </c>
      <c r="B789" t="inlineStr">
        <is>
          <t>2022-02-23</t>
        </is>
      </c>
      <c r="C789" s="45" t="n">
        <v>80.76000000000001</v>
      </c>
      <c r="D789" t="inlineStr">
        <is>
          <t>€/MWh</t>
        </is>
      </c>
      <c r="E789" s="54" t="n">
        <v>0.08076</v>
      </c>
      <c r="F789" s="54" t="n"/>
      <c r="G789" t="inlineStr">
        <is>
          <t>no aplica (precio mayorista)</t>
        </is>
      </c>
      <c r="J789" t="inlineStr">
        <is>
          <t>2022-02-23</t>
        </is>
      </c>
      <c r="K789" t="inlineStr">
        <is>
          <t>MIBGAS_Data_2022.xlsx</t>
        </is>
      </c>
      <c r="L789" t="inlineStr">
        <is>
          <t>volumen 165160 MWh</t>
        </is>
      </c>
    </row>
    <row r="790">
      <c r="A790" s="53" t="n">
        <v>44616</v>
      </c>
      <c r="B790" t="inlineStr">
        <is>
          <t>2022-02-24</t>
        </is>
      </c>
      <c r="C790" s="45" t="n">
        <v>97.95999999999999</v>
      </c>
      <c r="D790" t="inlineStr">
        <is>
          <t>€/MWh</t>
        </is>
      </c>
      <c r="E790" s="54" t="n">
        <v>0.09796000000000001</v>
      </c>
      <c r="F790" s="54" t="n"/>
      <c r="G790" t="inlineStr">
        <is>
          <t>no aplica (precio mayorista)</t>
        </is>
      </c>
      <c r="J790" t="inlineStr">
        <is>
          <t>2022-02-24</t>
        </is>
      </c>
      <c r="K790" t="inlineStr">
        <is>
          <t>MIBGAS_Data_2022.xlsx</t>
        </is>
      </c>
      <c r="L790" t="inlineStr">
        <is>
          <t>volumen 131265 MWh</t>
        </is>
      </c>
    </row>
    <row r="791">
      <c r="A791" s="53" t="n">
        <v>44617</v>
      </c>
      <c r="B791" t="inlineStr">
        <is>
          <t>2022-02-25</t>
        </is>
      </c>
      <c r="C791" s="45" t="n">
        <v>112.4</v>
      </c>
      <c r="D791" t="inlineStr">
        <is>
          <t>€/MWh</t>
        </is>
      </c>
      <c r="E791" s="54" t="n">
        <v>0.1124</v>
      </c>
      <c r="F791" s="54" t="n"/>
      <c r="G791" t="inlineStr">
        <is>
          <t>no aplica (precio mayorista)</t>
        </is>
      </c>
      <c r="J791" t="inlineStr">
        <is>
          <t>2022-02-25</t>
        </is>
      </c>
      <c r="K791" t="inlineStr">
        <is>
          <t>MIBGAS_Data_2022.xlsx</t>
        </is>
      </c>
      <c r="L791" t="inlineStr">
        <is>
          <t>volumen 158183 MWh</t>
        </is>
      </c>
    </row>
    <row r="792">
      <c r="A792" s="53" t="n">
        <v>44618</v>
      </c>
      <c r="B792" t="inlineStr">
        <is>
          <t>2022-02-26</t>
        </is>
      </c>
      <c r="C792" s="45" t="n">
        <v>100.46</v>
      </c>
      <c r="D792" t="inlineStr">
        <is>
          <t>€/MWh</t>
        </is>
      </c>
      <c r="E792" s="54" t="n">
        <v>0.10046</v>
      </c>
      <c r="F792" s="54" t="n"/>
      <c r="G792" t="inlineStr">
        <is>
          <t>no aplica (precio mayorista)</t>
        </is>
      </c>
      <c r="J792" t="inlineStr">
        <is>
          <t>2022-02-26</t>
        </is>
      </c>
      <c r="K792" t="inlineStr">
        <is>
          <t>MIBGAS_Data_2022.xlsx</t>
        </is>
      </c>
      <c r="L792" t="inlineStr">
        <is>
          <t>volumen 158745 MWh</t>
        </is>
      </c>
    </row>
    <row r="793">
      <c r="A793" s="53" t="n">
        <v>44619</v>
      </c>
      <c r="B793" t="inlineStr">
        <is>
          <t>2022-02-27</t>
        </is>
      </c>
      <c r="C793" s="45" t="n">
        <v>104.16</v>
      </c>
      <c r="D793" t="inlineStr">
        <is>
          <t>€/MWh</t>
        </is>
      </c>
      <c r="E793" s="54" t="n">
        <v>0.10416</v>
      </c>
      <c r="F793" s="54" t="n"/>
      <c r="G793" t="inlineStr">
        <is>
          <t>no aplica (precio mayorista)</t>
        </is>
      </c>
      <c r="J793" t="inlineStr">
        <is>
          <t>2022-02-27</t>
        </is>
      </c>
      <c r="K793" t="inlineStr">
        <is>
          <t>MIBGAS_Data_2022.xlsx</t>
        </is>
      </c>
      <c r="L793" t="inlineStr">
        <is>
          <t>volumen 165821 MWh</t>
        </is>
      </c>
    </row>
    <row r="794">
      <c r="A794" s="53" t="n">
        <v>44620</v>
      </c>
      <c r="B794" t="inlineStr">
        <is>
          <t>2022-02-28</t>
        </is>
      </c>
      <c r="C794" s="45" t="n">
        <v>106.01</v>
      </c>
      <c r="D794" t="inlineStr">
        <is>
          <t>€/MWh</t>
        </is>
      </c>
      <c r="E794" s="54" t="n">
        <v>0.10601</v>
      </c>
      <c r="F794" s="54" t="n"/>
      <c r="G794" t="inlineStr">
        <is>
          <t>no aplica (precio mayorista)</t>
        </is>
      </c>
      <c r="J794" t="inlineStr">
        <is>
          <t>2022-02-28</t>
        </is>
      </c>
      <c r="K794" t="inlineStr">
        <is>
          <t>MIBGAS_Data_2022.xlsx</t>
        </is>
      </c>
      <c r="L794" t="inlineStr">
        <is>
          <t>volumen 186770 MWh</t>
        </is>
      </c>
    </row>
    <row r="795">
      <c r="A795" s="53" t="n">
        <v>44621</v>
      </c>
      <c r="B795" t="inlineStr">
        <is>
          <t>2022-03-01</t>
        </is>
      </c>
      <c r="C795" s="45" t="n">
        <v>107.74</v>
      </c>
      <c r="D795" t="inlineStr">
        <is>
          <t>€/MWh</t>
        </is>
      </c>
      <c r="E795" s="54" t="n">
        <v>0.10774</v>
      </c>
      <c r="F795" s="54" t="n"/>
      <c r="G795" t="inlineStr">
        <is>
          <t>no aplica (precio mayorista)</t>
        </is>
      </c>
      <c r="J795" t="inlineStr">
        <is>
          <t>2022-03-01</t>
        </is>
      </c>
      <c r="K795" t="inlineStr">
        <is>
          <t>MIBGAS_Data_2022.xlsx</t>
        </is>
      </c>
      <c r="L795" t="inlineStr">
        <is>
          <t>volumen 198978 MWh</t>
        </is>
      </c>
    </row>
    <row r="796">
      <c r="A796" s="53" t="n">
        <v>44622</v>
      </c>
      <c r="B796" t="inlineStr">
        <is>
          <t>2022-03-02</t>
        </is>
      </c>
      <c r="C796" s="45" t="n">
        <v>123.51</v>
      </c>
      <c r="D796" t="inlineStr">
        <is>
          <t>€/MWh</t>
        </is>
      </c>
      <c r="E796" s="54" t="n">
        <v>0.12351</v>
      </c>
      <c r="F796" s="54" t="n"/>
      <c r="G796" t="inlineStr">
        <is>
          <t>no aplica (precio mayorista)</t>
        </is>
      </c>
      <c r="J796" t="inlineStr">
        <is>
          <t>2022-03-02</t>
        </is>
      </c>
      <c r="K796" t="inlineStr">
        <is>
          <t>MIBGAS_Data_2022.xlsx</t>
        </is>
      </c>
      <c r="L796" t="inlineStr">
        <is>
          <t>volumen 200315 MWh</t>
        </is>
      </c>
    </row>
    <row r="797">
      <c r="A797" s="53" t="n">
        <v>44623</v>
      </c>
      <c r="B797" t="inlineStr">
        <is>
          <t>2022-03-03</t>
        </is>
      </c>
      <c r="C797" s="45" t="n">
        <v>162.17</v>
      </c>
      <c r="D797" t="inlineStr">
        <is>
          <t>€/MWh</t>
        </is>
      </c>
      <c r="E797" s="54" t="n">
        <v>0.16217</v>
      </c>
      <c r="F797" s="54" t="n"/>
      <c r="G797" t="inlineStr">
        <is>
          <t>no aplica (precio mayorista)</t>
        </is>
      </c>
      <c r="J797" t="inlineStr">
        <is>
          <t>2022-03-03</t>
        </is>
      </c>
      <c r="K797" t="inlineStr">
        <is>
          <t>MIBGAS_Data_2022.xlsx</t>
        </is>
      </c>
      <c r="L797" t="inlineStr">
        <is>
          <t>volumen 226677 MWh</t>
        </is>
      </c>
    </row>
    <row r="798">
      <c r="A798" s="53" t="n">
        <v>44624</v>
      </c>
      <c r="B798" t="inlineStr">
        <is>
          <t>2022-03-04</t>
        </is>
      </c>
      <c r="C798" s="45" t="n">
        <v>169.39</v>
      </c>
      <c r="D798" t="inlineStr">
        <is>
          <t>€/MWh</t>
        </is>
      </c>
      <c r="E798" s="54" t="n">
        <v>0.16939</v>
      </c>
      <c r="F798" s="54" t="n"/>
      <c r="G798" t="inlineStr">
        <is>
          <t>no aplica (precio mayorista)</t>
        </is>
      </c>
      <c r="J798" t="inlineStr">
        <is>
          <t>2022-03-04</t>
        </is>
      </c>
      <c r="K798" t="inlineStr">
        <is>
          <t>MIBGAS_Data_2022.xlsx</t>
        </is>
      </c>
      <c r="L798" t="inlineStr">
        <is>
          <t>volumen 177523 MWh</t>
        </is>
      </c>
    </row>
    <row r="799">
      <c r="A799" s="53" t="n">
        <v>44625</v>
      </c>
      <c r="B799" t="inlineStr">
        <is>
          <t>2022-03-05</t>
        </is>
      </c>
      <c r="C799" s="45" t="n">
        <v>182.96</v>
      </c>
      <c r="D799" t="inlineStr">
        <is>
          <t>€/MWh</t>
        </is>
      </c>
      <c r="E799" s="54" t="n">
        <v>0.18296</v>
      </c>
      <c r="F799" s="54" t="n"/>
      <c r="G799" t="inlineStr">
        <is>
          <t>no aplica (precio mayorista)</t>
        </is>
      </c>
      <c r="J799" t="inlineStr">
        <is>
          <t>2022-03-05</t>
        </is>
      </c>
      <c r="K799" t="inlineStr">
        <is>
          <t>MIBGAS_Data_2022.xlsx</t>
        </is>
      </c>
      <c r="L799" t="inlineStr">
        <is>
          <t>volumen 183781 MWh</t>
        </is>
      </c>
    </row>
    <row r="800">
      <c r="A800" s="53" t="n">
        <v>44626</v>
      </c>
      <c r="B800" t="inlineStr">
        <is>
          <t>2022-03-06</t>
        </is>
      </c>
      <c r="C800" s="45" t="n">
        <v>181.54</v>
      </c>
      <c r="D800" t="inlineStr">
        <is>
          <t>€/MWh</t>
        </is>
      </c>
      <c r="E800" s="54" t="n">
        <v>0.18154</v>
      </c>
      <c r="F800" s="54" t="n"/>
      <c r="G800" t="inlineStr">
        <is>
          <t>no aplica (precio mayorista)</t>
        </is>
      </c>
      <c r="J800" t="inlineStr">
        <is>
          <t>2022-03-06</t>
        </is>
      </c>
      <c r="K800" t="inlineStr">
        <is>
          <t>MIBGAS_Data_2022.xlsx</t>
        </is>
      </c>
      <c r="L800" t="inlineStr">
        <is>
          <t>volumen 157702 MWh</t>
        </is>
      </c>
    </row>
    <row r="801">
      <c r="A801" s="53" t="n">
        <v>44627</v>
      </c>
      <c r="B801" t="inlineStr">
        <is>
          <t>2022-03-07</t>
        </is>
      </c>
      <c r="C801" s="45" t="n">
        <v>213.6</v>
      </c>
      <c r="D801" t="inlineStr">
        <is>
          <t>€/MWh</t>
        </is>
      </c>
      <c r="E801" s="54" t="n">
        <v>0.2136</v>
      </c>
      <c r="F801" s="54" t="n"/>
      <c r="G801" t="inlineStr">
        <is>
          <t>no aplica (precio mayorista)</t>
        </is>
      </c>
      <c r="J801" t="inlineStr">
        <is>
          <t>2022-03-07</t>
        </is>
      </c>
      <c r="K801" t="inlineStr">
        <is>
          <t>MIBGAS_Data_2022.xlsx</t>
        </is>
      </c>
      <c r="L801" t="inlineStr">
        <is>
          <t>volumen 193832 MWh</t>
        </is>
      </c>
    </row>
    <row r="802">
      <c r="A802" s="53" t="n">
        <v>44628</v>
      </c>
      <c r="B802" t="inlineStr">
        <is>
          <t>2022-03-08</t>
        </is>
      </c>
      <c r="C802" s="45" t="n">
        <v>224.38</v>
      </c>
      <c r="D802" t="inlineStr">
        <is>
          <t>€/MWh</t>
        </is>
      </c>
      <c r="E802" s="54" t="n">
        <v>0.22438</v>
      </c>
      <c r="F802" s="54" t="n"/>
      <c r="G802" t="inlineStr">
        <is>
          <t>no aplica (precio mayorista)</t>
        </is>
      </c>
      <c r="J802" t="inlineStr">
        <is>
          <t>2022-03-08</t>
        </is>
      </c>
      <c r="K802" t="inlineStr">
        <is>
          <t>MIBGAS_Data_2022.xlsx</t>
        </is>
      </c>
      <c r="L802" t="inlineStr">
        <is>
          <t>volumen 205379 MWh</t>
        </is>
      </c>
    </row>
    <row r="803">
      <c r="A803" s="53" t="n">
        <v>44629</v>
      </c>
      <c r="B803" t="inlineStr">
        <is>
          <t>2022-03-09</t>
        </is>
      </c>
      <c r="C803" s="45" t="n">
        <v>193.11</v>
      </c>
      <c r="D803" t="inlineStr">
        <is>
          <t>€/MWh</t>
        </is>
      </c>
      <c r="E803" s="54" t="n">
        <v>0.19311</v>
      </c>
      <c r="F803" s="54" t="n"/>
      <c r="G803" t="inlineStr">
        <is>
          <t>no aplica (precio mayorista)</t>
        </is>
      </c>
      <c r="J803" t="inlineStr">
        <is>
          <t>2022-03-09</t>
        </is>
      </c>
      <c r="K803" t="inlineStr">
        <is>
          <t>MIBGAS_Data_2022.xlsx</t>
        </is>
      </c>
      <c r="L803" t="inlineStr">
        <is>
          <t>volumen 142380 MWh</t>
        </is>
      </c>
    </row>
    <row r="804">
      <c r="A804" s="53" t="n">
        <v>44630</v>
      </c>
      <c r="B804" t="inlineStr">
        <is>
          <t>2022-03-10</t>
        </is>
      </c>
      <c r="C804" s="45" t="n">
        <v>135.78</v>
      </c>
      <c r="D804" t="inlineStr">
        <is>
          <t>€/MWh</t>
        </is>
      </c>
      <c r="E804" s="54" t="n">
        <v>0.13578</v>
      </c>
      <c r="F804" s="54" t="n"/>
      <c r="G804" t="inlineStr">
        <is>
          <t>no aplica (precio mayorista)</t>
        </is>
      </c>
      <c r="J804" t="inlineStr">
        <is>
          <t>2022-03-10</t>
        </is>
      </c>
      <c r="K804" t="inlineStr">
        <is>
          <t>MIBGAS_Data_2022.xlsx</t>
        </is>
      </c>
      <c r="L804" t="inlineStr">
        <is>
          <t>volumen 228738 MWh</t>
        </is>
      </c>
    </row>
    <row r="805">
      <c r="A805" s="53" t="n">
        <v>44631</v>
      </c>
      <c r="B805" t="inlineStr">
        <is>
          <t>2022-03-11</t>
        </is>
      </c>
      <c r="C805" s="45" t="n">
        <v>124.17</v>
      </c>
      <c r="D805" t="inlineStr">
        <is>
          <t>€/MWh</t>
        </is>
      </c>
      <c r="E805" s="54" t="n">
        <v>0.12417</v>
      </c>
      <c r="F805" s="54" t="n"/>
      <c r="G805" t="inlineStr">
        <is>
          <t>no aplica (precio mayorista)</t>
        </is>
      </c>
      <c r="J805" t="inlineStr">
        <is>
          <t>2022-03-11</t>
        </is>
      </c>
      <c r="K805" t="inlineStr">
        <is>
          <t>MIBGAS_Data_2022.xlsx</t>
        </is>
      </c>
      <c r="L805" t="inlineStr">
        <is>
          <t>volumen 187423 MWh</t>
        </is>
      </c>
    </row>
    <row r="806">
      <c r="A806" s="53" t="n">
        <v>44632</v>
      </c>
      <c r="B806" t="inlineStr">
        <is>
          <t>2022-03-12</t>
        </is>
      </c>
      <c r="C806" s="45" t="n">
        <v>111.43</v>
      </c>
      <c r="D806" t="inlineStr">
        <is>
          <t>€/MWh</t>
        </is>
      </c>
      <c r="E806" s="54" t="n">
        <v>0.11143</v>
      </c>
      <c r="F806" s="54" t="n"/>
      <c r="G806" t="inlineStr">
        <is>
          <t>no aplica (precio mayorista)</t>
        </is>
      </c>
      <c r="J806" t="inlineStr">
        <is>
          <t>2022-03-12</t>
        </is>
      </c>
      <c r="K806" t="inlineStr">
        <is>
          <t>MIBGAS_Data_2022.xlsx</t>
        </is>
      </c>
      <c r="L806" t="inlineStr">
        <is>
          <t>volumen 185127 MWh</t>
        </is>
      </c>
    </row>
    <row r="807">
      <c r="A807" s="53" t="n">
        <v>44633</v>
      </c>
      <c r="B807" t="inlineStr">
        <is>
          <t>2022-03-13</t>
        </is>
      </c>
      <c r="C807" s="45" t="n">
        <v>114.49</v>
      </c>
      <c r="D807" t="inlineStr">
        <is>
          <t>€/MWh</t>
        </is>
      </c>
      <c r="E807" s="54" t="n">
        <v>0.11449</v>
      </c>
      <c r="F807" s="54" t="n"/>
      <c r="G807" t="inlineStr">
        <is>
          <t>no aplica (precio mayorista)</t>
        </is>
      </c>
      <c r="J807" t="inlineStr">
        <is>
          <t>2022-03-13</t>
        </is>
      </c>
      <c r="K807" t="inlineStr">
        <is>
          <t>MIBGAS_Data_2022.xlsx</t>
        </is>
      </c>
      <c r="L807" t="inlineStr">
        <is>
          <t>volumen 154117 MWh</t>
        </is>
      </c>
    </row>
    <row r="808">
      <c r="A808" s="53" t="n">
        <v>44634</v>
      </c>
      <c r="B808" t="inlineStr">
        <is>
          <t>2022-03-14</t>
        </is>
      </c>
      <c r="C808" s="45" t="n">
        <v>115.9</v>
      </c>
      <c r="D808" t="inlineStr">
        <is>
          <t>€/MWh</t>
        </is>
      </c>
      <c r="E808" s="54" t="n">
        <v>0.1159</v>
      </c>
      <c r="F808" s="54" t="n"/>
      <c r="G808" t="inlineStr">
        <is>
          <t>no aplica (precio mayorista)</t>
        </is>
      </c>
      <c r="J808" t="inlineStr">
        <is>
          <t>2022-03-14</t>
        </is>
      </c>
      <c r="K808" t="inlineStr">
        <is>
          <t>MIBGAS_Data_2022.xlsx</t>
        </is>
      </c>
      <c r="L808" t="inlineStr">
        <is>
          <t>volumen 129369 MWh</t>
        </is>
      </c>
    </row>
    <row r="809">
      <c r="A809" s="53" t="n">
        <v>44635</v>
      </c>
      <c r="B809" t="inlineStr">
        <is>
          <t>2022-03-15</t>
        </is>
      </c>
      <c r="C809" s="45" t="n">
        <v>108.87</v>
      </c>
      <c r="D809" t="inlineStr">
        <is>
          <t>€/MWh</t>
        </is>
      </c>
      <c r="E809" s="54" t="n">
        <v>0.10887</v>
      </c>
      <c r="F809" s="54" t="n"/>
      <c r="G809" t="inlineStr">
        <is>
          <t>no aplica (precio mayorista)</t>
        </is>
      </c>
      <c r="J809" t="inlineStr">
        <is>
          <t>2022-03-15</t>
        </is>
      </c>
      <c r="K809" t="inlineStr">
        <is>
          <t>MIBGAS_Data_2022.xlsx</t>
        </is>
      </c>
      <c r="L809" t="inlineStr">
        <is>
          <t>volumen 195307 MWh</t>
        </is>
      </c>
    </row>
    <row r="810">
      <c r="A810" s="53" t="n">
        <v>44636</v>
      </c>
      <c r="B810" t="inlineStr">
        <is>
          <t>2022-03-16</t>
        </is>
      </c>
      <c r="C810" s="45" t="n">
        <v>107.18</v>
      </c>
      <c r="D810" t="inlineStr">
        <is>
          <t>€/MWh</t>
        </is>
      </c>
      <c r="E810" s="54" t="n">
        <v>0.10718</v>
      </c>
      <c r="F810" s="54" t="n"/>
      <c r="G810" t="inlineStr">
        <is>
          <t>no aplica (precio mayorista)</t>
        </is>
      </c>
      <c r="J810" t="inlineStr">
        <is>
          <t>2022-03-16</t>
        </is>
      </c>
      <c r="K810" t="inlineStr">
        <is>
          <t>MIBGAS_Data_2022.xlsx</t>
        </is>
      </c>
      <c r="L810" t="inlineStr">
        <is>
          <t>volumen 242746 MWh</t>
        </is>
      </c>
    </row>
    <row r="811">
      <c r="A811" s="53" t="n">
        <v>44637</v>
      </c>
      <c r="B811" t="inlineStr">
        <is>
          <t>2022-03-17</t>
        </is>
      </c>
      <c r="C811" s="45" t="n">
        <v>102.01</v>
      </c>
      <c r="D811" t="inlineStr">
        <is>
          <t>€/MWh</t>
        </is>
      </c>
      <c r="E811" s="54" t="n">
        <v>0.10201</v>
      </c>
      <c r="F811" s="54" t="n"/>
      <c r="G811" t="inlineStr">
        <is>
          <t>no aplica (precio mayorista)</t>
        </is>
      </c>
      <c r="J811" t="inlineStr">
        <is>
          <t>2022-03-17</t>
        </is>
      </c>
      <c r="K811" t="inlineStr">
        <is>
          <t>MIBGAS_Data_2022.xlsx</t>
        </is>
      </c>
      <c r="L811" t="inlineStr">
        <is>
          <t>volumen 180877 MWh</t>
        </is>
      </c>
    </row>
    <row r="812">
      <c r="A812" s="53" t="n">
        <v>44638</v>
      </c>
      <c r="B812" t="inlineStr">
        <is>
          <t>2022-03-18</t>
        </is>
      </c>
      <c r="C812" s="45" t="n">
        <v>102.07</v>
      </c>
      <c r="D812" t="inlineStr">
        <is>
          <t>€/MWh</t>
        </is>
      </c>
      <c r="E812" s="54" t="n">
        <v>0.10207</v>
      </c>
      <c r="F812" s="54" t="n"/>
      <c r="G812" t="inlineStr">
        <is>
          <t>no aplica (precio mayorista)</t>
        </is>
      </c>
      <c r="J812" t="inlineStr">
        <is>
          <t>2022-03-18</t>
        </is>
      </c>
      <c r="K812" t="inlineStr">
        <is>
          <t>MIBGAS_Data_2022.xlsx</t>
        </is>
      </c>
      <c r="L812" t="inlineStr">
        <is>
          <t>volumen 187483 MWh</t>
        </is>
      </c>
    </row>
    <row r="813">
      <c r="A813" s="53" t="n">
        <v>44639</v>
      </c>
      <c r="B813" t="inlineStr">
        <is>
          <t>2022-03-19</t>
        </is>
      </c>
      <c r="C813" s="45" t="n">
        <v>97.70999999999999</v>
      </c>
      <c r="D813" t="inlineStr">
        <is>
          <t>€/MWh</t>
        </is>
      </c>
      <c r="E813" s="54" t="n">
        <v>0.09771000000000001</v>
      </c>
      <c r="F813" s="54" t="n"/>
      <c r="G813" t="inlineStr">
        <is>
          <t>no aplica (precio mayorista)</t>
        </is>
      </c>
      <c r="J813" t="inlineStr">
        <is>
          <t>2022-03-19</t>
        </is>
      </c>
      <c r="K813" t="inlineStr">
        <is>
          <t>MIBGAS_Data_2022.xlsx</t>
        </is>
      </c>
      <c r="L813" t="inlineStr">
        <is>
          <t>volumen 165123 MWh</t>
        </is>
      </c>
    </row>
    <row r="814">
      <c r="A814" s="53" t="n">
        <v>44640</v>
      </c>
      <c r="B814" t="inlineStr">
        <is>
          <t>2022-03-20</t>
        </is>
      </c>
      <c r="C814" s="45" t="n">
        <v>96.81999999999999</v>
      </c>
      <c r="D814" t="inlineStr">
        <is>
          <t>€/MWh</t>
        </is>
      </c>
      <c r="E814" s="54" t="n">
        <v>0.09682</v>
      </c>
      <c r="F814" s="54" t="n"/>
      <c r="G814" t="inlineStr">
        <is>
          <t>no aplica (precio mayorista)</t>
        </is>
      </c>
      <c r="J814" t="inlineStr">
        <is>
          <t>2022-03-20</t>
        </is>
      </c>
      <c r="K814" t="inlineStr">
        <is>
          <t>MIBGAS_Data_2022.xlsx</t>
        </is>
      </c>
      <c r="L814" t="inlineStr">
        <is>
          <t>volumen 180411 MWh</t>
        </is>
      </c>
    </row>
    <row r="815">
      <c r="A815" s="53" t="n">
        <v>44641</v>
      </c>
      <c r="B815" t="inlineStr">
        <is>
          <t>2022-03-21</t>
        </is>
      </c>
      <c r="C815" s="45" t="n">
        <v>97.8</v>
      </c>
      <c r="D815" t="inlineStr">
        <is>
          <t>€/MWh</t>
        </is>
      </c>
      <c r="E815" s="54" t="n">
        <v>0.0978</v>
      </c>
      <c r="F815" s="54" t="n"/>
      <c r="G815" t="inlineStr">
        <is>
          <t>no aplica (precio mayorista)</t>
        </is>
      </c>
      <c r="J815" t="inlineStr">
        <is>
          <t>2022-03-21</t>
        </is>
      </c>
      <c r="K815" t="inlineStr">
        <is>
          <t>MIBGAS_Data_2022.xlsx</t>
        </is>
      </c>
      <c r="L815" t="inlineStr">
        <is>
          <t>volumen 158058 MWh</t>
        </is>
      </c>
    </row>
    <row r="816">
      <c r="A816" s="53" t="n">
        <v>44642</v>
      </c>
      <c r="B816" t="inlineStr">
        <is>
          <t>2022-03-22</t>
        </is>
      </c>
      <c r="C816" s="45" t="n">
        <v>94.11</v>
      </c>
      <c r="D816" t="inlineStr">
        <is>
          <t>€/MWh</t>
        </is>
      </c>
      <c r="E816" s="54" t="n">
        <v>0.09411</v>
      </c>
      <c r="F816" s="54" t="n"/>
      <c r="G816" t="inlineStr">
        <is>
          <t>no aplica (precio mayorista)</t>
        </is>
      </c>
      <c r="J816" t="inlineStr">
        <is>
          <t>2022-03-22</t>
        </is>
      </c>
      <c r="K816" t="inlineStr">
        <is>
          <t>MIBGAS_Data_2022.xlsx</t>
        </is>
      </c>
      <c r="L816" t="inlineStr">
        <is>
          <t>volumen 161197 MWh</t>
        </is>
      </c>
    </row>
    <row r="817">
      <c r="A817" s="53" t="n">
        <v>44643</v>
      </c>
      <c r="B817" t="inlineStr">
        <is>
          <t>2022-03-23</t>
        </is>
      </c>
      <c r="C817" s="45" t="n">
        <v>96.95</v>
      </c>
      <c r="D817" t="inlineStr">
        <is>
          <t>€/MWh</t>
        </is>
      </c>
      <c r="E817" s="54" t="n">
        <v>0.09694999999999999</v>
      </c>
      <c r="F817" s="54" t="n"/>
      <c r="G817" t="inlineStr">
        <is>
          <t>no aplica (precio mayorista)</t>
        </is>
      </c>
      <c r="J817" t="inlineStr">
        <is>
          <t>2022-03-23</t>
        </is>
      </c>
      <c r="K817" t="inlineStr">
        <is>
          <t>MIBGAS_Data_2022.xlsx</t>
        </is>
      </c>
      <c r="L817" t="inlineStr">
        <is>
          <t>volumen 144322 MWh</t>
        </is>
      </c>
    </row>
    <row r="818">
      <c r="A818" s="53" t="n">
        <v>44644</v>
      </c>
      <c r="B818" t="inlineStr">
        <is>
          <t>2022-03-24</t>
        </is>
      </c>
      <c r="C818" s="45" t="n">
        <v>108.14</v>
      </c>
      <c r="D818" t="inlineStr">
        <is>
          <t>€/MWh</t>
        </is>
      </c>
      <c r="E818" s="54" t="n">
        <v>0.10814</v>
      </c>
      <c r="F818" s="54" t="n"/>
      <c r="G818" t="inlineStr">
        <is>
          <t>no aplica (precio mayorista)</t>
        </is>
      </c>
      <c r="J818" t="inlineStr">
        <is>
          <t>2022-03-24</t>
        </is>
      </c>
      <c r="K818" t="inlineStr">
        <is>
          <t>MIBGAS_Data_2022.xlsx</t>
        </is>
      </c>
      <c r="L818" t="inlineStr">
        <is>
          <t>volumen 213699 MWh</t>
        </is>
      </c>
    </row>
    <row r="819">
      <c r="A819" s="53" t="n">
        <v>44645</v>
      </c>
      <c r="B819" t="inlineStr">
        <is>
          <t>2022-03-25</t>
        </is>
      </c>
      <c r="C819" s="45" t="n">
        <v>107.98</v>
      </c>
      <c r="D819" t="inlineStr">
        <is>
          <t>€/MWh</t>
        </is>
      </c>
      <c r="E819" s="54" t="n">
        <v>0.10798</v>
      </c>
      <c r="F819" s="54" t="n"/>
      <c r="G819" t="inlineStr">
        <is>
          <t>no aplica (precio mayorista)</t>
        </is>
      </c>
      <c r="J819" t="inlineStr">
        <is>
          <t>2022-03-25</t>
        </is>
      </c>
      <c r="K819" t="inlineStr">
        <is>
          <t>MIBGAS_Data_2022.xlsx</t>
        </is>
      </c>
      <c r="L819" t="inlineStr">
        <is>
          <t>volumen 185102 MWh</t>
        </is>
      </c>
    </row>
    <row r="820">
      <c r="A820" s="53" t="n">
        <v>44646</v>
      </c>
      <c r="B820" t="inlineStr">
        <is>
          <t>2022-03-26</t>
        </is>
      </c>
      <c r="C820" s="45" t="n">
        <v>98.31999999999999</v>
      </c>
      <c r="D820" t="inlineStr">
        <is>
          <t>€/MWh</t>
        </is>
      </c>
      <c r="E820" s="54" t="n">
        <v>0.09832</v>
      </c>
      <c r="F820" s="54" t="n"/>
      <c r="G820" t="inlineStr">
        <is>
          <t>no aplica (precio mayorista)</t>
        </is>
      </c>
      <c r="J820" t="inlineStr">
        <is>
          <t>2022-03-26</t>
        </is>
      </c>
      <c r="K820" t="inlineStr">
        <is>
          <t>MIBGAS_Data_2022.xlsx</t>
        </is>
      </c>
      <c r="L820" t="inlineStr">
        <is>
          <t>volumen 154641 MWh</t>
        </is>
      </c>
    </row>
    <row r="821">
      <c r="A821" s="53" t="n">
        <v>44647</v>
      </c>
      <c r="B821" t="inlineStr">
        <is>
          <t>2022-03-27</t>
        </is>
      </c>
      <c r="C821" s="45" t="n">
        <v>95.88</v>
      </c>
      <c r="D821" t="inlineStr">
        <is>
          <t>€/MWh</t>
        </is>
      </c>
      <c r="E821" s="54" t="n">
        <v>0.09588000000000001</v>
      </c>
      <c r="F821" s="54" t="n"/>
      <c r="G821" t="inlineStr">
        <is>
          <t>no aplica (precio mayorista)</t>
        </is>
      </c>
      <c r="J821" t="inlineStr">
        <is>
          <t>2022-03-27</t>
        </is>
      </c>
      <c r="K821" t="inlineStr">
        <is>
          <t>MIBGAS_Data_2022.xlsx</t>
        </is>
      </c>
      <c r="L821" t="inlineStr">
        <is>
          <t>volumen 157717 MWh</t>
        </is>
      </c>
    </row>
    <row r="822">
      <c r="A822" s="53" t="n">
        <v>44648</v>
      </c>
      <c r="B822" t="inlineStr">
        <is>
          <t>2022-03-28</t>
        </is>
      </c>
      <c r="C822" s="45" t="n">
        <v>95.70999999999999</v>
      </c>
      <c r="D822" t="inlineStr">
        <is>
          <t>€/MWh</t>
        </is>
      </c>
      <c r="E822" s="54" t="n">
        <v>0.09571</v>
      </c>
      <c r="F822" s="54" t="n"/>
      <c r="G822" t="inlineStr">
        <is>
          <t>no aplica (precio mayorista)</t>
        </is>
      </c>
      <c r="J822" t="inlineStr">
        <is>
          <t>2022-03-28</t>
        </is>
      </c>
      <c r="K822" t="inlineStr">
        <is>
          <t>MIBGAS_Data_2022.xlsx</t>
        </is>
      </c>
      <c r="L822" t="inlineStr">
        <is>
          <t>volumen 275361 MWh</t>
        </is>
      </c>
    </row>
    <row r="823">
      <c r="A823" s="53" t="n">
        <v>44649</v>
      </c>
      <c r="B823" t="inlineStr">
        <is>
          <t>2022-03-29</t>
        </is>
      </c>
      <c r="C823" s="45" t="n">
        <v>103.55</v>
      </c>
      <c r="D823" t="inlineStr">
        <is>
          <t>€/MWh</t>
        </is>
      </c>
      <c r="E823" s="54" t="n">
        <v>0.10355</v>
      </c>
      <c r="F823" s="54" t="n"/>
      <c r="G823" t="inlineStr">
        <is>
          <t>no aplica (precio mayorista)</t>
        </is>
      </c>
      <c r="J823" t="inlineStr">
        <is>
          <t>2022-03-29</t>
        </is>
      </c>
      <c r="K823" t="inlineStr">
        <is>
          <t>MIBGAS_Data_2022.xlsx</t>
        </is>
      </c>
      <c r="L823" t="inlineStr">
        <is>
          <t>volumen 177234 MWh</t>
        </is>
      </c>
    </row>
    <row r="824">
      <c r="A824" s="53" t="n">
        <v>44650</v>
      </c>
      <c r="B824" t="inlineStr">
        <is>
          <t>2022-03-30</t>
        </is>
      </c>
      <c r="C824" s="45" t="n">
        <v>109.66</v>
      </c>
      <c r="D824" t="inlineStr">
        <is>
          <t>€/MWh</t>
        </is>
      </c>
      <c r="E824" s="54" t="n">
        <v>0.10966</v>
      </c>
      <c r="F824" s="54" t="n"/>
      <c r="G824" t="inlineStr">
        <is>
          <t>no aplica (precio mayorista)</t>
        </is>
      </c>
      <c r="J824" t="inlineStr">
        <is>
          <t>2022-03-30</t>
        </is>
      </c>
      <c r="K824" t="inlineStr">
        <is>
          <t>MIBGAS_Data_2022.xlsx</t>
        </is>
      </c>
      <c r="L824" t="inlineStr">
        <is>
          <t>volumen 162185 MWh</t>
        </is>
      </c>
    </row>
    <row r="825">
      <c r="A825" s="53" t="n">
        <v>44651</v>
      </c>
      <c r="B825" t="inlineStr">
        <is>
          <t>2022-03-31</t>
        </is>
      </c>
      <c r="C825" s="45" t="n">
        <v>113.18</v>
      </c>
      <c r="D825" t="inlineStr">
        <is>
          <t>€/MWh</t>
        </is>
      </c>
      <c r="E825" s="54" t="n">
        <v>0.11318</v>
      </c>
      <c r="F825" s="54" t="n"/>
      <c r="G825" t="inlineStr">
        <is>
          <t>no aplica (precio mayorista)</t>
        </is>
      </c>
      <c r="J825" t="inlineStr">
        <is>
          <t>2022-03-31</t>
        </is>
      </c>
      <c r="K825" t="inlineStr">
        <is>
          <t>MIBGAS_Data_2022.xlsx</t>
        </is>
      </c>
      <c r="L825" t="inlineStr">
        <is>
          <t>volumen 175543 MWh</t>
        </is>
      </c>
    </row>
    <row r="826">
      <c r="A826" s="53" t="n">
        <v>44652</v>
      </c>
      <c r="B826" t="inlineStr">
        <is>
          <t>2022-04-01</t>
        </is>
      </c>
      <c r="C826" s="45" t="n">
        <v>118.01</v>
      </c>
      <c r="D826" t="inlineStr">
        <is>
          <t>€/MWh</t>
        </is>
      </c>
      <c r="E826" s="54" t="n">
        <v>0.11801</v>
      </c>
      <c r="F826" s="54" t="n"/>
      <c r="G826" t="inlineStr">
        <is>
          <t>no aplica (precio mayorista)</t>
        </is>
      </c>
      <c r="J826" t="inlineStr">
        <is>
          <t>2022-04-01</t>
        </is>
      </c>
      <c r="K826" t="inlineStr">
        <is>
          <t>MIBGAS_Data_2022.xlsx</t>
        </is>
      </c>
      <c r="L826" t="inlineStr">
        <is>
          <t>volumen 209940 MWh</t>
        </is>
      </c>
    </row>
    <row r="827">
      <c r="A827" s="53" t="n">
        <v>44653</v>
      </c>
      <c r="B827" t="inlineStr">
        <is>
          <t>2022-04-02</t>
        </is>
      </c>
      <c r="C827" s="45" t="n">
        <v>116.07</v>
      </c>
      <c r="D827" t="inlineStr">
        <is>
          <t>€/MWh</t>
        </is>
      </c>
      <c r="E827" s="54" t="n">
        <v>0.11607</v>
      </c>
      <c r="F827" s="54" t="n"/>
      <c r="G827" t="inlineStr">
        <is>
          <t>no aplica (precio mayorista)</t>
        </is>
      </c>
      <c r="J827" t="inlineStr">
        <is>
          <t>2022-04-02</t>
        </is>
      </c>
      <c r="K827" t="inlineStr">
        <is>
          <t>MIBGAS_Data_2022.xlsx</t>
        </is>
      </c>
      <c r="L827" t="inlineStr">
        <is>
          <t>volumen 139000 MWh</t>
        </is>
      </c>
    </row>
    <row r="828">
      <c r="A828" s="53" t="n">
        <v>44654</v>
      </c>
      <c r="B828" t="inlineStr">
        <is>
          <t>2022-04-03</t>
        </is>
      </c>
      <c r="C828" s="45" t="n">
        <v>115.12</v>
      </c>
      <c r="D828" t="inlineStr">
        <is>
          <t>€/MWh</t>
        </is>
      </c>
      <c r="E828" s="54" t="n">
        <v>0.11512</v>
      </c>
      <c r="F828" s="54" t="n"/>
      <c r="G828" t="inlineStr">
        <is>
          <t>no aplica (precio mayorista)</t>
        </is>
      </c>
      <c r="J828" t="inlineStr">
        <is>
          <t>2022-04-03</t>
        </is>
      </c>
      <c r="K828" t="inlineStr">
        <is>
          <t>MIBGAS_Data_2022.xlsx</t>
        </is>
      </c>
      <c r="L828" t="inlineStr">
        <is>
          <t>volumen 152123 MWh</t>
        </is>
      </c>
    </row>
    <row r="829">
      <c r="A829" s="53" t="n">
        <v>44655</v>
      </c>
      <c r="B829" t="inlineStr">
        <is>
          <t>2022-04-04</t>
        </is>
      </c>
      <c r="C829" s="45" t="n">
        <v>111.29</v>
      </c>
      <c r="D829" t="inlineStr">
        <is>
          <t>€/MWh</t>
        </is>
      </c>
      <c r="E829" s="54" t="n">
        <v>0.11129</v>
      </c>
      <c r="F829" s="54" t="n"/>
      <c r="G829" t="inlineStr">
        <is>
          <t>no aplica (precio mayorista)</t>
        </is>
      </c>
      <c r="J829" t="inlineStr">
        <is>
          <t>2022-04-04</t>
        </is>
      </c>
      <c r="K829" t="inlineStr">
        <is>
          <t>MIBGAS_Data_2022.xlsx</t>
        </is>
      </c>
      <c r="L829" t="inlineStr">
        <is>
          <t>volumen 277564 MWh</t>
        </is>
      </c>
    </row>
    <row r="830">
      <c r="A830" s="53" t="n">
        <v>44656</v>
      </c>
      <c r="B830" t="inlineStr">
        <is>
          <t>2022-04-05</t>
        </is>
      </c>
      <c r="C830" s="45" t="n">
        <v>107.03</v>
      </c>
      <c r="D830" t="inlineStr">
        <is>
          <t>€/MWh</t>
        </is>
      </c>
      <c r="E830" s="54" t="n">
        <v>0.10703</v>
      </c>
      <c r="F830" s="54" t="n"/>
      <c r="G830" t="inlineStr">
        <is>
          <t>no aplica (precio mayorista)</t>
        </is>
      </c>
      <c r="J830" t="inlineStr">
        <is>
          <t>2022-04-05</t>
        </is>
      </c>
      <c r="K830" t="inlineStr">
        <is>
          <t>MIBGAS_Data_2022.xlsx</t>
        </is>
      </c>
      <c r="L830" t="inlineStr">
        <is>
          <t>volumen 322068 MWh</t>
        </is>
      </c>
    </row>
    <row r="831">
      <c r="A831" s="53" t="n">
        <v>44657</v>
      </c>
      <c r="B831" t="inlineStr">
        <is>
          <t>2022-04-06</t>
        </is>
      </c>
      <c r="C831" s="45" t="n">
        <v>104.77</v>
      </c>
      <c r="D831" t="inlineStr">
        <is>
          <t>€/MWh</t>
        </is>
      </c>
      <c r="E831" s="54" t="n">
        <v>0.10477</v>
      </c>
      <c r="F831" s="54" t="n"/>
      <c r="G831" t="inlineStr">
        <is>
          <t>no aplica (precio mayorista)</t>
        </is>
      </c>
      <c r="J831" t="inlineStr">
        <is>
          <t>2022-04-06</t>
        </is>
      </c>
      <c r="K831" t="inlineStr">
        <is>
          <t>MIBGAS_Data_2022.xlsx</t>
        </is>
      </c>
      <c r="L831" t="inlineStr">
        <is>
          <t>volumen 265630 MWh</t>
        </is>
      </c>
    </row>
    <row r="832">
      <c r="A832" s="53" t="n">
        <v>44658</v>
      </c>
      <c r="B832" t="inlineStr">
        <is>
          <t>2022-04-07</t>
        </is>
      </c>
      <c r="C832" s="45" t="n">
        <v>102.32</v>
      </c>
      <c r="D832" t="inlineStr">
        <is>
          <t>€/MWh</t>
        </is>
      </c>
      <c r="E832" s="54" t="n">
        <v>0.10232</v>
      </c>
      <c r="F832" s="54" t="n"/>
      <c r="G832" t="inlineStr">
        <is>
          <t>no aplica (precio mayorista)</t>
        </is>
      </c>
      <c r="J832" t="inlineStr">
        <is>
          <t>2022-04-07</t>
        </is>
      </c>
      <c r="K832" t="inlineStr">
        <is>
          <t>MIBGAS_Data_2022.xlsx</t>
        </is>
      </c>
      <c r="L832" t="inlineStr">
        <is>
          <t>volumen 137359 MWh</t>
        </is>
      </c>
    </row>
    <row r="833">
      <c r="A833" s="53" t="n">
        <v>44659</v>
      </c>
      <c r="B833" t="inlineStr">
        <is>
          <t>2022-04-08</t>
        </is>
      </c>
      <c r="C833" s="45" t="n">
        <v>95.25</v>
      </c>
      <c r="D833" t="inlineStr">
        <is>
          <t>€/MWh</t>
        </is>
      </c>
      <c r="E833" s="54" t="n">
        <v>0.09525</v>
      </c>
      <c r="F833" s="54" t="n"/>
      <c r="G833" t="inlineStr">
        <is>
          <t>no aplica (precio mayorista)</t>
        </is>
      </c>
      <c r="J833" t="inlineStr">
        <is>
          <t>2022-04-08</t>
        </is>
      </c>
      <c r="K833" t="inlineStr">
        <is>
          <t>MIBGAS_Data_2022.xlsx</t>
        </is>
      </c>
      <c r="L833" t="inlineStr">
        <is>
          <t>volumen 256323 MWh</t>
        </is>
      </c>
    </row>
    <row r="834">
      <c r="A834" s="53" t="n">
        <v>44660</v>
      </c>
      <c r="B834" t="inlineStr">
        <is>
          <t>2022-04-09</t>
        </is>
      </c>
      <c r="C834" s="45" t="n">
        <v>97.87</v>
      </c>
      <c r="D834" t="inlineStr">
        <is>
          <t>€/MWh</t>
        </is>
      </c>
      <c r="E834" s="54" t="n">
        <v>0.09787</v>
      </c>
      <c r="F834" s="54" t="n"/>
      <c r="G834" t="inlineStr">
        <is>
          <t>no aplica (precio mayorista)</t>
        </is>
      </c>
      <c r="J834" t="inlineStr">
        <is>
          <t>2022-04-09</t>
        </is>
      </c>
      <c r="K834" t="inlineStr">
        <is>
          <t>MIBGAS_Data_2022.xlsx</t>
        </is>
      </c>
      <c r="L834" t="inlineStr">
        <is>
          <t>volumen 159679 MWh</t>
        </is>
      </c>
    </row>
    <row r="835">
      <c r="A835" s="53" t="n">
        <v>44661</v>
      </c>
      <c r="B835" t="inlineStr">
        <is>
          <t>2022-04-10</t>
        </is>
      </c>
      <c r="C835" s="45" t="n">
        <v>98.48999999999999</v>
      </c>
      <c r="D835" t="inlineStr">
        <is>
          <t>€/MWh</t>
        </is>
      </c>
      <c r="E835" s="54" t="n">
        <v>0.09848999999999999</v>
      </c>
      <c r="F835" s="54" t="n"/>
      <c r="G835" t="inlineStr">
        <is>
          <t>no aplica (precio mayorista)</t>
        </is>
      </c>
      <c r="J835" t="inlineStr">
        <is>
          <t>2022-04-10</t>
        </is>
      </c>
      <c r="K835" t="inlineStr">
        <is>
          <t>MIBGAS_Data_2022.xlsx</t>
        </is>
      </c>
      <c r="L835" t="inlineStr">
        <is>
          <t>volumen 166845 MWh</t>
        </is>
      </c>
    </row>
    <row r="836">
      <c r="A836" s="53" t="n">
        <v>44662</v>
      </c>
      <c r="B836" t="inlineStr">
        <is>
          <t>2022-04-11</t>
        </is>
      </c>
      <c r="C836" s="45" t="n">
        <v>93.34</v>
      </c>
      <c r="D836" t="inlineStr">
        <is>
          <t>€/MWh</t>
        </is>
      </c>
      <c r="E836" s="54" t="n">
        <v>0.09334000000000001</v>
      </c>
      <c r="F836" s="54" t="n"/>
      <c r="G836" t="inlineStr">
        <is>
          <t>no aplica (precio mayorista)</t>
        </is>
      </c>
      <c r="J836" t="inlineStr">
        <is>
          <t>2022-04-11</t>
        </is>
      </c>
      <c r="K836" t="inlineStr">
        <is>
          <t>MIBGAS_Data_2022.xlsx</t>
        </is>
      </c>
      <c r="L836" t="inlineStr">
        <is>
          <t>volumen 213052 MWh</t>
        </is>
      </c>
    </row>
    <row r="837">
      <c r="A837" s="53" t="n">
        <v>44663</v>
      </c>
      <c r="B837" t="inlineStr">
        <is>
          <t>2022-04-12</t>
        </is>
      </c>
      <c r="C837" s="45" t="n">
        <v>96.25</v>
      </c>
      <c r="D837" t="inlineStr">
        <is>
          <t>€/MWh</t>
        </is>
      </c>
      <c r="E837" s="54" t="n">
        <v>0.09625</v>
      </c>
      <c r="F837" s="54" t="n"/>
      <c r="G837" t="inlineStr">
        <is>
          <t>no aplica (precio mayorista)</t>
        </is>
      </c>
      <c r="J837" t="inlineStr">
        <is>
          <t>2022-04-12</t>
        </is>
      </c>
      <c r="K837" t="inlineStr">
        <is>
          <t>MIBGAS_Data_2022.xlsx</t>
        </is>
      </c>
      <c r="L837" t="inlineStr">
        <is>
          <t>volumen 233417 MWh</t>
        </is>
      </c>
    </row>
    <row r="838">
      <c r="A838" s="53" t="n">
        <v>44664</v>
      </c>
      <c r="B838" t="inlineStr">
        <is>
          <t>2022-04-13</t>
        </is>
      </c>
      <c r="C838" s="45" t="n">
        <v>94.09</v>
      </c>
      <c r="D838" t="inlineStr">
        <is>
          <t>€/MWh</t>
        </is>
      </c>
      <c r="E838" s="54" t="n">
        <v>0.09408999999999999</v>
      </c>
      <c r="F838" s="54" t="n"/>
      <c r="G838" t="inlineStr">
        <is>
          <t>no aplica (precio mayorista)</t>
        </is>
      </c>
      <c r="J838" t="inlineStr">
        <is>
          <t>2022-04-13</t>
        </is>
      </c>
      <c r="K838" t="inlineStr">
        <is>
          <t>MIBGAS_Data_2022.xlsx</t>
        </is>
      </c>
      <c r="L838" t="inlineStr">
        <is>
          <t>volumen 193845 MWh</t>
        </is>
      </c>
    </row>
    <row r="839">
      <c r="A839" s="53" t="n">
        <v>44665</v>
      </c>
      <c r="B839" t="inlineStr">
        <is>
          <t>2022-04-14</t>
        </is>
      </c>
      <c r="C839" s="45" t="n">
        <v>88.14</v>
      </c>
      <c r="D839" t="inlineStr">
        <is>
          <t>€/MWh</t>
        </is>
      </c>
      <c r="E839" s="54" t="n">
        <v>0.08814</v>
      </c>
      <c r="F839" s="54" t="n"/>
      <c r="G839" t="inlineStr">
        <is>
          <t>no aplica (precio mayorista)</t>
        </is>
      </c>
      <c r="J839" t="inlineStr">
        <is>
          <t>2022-04-14</t>
        </is>
      </c>
      <c r="K839" t="inlineStr">
        <is>
          <t>MIBGAS_Data_2022.xlsx</t>
        </is>
      </c>
      <c r="L839" t="inlineStr">
        <is>
          <t>volumen 206603 MWh</t>
        </is>
      </c>
    </row>
    <row r="840">
      <c r="A840" s="53" t="n">
        <v>44666</v>
      </c>
      <c r="B840" t="inlineStr">
        <is>
          <t>2022-04-15</t>
        </is>
      </c>
      <c r="C840" s="45" t="n">
        <v>80.52</v>
      </c>
      <c r="D840" t="inlineStr">
        <is>
          <t>€/MWh</t>
        </is>
      </c>
      <c r="E840" s="54" t="n">
        <v>0.08051999999999999</v>
      </c>
      <c r="F840" s="54" t="n"/>
      <c r="G840" t="inlineStr">
        <is>
          <t>no aplica (precio mayorista)</t>
        </is>
      </c>
      <c r="J840" t="inlineStr">
        <is>
          <t>2022-04-15</t>
        </is>
      </c>
      <c r="K840" t="inlineStr">
        <is>
          <t>MIBGAS_Data_2022.xlsx</t>
        </is>
      </c>
      <c r="L840" t="inlineStr">
        <is>
          <t>volumen 185209 MWh</t>
        </is>
      </c>
    </row>
    <row r="841">
      <c r="A841" s="53" t="n">
        <v>44667</v>
      </c>
      <c r="B841" t="inlineStr">
        <is>
          <t>2022-04-16</t>
        </is>
      </c>
      <c r="C841" s="45" t="n">
        <v>77.31</v>
      </c>
      <c r="D841" t="inlineStr">
        <is>
          <t>€/MWh</t>
        </is>
      </c>
      <c r="E841" s="54" t="n">
        <v>0.07731</v>
      </c>
      <c r="F841" s="54" t="n"/>
      <c r="G841" t="inlineStr">
        <is>
          <t>no aplica (precio mayorista)</t>
        </is>
      </c>
      <c r="J841" t="inlineStr">
        <is>
          <t>2022-04-16</t>
        </is>
      </c>
      <c r="K841" t="inlineStr">
        <is>
          <t>MIBGAS_Data_2022.xlsx</t>
        </is>
      </c>
      <c r="L841" t="inlineStr">
        <is>
          <t>volumen 203924 MWh</t>
        </is>
      </c>
    </row>
    <row r="842">
      <c r="A842" s="53" t="n">
        <v>44668</v>
      </c>
      <c r="B842" t="inlineStr">
        <is>
          <t>2022-04-17</t>
        </is>
      </c>
      <c r="C842" s="45" t="n">
        <v>73.84999999999999</v>
      </c>
      <c r="D842" t="inlineStr">
        <is>
          <t>€/MWh</t>
        </is>
      </c>
      <c r="E842" s="54" t="n">
        <v>0.07385</v>
      </c>
      <c r="F842" s="54" t="n"/>
      <c r="G842" t="inlineStr">
        <is>
          <t>no aplica (precio mayorista)</t>
        </is>
      </c>
      <c r="J842" t="inlineStr">
        <is>
          <t>2022-04-17</t>
        </is>
      </c>
      <c r="K842" t="inlineStr">
        <is>
          <t>MIBGAS_Data_2022.xlsx</t>
        </is>
      </c>
      <c r="L842" t="inlineStr">
        <is>
          <t>volumen 204798 MWh</t>
        </is>
      </c>
    </row>
    <row r="843">
      <c r="A843" s="53" t="n">
        <v>44669</v>
      </c>
      <c r="B843" t="inlineStr">
        <is>
          <t>2022-04-18</t>
        </is>
      </c>
      <c r="C843" s="45" t="n">
        <v>67.06999999999999</v>
      </c>
      <c r="D843" t="inlineStr">
        <is>
          <t>€/MWh</t>
        </is>
      </c>
      <c r="E843" s="54" t="n">
        <v>0.06707</v>
      </c>
      <c r="F843" s="54" t="n"/>
      <c r="G843" t="inlineStr">
        <is>
          <t>no aplica (precio mayorista)</t>
        </is>
      </c>
      <c r="J843" t="inlineStr">
        <is>
          <t>2022-04-18</t>
        </is>
      </c>
      <c r="K843" t="inlineStr">
        <is>
          <t>MIBGAS_Data_2022.xlsx</t>
        </is>
      </c>
      <c r="L843" t="inlineStr">
        <is>
          <t>volumen 229931 MWh</t>
        </is>
      </c>
    </row>
    <row r="844">
      <c r="A844" s="53" t="n">
        <v>44670</v>
      </c>
      <c r="B844" t="inlineStr">
        <is>
          <t>2022-04-19</t>
        </is>
      </c>
      <c r="C844" s="45" t="n">
        <v>68.69</v>
      </c>
      <c r="D844" t="inlineStr">
        <is>
          <t>€/MWh</t>
        </is>
      </c>
      <c r="E844" s="54" t="n">
        <v>0.06869</v>
      </c>
      <c r="F844" s="54" t="n"/>
      <c r="G844" t="inlineStr">
        <is>
          <t>no aplica (precio mayorista)</t>
        </is>
      </c>
      <c r="J844" t="inlineStr">
        <is>
          <t>2022-04-19</t>
        </is>
      </c>
      <c r="K844" t="inlineStr">
        <is>
          <t>MIBGAS_Data_2022.xlsx</t>
        </is>
      </c>
      <c r="L844" t="inlineStr">
        <is>
          <t>volumen 230377 MWh</t>
        </is>
      </c>
    </row>
    <row r="845">
      <c r="A845" s="53" t="n">
        <v>44671</v>
      </c>
      <c r="B845" t="inlineStr">
        <is>
          <t>2022-04-20</t>
        </is>
      </c>
      <c r="C845" s="45" t="n">
        <v>74.09999999999999</v>
      </c>
      <c r="D845" t="inlineStr">
        <is>
          <t>€/MWh</t>
        </is>
      </c>
      <c r="E845" s="54" t="n">
        <v>0.0741</v>
      </c>
      <c r="F845" s="54" t="n"/>
      <c r="G845" t="inlineStr">
        <is>
          <t>no aplica (precio mayorista)</t>
        </is>
      </c>
      <c r="J845" t="inlineStr">
        <is>
          <t>2022-04-20</t>
        </is>
      </c>
      <c r="K845" t="inlineStr">
        <is>
          <t>MIBGAS_Data_2022.xlsx</t>
        </is>
      </c>
      <c r="L845" t="inlineStr">
        <is>
          <t>volumen 177987 MWh</t>
        </is>
      </c>
    </row>
    <row r="846">
      <c r="A846" s="53" t="n">
        <v>44672</v>
      </c>
      <c r="B846" t="inlineStr">
        <is>
          <t>2022-04-21</t>
        </is>
      </c>
      <c r="C846" s="45" t="n">
        <v>82.84999999999999</v>
      </c>
      <c r="D846" t="inlineStr">
        <is>
          <t>€/MWh</t>
        </is>
      </c>
      <c r="E846" s="54" t="n">
        <v>0.08284999999999999</v>
      </c>
      <c r="F846" s="54" t="n"/>
      <c r="G846" t="inlineStr">
        <is>
          <t>no aplica (precio mayorista)</t>
        </is>
      </c>
      <c r="J846" t="inlineStr">
        <is>
          <t>2022-04-21</t>
        </is>
      </c>
      <c r="K846" t="inlineStr">
        <is>
          <t>MIBGAS_Data_2022.xlsx</t>
        </is>
      </c>
      <c r="L846" t="inlineStr">
        <is>
          <t>volumen 226655 MWh</t>
        </is>
      </c>
    </row>
    <row r="847">
      <c r="A847" s="53" t="n">
        <v>44673</v>
      </c>
      <c r="B847" t="inlineStr">
        <is>
          <t>2022-04-22</t>
        </is>
      </c>
      <c r="C847" s="45" t="n">
        <v>83.76000000000001</v>
      </c>
      <c r="D847" t="inlineStr">
        <is>
          <t>€/MWh</t>
        </is>
      </c>
      <c r="E847" s="54" t="n">
        <v>0.08376</v>
      </c>
      <c r="F847" s="54" t="n"/>
      <c r="G847" t="inlineStr">
        <is>
          <t>no aplica (precio mayorista)</t>
        </is>
      </c>
      <c r="J847" t="inlineStr">
        <is>
          <t>2022-04-22</t>
        </is>
      </c>
      <c r="K847" t="inlineStr">
        <is>
          <t>MIBGAS_Data_2022.xlsx</t>
        </is>
      </c>
      <c r="L847" t="inlineStr">
        <is>
          <t>volumen 160505 MWh</t>
        </is>
      </c>
    </row>
    <row r="848">
      <c r="A848" s="53" t="n">
        <v>44674</v>
      </c>
      <c r="B848" t="inlineStr">
        <is>
          <t>2022-04-23</t>
        </is>
      </c>
      <c r="C848" s="45" t="n">
        <v>77.84999999999999</v>
      </c>
      <c r="D848" t="inlineStr">
        <is>
          <t>€/MWh</t>
        </is>
      </c>
      <c r="E848" s="54" t="n">
        <v>0.07785</v>
      </c>
      <c r="F848" s="54" t="n"/>
      <c r="G848" t="inlineStr">
        <is>
          <t>no aplica (precio mayorista)</t>
        </is>
      </c>
      <c r="J848" t="inlineStr">
        <is>
          <t>2022-04-23</t>
        </is>
      </c>
      <c r="K848" t="inlineStr">
        <is>
          <t>MIBGAS_Data_2022.xlsx</t>
        </is>
      </c>
      <c r="L848" t="inlineStr">
        <is>
          <t>volumen 249928 MWh</t>
        </is>
      </c>
    </row>
    <row r="849">
      <c r="A849" s="53" t="n">
        <v>44675</v>
      </c>
      <c r="B849" t="inlineStr">
        <is>
          <t>2022-04-24</t>
        </is>
      </c>
      <c r="C849" s="45" t="n">
        <v>81.26000000000001</v>
      </c>
      <c r="D849" t="inlineStr">
        <is>
          <t>€/MWh</t>
        </is>
      </c>
      <c r="E849" s="54" t="n">
        <v>0.08126</v>
      </c>
      <c r="F849" s="54" t="n"/>
      <c r="G849" t="inlineStr">
        <is>
          <t>no aplica (precio mayorista)</t>
        </is>
      </c>
      <c r="J849" t="inlineStr">
        <is>
          <t>2022-04-24</t>
        </is>
      </c>
      <c r="K849" t="inlineStr">
        <is>
          <t>MIBGAS_Data_2022.xlsx</t>
        </is>
      </c>
      <c r="L849" t="inlineStr">
        <is>
          <t>volumen 331950 MWh</t>
        </is>
      </c>
    </row>
    <row r="850">
      <c r="A850" s="53" t="n">
        <v>44676</v>
      </c>
      <c r="B850" t="inlineStr">
        <is>
          <t>2022-04-25</t>
        </is>
      </c>
      <c r="C850" s="45" t="n">
        <v>85.51000000000001</v>
      </c>
      <c r="D850" t="inlineStr">
        <is>
          <t>€/MWh</t>
        </is>
      </c>
      <c r="E850" s="54" t="n">
        <v>0.08551</v>
      </c>
      <c r="F850" s="54" t="n"/>
      <c r="G850" t="inlineStr">
        <is>
          <t>no aplica (precio mayorista)</t>
        </is>
      </c>
      <c r="J850" t="inlineStr">
        <is>
          <t>2022-04-25</t>
        </is>
      </c>
      <c r="K850" t="inlineStr">
        <is>
          <t>MIBGAS_Data_2022.xlsx</t>
        </is>
      </c>
      <c r="L850" t="inlineStr">
        <is>
          <t>volumen 291663 MWh</t>
        </is>
      </c>
    </row>
    <row r="851">
      <c r="A851" s="53" t="n">
        <v>44677</v>
      </c>
      <c r="B851" t="inlineStr">
        <is>
          <t>2022-04-26</t>
        </is>
      </c>
      <c r="C851" s="45" t="n">
        <v>84.77</v>
      </c>
      <c r="D851" t="inlineStr">
        <is>
          <t>€/MWh</t>
        </is>
      </c>
      <c r="E851" s="54" t="n">
        <v>0.08477</v>
      </c>
      <c r="F851" s="54" t="n"/>
      <c r="G851" t="inlineStr">
        <is>
          <t>no aplica (precio mayorista)</t>
        </is>
      </c>
      <c r="J851" t="inlineStr">
        <is>
          <t>2022-04-26</t>
        </is>
      </c>
      <c r="K851" t="inlineStr">
        <is>
          <t>MIBGAS_Data_2022.xlsx</t>
        </is>
      </c>
      <c r="L851" t="inlineStr">
        <is>
          <t>volumen 228731 MWh</t>
        </is>
      </c>
    </row>
    <row r="852">
      <c r="A852" s="53" t="n">
        <v>44678</v>
      </c>
      <c r="B852" t="inlineStr">
        <is>
          <t>2022-04-27</t>
        </is>
      </c>
      <c r="C852" s="45" t="n">
        <v>83.14</v>
      </c>
      <c r="D852" t="inlineStr">
        <is>
          <t>€/MWh</t>
        </is>
      </c>
      <c r="E852" s="54" t="n">
        <v>0.08314000000000001</v>
      </c>
      <c r="F852" s="54" t="n"/>
      <c r="G852" t="inlineStr">
        <is>
          <t>no aplica (precio mayorista)</t>
        </is>
      </c>
      <c r="J852" t="inlineStr">
        <is>
          <t>2022-04-27</t>
        </is>
      </c>
      <c r="K852" t="inlineStr">
        <is>
          <t>MIBGAS_Data_2022.xlsx</t>
        </is>
      </c>
      <c r="L852" t="inlineStr">
        <is>
          <t>volumen 231921 MWh</t>
        </is>
      </c>
    </row>
    <row r="853">
      <c r="A853" s="53" t="n">
        <v>44679</v>
      </c>
      <c r="B853" t="inlineStr">
        <is>
          <t>2022-04-28</t>
        </is>
      </c>
      <c r="C853" s="45" t="n">
        <v>88.58</v>
      </c>
      <c r="D853" t="inlineStr">
        <is>
          <t>€/MWh</t>
        </is>
      </c>
      <c r="E853" s="54" t="n">
        <v>0.08858000000000001</v>
      </c>
      <c r="F853" s="54" t="n"/>
      <c r="G853" t="inlineStr">
        <is>
          <t>no aplica (precio mayorista)</t>
        </is>
      </c>
      <c r="J853" t="inlineStr">
        <is>
          <t>2022-04-28</t>
        </is>
      </c>
      <c r="K853" t="inlineStr">
        <is>
          <t>MIBGAS_Data_2022.xlsx</t>
        </is>
      </c>
      <c r="L853" t="inlineStr">
        <is>
          <t>volumen 229047 MWh</t>
        </is>
      </c>
    </row>
    <row r="854">
      <c r="A854" s="53" t="n">
        <v>44680</v>
      </c>
      <c r="B854" t="inlineStr">
        <is>
          <t>2022-04-29</t>
        </is>
      </c>
      <c r="C854" s="45" t="n">
        <v>81.31999999999999</v>
      </c>
      <c r="D854" t="inlineStr">
        <is>
          <t>€/MWh</t>
        </is>
      </c>
      <c r="E854" s="54" t="n">
        <v>0.08132</v>
      </c>
      <c r="F854" s="54" t="n"/>
      <c r="G854" t="inlineStr">
        <is>
          <t>no aplica (precio mayorista)</t>
        </is>
      </c>
      <c r="J854" t="inlineStr">
        <is>
          <t>2022-04-29</t>
        </is>
      </c>
      <c r="K854" t="inlineStr">
        <is>
          <t>MIBGAS_Data_2022.xlsx</t>
        </is>
      </c>
      <c r="L854" t="inlineStr">
        <is>
          <t>volumen 188934 MWh</t>
        </is>
      </c>
    </row>
    <row r="855">
      <c r="A855" s="53" t="n">
        <v>44681</v>
      </c>
      <c r="B855" t="inlineStr">
        <is>
          <t>2022-04-30</t>
        </is>
      </c>
      <c r="C855" s="45" t="n">
        <v>75.13</v>
      </c>
      <c r="D855" t="inlineStr">
        <is>
          <t>€/MWh</t>
        </is>
      </c>
      <c r="E855" s="54" t="n">
        <v>0.07513</v>
      </c>
      <c r="F855" s="54" t="n"/>
      <c r="G855" t="inlineStr">
        <is>
          <t>no aplica (precio mayorista)</t>
        </is>
      </c>
      <c r="J855" t="inlineStr">
        <is>
          <t>2022-04-30</t>
        </is>
      </c>
      <c r="K855" t="inlineStr">
        <is>
          <t>MIBGAS_Data_2022.xlsx</t>
        </is>
      </c>
      <c r="L855" t="inlineStr">
        <is>
          <t>volumen 238391 MWh</t>
        </is>
      </c>
    </row>
    <row r="856">
      <c r="A856" s="53" t="n">
        <v>44682</v>
      </c>
      <c r="B856" t="inlineStr">
        <is>
          <t>2022-05-01</t>
        </is>
      </c>
      <c r="C856" s="45" t="n">
        <v>77.69</v>
      </c>
      <c r="D856" t="inlineStr">
        <is>
          <t>€/MWh</t>
        </is>
      </c>
      <c r="E856" s="54" t="n">
        <v>0.07769</v>
      </c>
      <c r="F856" s="54" t="n"/>
      <c r="G856" t="inlineStr">
        <is>
          <t>no aplica (precio mayorista)</t>
        </is>
      </c>
      <c r="J856" t="inlineStr">
        <is>
          <t>2022-05-01</t>
        </is>
      </c>
      <c r="K856" t="inlineStr">
        <is>
          <t>MIBGAS_Data_2022.xlsx</t>
        </is>
      </c>
      <c r="L856" t="inlineStr">
        <is>
          <t>volumen 169404 MWh</t>
        </is>
      </c>
    </row>
    <row r="857">
      <c r="A857" s="53" t="n">
        <v>44683</v>
      </c>
      <c r="B857" t="inlineStr">
        <is>
          <t>2022-05-02</t>
        </is>
      </c>
      <c r="C857" s="45" t="n">
        <v>78.11</v>
      </c>
      <c r="D857" t="inlineStr">
        <is>
          <t>€/MWh</t>
        </is>
      </c>
      <c r="E857" s="54" t="n">
        <v>0.07811</v>
      </c>
      <c r="F857" s="54" t="n"/>
      <c r="G857" t="inlineStr">
        <is>
          <t>no aplica (precio mayorista)</t>
        </is>
      </c>
      <c r="J857" t="inlineStr">
        <is>
          <t>2022-05-02</t>
        </is>
      </c>
      <c r="K857" t="inlineStr">
        <is>
          <t>MIBGAS_Data_2022.xlsx</t>
        </is>
      </c>
      <c r="L857" t="inlineStr">
        <is>
          <t>volumen 206354 MWh</t>
        </is>
      </c>
    </row>
    <row r="858">
      <c r="A858" s="53" t="n">
        <v>44684</v>
      </c>
      <c r="B858" t="inlineStr">
        <is>
          <t>2022-05-03</t>
        </is>
      </c>
      <c r="C858" s="45" t="n">
        <v>80.01000000000001</v>
      </c>
      <c r="D858" t="inlineStr">
        <is>
          <t>€/MWh</t>
        </is>
      </c>
      <c r="E858" s="54" t="n">
        <v>0.08001</v>
      </c>
      <c r="F858" s="54" t="n"/>
      <c r="G858" t="inlineStr">
        <is>
          <t>no aplica (precio mayorista)</t>
        </is>
      </c>
      <c r="J858" t="inlineStr">
        <is>
          <t>2022-05-03</t>
        </is>
      </c>
      <c r="K858" t="inlineStr">
        <is>
          <t>MIBGAS_Data_2022.xlsx</t>
        </is>
      </c>
      <c r="L858" t="inlineStr">
        <is>
          <t>volumen 148407 MWh</t>
        </is>
      </c>
    </row>
    <row r="859">
      <c r="A859" s="53" t="n">
        <v>44685</v>
      </c>
      <c r="B859" t="inlineStr">
        <is>
          <t>2022-05-04</t>
        </is>
      </c>
      <c r="C859" s="45" t="n">
        <v>82.5</v>
      </c>
      <c r="D859" t="inlineStr">
        <is>
          <t>€/MWh</t>
        </is>
      </c>
      <c r="E859" s="54" t="n">
        <v>0.0825</v>
      </c>
      <c r="F859" s="54" t="n"/>
      <c r="G859" t="inlineStr">
        <is>
          <t>no aplica (precio mayorista)</t>
        </is>
      </c>
      <c r="J859" t="inlineStr">
        <is>
          <t>2022-05-04</t>
        </is>
      </c>
      <c r="K859" t="inlineStr">
        <is>
          <t>MIBGAS_Data_2022.xlsx</t>
        </is>
      </c>
      <c r="L859" t="inlineStr">
        <is>
          <t>volumen 138655 MWh</t>
        </is>
      </c>
    </row>
    <row r="860">
      <c r="A860" s="53" t="n">
        <v>44686</v>
      </c>
      <c r="B860" t="inlineStr">
        <is>
          <t>2022-05-05</t>
        </is>
      </c>
      <c r="C860" s="45" t="n">
        <v>83.66</v>
      </c>
      <c r="D860" t="inlineStr">
        <is>
          <t>€/MWh</t>
        </is>
      </c>
      <c r="E860" s="54" t="n">
        <v>0.08366</v>
      </c>
      <c r="F860" s="54" t="n"/>
      <c r="G860" t="inlineStr">
        <is>
          <t>no aplica (precio mayorista)</t>
        </is>
      </c>
      <c r="J860" t="inlineStr">
        <is>
          <t>2022-05-05</t>
        </is>
      </c>
      <c r="K860" t="inlineStr">
        <is>
          <t>MIBGAS_Data_2022.xlsx</t>
        </is>
      </c>
      <c r="L860" t="inlineStr">
        <is>
          <t>volumen 180116 MWh</t>
        </is>
      </c>
    </row>
    <row r="861">
      <c r="A861" s="53" t="n">
        <v>44687</v>
      </c>
      <c r="B861" t="inlineStr">
        <is>
          <t>2022-05-06</t>
        </is>
      </c>
      <c r="C861" s="45" t="n">
        <v>83.54000000000001</v>
      </c>
      <c r="D861" t="inlineStr">
        <is>
          <t>€/MWh</t>
        </is>
      </c>
      <c r="E861" s="54" t="n">
        <v>0.08354</v>
      </c>
      <c r="F861" s="54" t="n"/>
      <c r="G861" t="inlineStr">
        <is>
          <t>no aplica (precio mayorista)</t>
        </is>
      </c>
      <c r="J861" t="inlineStr">
        <is>
          <t>2022-05-06</t>
        </is>
      </c>
      <c r="K861" t="inlineStr">
        <is>
          <t>MIBGAS_Data_2022.xlsx</t>
        </is>
      </c>
      <c r="L861" t="inlineStr">
        <is>
          <t>volumen 157490 MWh</t>
        </is>
      </c>
    </row>
    <row r="862">
      <c r="A862" s="53" t="n">
        <v>44688</v>
      </c>
      <c r="B862" t="inlineStr">
        <is>
          <t>2022-05-07</t>
        </is>
      </c>
      <c r="C862" s="45" t="n">
        <v>79.72</v>
      </c>
      <c r="D862" t="inlineStr">
        <is>
          <t>€/MWh</t>
        </is>
      </c>
      <c r="E862" s="54" t="n">
        <v>0.07972</v>
      </c>
      <c r="F862" s="54" t="n"/>
      <c r="G862" t="inlineStr">
        <is>
          <t>no aplica (precio mayorista)</t>
        </is>
      </c>
      <c r="J862" t="inlineStr">
        <is>
          <t>2022-05-07</t>
        </is>
      </c>
      <c r="K862" t="inlineStr">
        <is>
          <t>MIBGAS_Data_2022.xlsx</t>
        </is>
      </c>
      <c r="L862" t="inlineStr">
        <is>
          <t>volumen 163494 MWh</t>
        </is>
      </c>
    </row>
    <row r="863">
      <c r="A863" s="53" t="n">
        <v>44689</v>
      </c>
      <c r="B863" t="inlineStr">
        <is>
          <t>2022-05-08</t>
        </is>
      </c>
      <c r="C863" s="45" t="n">
        <v>80.09</v>
      </c>
      <c r="D863" t="inlineStr">
        <is>
          <t>€/MWh</t>
        </is>
      </c>
      <c r="E863" s="54" t="n">
        <v>0.08008999999999999</v>
      </c>
      <c r="F863" s="54" t="n"/>
      <c r="G863" t="inlineStr">
        <is>
          <t>no aplica (precio mayorista)</t>
        </is>
      </c>
      <c r="J863" t="inlineStr">
        <is>
          <t>2022-05-08</t>
        </is>
      </c>
      <c r="K863" t="inlineStr">
        <is>
          <t>MIBGAS_Data_2022.xlsx</t>
        </is>
      </c>
      <c r="L863" t="inlineStr">
        <is>
          <t>volumen 174961 MWh</t>
        </is>
      </c>
    </row>
    <row r="864">
      <c r="A864" s="53" t="n">
        <v>44690</v>
      </c>
      <c r="B864" t="inlineStr">
        <is>
          <t>2022-05-09</t>
        </is>
      </c>
      <c r="C864" s="45" t="n">
        <v>80.92</v>
      </c>
      <c r="D864" t="inlineStr">
        <is>
          <t>€/MWh</t>
        </is>
      </c>
      <c r="E864" s="54" t="n">
        <v>0.08092000000000001</v>
      </c>
      <c r="F864" s="54" t="n"/>
      <c r="G864" t="inlineStr">
        <is>
          <t>no aplica (precio mayorista)</t>
        </is>
      </c>
      <c r="J864" t="inlineStr">
        <is>
          <t>2022-05-09</t>
        </is>
      </c>
      <c r="K864" t="inlineStr">
        <is>
          <t>MIBGAS_Data_2022.xlsx</t>
        </is>
      </c>
      <c r="L864" t="inlineStr">
        <is>
          <t>volumen 202874 MWh</t>
        </is>
      </c>
    </row>
    <row r="865">
      <c r="A865" s="53" t="n">
        <v>44691</v>
      </c>
      <c r="B865" t="inlineStr">
        <is>
          <t>2022-05-10</t>
        </is>
      </c>
      <c r="C865" s="45" t="n">
        <v>73.78</v>
      </c>
      <c r="D865" t="inlineStr">
        <is>
          <t>€/MWh</t>
        </is>
      </c>
      <c r="E865" s="54" t="n">
        <v>0.07378</v>
      </c>
      <c r="F865" s="54" t="n"/>
      <c r="G865" t="inlineStr">
        <is>
          <t>no aplica (precio mayorista)</t>
        </is>
      </c>
      <c r="J865" t="inlineStr">
        <is>
          <t>2022-05-10</t>
        </is>
      </c>
      <c r="K865" t="inlineStr">
        <is>
          <t>MIBGAS_Data_2022.xlsx</t>
        </is>
      </c>
      <c r="L865" t="inlineStr">
        <is>
          <t>volumen 250153 MWh</t>
        </is>
      </c>
    </row>
    <row r="866">
      <c r="A866" s="53" t="n">
        <v>44692</v>
      </c>
      <c r="B866" t="inlineStr">
        <is>
          <t>2022-05-11</t>
        </is>
      </c>
      <c r="C866" s="45" t="n">
        <v>70.64</v>
      </c>
      <c r="D866" t="inlineStr">
        <is>
          <t>€/MWh</t>
        </is>
      </c>
      <c r="E866" s="54" t="n">
        <v>0.07063999999999999</v>
      </c>
      <c r="F866" s="54" t="n"/>
      <c r="G866" t="inlineStr">
        <is>
          <t>no aplica (precio mayorista)</t>
        </is>
      </c>
      <c r="J866" t="inlineStr">
        <is>
          <t>2022-05-11</t>
        </is>
      </c>
      <c r="K866" t="inlineStr">
        <is>
          <t>MIBGAS_Data_2022.xlsx</t>
        </is>
      </c>
      <c r="L866" t="inlineStr">
        <is>
          <t>volumen 222393 MWh</t>
        </is>
      </c>
    </row>
    <row r="867">
      <c r="A867" s="53" t="n">
        <v>44693</v>
      </c>
      <c r="B867" t="inlineStr">
        <is>
          <t>2022-05-12</t>
        </is>
      </c>
      <c r="C867" s="45" t="n">
        <v>73.23</v>
      </c>
      <c r="D867" t="inlineStr">
        <is>
          <t>€/MWh</t>
        </is>
      </c>
      <c r="E867" s="54" t="n">
        <v>0.07323</v>
      </c>
      <c r="F867" s="54" t="n"/>
      <c r="G867" t="inlineStr">
        <is>
          <t>no aplica (precio mayorista)</t>
        </is>
      </c>
      <c r="J867" t="inlineStr">
        <is>
          <t>2022-05-12</t>
        </is>
      </c>
      <c r="K867" t="inlineStr">
        <is>
          <t>MIBGAS_Data_2022.xlsx</t>
        </is>
      </c>
      <c r="L867" t="inlineStr">
        <is>
          <t>volumen 227188 MWh</t>
        </is>
      </c>
    </row>
    <row r="868">
      <c r="A868" s="53" t="n">
        <v>44694</v>
      </c>
      <c r="B868" t="inlineStr">
        <is>
          <t>2022-05-13</t>
        </is>
      </c>
      <c r="C868" s="45" t="n">
        <v>80.20999999999999</v>
      </c>
      <c r="D868" t="inlineStr">
        <is>
          <t>€/MWh</t>
        </is>
      </c>
      <c r="E868" s="54" t="n">
        <v>0.08021</v>
      </c>
      <c r="F868" s="54" t="n"/>
      <c r="G868" t="inlineStr">
        <is>
          <t>no aplica (precio mayorista)</t>
        </is>
      </c>
      <c r="J868" t="inlineStr">
        <is>
          <t>2022-05-13</t>
        </is>
      </c>
      <c r="K868" t="inlineStr">
        <is>
          <t>MIBGAS_Data_2022.xlsx</t>
        </is>
      </c>
      <c r="L868" t="inlineStr">
        <is>
          <t>volumen 211767 MWh</t>
        </is>
      </c>
    </row>
    <row r="869">
      <c r="A869" s="53" t="n">
        <v>44695</v>
      </c>
      <c r="B869" t="inlineStr">
        <is>
          <t>2022-05-14</t>
        </is>
      </c>
      <c r="C869" s="45" t="n">
        <v>74.27</v>
      </c>
      <c r="D869" t="inlineStr">
        <is>
          <t>€/MWh</t>
        </is>
      </c>
      <c r="E869" s="54" t="n">
        <v>0.07427</v>
      </c>
      <c r="F869" s="54" t="n"/>
      <c r="G869" t="inlineStr">
        <is>
          <t>no aplica (precio mayorista)</t>
        </is>
      </c>
      <c r="J869" t="inlineStr">
        <is>
          <t>2022-05-14</t>
        </is>
      </c>
      <c r="K869" t="inlineStr">
        <is>
          <t>MIBGAS_Data_2022.xlsx</t>
        </is>
      </c>
      <c r="L869" t="inlineStr">
        <is>
          <t>volumen 174708 MWh</t>
        </is>
      </c>
    </row>
    <row r="870">
      <c r="A870" s="53" t="n">
        <v>44696</v>
      </c>
      <c r="B870" t="inlineStr">
        <is>
          <t>2022-05-15</t>
        </is>
      </c>
      <c r="C870" s="45" t="n">
        <v>73.91</v>
      </c>
      <c r="D870" t="inlineStr">
        <is>
          <t>€/MWh</t>
        </is>
      </c>
      <c r="E870" s="54" t="n">
        <v>0.07391</v>
      </c>
      <c r="F870" s="54" t="n"/>
      <c r="G870" t="inlineStr">
        <is>
          <t>no aplica (precio mayorista)</t>
        </is>
      </c>
      <c r="J870" t="inlineStr">
        <is>
          <t>2022-05-15</t>
        </is>
      </c>
      <c r="K870" t="inlineStr">
        <is>
          <t>MIBGAS_Data_2022.xlsx</t>
        </is>
      </c>
      <c r="L870" t="inlineStr">
        <is>
          <t>volumen 160327 MWh</t>
        </is>
      </c>
    </row>
    <row r="871">
      <c r="A871" s="53" t="n">
        <v>44697</v>
      </c>
      <c r="B871" t="inlineStr">
        <is>
          <t>2022-05-16</t>
        </is>
      </c>
      <c r="C871" s="45" t="n">
        <v>74.06</v>
      </c>
      <c r="D871" t="inlineStr">
        <is>
          <t>€/MWh</t>
        </is>
      </c>
      <c r="E871" s="54" t="n">
        <v>0.07406</v>
      </c>
      <c r="F871" s="54" t="n"/>
      <c r="G871" t="inlineStr">
        <is>
          <t>no aplica (precio mayorista)</t>
        </is>
      </c>
      <c r="J871" t="inlineStr">
        <is>
          <t>2022-05-16</t>
        </is>
      </c>
      <c r="K871" t="inlineStr">
        <is>
          <t>MIBGAS_Data_2022.xlsx</t>
        </is>
      </c>
      <c r="L871" t="inlineStr">
        <is>
          <t>volumen 244619 MWh</t>
        </is>
      </c>
    </row>
    <row r="872">
      <c r="A872" s="53" t="n">
        <v>44698</v>
      </c>
      <c r="B872" t="inlineStr">
        <is>
          <t>2022-05-17</t>
        </is>
      </c>
      <c r="C872" s="45" t="n">
        <v>73.28</v>
      </c>
      <c r="D872" t="inlineStr">
        <is>
          <t>€/MWh</t>
        </is>
      </c>
      <c r="E872" s="54" t="n">
        <v>0.07328</v>
      </c>
      <c r="F872" s="54" t="n"/>
      <c r="G872" t="inlineStr">
        <is>
          <t>no aplica (precio mayorista)</t>
        </is>
      </c>
      <c r="J872" t="inlineStr">
        <is>
          <t>2022-05-17</t>
        </is>
      </c>
      <c r="K872" t="inlineStr">
        <is>
          <t>MIBGAS_Data_2022.xlsx</t>
        </is>
      </c>
      <c r="L872" t="inlineStr">
        <is>
          <t>volumen 183495 MWh</t>
        </is>
      </c>
    </row>
    <row r="873">
      <c r="A873" s="53" t="n">
        <v>44699</v>
      </c>
      <c r="B873" t="inlineStr">
        <is>
          <t>2022-05-18</t>
        </is>
      </c>
      <c r="C873" s="45" t="n">
        <v>73.45</v>
      </c>
      <c r="D873" t="inlineStr">
        <is>
          <t>€/MWh</t>
        </is>
      </c>
      <c r="E873" s="54" t="n">
        <v>0.07345</v>
      </c>
      <c r="F873" s="54" t="n"/>
      <c r="G873" t="inlineStr">
        <is>
          <t>no aplica (precio mayorista)</t>
        </is>
      </c>
      <c r="J873" t="inlineStr">
        <is>
          <t>2022-05-18</t>
        </is>
      </c>
      <c r="K873" t="inlineStr">
        <is>
          <t>MIBGAS_Data_2022.xlsx</t>
        </is>
      </c>
      <c r="L873" t="inlineStr">
        <is>
          <t>volumen 180816 MWh</t>
        </is>
      </c>
    </row>
    <row r="874">
      <c r="A874" s="53" t="n">
        <v>44700</v>
      </c>
      <c r="B874" t="inlineStr">
        <is>
          <t>2022-05-19</t>
        </is>
      </c>
      <c r="C874" s="45" t="n">
        <v>76.02</v>
      </c>
      <c r="D874" t="inlineStr">
        <is>
          <t>€/MWh</t>
        </is>
      </c>
      <c r="E874" s="54" t="n">
        <v>0.07602</v>
      </c>
      <c r="F874" s="54" t="n"/>
      <c r="G874" t="inlineStr">
        <is>
          <t>no aplica (precio mayorista)</t>
        </is>
      </c>
      <c r="J874" t="inlineStr">
        <is>
          <t>2022-05-19</t>
        </is>
      </c>
      <c r="K874" t="inlineStr">
        <is>
          <t>MIBGAS_Data_2022.xlsx</t>
        </is>
      </c>
      <c r="L874" t="inlineStr">
        <is>
          <t>volumen 161168 MWh</t>
        </is>
      </c>
    </row>
    <row r="875">
      <c r="A875" s="53" t="n">
        <v>44701</v>
      </c>
      <c r="B875" t="inlineStr">
        <is>
          <t>2022-05-20</t>
        </is>
      </c>
      <c r="C875" s="45" t="n">
        <v>75.72</v>
      </c>
      <c r="D875" t="inlineStr">
        <is>
          <t>€/MWh</t>
        </is>
      </c>
      <c r="E875" s="54" t="n">
        <v>0.07572</v>
      </c>
      <c r="F875" s="54" t="n"/>
      <c r="G875" t="inlineStr">
        <is>
          <t>no aplica (precio mayorista)</t>
        </is>
      </c>
      <c r="J875" t="inlineStr">
        <is>
          <t>2022-05-20</t>
        </is>
      </c>
      <c r="K875" t="inlineStr">
        <is>
          <t>MIBGAS_Data_2022.xlsx</t>
        </is>
      </c>
      <c r="L875" t="inlineStr">
        <is>
          <t>volumen 167449 MWh</t>
        </is>
      </c>
    </row>
    <row r="876">
      <c r="A876" s="53" t="n">
        <v>44702</v>
      </c>
      <c r="B876" t="inlineStr">
        <is>
          <t>2022-05-21</t>
        </is>
      </c>
      <c r="C876" s="45" t="n">
        <v>72.87</v>
      </c>
      <c r="D876" t="inlineStr">
        <is>
          <t>€/MWh</t>
        </is>
      </c>
      <c r="E876" s="54" t="n">
        <v>0.07287</v>
      </c>
      <c r="F876" s="54" t="n"/>
      <c r="G876" t="inlineStr">
        <is>
          <t>no aplica (precio mayorista)</t>
        </is>
      </c>
      <c r="J876" t="inlineStr">
        <is>
          <t>2022-05-21</t>
        </is>
      </c>
      <c r="K876" t="inlineStr">
        <is>
          <t>MIBGAS_Data_2022.xlsx</t>
        </is>
      </c>
      <c r="L876" t="inlineStr">
        <is>
          <t>volumen 127092 MWh</t>
        </is>
      </c>
    </row>
    <row r="877">
      <c r="A877" s="53" t="n">
        <v>44703</v>
      </c>
      <c r="B877" t="inlineStr">
        <is>
          <t>2022-05-22</t>
        </is>
      </c>
      <c r="C877" s="45" t="n">
        <v>73.06</v>
      </c>
      <c r="D877" t="inlineStr">
        <is>
          <t>€/MWh</t>
        </is>
      </c>
      <c r="E877" s="54" t="n">
        <v>0.07306</v>
      </c>
      <c r="F877" s="54" t="n"/>
      <c r="G877" t="inlineStr">
        <is>
          <t>no aplica (precio mayorista)</t>
        </is>
      </c>
      <c r="J877" t="inlineStr">
        <is>
          <t>2022-05-22</t>
        </is>
      </c>
      <c r="K877" t="inlineStr">
        <is>
          <t>MIBGAS_Data_2022.xlsx</t>
        </is>
      </c>
      <c r="L877" t="inlineStr">
        <is>
          <t>volumen 158982 MWh</t>
        </is>
      </c>
    </row>
    <row r="878">
      <c r="A878" s="53" t="n">
        <v>44704</v>
      </c>
      <c r="B878" t="inlineStr">
        <is>
          <t>2022-05-23</t>
        </is>
      </c>
      <c r="C878" s="45" t="n">
        <v>74.93000000000001</v>
      </c>
      <c r="D878" t="inlineStr">
        <is>
          <t>€/MWh</t>
        </is>
      </c>
      <c r="E878" s="54" t="n">
        <v>0.07493</v>
      </c>
      <c r="F878" s="54" t="n"/>
      <c r="G878" t="inlineStr">
        <is>
          <t>no aplica (precio mayorista)</t>
        </is>
      </c>
      <c r="J878" t="inlineStr">
        <is>
          <t>2022-05-23</t>
        </is>
      </c>
      <c r="K878" t="inlineStr">
        <is>
          <t>MIBGAS_Data_2022.xlsx</t>
        </is>
      </c>
      <c r="L878" t="inlineStr">
        <is>
          <t>volumen 171786 MWh</t>
        </is>
      </c>
    </row>
    <row r="879">
      <c r="A879" s="53" t="n">
        <v>44705</v>
      </c>
      <c r="B879" t="inlineStr">
        <is>
          <t>2022-05-24</t>
        </is>
      </c>
      <c r="C879" s="45" t="n">
        <v>73.47</v>
      </c>
      <c r="D879" t="inlineStr">
        <is>
          <t>€/MWh</t>
        </is>
      </c>
      <c r="E879" s="54" t="n">
        <v>0.07346999999999999</v>
      </c>
      <c r="F879" s="54" t="n"/>
      <c r="G879" t="inlineStr">
        <is>
          <t>no aplica (precio mayorista)</t>
        </is>
      </c>
      <c r="J879" t="inlineStr">
        <is>
          <t>2022-05-24</t>
        </is>
      </c>
      <c r="K879" t="inlineStr">
        <is>
          <t>MIBGAS_Data_2022.xlsx</t>
        </is>
      </c>
      <c r="L879" t="inlineStr">
        <is>
          <t>volumen 171469 MWh</t>
        </is>
      </c>
    </row>
    <row r="880">
      <c r="A880" s="53" t="n">
        <v>44706</v>
      </c>
      <c r="B880" t="inlineStr">
        <is>
          <t>2022-05-25</t>
        </is>
      </c>
      <c r="C880" s="45" t="n">
        <v>75.81999999999999</v>
      </c>
      <c r="D880" t="inlineStr">
        <is>
          <t>€/MWh</t>
        </is>
      </c>
      <c r="E880" s="54" t="n">
        <v>0.07582</v>
      </c>
      <c r="F880" s="54" t="n"/>
      <c r="G880" t="inlineStr">
        <is>
          <t>no aplica (precio mayorista)</t>
        </is>
      </c>
      <c r="J880" t="inlineStr">
        <is>
          <t>2022-05-25</t>
        </is>
      </c>
      <c r="K880" t="inlineStr">
        <is>
          <t>MIBGAS_Data_2022.xlsx</t>
        </is>
      </c>
      <c r="L880" t="inlineStr">
        <is>
          <t>volumen 166269 MWh</t>
        </is>
      </c>
    </row>
    <row r="881">
      <c r="A881" s="53" t="n">
        <v>44707</v>
      </c>
      <c r="B881" t="inlineStr">
        <is>
          <t>2022-05-26</t>
        </is>
      </c>
      <c r="C881" s="45" t="n">
        <v>75.58</v>
      </c>
      <c r="D881" t="inlineStr">
        <is>
          <t>€/MWh</t>
        </is>
      </c>
      <c r="E881" s="54" t="n">
        <v>0.07557999999999999</v>
      </c>
      <c r="F881" s="54" t="n"/>
      <c r="G881" t="inlineStr">
        <is>
          <t>no aplica (precio mayorista)</t>
        </is>
      </c>
      <c r="J881" t="inlineStr">
        <is>
          <t>2022-05-26</t>
        </is>
      </c>
      <c r="K881" t="inlineStr">
        <is>
          <t>MIBGAS_Data_2022.xlsx</t>
        </is>
      </c>
      <c r="L881" t="inlineStr">
        <is>
          <t>volumen 152731 MWh</t>
        </is>
      </c>
    </row>
    <row r="882">
      <c r="A882" s="53" t="n">
        <v>44708</v>
      </c>
      <c r="B882" t="inlineStr">
        <is>
          <t>2022-05-27</t>
        </is>
      </c>
      <c r="C882" s="45" t="n">
        <v>72.03</v>
      </c>
      <c r="D882" t="inlineStr">
        <is>
          <t>€/MWh</t>
        </is>
      </c>
      <c r="E882" s="54" t="n">
        <v>0.07203</v>
      </c>
      <c r="F882" s="54" t="n"/>
      <c r="G882" t="inlineStr">
        <is>
          <t>no aplica (precio mayorista)</t>
        </is>
      </c>
      <c r="J882" t="inlineStr">
        <is>
          <t>2022-05-27</t>
        </is>
      </c>
      <c r="K882" t="inlineStr">
        <is>
          <t>MIBGAS_Data_2022.xlsx</t>
        </is>
      </c>
      <c r="L882" t="inlineStr">
        <is>
          <t>volumen 241284 MWh</t>
        </is>
      </c>
    </row>
    <row r="883">
      <c r="A883" s="53" t="n">
        <v>44709</v>
      </c>
      <c r="B883" t="inlineStr">
        <is>
          <t>2022-05-28</t>
        </is>
      </c>
      <c r="C883" s="45" t="n">
        <v>71.56999999999999</v>
      </c>
      <c r="D883" t="inlineStr">
        <is>
          <t>€/MWh</t>
        </is>
      </c>
      <c r="E883" s="54" t="n">
        <v>0.07156999999999999</v>
      </c>
      <c r="F883" s="54" t="n"/>
      <c r="G883" t="inlineStr">
        <is>
          <t>no aplica (precio mayorista)</t>
        </is>
      </c>
      <c r="J883" t="inlineStr">
        <is>
          <t>2022-05-28</t>
        </is>
      </c>
      <c r="K883" t="inlineStr">
        <is>
          <t>MIBGAS_Data_2022.xlsx</t>
        </is>
      </c>
      <c r="L883" t="inlineStr">
        <is>
          <t>volumen 164526 MWh</t>
        </is>
      </c>
    </row>
    <row r="884">
      <c r="A884" s="53" t="n">
        <v>44710</v>
      </c>
      <c r="B884" t="inlineStr">
        <is>
          <t>2022-05-29</t>
        </is>
      </c>
      <c r="C884" s="45" t="n">
        <v>72.18000000000001</v>
      </c>
      <c r="D884" t="inlineStr">
        <is>
          <t>€/MWh</t>
        </is>
      </c>
      <c r="E884" s="54" t="n">
        <v>0.07217999999999999</v>
      </c>
      <c r="F884" s="54" t="n"/>
      <c r="G884" t="inlineStr">
        <is>
          <t>no aplica (precio mayorista)</t>
        </is>
      </c>
      <c r="J884" t="inlineStr">
        <is>
          <t>2022-05-29</t>
        </is>
      </c>
      <c r="K884" t="inlineStr">
        <is>
          <t>MIBGAS_Data_2022.xlsx</t>
        </is>
      </c>
      <c r="L884" t="inlineStr">
        <is>
          <t>volumen 175225 MWh</t>
        </is>
      </c>
    </row>
    <row r="885">
      <c r="A885" s="53" t="n">
        <v>44711</v>
      </c>
      <c r="B885" t="inlineStr">
        <is>
          <t>2022-05-30</t>
        </is>
      </c>
      <c r="C885" s="45" t="n">
        <v>75.97</v>
      </c>
      <c r="D885" t="inlineStr">
        <is>
          <t>€/MWh</t>
        </is>
      </c>
      <c r="E885" s="54" t="n">
        <v>0.07597</v>
      </c>
      <c r="F885" s="54" t="n"/>
      <c r="G885" t="inlineStr">
        <is>
          <t>no aplica (precio mayorista)</t>
        </is>
      </c>
      <c r="J885" t="inlineStr">
        <is>
          <t>2022-05-30</t>
        </is>
      </c>
      <c r="K885" t="inlineStr">
        <is>
          <t>MIBGAS_Data_2022.xlsx</t>
        </is>
      </c>
      <c r="L885" t="inlineStr">
        <is>
          <t>volumen 226636 MWh</t>
        </is>
      </c>
    </row>
    <row r="886">
      <c r="A886" s="53" t="n">
        <v>44712</v>
      </c>
      <c r="B886" t="inlineStr">
        <is>
          <t>2022-05-31</t>
        </is>
      </c>
      <c r="C886" s="45" t="n">
        <v>80.06999999999999</v>
      </c>
      <c r="D886" t="inlineStr">
        <is>
          <t>€/MWh</t>
        </is>
      </c>
      <c r="E886" s="54" t="n">
        <v>0.08007</v>
      </c>
      <c r="F886" s="54" t="n"/>
      <c r="G886" t="inlineStr">
        <is>
          <t>no aplica (precio mayorista)</t>
        </is>
      </c>
      <c r="J886" t="inlineStr">
        <is>
          <t>2022-05-31</t>
        </is>
      </c>
      <c r="K886" t="inlineStr">
        <is>
          <t>MIBGAS_Data_2022.xlsx</t>
        </is>
      </c>
      <c r="L886" t="inlineStr">
        <is>
          <t>volumen 206059 MWh</t>
        </is>
      </c>
    </row>
    <row r="887">
      <c r="A887" s="53" t="n">
        <v>44713</v>
      </c>
      <c r="B887" t="inlineStr">
        <is>
          <t>2022-06-01</t>
        </is>
      </c>
      <c r="C887" s="45" t="n">
        <v>81.13</v>
      </c>
      <c r="D887" t="inlineStr">
        <is>
          <t>€/MWh</t>
        </is>
      </c>
      <c r="E887" s="54" t="n">
        <v>0.08112999999999999</v>
      </c>
      <c r="F887" s="54" t="n"/>
      <c r="G887" t="inlineStr">
        <is>
          <t>no aplica (precio mayorista)</t>
        </is>
      </c>
      <c r="J887" t="inlineStr">
        <is>
          <t>2022-06-01</t>
        </is>
      </c>
      <c r="K887" t="inlineStr">
        <is>
          <t>MIBGAS_Data_2022.xlsx</t>
        </is>
      </c>
      <c r="L887" t="inlineStr">
        <is>
          <t>volumen 225255 MWh</t>
        </is>
      </c>
    </row>
    <row r="888">
      <c r="A888" s="53" t="n">
        <v>44714</v>
      </c>
      <c r="B888" t="inlineStr">
        <is>
          <t>2022-06-02</t>
        </is>
      </c>
      <c r="C888" s="45" t="n">
        <v>77.3</v>
      </c>
      <c r="D888" t="inlineStr">
        <is>
          <t>€/MWh</t>
        </is>
      </c>
      <c r="E888" s="54" t="n">
        <v>0.07729999999999999</v>
      </c>
      <c r="F888" s="54" t="n"/>
      <c r="G888" t="inlineStr">
        <is>
          <t>no aplica (precio mayorista)</t>
        </is>
      </c>
      <c r="J888" t="inlineStr">
        <is>
          <t>2022-06-02</t>
        </is>
      </c>
      <c r="K888" t="inlineStr">
        <is>
          <t>MIBGAS_Data_2022.xlsx</t>
        </is>
      </c>
      <c r="L888" t="inlineStr">
        <is>
          <t>volumen 215287 MWh</t>
        </is>
      </c>
    </row>
    <row r="889">
      <c r="A889" s="53" t="n">
        <v>44715</v>
      </c>
      <c r="B889" t="inlineStr">
        <is>
          <t>2022-06-03</t>
        </is>
      </c>
      <c r="C889" s="45" t="n">
        <v>77.3</v>
      </c>
      <c r="D889" t="inlineStr">
        <is>
          <t>€/MWh</t>
        </is>
      </c>
      <c r="E889" s="54" t="n">
        <v>0.07729999999999999</v>
      </c>
      <c r="F889" s="54" t="n"/>
      <c r="G889" t="inlineStr">
        <is>
          <t>no aplica (precio mayorista)</t>
        </is>
      </c>
      <c r="J889" t="inlineStr">
        <is>
          <t>2022-06-03</t>
        </is>
      </c>
      <c r="K889" t="inlineStr">
        <is>
          <t>MIBGAS_Data_2022.xlsx</t>
        </is>
      </c>
      <c r="L889" t="inlineStr">
        <is>
          <t>volumen 237435 MWh</t>
        </is>
      </c>
    </row>
    <row r="890">
      <c r="A890" s="53" t="n">
        <v>44716</v>
      </c>
      <c r="B890" t="inlineStr">
        <is>
          <t>2022-06-04</t>
        </is>
      </c>
      <c r="C890" s="45" t="n">
        <v>75.53</v>
      </c>
      <c r="D890" t="inlineStr">
        <is>
          <t>€/MWh</t>
        </is>
      </c>
      <c r="E890" s="54" t="n">
        <v>0.07553</v>
      </c>
      <c r="F890" s="54" t="n"/>
      <c r="G890" t="inlineStr">
        <is>
          <t>no aplica (precio mayorista)</t>
        </is>
      </c>
      <c r="J890" t="inlineStr">
        <is>
          <t>2022-06-04</t>
        </is>
      </c>
      <c r="K890" t="inlineStr">
        <is>
          <t>MIBGAS_Data_2022.xlsx</t>
        </is>
      </c>
      <c r="L890" t="inlineStr">
        <is>
          <t>volumen 181387 MWh</t>
        </is>
      </c>
    </row>
    <row r="891">
      <c r="A891" s="53" t="n">
        <v>44717</v>
      </c>
      <c r="B891" t="inlineStr">
        <is>
          <t>2022-06-05</t>
        </is>
      </c>
      <c r="C891" s="45" t="n">
        <v>76.06999999999999</v>
      </c>
      <c r="D891" t="inlineStr">
        <is>
          <t>€/MWh</t>
        </is>
      </c>
      <c r="E891" s="54" t="n">
        <v>0.07607</v>
      </c>
      <c r="F891" s="54" t="n"/>
      <c r="G891" t="inlineStr">
        <is>
          <t>no aplica (precio mayorista)</t>
        </is>
      </c>
      <c r="J891" t="inlineStr">
        <is>
          <t>2022-06-05</t>
        </is>
      </c>
      <c r="K891" t="inlineStr">
        <is>
          <t>MIBGAS_Data_2022.xlsx</t>
        </is>
      </c>
      <c r="L891" t="inlineStr">
        <is>
          <t>volumen 203462 MWh</t>
        </is>
      </c>
    </row>
    <row r="892">
      <c r="A892" s="53" t="n">
        <v>44718</v>
      </c>
      <c r="B892" t="inlineStr">
        <is>
          <t>2022-06-06</t>
        </is>
      </c>
      <c r="C892" s="45" t="n">
        <v>74.84999999999999</v>
      </c>
      <c r="D892" t="inlineStr">
        <is>
          <t>€/MWh</t>
        </is>
      </c>
      <c r="E892" s="54" t="n">
        <v>0.07485</v>
      </c>
      <c r="F892" s="54" t="n"/>
      <c r="G892" t="inlineStr">
        <is>
          <t>no aplica (precio mayorista)</t>
        </is>
      </c>
      <c r="J892" t="inlineStr">
        <is>
          <t>2022-06-06</t>
        </is>
      </c>
      <c r="K892" t="inlineStr">
        <is>
          <t>MIBGAS_Data_2022.xlsx</t>
        </is>
      </c>
      <c r="L892" t="inlineStr">
        <is>
          <t>volumen 246104 MWh</t>
        </is>
      </c>
    </row>
    <row r="893">
      <c r="A893" s="53" t="n">
        <v>44719</v>
      </c>
      <c r="B893" t="inlineStr">
        <is>
          <t>2022-06-07</t>
        </is>
      </c>
      <c r="C893" s="45" t="n">
        <v>73.64</v>
      </c>
      <c r="D893" t="inlineStr">
        <is>
          <t>€/MWh</t>
        </is>
      </c>
      <c r="E893" s="54" t="n">
        <v>0.07364</v>
      </c>
      <c r="F893" s="54" t="n"/>
      <c r="G893" t="inlineStr">
        <is>
          <t>no aplica (precio mayorista)</t>
        </is>
      </c>
      <c r="J893" t="inlineStr">
        <is>
          <t>2022-06-07</t>
        </is>
      </c>
      <c r="K893" t="inlineStr">
        <is>
          <t>MIBGAS_Data_2022.xlsx</t>
        </is>
      </c>
      <c r="L893" t="inlineStr">
        <is>
          <t>volumen 234889 MWh</t>
        </is>
      </c>
    </row>
    <row r="894">
      <c r="A894" s="53" t="n">
        <v>44720</v>
      </c>
      <c r="B894" t="inlineStr">
        <is>
          <t>2022-06-08</t>
        </is>
      </c>
      <c r="C894" s="45" t="n">
        <v>71.75</v>
      </c>
      <c r="D894" t="inlineStr">
        <is>
          <t>€/MWh</t>
        </is>
      </c>
      <c r="E894" s="54" t="n">
        <v>0.07174999999999999</v>
      </c>
      <c r="F894" s="54" t="n"/>
      <c r="G894" t="inlineStr">
        <is>
          <t>no aplica (precio mayorista)</t>
        </is>
      </c>
      <c r="J894" t="inlineStr">
        <is>
          <t>2022-06-08</t>
        </is>
      </c>
      <c r="K894" t="inlineStr">
        <is>
          <t>MIBGAS_Data_2022.xlsx</t>
        </is>
      </c>
      <c r="L894" t="inlineStr">
        <is>
          <t>volumen 247324 MWh</t>
        </is>
      </c>
    </row>
    <row r="895">
      <c r="A895" s="53" t="n">
        <v>44721</v>
      </c>
      <c r="B895" t="inlineStr">
        <is>
          <t>2022-06-09</t>
        </is>
      </c>
      <c r="C895" s="45" t="n">
        <v>74.11</v>
      </c>
      <c r="D895" t="inlineStr">
        <is>
          <t>€/MWh</t>
        </is>
      </c>
      <c r="E895" s="54" t="n">
        <v>0.07411</v>
      </c>
      <c r="F895" s="54" t="n"/>
      <c r="G895" t="inlineStr">
        <is>
          <t>no aplica (precio mayorista)</t>
        </is>
      </c>
      <c r="J895" t="inlineStr">
        <is>
          <t>2022-06-09</t>
        </is>
      </c>
      <c r="K895" t="inlineStr">
        <is>
          <t>MIBGAS_Data_2022.xlsx</t>
        </is>
      </c>
      <c r="L895" t="inlineStr">
        <is>
          <t>volumen 240095 MWh</t>
        </is>
      </c>
    </row>
    <row r="896">
      <c r="A896" s="53" t="n">
        <v>44722</v>
      </c>
      <c r="B896" t="inlineStr">
        <is>
          <t>2022-06-10</t>
        </is>
      </c>
      <c r="C896" s="45" t="n">
        <v>78.97</v>
      </c>
      <c r="D896" t="inlineStr">
        <is>
          <t>€/MWh</t>
        </is>
      </c>
      <c r="E896" s="54" t="n">
        <v>0.07897</v>
      </c>
      <c r="F896" s="54" t="n"/>
      <c r="G896" t="inlineStr">
        <is>
          <t>no aplica (precio mayorista)</t>
        </is>
      </c>
      <c r="J896" t="inlineStr">
        <is>
          <t>2022-06-10</t>
        </is>
      </c>
      <c r="K896" t="inlineStr">
        <is>
          <t>MIBGAS_Data_2022.xlsx</t>
        </is>
      </c>
      <c r="L896" t="inlineStr">
        <is>
          <t>volumen 227828 MWh</t>
        </is>
      </c>
    </row>
    <row r="897">
      <c r="A897" s="53" t="n">
        <v>44723</v>
      </c>
      <c r="B897" t="inlineStr">
        <is>
          <t>2022-06-11</t>
        </is>
      </c>
      <c r="C897" s="45" t="n">
        <v>77.23</v>
      </c>
      <c r="D897" t="inlineStr">
        <is>
          <t>€/MWh</t>
        </is>
      </c>
      <c r="E897" s="54" t="n">
        <v>0.07722999999999999</v>
      </c>
      <c r="F897" s="54" t="n"/>
      <c r="G897" t="inlineStr">
        <is>
          <t>no aplica (precio mayorista)</t>
        </is>
      </c>
      <c r="J897" t="inlineStr">
        <is>
          <t>2022-06-11</t>
        </is>
      </c>
      <c r="K897" t="inlineStr">
        <is>
          <t>MIBGAS_Data_2022.xlsx</t>
        </is>
      </c>
      <c r="L897" t="inlineStr">
        <is>
          <t>volumen 198297 MWh</t>
        </is>
      </c>
    </row>
    <row r="898">
      <c r="A898" s="53" t="n">
        <v>44724</v>
      </c>
      <c r="B898" t="inlineStr">
        <is>
          <t>2022-06-12</t>
        </is>
      </c>
      <c r="C898" s="45" t="n">
        <v>77.12</v>
      </c>
      <c r="D898" t="inlineStr">
        <is>
          <t>€/MWh</t>
        </is>
      </c>
      <c r="E898" s="54" t="n">
        <v>0.07711999999999999</v>
      </c>
      <c r="F898" s="54" t="n"/>
      <c r="G898" t="inlineStr">
        <is>
          <t>no aplica (precio mayorista)</t>
        </is>
      </c>
      <c r="J898" t="inlineStr">
        <is>
          <t>2022-06-12</t>
        </is>
      </c>
      <c r="K898" t="inlineStr">
        <is>
          <t>MIBGAS_Data_2022.xlsx</t>
        </is>
      </c>
      <c r="L898" t="inlineStr">
        <is>
          <t>volumen 194940 MWh</t>
        </is>
      </c>
    </row>
    <row r="899">
      <c r="A899" s="53" t="n">
        <v>44725</v>
      </c>
      <c r="B899" t="inlineStr">
        <is>
          <t>2022-06-13</t>
        </is>
      </c>
      <c r="C899" s="45" t="n">
        <v>78.81999999999999</v>
      </c>
      <c r="D899" t="inlineStr">
        <is>
          <t>€/MWh</t>
        </is>
      </c>
      <c r="E899" s="54" t="n">
        <v>0.07882</v>
      </c>
      <c r="F899" s="54" t="n"/>
      <c r="G899" t="inlineStr">
        <is>
          <t>no aplica (precio mayorista)</t>
        </is>
      </c>
      <c r="J899" t="inlineStr">
        <is>
          <t>2022-06-13</t>
        </is>
      </c>
      <c r="K899" t="inlineStr">
        <is>
          <t>MIBGAS_Data_2022.xlsx</t>
        </is>
      </c>
      <c r="L899" t="inlineStr">
        <is>
          <t>volumen 308926 MWh</t>
        </is>
      </c>
    </row>
    <row r="900">
      <c r="A900" s="53" t="n">
        <v>44726</v>
      </c>
      <c r="B900" t="inlineStr">
        <is>
          <t>2022-06-14</t>
        </is>
      </c>
      <c r="C900" s="45" t="n">
        <v>82.27</v>
      </c>
      <c r="D900" t="inlineStr">
        <is>
          <t>€/MWh</t>
        </is>
      </c>
      <c r="E900" s="54" t="n">
        <v>0.08227</v>
      </c>
      <c r="F900" s="54" t="n"/>
      <c r="G900" t="inlineStr">
        <is>
          <t>no aplica (precio mayorista)</t>
        </is>
      </c>
      <c r="J900" t="inlineStr">
        <is>
          <t>2022-06-14</t>
        </is>
      </c>
      <c r="K900" t="inlineStr">
        <is>
          <t>MIBGAS_Data_2022.xlsx</t>
        </is>
      </c>
      <c r="L900" t="inlineStr">
        <is>
          <t>volumen 300670 MWh</t>
        </is>
      </c>
    </row>
    <row r="901">
      <c r="A901" s="53" t="n">
        <v>44727</v>
      </c>
      <c r="B901" t="inlineStr">
        <is>
          <t>2022-06-15</t>
        </is>
      </c>
      <c r="C901" s="45" t="n">
        <v>92.27</v>
      </c>
      <c r="D901" t="inlineStr">
        <is>
          <t>€/MWh</t>
        </is>
      </c>
      <c r="E901" s="54" t="n">
        <v>0.09227</v>
      </c>
      <c r="F901" s="54" t="n"/>
      <c r="G901" t="inlineStr">
        <is>
          <t>no aplica (precio mayorista)</t>
        </is>
      </c>
      <c r="J901" t="inlineStr">
        <is>
          <t>2022-06-15</t>
        </is>
      </c>
      <c r="K901" t="inlineStr">
        <is>
          <t>MIBGAS_Data_2022.xlsx</t>
        </is>
      </c>
      <c r="L901" t="inlineStr">
        <is>
          <t>volumen 384353 MWh</t>
        </is>
      </c>
    </row>
    <row r="902">
      <c r="A902" s="53" t="n">
        <v>44728</v>
      </c>
      <c r="B902" t="inlineStr">
        <is>
          <t>2022-06-16</t>
        </is>
      </c>
      <c r="C902" s="45" t="n">
        <v>105.24</v>
      </c>
      <c r="D902" t="inlineStr">
        <is>
          <t>€/MWh</t>
        </is>
      </c>
      <c r="E902" s="54" t="n">
        <v>0.10524</v>
      </c>
      <c r="F902" s="54" t="n"/>
      <c r="G902" t="inlineStr">
        <is>
          <t>no aplica (precio mayorista)</t>
        </is>
      </c>
      <c r="J902" t="inlineStr">
        <is>
          <t>2022-06-16</t>
        </is>
      </c>
      <c r="K902" t="inlineStr">
        <is>
          <t>MIBGAS_Data_2022.xlsx</t>
        </is>
      </c>
      <c r="L902" t="inlineStr">
        <is>
          <t>volumen 480774 MWh</t>
        </is>
      </c>
    </row>
    <row r="903">
      <c r="A903" s="53" t="n">
        <v>44729</v>
      </c>
      <c r="B903" t="inlineStr">
        <is>
          <t>2022-06-17</t>
        </is>
      </c>
      <c r="C903" s="45" t="n">
        <v>117.26</v>
      </c>
      <c r="D903" t="inlineStr">
        <is>
          <t>€/MWh</t>
        </is>
      </c>
      <c r="E903" s="54" t="n">
        <v>0.11726</v>
      </c>
      <c r="F903" s="54" t="n"/>
      <c r="G903" t="inlineStr">
        <is>
          <t>no aplica (precio mayorista)</t>
        </is>
      </c>
      <c r="J903" t="inlineStr">
        <is>
          <t>2022-06-17</t>
        </is>
      </c>
      <c r="K903" t="inlineStr">
        <is>
          <t>MIBGAS_Data_2022.xlsx</t>
        </is>
      </c>
      <c r="L903" t="inlineStr">
        <is>
          <t>volumen 363475 MWh</t>
        </is>
      </c>
    </row>
    <row r="904">
      <c r="A904" s="53" t="n">
        <v>44730</v>
      </c>
      <c r="B904" t="inlineStr">
        <is>
          <t>2022-06-18</t>
        </is>
      </c>
      <c r="C904" s="45" t="n">
        <v>106.8</v>
      </c>
      <c r="D904" t="inlineStr">
        <is>
          <t>€/MWh</t>
        </is>
      </c>
      <c r="E904" s="54" t="n">
        <v>0.1068</v>
      </c>
      <c r="F904" s="54" t="n"/>
      <c r="G904" t="inlineStr">
        <is>
          <t>no aplica (precio mayorista)</t>
        </is>
      </c>
      <c r="J904" t="inlineStr">
        <is>
          <t>2022-06-18</t>
        </is>
      </c>
      <c r="K904" t="inlineStr">
        <is>
          <t>MIBGAS_Data_2022.xlsx</t>
        </is>
      </c>
      <c r="L904" t="inlineStr">
        <is>
          <t>volumen 326884 MWh</t>
        </is>
      </c>
    </row>
    <row r="905">
      <c r="A905" s="53" t="n">
        <v>44731</v>
      </c>
      <c r="B905" t="inlineStr">
        <is>
          <t>2022-06-19</t>
        </is>
      </c>
      <c r="C905" s="45" t="n">
        <v>107.36</v>
      </c>
      <c r="D905" t="inlineStr">
        <is>
          <t>€/MWh</t>
        </is>
      </c>
      <c r="E905" s="54" t="n">
        <v>0.10736</v>
      </c>
      <c r="F905" s="54" t="n"/>
      <c r="G905" t="inlineStr">
        <is>
          <t>no aplica (precio mayorista)</t>
        </is>
      </c>
      <c r="J905" t="inlineStr">
        <is>
          <t>2022-06-19</t>
        </is>
      </c>
      <c r="K905" t="inlineStr">
        <is>
          <t>MIBGAS_Data_2022.xlsx</t>
        </is>
      </c>
      <c r="L905" t="inlineStr">
        <is>
          <t>volumen 237206 MWh</t>
        </is>
      </c>
    </row>
    <row r="906">
      <c r="A906" s="53" t="n">
        <v>44732</v>
      </c>
      <c r="B906" t="inlineStr">
        <is>
          <t>2022-06-20</t>
        </is>
      </c>
      <c r="C906" s="45" t="n">
        <v>113.44</v>
      </c>
      <c r="D906" t="inlineStr">
        <is>
          <t>€/MWh</t>
        </is>
      </c>
      <c r="E906" s="54" t="n">
        <v>0.11344</v>
      </c>
      <c r="F906" s="54" t="n"/>
      <c r="G906" t="inlineStr">
        <is>
          <t>no aplica (precio mayorista)</t>
        </is>
      </c>
      <c r="J906" t="inlineStr">
        <is>
          <t>2022-06-20</t>
        </is>
      </c>
      <c r="K906" t="inlineStr">
        <is>
          <t>MIBGAS_Data_2022.xlsx</t>
        </is>
      </c>
      <c r="L906" t="inlineStr">
        <is>
          <t>volumen 327793 MWh</t>
        </is>
      </c>
    </row>
    <row r="907">
      <c r="A907" s="53" t="n">
        <v>44733</v>
      </c>
      <c r="B907" t="inlineStr">
        <is>
          <t>2022-06-21</t>
        </is>
      </c>
      <c r="C907" s="45" t="n">
        <v>115.89</v>
      </c>
      <c r="D907" t="inlineStr">
        <is>
          <t>€/MWh</t>
        </is>
      </c>
      <c r="E907" s="54" t="n">
        <v>0.11589</v>
      </c>
      <c r="F907" s="54" t="n"/>
      <c r="G907" t="inlineStr">
        <is>
          <t>no aplica (precio mayorista)</t>
        </is>
      </c>
      <c r="J907" t="inlineStr">
        <is>
          <t>2022-06-21</t>
        </is>
      </c>
      <c r="K907" t="inlineStr">
        <is>
          <t>MIBGAS_Data_2022.xlsx</t>
        </is>
      </c>
      <c r="L907" t="inlineStr">
        <is>
          <t>volumen 352856 MWh</t>
        </is>
      </c>
    </row>
    <row r="908">
      <c r="A908" s="53" t="n">
        <v>44734</v>
      </c>
      <c r="B908" t="inlineStr">
        <is>
          <t>2022-06-22</t>
        </is>
      </c>
      <c r="C908" s="45" t="n">
        <v>116.77</v>
      </c>
      <c r="D908" t="inlineStr">
        <is>
          <t>€/MWh</t>
        </is>
      </c>
      <c r="E908" s="54" t="n">
        <v>0.11677</v>
      </c>
      <c r="F908" s="54" t="n"/>
      <c r="G908" t="inlineStr">
        <is>
          <t>no aplica (precio mayorista)</t>
        </is>
      </c>
      <c r="J908" t="inlineStr">
        <is>
          <t>2022-06-22</t>
        </is>
      </c>
      <c r="K908" t="inlineStr">
        <is>
          <t>MIBGAS_Data_2022.xlsx</t>
        </is>
      </c>
      <c r="L908" t="inlineStr">
        <is>
          <t>volumen 389178 MWh</t>
        </is>
      </c>
    </row>
    <row r="909">
      <c r="A909" s="53" t="n">
        <v>44735</v>
      </c>
      <c r="B909" t="inlineStr">
        <is>
          <t>2022-06-23</t>
        </is>
      </c>
      <c r="C909" s="45" t="n">
        <v>118.83</v>
      </c>
      <c r="D909" t="inlineStr">
        <is>
          <t>€/MWh</t>
        </is>
      </c>
      <c r="E909" s="54" t="n">
        <v>0.11883</v>
      </c>
      <c r="F909" s="54" t="n"/>
      <c r="G909" t="inlineStr">
        <is>
          <t>no aplica (precio mayorista)</t>
        </is>
      </c>
      <c r="J909" t="inlineStr">
        <is>
          <t>2022-06-23</t>
        </is>
      </c>
      <c r="K909" t="inlineStr">
        <is>
          <t>MIBGAS_Data_2022.xlsx</t>
        </is>
      </c>
      <c r="L909" t="inlineStr">
        <is>
          <t>volumen 310202 MWh</t>
        </is>
      </c>
    </row>
    <row r="910">
      <c r="A910" s="53" t="n">
        <v>44736</v>
      </c>
      <c r="B910" t="inlineStr">
        <is>
          <t>2022-06-24</t>
        </is>
      </c>
      <c r="C910" s="45" t="n">
        <v>118.01</v>
      </c>
      <c r="D910" t="inlineStr">
        <is>
          <t>€/MWh</t>
        </is>
      </c>
      <c r="E910" s="54" t="n">
        <v>0.11801</v>
      </c>
      <c r="F910" s="54" t="n"/>
      <c r="G910" t="inlineStr">
        <is>
          <t>no aplica (precio mayorista)</t>
        </is>
      </c>
      <c r="J910" t="inlineStr">
        <is>
          <t>2022-06-24</t>
        </is>
      </c>
      <c r="K910" t="inlineStr">
        <is>
          <t>MIBGAS_Data_2022.xlsx</t>
        </is>
      </c>
      <c r="L910" t="inlineStr">
        <is>
          <t>volumen 379156 MWh</t>
        </is>
      </c>
    </row>
    <row r="911">
      <c r="A911" s="53" t="n">
        <v>44737</v>
      </c>
      <c r="B911" t="inlineStr">
        <is>
          <t>2022-06-25</t>
        </is>
      </c>
      <c r="C911" s="45" t="n">
        <v>115.79</v>
      </c>
      <c r="D911" t="inlineStr">
        <is>
          <t>€/MWh</t>
        </is>
      </c>
      <c r="E911" s="54" t="n">
        <v>0.11579</v>
      </c>
      <c r="F911" s="54" t="n"/>
      <c r="G911" t="inlineStr">
        <is>
          <t>no aplica (precio mayorista)</t>
        </is>
      </c>
      <c r="J911" t="inlineStr">
        <is>
          <t>2022-06-25</t>
        </is>
      </c>
      <c r="K911" t="inlineStr">
        <is>
          <t>MIBGAS_Data_2022.xlsx</t>
        </is>
      </c>
      <c r="L911" t="inlineStr">
        <is>
          <t>volumen 241483 MWh</t>
        </is>
      </c>
    </row>
    <row r="912">
      <c r="A912" s="53" t="n">
        <v>44738</v>
      </c>
      <c r="B912" t="inlineStr">
        <is>
          <t>2022-06-26</t>
        </is>
      </c>
      <c r="C912" s="45" t="n">
        <v>116.14</v>
      </c>
      <c r="D912" t="inlineStr">
        <is>
          <t>€/MWh</t>
        </is>
      </c>
      <c r="E912" s="54" t="n">
        <v>0.11614</v>
      </c>
      <c r="F912" s="54" t="n"/>
      <c r="G912" t="inlineStr">
        <is>
          <t>no aplica (precio mayorista)</t>
        </is>
      </c>
      <c r="J912" t="inlineStr">
        <is>
          <t>2022-06-26</t>
        </is>
      </c>
      <c r="K912" t="inlineStr">
        <is>
          <t>MIBGAS_Data_2022.xlsx</t>
        </is>
      </c>
      <c r="L912" t="inlineStr">
        <is>
          <t>volumen 178911 MWh</t>
        </is>
      </c>
    </row>
    <row r="913">
      <c r="A913" s="53" t="n">
        <v>44739</v>
      </c>
      <c r="B913" t="inlineStr">
        <is>
          <t>2022-06-27</t>
        </is>
      </c>
      <c r="C913" s="45" t="n">
        <v>118.59</v>
      </c>
      <c r="D913" t="inlineStr">
        <is>
          <t>€/MWh</t>
        </is>
      </c>
      <c r="E913" s="54" t="n">
        <v>0.11859</v>
      </c>
      <c r="F913" s="54" t="n"/>
      <c r="G913" t="inlineStr">
        <is>
          <t>no aplica (precio mayorista)</t>
        </is>
      </c>
      <c r="J913" t="inlineStr">
        <is>
          <t>2022-06-27</t>
        </is>
      </c>
      <c r="K913" t="inlineStr">
        <is>
          <t>MIBGAS_Data_2022.xlsx</t>
        </is>
      </c>
      <c r="L913" t="inlineStr">
        <is>
          <t>volumen 248269 MWh</t>
        </is>
      </c>
    </row>
    <row r="914">
      <c r="A914" s="53" t="n">
        <v>44740</v>
      </c>
      <c r="B914" t="inlineStr">
        <is>
          <t>2022-06-28</t>
        </is>
      </c>
      <c r="C914" s="45" t="n">
        <v>119.4</v>
      </c>
      <c r="D914" t="inlineStr">
        <is>
          <t>€/MWh</t>
        </is>
      </c>
      <c r="E914" s="54" t="n">
        <v>0.1194</v>
      </c>
      <c r="F914" s="54" t="n"/>
      <c r="G914" t="inlineStr">
        <is>
          <t>no aplica (precio mayorista)</t>
        </is>
      </c>
      <c r="J914" t="inlineStr">
        <is>
          <t>2022-06-28</t>
        </is>
      </c>
      <c r="K914" t="inlineStr">
        <is>
          <t>MIBGAS_Data_2022.xlsx</t>
        </is>
      </c>
      <c r="L914" t="inlineStr">
        <is>
          <t>volumen 294111 MWh</t>
        </is>
      </c>
    </row>
    <row r="915">
      <c r="A915" s="53" t="n">
        <v>44741</v>
      </c>
      <c r="B915" t="inlineStr">
        <is>
          <t>2022-06-29</t>
        </is>
      </c>
      <c r="C915" s="45" t="n">
        <v>115.15</v>
      </c>
      <c r="D915" t="inlineStr">
        <is>
          <t>€/MWh</t>
        </is>
      </c>
      <c r="E915" s="54" t="n">
        <v>0.11515</v>
      </c>
      <c r="F915" s="54" t="n"/>
      <c r="G915" t="inlineStr">
        <is>
          <t>no aplica (precio mayorista)</t>
        </is>
      </c>
      <c r="J915" t="inlineStr">
        <is>
          <t>2022-06-29</t>
        </is>
      </c>
      <c r="K915" t="inlineStr">
        <is>
          <t>MIBGAS_Data_2022.xlsx</t>
        </is>
      </c>
      <c r="L915" t="inlineStr">
        <is>
          <t>volumen 373964 MWh</t>
        </is>
      </c>
    </row>
    <row r="916">
      <c r="A916" s="53" t="n">
        <v>44742</v>
      </c>
      <c r="B916" t="inlineStr">
        <is>
          <t>2022-06-30</t>
        </is>
      </c>
      <c r="C916" s="45" t="n">
        <v>119.37</v>
      </c>
      <c r="D916" t="inlineStr">
        <is>
          <t>€/MWh</t>
        </is>
      </c>
      <c r="E916" s="54" t="n">
        <v>0.11937</v>
      </c>
      <c r="F916" s="54" t="n"/>
      <c r="G916" t="inlineStr">
        <is>
          <t>no aplica (precio mayorista)</t>
        </is>
      </c>
      <c r="J916" t="inlineStr">
        <is>
          <t>2022-06-30</t>
        </is>
      </c>
      <c r="K916" t="inlineStr">
        <is>
          <t>MIBGAS_Data_2022.xlsx</t>
        </is>
      </c>
      <c r="L916" t="inlineStr">
        <is>
          <t>volumen 308483 MWh</t>
        </is>
      </c>
    </row>
    <row r="917">
      <c r="A917" s="53" t="n">
        <v>44743</v>
      </c>
      <c r="B917" t="inlineStr">
        <is>
          <t>2022-07-01</t>
        </is>
      </c>
      <c r="C917" s="45" t="n">
        <v>124.31</v>
      </c>
      <c r="D917" t="inlineStr">
        <is>
          <t>€/MWh</t>
        </is>
      </c>
      <c r="E917" s="54" t="n">
        <v>0.12431</v>
      </c>
      <c r="F917" s="54" t="n"/>
      <c r="G917" t="inlineStr">
        <is>
          <t>no aplica (precio mayorista)</t>
        </is>
      </c>
      <c r="J917" t="inlineStr">
        <is>
          <t>2022-07-01</t>
        </is>
      </c>
      <c r="K917" t="inlineStr">
        <is>
          <t>MIBGAS_Data_2022.xlsx</t>
        </is>
      </c>
      <c r="L917" t="inlineStr">
        <is>
          <t>volumen 271797 MWh</t>
        </is>
      </c>
    </row>
    <row r="918">
      <c r="A918" s="53" t="n">
        <v>44744</v>
      </c>
      <c r="B918" t="inlineStr">
        <is>
          <t>2022-07-02</t>
        </is>
      </c>
      <c r="C918" s="45" t="n">
        <v>122.84</v>
      </c>
      <c r="D918" t="inlineStr">
        <is>
          <t>€/MWh</t>
        </is>
      </c>
      <c r="E918" s="54" t="n">
        <v>0.12284</v>
      </c>
      <c r="F918" s="54" t="n"/>
      <c r="G918" t="inlineStr">
        <is>
          <t>no aplica (precio mayorista)</t>
        </is>
      </c>
      <c r="J918" t="inlineStr">
        <is>
          <t>2022-07-02</t>
        </is>
      </c>
      <c r="K918" t="inlineStr">
        <is>
          <t>MIBGAS_Data_2022.xlsx</t>
        </is>
      </c>
      <c r="L918" t="inlineStr">
        <is>
          <t>volumen 239719 MWh</t>
        </is>
      </c>
    </row>
    <row r="919">
      <c r="A919" s="53" t="n">
        <v>44745</v>
      </c>
      <c r="B919" t="inlineStr">
        <is>
          <t>2022-07-03</t>
        </is>
      </c>
      <c r="C919" s="45" t="n">
        <v>123.99</v>
      </c>
      <c r="D919" t="inlineStr">
        <is>
          <t>€/MWh</t>
        </is>
      </c>
      <c r="E919" s="54" t="n">
        <v>0.12399</v>
      </c>
      <c r="F919" s="54" t="n"/>
      <c r="G919" t="inlineStr">
        <is>
          <t>no aplica (precio mayorista)</t>
        </is>
      </c>
      <c r="J919" t="inlineStr">
        <is>
          <t>2022-07-03</t>
        </is>
      </c>
      <c r="K919" t="inlineStr">
        <is>
          <t>MIBGAS_Data_2022.xlsx</t>
        </is>
      </c>
      <c r="L919" t="inlineStr">
        <is>
          <t>volumen 222733 MWh</t>
        </is>
      </c>
    </row>
    <row r="920">
      <c r="A920" s="53" t="n">
        <v>44746</v>
      </c>
      <c r="B920" t="inlineStr">
        <is>
          <t>2022-07-04</t>
        </is>
      </c>
      <c r="C920" s="45" t="n">
        <v>129.84</v>
      </c>
      <c r="D920" t="inlineStr">
        <is>
          <t>€/MWh</t>
        </is>
      </c>
      <c r="E920" s="54" t="n">
        <v>0.12984</v>
      </c>
      <c r="F920" s="54" t="n"/>
      <c r="G920" t="inlineStr">
        <is>
          <t>no aplica (precio mayorista)</t>
        </is>
      </c>
      <c r="J920" t="inlineStr">
        <is>
          <t>2022-07-04</t>
        </is>
      </c>
      <c r="K920" t="inlineStr">
        <is>
          <t>MIBGAS_Data_2022.xlsx</t>
        </is>
      </c>
      <c r="L920" t="inlineStr">
        <is>
          <t>volumen 260382 MWh</t>
        </is>
      </c>
    </row>
    <row r="921">
      <c r="A921" s="53" t="n">
        <v>44747</v>
      </c>
      <c r="B921" t="inlineStr">
        <is>
          <t>2022-07-05</t>
        </is>
      </c>
      <c r="C921" s="45" t="n">
        <v>137.51</v>
      </c>
      <c r="D921" t="inlineStr">
        <is>
          <t>€/MWh</t>
        </is>
      </c>
      <c r="E921" s="54" t="n">
        <v>0.13751</v>
      </c>
      <c r="F921" s="54" t="n"/>
      <c r="G921" t="inlineStr">
        <is>
          <t>no aplica (precio mayorista)</t>
        </is>
      </c>
      <c r="J921" t="inlineStr">
        <is>
          <t>2022-07-05</t>
        </is>
      </c>
      <c r="K921" t="inlineStr">
        <is>
          <t>MIBGAS_Data_2022.xlsx</t>
        </is>
      </c>
      <c r="L921" t="inlineStr">
        <is>
          <t>volumen 230518 MWh</t>
        </is>
      </c>
    </row>
    <row r="922">
      <c r="A922" s="53" t="n">
        <v>44748</v>
      </c>
      <c r="B922" t="inlineStr">
        <is>
          <t>2022-07-06</t>
        </is>
      </c>
      <c r="C922" s="45" t="n">
        <v>142.32</v>
      </c>
      <c r="D922" t="inlineStr">
        <is>
          <t>€/MWh</t>
        </is>
      </c>
      <c r="E922" s="54" t="n">
        <v>0.14232</v>
      </c>
      <c r="F922" s="54" t="n"/>
      <c r="G922" t="inlineStr">
        <is>
          <t>no aplica (precio mayorista)</t>
        </is>
      </c>
      <c r="J922" t="inlineStr">
        <is>
          <t>2022-07-06</t>
        </is>
      </c>
      <c r="K922" t="inlineStr">
        <is>
          <t>MIBGAS_Data_2022.xlsx</t>
        </is>
      </c>
      <c r="L922" t="inlineStr">
        <is>
          <t>volumen 255352 MWh</t>
        </is>
      </c>
    </row>
    <row r="923">
      <c r="A923" s="53" t="n">
        <v>44749</v>
      </c>
      <c r="B923" t="inlineStr">
        <is>
          <t>2022-07-07</t>
        </is>
      </c>
      <c r="C923" s="45" t="n">
        <v>142.63</v>
      </c>
      <c r="D923" t="inlineStr">
        <is>
          <t>€/MWh</t>
        </is>
      </c>
      <c r="E923" s="54" t="n">
        <v>0.14263</v>
      </c>
      <c r="F923" s="54" t="n"/>
      <c r="G923" t="inlineStr">
        <is>
          <t>no aplica (precio mayorista)</t>
        </is>
      </c>
      <c r="J923" t="inlineStr">
        <is>
          <t>2022-07-07</t>
        </is>
      </c>
      <c r="K923" t="inlineStr">
        <is>
          <t>MIBGAS_Data_2022.xlsx</t>
        </is>
      </c>
      <c r="L923" t="inlineStr">
        <is>
          <t>volumen 219951 MWh</t>
        </is>
      </c>
    </row>
    <row r="924">
      <c r="A924" s="53" t="n">
        <v>44750</v>
      </c>
      <c r="B924" t="inlineStr">
        <is>
          <t>2022-07-08</t>
        </is>
      </c>
      <c r="C924" s="45" t="n">
        <v>150.79</v>
      </c>
      <c r="D924" t="inlineStr">
        <is>
          <t>€/MWh</t>
        </is>
      </c>
      <c r="E924" s="54" t="n">
        <v>0.15079</v>
      </c>
      <c r="F924" s="54" t="n"/>
      <c r="G924" t="inlineStr">
        <is>
          <t>no aplica (precio mayorista)</t>
        </is>
      </c>
      <c r="J924" t="inlineStr">
        <is>
          <t>2022-07-08</t>
        </is>
      </c>
      <c r="K924" t="inlineStr">
        <is>
          <t>MIBGAS_Data_2022.xlsx</t>
        </is>
      </c>
      <c r="L924" t="inlineStr">
        <is>
          <t>volumen 225780 MWh</t>
        </is>
      </c>
    </row>
    <row r="925">
      <c r="A925" s="53" t="n">
        <v>44751</v>
      </c>
      <c r="B925" t="inlineStr">
        <is>
          <t>2022-07-09</t>
        </is>
      </c>
      <c r="C925" s="45" t="n">
        <v>144.71</v>
      </c>
      <c r="D925" t="inlineStr">
        <is>
          <t>€/MWh</t>
        </is>
      </c>
      <c r="E925" s="54" t="n">
        <v>0.14471</v>
      </c>
      <c r="F925" s="54" t="n"/>
      <c r="G925" t="inlineStr">
        <is>
          <t>no aplica (precio mayorista)</t>
        </is>
      </c>
      <c r="J925" t="inlineStr">
        <is>
          <t>2022-07-09</t>
        </is>
      </c>
      <c r="K925" t="inlineStr">
        <is>
          <t>MIBGAS_Data_2022.xlsx</t>
        </is>
      </c>
      <c r="L925" t="inlineStr">
        <is>
          <t>volumen 232623 MWh</t>
        </is>
      </c>
    </row>
    <row r="926">
      <c r="A926" s="53" t="n">
        <v>44752</v>
      </c>
      <c r="B926" t="inlineStr">
        <is>
          <t>2022-07-10</t>
        </is>
      </c>
      <c r="C926" s="45" t="n">
        <v>144.43</v>
      </c>
      <c r="D926" t="inlineStr">
        <is>
          <t>€/MWh</t>
        </is>
      </c>
      <c r="E926" s="54" t="n">
        <v>0.14443</v>
      </c>
      <c r="F926" s="54" t="n"/>
      <c r="G926" t="inlineStr">
        <is>
          <t>no aplica (precio mayorista)</t>
        </is>
      </c>
      <c r="J926" t="inlineStr">
        <is>
          <t>2022-07-10</t>
        </is>
      </c>
      <c r="K926" t="inlineStr">
        <is>
          <t>MIBGAS_Data_2022.xlsx</t>
        </is>
      </c>
      <c r="L926" t="inlineStr">
        <is>
          <t>volumen 277533 MWh</t>
        </is>
      </c>
    </row>
    <row r="927">
      <c r="A927" s="53" t="n">
        <v>44753</v>
      </c>
      <c r="B927" t="inlineStr">
        <is>
          <t>2022-07-11</t>
        </is>
      </c>
      <c r="C927" s="45" t="n">
        <v>143.18</v>
      </c>
      <c r="D927" t="inlineStr">
        <is>
          <t>€/MWh</t>
        </is>
      </c>
      <c r="E927" s="54" t="n">
        <v>0.14318</v>
      </c>
      <c r="F927" s="54" t="n"/>
      <c r="G927" t="inlineStr">
        <is>
          <t>no aplica (precio mayorista)</t>
        </is>
      </c>
      <c r="J927" t="inlineStr">
        <is>
          <t>2022-07-11</t>
        </is>
      </c>
      <c r="K927" t="inlineStr">
        <is>
          <t>MIBGAS_Data_2022.xlsx</t>
        </is>
      </c>
      <c r="L927" t="inlineStr">
        <is>
          <t>volumen 417954 MWh</t>
        </is>
      </c>
    </row>
    <row r="928">
      <c r="A928" s="53" t="n">
        <v>44754</v>
      </c>
      <c r="B928" t="inlineStr">
        <is>
          <t>2022-07-12</t>
        </is>
      </c>
      <c r="C928" s="45" t="n">
        <v>141.2</v>
      </c>
      <c r="D928" t="inlineStr">
        <is>
          <t>€/MWh</t>
        </is>
      </c>
      <c r="E928" s="54" t="n">
        <v>0.1412</v>
      </c>
      <c r="F928" s="54" t="n"/>
      <c r="G928" t="inlineStr">
        <is>
          <t>no aplica (precio mayorista)</t>
        </is>
      </c>
      <c r="J928" t="inlineStr">
        <is>
          <t>2022-07-12</t>
        </is>
      </c>
      <c r="K928" t="inlineStr">
        <is>
          <t>MIBGAS_Data_2022.xlsx</t>
        </is>
      </c>
      <c r="L928" t="inlineStr">
        <is>
          <t>volumen 349507 MWh</t>
        </is>
      </c>
    </row>
    <row r="929">
      <c r="A929" s="53" t="n">
        <v>44755</v>
      </c>
      <c r="B929" t="inlineStr">
        <is>
          <t>2022-07-13</t>
        </is>
      </c>
      <c r="C929" s="45" t="n">
        <v>143.24</v>
      </c>
      <c r="D929" t="inlineStr">
        <is>
          <t>€/MWh</t>
        </is>
      </c>
      <c r="E929" s="54" t="n">
        <v>0.14324</v>
      </c>
      <c r="F929" s="54" t="n"/>
      <c r="G929" t="inlineStr">
        <is>
          <t>no aplica (precio mayorista)</t>
        </is>
      </c>
      <c r="J929" t="inlineStr">
        <is>
          <t>2022-07-13</t>
        </is>
      </c>
      <c r="K929" t="inlineStr">
        <is>
          <t>MIBGAS_Data_2022.xlsx</t>
        </is>
      </c>
      <c r="L929" t="inlineStr">
        <is>
          <t>volumen 361551 MWh</t>
        </is>
      </c>
    </row>
    <row r="930">
      <c r="A930" s="53" t="n">
        <v>44756</v>
      </c>
      <c r="B930" t="inlineStr">
        <is>
          <t>2022-07-14</t>
        </is>
      </c>
      <c r="C930" s="45" t="n">
        <v>144.12</v>
      </c>
      <c r="D930" t="inlineStr">
        <is>
          <t>€/MWh</t>
        </is>
      </c>
      <c r="E930" s="54" t="n">
        <v>0.14412</v>
      </c>
      <c r="F930" s="54" t="n"/>
      <c r="G930" t="inlineStr">
        <is>
          <t>no aplica (precio mayorista)</t>
        </is>
      </c>
      <c r="J930" t="inlineStr">
        <is>
          <t>2022-07-14</t>
        </is>
      </c>
      <c r="K930" t="inlineStr">
        <is>
          <t>MIBGAS_Data_2022.xlsx</t>
        </is>
      </c>
      <c r="L930" t="inlineStr">
        <is>
          <t>volumen 401866 MWh</t>
        </is>
      </c>
    </row>
    <row r="931">
      <c r="A931" s="53" t="n">
        <v>44757</v>
      </c>
      <c r="B931" t="inlineStr">
        <is>
          <t>2022-07-15</t>
        </is>
      </c>
      <c r="C931" s="45" t="n">
        <v>133.88</v>
      </c>
      <c r="D931" t="inlineStr">
        <is>
          <t>€/MWh</t>
        </is>
      </c>
      <c r="E931" s="54" t="n">
        <v>0.13388</v>
      </c>
      <c r="F931" s="54" t="n"/>
      <c r="G931" t="inlineStr">
        <is>
          <t>no aplica (precio mayorista)</t>
        </is>
      </c>
      <c r="J931" t="inlineStr">
        <is>
          <t>2022-07-15</t>
        </is>
      </c>
      <c r="K931" t="inlineStr">
        <is>
          <t>MIBGAS_Data_2022.xlsx</t>
        </is>
      </c>
      <c r="L931" t="inlineStr">
        <is>
          <t>volumen 420129 MWh</t>
        </is>
      </c>
    </row>
    <row r="932">
      <c r="A932" s="53" t="n">
        <v>44758</v>
      </c>
      <c r="B932" t="inlineStr">
        <is>
          <t>2022-07-16</t>
        </is>
      </c>
      <c r="C932" s="45" t="n">
        <v>112</v>
      </c>
      <c r="D932" t="inlineStr">
        <is>
          <t>€/MWh</t>
        </is>
      </c>
      <c r="E932" s="54" t="n">
        <v>0.112</v>
      </c>
      <c r="F932" s="54" t="n"/>
      <c r="G932" t="inlineStr">
        <is>
          <t>no aplica (precio mayorista)</t>
        </is>
      </c>
      <c r="J932" t="inlineStr">
        <is>
          <t>2022-07-16</t>
        </is>
      </c>
      <c r="K932" t="inlineStr">
        <is>
          <t>MIBGAS_Data_2022.xlsx</t>
        </is>
      </c>
      <c r="L932" t="inlineStr">
        <is>
          <t>volumen 429332 MWh</t>
        </is>
      </c>
    </row>
    <row r="933">
      <c r="A933" s="53" t="n">
        <v>44759</v>
      </c>
      <c r="B933" t="inlineStr">
        <is>
          <t>2022-07-17</t>
        </is>
      </c>
      <c r="C933" s="45" t="n">
        <v>104.29</v>
      </c>
      <c r="D933" t="inlineStr">
        <is>
          <t>€/MWh</t>
        </is>
      </c>
      <c r="E933" s="54" t="n">
        <v>0.10429</v>
      </c>
      <c r="F933" s="54" t="n"/>
      <c r="G933" t="inlineStr">
        <is>
          <t>no aplica (precio mayorista)</t>
        </is>
      </c>
      <c r="J933" t="inlineStr">
        <is>
          <t>2022-07-17</t>
        </is>
      </c>
      <c r="K933" t="inlineStr">
        <is>
          <t>MIBGAS_Data_2022.xlsx</t>
        </is>
      </c>
      <c r="L933" t="inlineStr">
        <is>
          <t>volumen 438716 MWh</t>
        </is>
      </c>
    </row>
    <row r="934">
      <c r="A934" s="53" t="n">
        <v>44760</v>
      </c>
      <c r="B934" t="inlineStr">
        <is>
          <t>2022-07-18</t>
        </is>
      </c>
      <c r="C934" s="45" t="n">
        <v>108.2</v>
      </c>
      <c r="D934" t="inlineStr">
        <is>
          <t>€/MWh</t>
        </is>
      </c>
      <c r="E934" s="54" t="n">
        <v>0.1082</v>
      </c>
      <c r="F934" s="54" t="n"/>
      <c r="G934" t="inlineStr">
        <is>
          <t>no aplica (precio mayorista)</t>
        </is>
      </c>
      <c r="J934" t="inlineStr">
        <is>
          <t>2022-07-18</t>
        </is>
      </c>
      <c r="K934" t="inlineStr">
        <is>
          <t>MIBGAS_Data_2022.xlsx</t>
        </is>
      </c>
      <c r="L934" t="inlineStr">
        <is>
          <t>volumen 321503 MWh</t>
        </is>
      </c>
    </row>
    <row r="935">
      <c r="A935" s="53" t="n">
        <v>44761</v>
      </c>
      <c r="B935" t="inlineStr">
        <is>
          <t>2022-07-19</t>
        </is>
      </c>
      <c r="C935" s="45" t="n">
        <v>108.12</v>
      </c>
      <c r="D935" t="inlineStr">
        <is>
          <t>€/MWh</t>
        </is>
      </c>
      <c r="E935" s="54" t="n">
        <v>0.10812</v>
      </c>
      <c r="F935" s="54" t="n"/>
      <c r="G935" t="inlineStr">
        <is>
          <t>no aplica (precio mayorista)</t>
        </is>
      </c>
      <c r="J935" t="inlineStr">
        <is>
          <t>2022-07-19</t>
        </is>
      </c>
      <c r="K935" t="inlineStr">
        <is>
          <t>MIBGAS_Data_2022.xlsx</t>
        </is>
      </c>
      <c r="L935" t="inlineStr">
        <is>
          <t>volumen 371149 MWh</t>
        </is>
      </c>
    </row>
    <row r="936">
      <c r="A936" s="53" t="n">
        <v>44762</v>
      </c>
      <c r="B936" t="inlineStr">
        <is>
          <t>2022-07-20</t>
        </is>
      </c>
      <c r="C936" s="45" t="n">
        <v>112.63</v>
      </c>
      <c r="D936" t="inlineStr">
        <is>
          <t>€/MWh</t>
        </is>
      </c>
      <c r="E936" s="54" t="n">
        <v>0.11263</v>
      </c>
      <c r="F936" s="54" t="n"/>
      <c r="G936" t="inlineStr">
        <is>
          <t>no aplica (precio mayorista)</t>
        </is>
      </c>
      <c r="J936" t="inlineStr">
        <is>
          <t>2022-07-20</t>
        </is>
      </c>
      <c r="K936" t="inlineStr">
        <is>
          <t>MIBGAS_Data_2022.xlsx</t>
        </is>
      </c>
      <c r="L936" t="inlineStr">
        <is>
          <t>volumen 357177 MWh</t>
        </is>
      </c>
    </row>
    <row r="937">
      <c r="A937" s="53" t="n">
        <v>44763</v>
      </c>
      <c r="B937" t="inlineStr">
        <is>
          <t>2022-07-21</t>
        </is>
      </c>
      <c r="C937" s="45" t="n">
        <v>118.76</v>
      </c>
      <c r="D937" t="inlineStr">
        <is>
          <t>€/MWh</t>
        </is>
      </c>
      <c r="E937" s="54" t="n">
        <v>0.11876</v>
      </c>
      <c r="F937" s="54" t="n"/>
      <c r="G937" t="inlineStr">
        <is>
          <t>no aplica (precio mayorista)</t>
        </is>
      </c>
      <c r="J937" t="inlineStr">
        <is>
          <t>2022-07-21</t>
        </is>
      </c>
      <c r="K937" t="inlineStr">
        <is>
          <t>MIBGAS_Data_2022.xlsx</t>
        </is>
      </c>
      <c r="L937" t="inlineStr">
        <is>
          <t>volumen 330447 MWh</t>
        </is>
      </c>
    </row>
    <row r="938">
      <c r="A938" s="53" t="n">
        <v>44764</v>
      </c>
      <c r="B938" t="inlineStr">
        <is>
          <t>2022-07-22</t>
        </is>
      </c>
      <c r="C938" s="45" t="n">
        <v>122.33</v>
      </c>
      <c r="D938" t="inlineStr">
        <is>
          <t>€/MWh</t>
        </is>
      </c>
      <c r="E938" s="54" t="n">
        <v>0.12233</v>
      </c>
      <c r="F938" s="54" t="n"/>
      <c r="G938" t="inlineStr">
        <is>
          <t>no aplica (precio mayorista)</t>
        </is>
      </c>
      <c r="J938" t="inlineStr">
        <is>
          <t>2022-07-22</t>
        </is>
      </c>
      <c r="K938" t="inlineStr">
        <is>
          <t>MIBGAS_Data_2022.xlsx</t>
        </is>
      </c>
      <c r="L938" t="inlineStr">
        <is>
          <t>volumen 318368 MWh</t>
        </is>
      </c>
    </row>
    <row r="939">
      <c r="A939" s="53" t="n">
        <v>44765</v>
      </c>
      <c r="B939" t="inlineStr">
        <is>
          <t>2022-07-23</t>
        </is>
      </c>
      <c r="C939" s="45" t="n">
        <v>121.4</v>
      </c>
      <c r="D939" t="inlineStr">
        <is>
          <t>€/MWh</t>
        </is>
      </c>
      <c r="E939" s="54" t="n">
        <v>0.1214</v>
      </c>
      <c r="F939" s="54" t="n"/>
      <c r="G939" t="inlineStr">
        <is>
          <t>no aplica (precio mayorista)</t>
        </is>
      </c>
      <c r="J939" t="inlineStr">
        <is>
          <t>2022-07-23</t>
        </is>
      </c>
      <c r="K939" t="inlineStr">
        <is>
          <t>MIBGAS_Data_2022.xlsx</t>
        </is>
      </c>
      <c r="L939" t="inlineStr">
        <is>
          <t>volumen 324970 MWh</t>
        </is>
      </c>
    </row>
    <row r="940">
      <c r="A940" s="53" t="n">
        <v>44766</v>
      </c>
      <c r="B940" t="inlineStr">
        <is>
          <t>2022-07-24</t>
        </is>
      </c>
      <c r="C940" s="45" t="n">
        <v>122.07</v>
      </c>
      <c r="D940" t="inlineStr">
        <is>
          <t>€/MWh</t>
        </is>
      </c>
      <c r="E940" s="54" t="n">
        <v>0.12207</v>
      </c>
      <c r="F940" s="54" t="n"/>
      <c r="G940" t="inlineStr">
        <is>
          <t>no aplica (precio mayorista)</t>
        </is>
      </c>
      <c r="J940" t="inlineStr">
        <is>
          <t>2022-07-24</t>
        </is>
      </c>
      <c r="K940" t="inlineStr">
        <is>
          <t>MIBGAS_Data_2022.xlsx</t>
        </is>
      </c>
      <c r="L940" t="inlineStr">
        <is>
          <t>volumen 312042 MWh</t>
        </is>
      </c>
    </row>
    <row r="941">
      <c r="A941" s="53" t="n">
        <v>44767</v>
      </c>
      <c r="B941" t="inlineStr">
        <is>
          <t>2022-07-25</t>
        </is>
      </c>
      <c r="C941" s="45" t="n">
        <v>125.66</v>
      </c>
      <c r="D941" t="inlineStr">
        <is>
          <t>€/MWh</t>
        </is>
      </c>
      <c r="E941" s="54" t="n">
        <v>0.12566</v>
      </c>
      <c r="F941" s="54" t="n"/>
      <c r="G941" t="inlineStr">
        <is>
          <t>no aplica (precio mayorista)</t>
        </is>
      </c>
      <c r="J941" t="inlineStr">
        <is>
          <t>2022-07-25</t>
        </is>
      </c>
      <c r="K941" t="inlineStr">
        <is>
          <t>MIBGAS_Data_2022.xlsx</t>
        </is>
      </c>
      <c r="L941" t="inlineStr">
        <is>
          <t>volumen 433978 MWh</t>
        </is>
      </c>
    </row>
    <row r="942">
      <c r="A942" s="53" t="n">
        <v>44768</v>
      </c>
      <c r="B942" t="inlineStr">
        <is>
          <t>2022-07-26</t>
        </is>
      </c>
      <c r="C942" s="45" t="n">
        <v>128.7</v>
      </c>
      <c r="D942" t="inlineStr">
        <is>
          <t>€/MWh</t>
        </is>
      </c>
      <c r="E942" s="54" t="n">
        <v>0.1287</v>
      </c>
      <c r="F942" s="54" t="n"/>
      <c r="G942" t="inlineStr">
        <is>
          <t>no aplica (precio mayorista)</t>
        </is>
      </c>
      <c r="J942" t="inlineStr">
        <is>
          <t>2022-07-26</t>
        </is>
      </c>
      <c r="K942" t="inlineStr">
        <is>
          <t>MIBGAS_Data_2022.xlsx</t>
        </is>
      </c>
      <c r="L942" t="inlineStr">
        <is>
          <t>volumen 386949 MWh</t>
        </is>
      </c>
    </row>
    <row r="943">
      <c r="A943" s="53" t="n">
        <v>44769</v>
      </c>
      <c r="B943" t="inlineStr">
        <is>
          <t>2022-07-27</t>
        </is>
      </c>
      <c r="C943" s="45" t="n">
        <v>136.28</v>
      </c>
      <c r="D943" t="inlineStr">
        <is>
          <t>€/MWh</t>
        </is>
      </c>
      <c r="E943" s="54" t="n">
        <v>0.13628</v>
      </c>
      <c r="F943" s="54" t="n"/>
      <c r="G943" t="inlineStr">
        <is>
          <t>no aplica (precio mayorista)</t>
        </is>
      </c>
      <c r="J943" t="inlineStr">
        <is>
          <t>2022-07-27</t>
        </is>
      </c>
      <c r="K943" t="inlineStr">
        <is>
          <t>MIBGAS_Data_2022.xlsx</t>
        </is>
      </c>
      <c r="L943" t="inlineStr">
        <is>
          <t>volumen 393013 MWh</t>
        </is>
      </c>
    </row>
    <row r="944">
      <c r="A944" s="53" t="n">
        <v>44770</v>
      </c>
      <c r="B944" t="inlineStr">
        <is>
          <t>2022-07-28</t>
        </is>
      </c>
      <c r="C944" s="45" t="n">
        <v>141.55</v>
      </c>
      <c r="D944" t="inlineStr">
        <is>
          <t>€/MWh</t>
        </is>
      </c>
      <c r="E944" s="54" t="n">
        <v>0.14155</v>
      </c>
      <c r="F944" s="54" t="n"/>
      <c r="G944" t="inlineStr">
        <is>
          <t>no aplica (precio mayorista)</t>
        </is>
      </c>
      <c r="J944" t="inlineStr">
        <is>
          <t>2022-07-28</t>
        </is>
      </c>
      <c r="K944" t="inlineStr">
        <is>
          <t>MIBGAS_Data_2022.xlsx</t>
        </is>
      </c>
      <c r="L944" t="inlineStr">
        <is>
          <t>volumen 390611 MWh</t>
        </is>
      </c>
    </row>
    <row r="945">
      <c r="A945" s="53" t="n">
        <v>44771</v>
      </c>
      <c r="B945" t="inlineStr">
        <is>
          <t>2022-07-29</t>
        </is>
      </c>
      <c r="C945" s="45" t="n">
        <v>134.42</v>
      </c>
      <c r="D945" t="inlineStr">
        <is>
          <t>€/MWh</t>
        </is>
      </c>
      <c r="E945" s="54" t="n">
        <v>0.13442</v>
      </c>
      <c r="F945" s="54" t="n"/>
      <c r="G945" t="inlineStr">
        <is>
          <t>no aplica (precio mayorista)</t>
        </is>
      </c>
      <c r="J945" t="inlineStr">
        <is>
          <t>2022-07-29</t>
        </is>
      </c>
      <c r="K945" t="inlineStr">
        <is>
          <t>MIBGAS_Data_2022.xlsx</t>
        </is>
      </c>
      <c r="L945" t="inlineStr">
        <is>
          <t>volumen 351204 MWh</t>
        </is>
      </c>
    </row>
    <row r="946">
      <c r="A946" s="53" t="n">
        <v>44772</v>
      </c>
      <c r="B946" t="inlineStr">
        <is>
          <t>2022-07-30</t>
        </is>
      </c>
      <c r="C946" s="45" t="n">
        <v>112.97</v>
      </c>
      <c r="D946" t="inlineStr">
        <is>
          <t>€/MWh</t>
        </is>
      </c>
      <c r="E946" s="54" t="n">
        <v>0.11297</v>
      </c>
      <c r="F946" s="54" t="n"/>
      <c r="G946" t="inlineStr">
        <is>
          <t>no aplica (precio mayorista)</t>
        </is>
      </c>
      <c r="J946" t="inlineStr">
        <is>
          <t>2022-07-30</t>
        </is>
      </c>
      <c r="K946" t="inlineStr">
        <is>
          <t>MIBGAS_Data_2022.xlsx</t>
        </is>
      </c>
      <c r="L946" t="inlineStr">
        <is>
          <t>volumen 405812 MWh</t>
        </is>
      </c>
    </row>
    <row r="947">
      <c r="A947" s="53" t="n">
        <v>44773</v>
      </c>
      <c r="B947" t="inlineStr">
        <is>
          <t>2022-07-31</t>
        </is>
      </c>
      <c r="C947" s="45" t="n">
        <v>114.7</v>
      </c>
      <c r="D947" t="inlineStr">
        <is>
          <t>€/MWh</t>
        </is>
      </c>
      <c r="E947" s="54" t="n">
        <v>0.1147</v>
      </c>
      <c r="F947" s="54" t="n"/>
      <c r="G947" t="inlineStr">
        <is>
          <t>no aplica (precio mayorista)</t>
        </is>
      </c>
      <c r="J947" t="inlineStr">
        <is>
          <t>2022-07-31</t>
        </is>
      </c>
      <c r="K947" t="inlineStr">
        <is>
          <t>MIBGAS_Data_2022.xlsx</t>
        </is>
      </c>
      <c r="L947" t="inlineStr">
        <is>
          <t>volumen 311794 MWh</t>
        </is>
      </c>
    </row>
    <row r="948">
      <c r="A948" s="53" t="n">
        <v>44774</v>
      </c>
      <c r="B948" t="inlineStr">
        <is>
          <t>2022-08-01</t>
        </is>
      </c>
      <c r="C948" s="45" t="n">
        <v>120.57</v>
      </c>
      <c r="D948" t="inlineStr">
        <is>
          <t>€/MWh</t>
        </is>
      </c>
      <c r="E948" s="54" t="n">
        <v>0.12057</v>
      </c>
      <c r="F948" s="54" t="n"/>
      <c r="G948" t="inlineStr">
        <is>
          <t>no aplica (precio mayorista)</t>
        </is>
      </c>
      <c r="J948" t="inlineStr">
        <is>
          <t>2022-08-01</t>
        </is>
      </c>
      <c r="K948" t="inlineStr">
        <is>
          <t>MIBGAS_Data_2022.xlsx</t>
        </is>
      </c>
      <c r="L948" t="inlineStr">
        <is>
          <t>volumen 395507 MWh</t>
        </is>
      </c>
    </row>
    <row r="949">
      <c r="A949" s="53" t="n">
        <v>44775</v>
      </c>
      <c r="B949" t="inlineStr">
        <is>
          <t>2022-08-02</t>
        </is>
      </c>
      <c r="C949" s="45" t="n">
        <v>125.56</v>
      </c>
      <c r="D949" t="inlineStr">
        <is>
          <t>€/MWh</t>
        </is>
      </c>
      <c r="E949" s="54" t="n">
        <v>0.12556</v>
      </c>
      <c r="F949" s="54" t="n"/>
      <c r="G949" t="inlineStr">
        <is>
          <t>no aplica (precio mayorista)</t>
        </is>
      </c>
      <c r="J949" t="inlineStr">
        <is>
          <t>2022-08-02</t>
        </is>
      </c>
      <c r="K949" t="inlineStr">
        <is>
          <t>MIBGAS_Data_2022.xlsx</t>
        </is>
      </c>
      <c r="L949" t="inlineStr">
        <is>
          <t>volumen 418119 MWh</t>
        </is>
      </c>
    </row>
    <row r="950">
      <c r="A950" s="53" t="n">
        <v>44776</v>
      </c>
      <c r="B950" t="inlineStr">
        <is>
          <t>2022-08-03</t>
        </is>
      </c>
      <c r="C950" s="45" t="n">
        <v>129.48</v>
      </c>
      <c r="D950" t="inlineStr">
        <is>
          <t>€/MWh</t>
        </is>
      </c>
      <c r="E950" s="54" t="n">
        <v>0.12948</v>
      </c>
      <c r="F950" s="54" t="n"/>
      <c r="G950" t="inlineStr">
        <is>
          <t>no aplica (precio mayorista)</t>
        </is>
      </c>
      <c r="J950" t="inlineStr">
        <is>
          <t>2022-08-03</t>
        </is>
      </c>
      <c r="K950" t="inlineStr">
        <is>
          <t>MIBGAS_Data_2022.xlsx</t>
        </is>
      </c>
      <c r="L950" t="inlineStr">
        <is>
          <t>volumen 381779 MWh</t>
        </is>
      </c>
    </row>
    <row r="951">
      <c r="A951" s="53" t="n">
        <v>44777</v>
      </c>
      <c r="B951" t="inlineStr">
        <is>
          <t>2022-08-04</t>
        </is>
      </c>
      <c r="C951" s="45" t="n">
        <v>130.05</v>
      </c>
      <c r="D951" t="inlineStr">
        <is>
          <t>€/MWh</t>
        </is>
      </c>
      <c r="E951" s="54" t="n">
        <v>0.13005</v>
      </c>
      <c r="F951" s="54" t="n"/>
      <c r="G951" t="inlineStr">
        <is>
          <t>no aplica (precio mayorista)</t>
        </is>
      </c>
      <c r="J951" t="inlineStr">
        <is>
          <t>2022-08-04</t>
        </is>
      </c>
      <c r="K951" t="inlineStr">
        <is>
          <t>MIBGAS_Data_2022.xlsx</t>
        </is>
      </c>
      <c r="L951" t="inlineStr">
        <is>
          <t>volumen 403776 MWh</t>
        </is>
      </c>
    </row>
    <row r="952">
      <c r="A952" s="53" t="n">
        <v>44778</v>
      </c>
      <c r="B952" t="inlineStr">
        <is>
          <t>2022-08-05</t>
        </is>
      </c>
      <c r="C952" s="45" t="n">
        <v>130.68</v>
      </c>
      <c r="D952" t="inlineStr">
        <is>
          <t>€/MWh</t>
        </is>
      </c>
      <c r="E952" s="54" t="n">
        <v>0.13068</v>
      </c>
      <c r="F952" s="54" t="n"/>
      <c r="G952" t="inlineStr">
        <is>
          <t>no aplica (precio mayorista)</t>
        </is>
      </c>
      <c r="J952" t="inlineStr">
        <is>
          <t>2022-08-05</t>
        </is>
      </c>
      <c r="K952" t="inlineStr">
        <is>
          <t>MIBGAS_Data_2022.xlsx</t>
        </is>
      </c>
      <c r="L952" t="inlineStr">
        <is>
          <t>volumen 378476 MWh</t>
        </is>
      </c>
    </row>
    <row r="953">
      <c r="A953" s="53" t="n">
        <v>44779</v>
      </c>
      <c r="B953" t="inlineStr">
        <is>
          <t>2022-08-06</t>
        </is>
      </c>
      <c r="C953" s="45" t="n">
        <v>126.68</v>
      </c>
      <c r="D953" t="inlineStr">
        <is>
          <t>€/MWh</t>
        </is>
      </c>
      <c r="E953" s="54" t="n">
        <v>0.12668</v>
      </c>
      <c r="F953" s="54" t="n"/>
      <c r="G953" t="inlineStr">
        <is>
          <t>no aplica (precio mayorista)</t>
        </is>
      </c>
      <c r="J953" t="inlineStr">
        <is>
          <t>2022-08-06</t>
        </is>
      </c>
      <c r="K953" t="inlineStr">
        <is>
          <t>MIBGAS_Data_2022.xlsx</t>
        </is>
      </c>
      <c r="L953" t="inlineStr">
        <is>
          <t>volumen 375127 MWh</t>
        </is>
      </c>
    </row>
    <row r="954">
      <c r="A954" s="53" t="n">
        <v>44780</v>
      </c>
      <c r="B954" t="inlineStr">
        <is>
          <t>2022-08-07</t>
        </is>
      </c>
      <c r="C954" s="45" t="n">
        <v>124.26</v>
      </c>
      <c r="D954" t="inlineStr">
        <is>
          <t>€/MWh</t>
        </is>
      </c>
      <c r="E954" s="54" t="n">
        <v>0.12426</v>
      </c>
      <c r="F954" s="54" t="n"/>
      <c r="G954" t="inlineStr">
        <is>
          <t>no aplica (precio mayorista)</t>
        </is>
      </c>
      <c r="J954" t="inlineStr">
        <is>
          <t>2022-08-07</t>
        </is>
      </c>
      <c r="K954" t="inlineStr">
        <is>
          <t>MIBGAS_Data_2022.xlsx</t>
        </is>
      </c>
      <c r="L954" t="inlineStr">
        <is>
          <t>volumen 437664 MWh</t>
        </is>
      </c>
    </row>
    <row r="955">
      <c r="A955" s="53" t="n">
        <v>44781</v>
      </c>
      <c r="B955" t="inlineStr">
        <is>
          <t>2022-08-08</t>
        </is>
      </c>
      <c r="C955" s="45" t="n">
        <v>126.6</v>
      </c>
      <c r="D955" t="inlineStr">
        <is>
          <t>€/MWh</t>
        </is>
      </c>
      <c r="E955" s="54" t="n">
        <v>0.1266</v>
      </c>
      <c r="F955" s="54" t="n"/>
      <c r="G955" t="inlineStr">
        <is>
          <t>no aplica (precio mayorista)</t>
        </is>
      </c>
      <c r="J955" t="inlineStr">
        <is>
          <t>2022-08-08</t>
        </is>
      </c>
      <c r="K955" t="inlineStr">
        <is>
          <t>MIBGAS_Data_2022.xlsx</t>
        </is>
      </c>
      <c r="L955" t="inlineStr">
        <is>
          <t>volumen 324048 MWh</t>
        </is>
      </c>
    </row>
    <row r="956">
      <c r="A956" s="53" t="n">
        <v>44782</v>
      </c>
      <c r="B956" t="inlineStr">
        <is>
          <t>2022-08-09</t>
        </is>
      </c>
      <c r="C956" s="45" t="n">
        <v>127.59</v>
      </c>
      <c r="D956" t="inlineStr">
        <is>
          <t>€/MWh</t>
        </is>
      </c>
      <c r="E956" s="54" t="n">
        <v>0.12759</v>
      </c>
      <c r="F956" s="54" t="n"/>
      <c r="G956" t="inlineStr">
        <is>
          <t>no aplica (precio mayorista)</t>
        </is>
      </c>
      <c r="J956" t="inlineStr">
        <is>
          <t>2022-08-09</t>
        </is>
      </c>
      <c r="K956" t="inlineStr">
        <is>
          <t>MIBGAS_Data_2022.xlsx</t>
        </is>
      </c>
      <c r="L956" t="inlineStr">
        <is>
          <t>volumen 421601 MWh</t>
        </is>
      </c>
    </row>
    <row r="957">
      <c r="A957" s="53" t="n">
        <v>44783</v>
      </c>
      <c r="B957" t="inlineStr">
        <is>
          <t>2022-08-10</t>
        </is>
      </c>
      <c r="C957" s="45" t="n">
        <v>127.68</v>
      </c>
      <c r="D957" t="inlineStr">
        <is>
          <t>€/MWh</t>
        </is>
      </c>
      <c r="E957" s="54" t="n">
        <v>0.12768</v>
      </c>
      <c r="F957" s="54" t="n"/>
      <c r="G957" t="inlineStr">
        <is>
          <t>no aplica (precio mayorista)</t>
        </is>
      </c>
      <c r="J957" t="inlineStr">
        <is>
          <t>2022-08-10</t>
        </is>
      </c>
      <c r="K957" t="inlineStr">
        <is>
          <t>MIBGAS_Data_2022.xlsx</t>
        </is>
      </c>
      <c r="L957" t="inlineStr">
        <is>
          <t>volumen 339646 MWh</t>
        </is>
      </c>
    </row>
    <row r="958">
      <c r="A958" s="53" t="n">
        <v>44784</v>
      </c>
      <c r="B958" t="inlineStr">
        <is>
          <t>2022-08-11</t>
        </is>
      </c>
      <c r="C958" s="45" t="n">
        <v>139.04</v>
      </c>
      <c r="D958" t="inlineStr">
        <is>
          <t>€/MWh</t>
        </is>
      </c>
      <c r="E958" s="54" t="n">
        <v>0.13904</v>
      </c>
      <c r="F958" s="54" t="n"/>
      <c r="G958" t="inlineStr">
        <is>
          <t>no aplica (precio mayorista)</t>
        </is>
      </c>
      <c r="J958" t="inlineStr">
        <is>
          <t>2022-08-11</t>
        </is>
      </c>
      <c r="K958" t="inlineStr">
        <is>
          <t>MIBGAS_Data_2022.xlsx</t>
        </is>
      </c>
      <c r="L958" t="inlineStr">
        <is>
          <t>volumen 281546 MWh</t>
        </is>
      </c>
    </row>
    <row r="959">
      <c r="A959" s="53" t="n">
        <v>44785</v>
      </c>
      <c r="B959" t="inlineStr">
        <is>
          <t>2022-08-12</t>
        </is>
      </c>
      <c r="C959" s="45" t="n">
        <v>147.17</v>
      </c>
      <c r="D959" t="inlineStr">
        <is>
          <t>€/MWh</t>
        </is>
      </c>
      <c r="E959" s="54" t="n">
        <v>0.14717</v>
      </c>
      <c r="F959" s="54" t="n"/>
      <c r="G959" t="inlineStr">
        <is>
          <t>no aplica (precio mayorista)</t>
        </is>
      </c>
      <c r="J959" t="inlineStr">
        <is>
          <t>2022-08-12</t>
        </is>
      </c>
      <c r="K959" t="inlineStr">
        <is>
          <t>MIBGAS_Data_2022.xlsx</t>
        </is>
      </c>
      <c r="L959" t="inlineStr">
        <is>
          <t>volumen 327045 MWh</t>
        </is>
      </c>
    </row>
    <row r="960">
      <c r="A960" s="53" t="n">
        <v>44786</v>
      </c>
      <c r="B960" t="inlineStr">
        <is>
          <t>2022-08-13</t>
        </is>
      </c>
      <c r="C960" s="45" t="n">
        <v>144.53</v>
      </c>
      <c r="D960" t="inlineStr">
        <is>
          <t>€/MWh</t>
        </is>
      </c>
      <c r="E960" s="54" t="n">
        <v>0.14453</v>
      </c>
      <c r="F960" s="54" t="n"/>
      <c r="G960" t="inlineStr">
        <is>
          <t>no aplica (precio mayorista)</t>
        </is>
      </c>
      <c r="J960" t="inlineStr">
        <is>
          <t>2022-08-13</t>
        </is>
      </c>
      <c r="K960" t="inlineStr">
        <is>
          <t>MIBGAS_Data_2022.xlsx</t>
        </is>
      </c>
      <c r="L960" t="inlineStr">
        <is>
          <t>volumen 320575 MWh</t>
        </is>
      </c>
    </row>
    <row r="961">
      <c r="A961" s="53" t="n">
        <v>44787</v>
      </c>
      <c r="B961" t="inlineStr">
        <is>
          <t>2022-08-14</t>
        </is>
      </c>
      <c r="C961" s="45" t="n">
        <v>141.57</v>
      </c>
      <c r="D961" t="inlineStr">
        <is>
          <t>€/MWh</t>
        </is>
      </c>
      <c r="E961" s="54" t="n">
        <v>0.14157</v>
      </c>
      <c r="F961" s="54" t="n"/>
      <c r="G961" t="inlineStr">
        <is>
          <t>no aplica (precio mayorista)</t>
        </is>
      </c>
      <c r="J961" t="inlineStr">
        <is>
          <t>2022-08-14</t>
        </is>
      </c>
      <c r="K961" t="inlineStr">
        <is>
          <t>MIBGAS_Data_2022.xlsx</t>
        </is>
      </c>
      <c r="L961" t="inlineStr">
        <is>
          <t>volumen 321434 MWh</t>
        </is>
      </c>
    </row>
    <row r="962">
      <c r="A962" s="53" t="n">
        <v>44788</v>
      </c>
      <c r="B962" t="inlineStr">
        <is>
          <t>2022-08-15</t>
        </is>
      </c>
      <c r="C962" s="45" t="n">
        <v>144.56</v>
      </c>
      <c r="D962" t="inlineStr">
        <is>
          <t>€/MWh</t>
        </is>
      </c>
      <c r="E962" s="54" t="n">
        <v>0.14456</v>
      </c>
      <c r="F962" s="54" t="n"/>
      <c r="G962" t="inlineStr">
        <is>
          <t>no aplica (precio mayorista)</t>
        </is>
      </c>
      <c r="J962" t="inlineStr">
        <is>
          <t>2022-08-15</t>
        </is>
      </c>
      <c r="K962" t="inlineStr">
        <is>
          <t>MIBGAS_Data_2022.xlsx</t>
        </is>
      </c>
      <c r="L962" t="inlineStr">
        <is>
          <t>volumen 243235 MWh</t>
        </is>
      </c>
    </row>
    <row r="963">
      <c r="A963" s="53" t="n">
        <v>44789</v>
      </c>
      <c r="B963" t="inlineStr">
        <is>
          <t>2022-08-16</t>
        </is>
      </c>
      <c r="C963" s="45" t="n">
        <v>149.91</v>
      </c>
      <c r="D963" t="inlineStr">
        <is>
          <t>€/MWh</t>
        </is>
      </c>
      <c r="E963" s="54" t="n">
        <v>0.14991</v>
      </c>
      <c r="F963" s="54" t="n"/>
      <c r="G963" t="inlineStr">
        <is>
          <t>no aplica (precio mayorista)</t>
        </is>
      </c>
      <c r="J963" t="inlineStr">
        <is>
          <t>2022-08-16</t>
        </is>
      </c>
      <c r="K963" t="inlineStr">
        <is>
          <t>MIBGAS_Data_2022.xlsx</t>
        </is>
      </c>
      <c r="L963" t="inlineStr">
        <is>
          <t>volumen 217106 MWh</t>
        </is>
      </c>
    </row>
    <row r="964">
      <c r="A964" s="53" t="n">
        <v>44790</v>
      </c>
      <c r="B964" t="inlineStr">
        <is>
          <t>2022-08-17</t>
        </is>
      </c>
      <c r="C964" s="45" t="n">
        <v>158.05</v>
      </c>
      <c r="D964" t="inlineStr">
        <is>
          <t>€/MWh</t>
        </is>
      </c>
      <c r="E964" s="54" t="n">
        <v>0.15805</v>
      </c>
      <c r="F964" s="54" t="n"/>
      <c r="G964" t="inlineStr">
        <is>
          <t>no aplica (precio mayorista)</t>
        </is>
      </c>
      <c r="J964" t="inlineStr">
        <is>
          <t>2022-08-17</t>
        </is>
      </c>
      <c r="K964" t="inlineStr">
        <is>
          <t>MIBGAS_Data_2022.xlsx</t>
        </is>
      </c>
      <c r="L964" t="inlineStr">
        <is>
          <t>volumen 225685 MWh</t>
        </is>
      </c>
    </row>
    <row r="965">
      <c r="A965" s="53" t="n">
        <v>44791</v>
      </c>
      <c r="B965" t="inlineStr">
        <is>
          <t>2022-08-18</t>
        </is>
      </c>
      <c r="C965" s="45" t="n">
        <v>156.01</v>
      </c>
      <c r="D965" t="inlineStr">
        <is>
          <t>€/MWh</t>
        </is>
      </c>
      <c r="E965" s="54" t="n">
        <v>0.15601</v>
      </c>
      <c r="F965" s="54" t="n"/>
      <c r="G965" t="inlineStr">
        <is>
          <t>no aplica (precio mayorista)</t>
        </is>
      </c>
      <c r="J965" t="inlineStr">
        <is>
          <t>2022-08-18</t>
        </is>
      </c>
      <c r="K965" t="inlineStr">
        <is>
          <t>MIBGAS_Data_2022.xlsx</t>
        </is>
      </c>
      <c r="L965" t="inlineStr">
        <is>
          <t>volumen 374476 MWh</t>
        </is>
      </c>
    </row>
    <row r="966">
      <c r="A966" s="53" t="n">
        <v>44792</v>
      </c>
      <c r="B966" t="inlineStr">
        <is>
          <t>2022-08-19</t>
        </is>
      </c>
      <c r="C966" s="45" t="n">
        <v>161.86</v>
      </c>
      <c r="D966" t="inlineStr">
        <is>
          <t>€/MWh</t>
        </is>
      </c>
      <c r="E966" s="54" t="n">
        <v>0.16186</v>
      </c>
      <c r="F966" s="54" t="n"/>
      <c r="G966" t="inlineStr">
        <is>
          <t>no aplica (precio mayorista)</t>
        </is>
      </c>
      <c r="J966" t="inlineStr">
        <is>
          <t>2022-08-19</t>
        </is>
      </c>
      <c r="K966" t="inlineStr">
        <is>
          <t>MIBGAS_Data_2022.xlsx</t>
        </is>
      </c>
      <c r="L966" t="inlineStr">
        <is>
          <t>volumen 238183 MWh</t>
        </is>
      </c>
    </row>
    <row r="967">
      <c r="A967" s="53" t="n">
        <v>44793</v>
      </c>
      <c r="B967" t="inlineStr">
        <is>
          <t>2022-08-20</t>
        </is>
      </c>
      <c r="C967" s="45" t="n">
        <v>169.44</v>
      </c>
      <c r="D967" t="inlineStr">
        <is>
          <t>€/MWh</t>
        </is>
      </c>
      <c r="E967" s="54" t="n">
        <v>0.16944</v>
      </c>
      <c r="F967" s="54" t="n"/>
      <c r="G967" t="inlineStr">
        <is>
          <t>no aplica (precio mayorista)</t>
        </is>
      </c>
      <c r="J967" t="inlineStr">
        <is>
          <t>2022-08-20</t>
        </is>
      </c>
      <c r="K967" t="inlineStr">
        <is>
          <t>MIBGAS_Data_2022.xlsx</t>
        </is>
      </c>
      <c r="L967" t="inlineStr">
        <is>
          <t>volumen 299854 MWh</t>
        </is>
      </c>
    </row>
    <row r="968">
      <c r="A968" s="53" t="n">
        <v>44794</v>
      </c>
      <c r="B968" t="inlineStr">
        <is>
          <t>2022-08-21</t>
        </is>
      </c>
      <c r="C968" s="45" t="n">
        <v>174.09</v>
      </c>
      <c r="D968" t="inlineStr">
        <is>
          <t>€/MWh</t>
        </is>
      </c>
      <c r="E968" s="54" t="n">
        <v>0.17409</v>
      </c>
      <c r="F968" s="54" t="n"/>
      <c r="G968" t="inlineStr">
        <is>
          <t>no aplica (precio mayorista)</t>
        </is>
      </c>
      <c r="J968" t="inlineStr">
        <is>
          <t>2022-08-21</t>
        </is>
      </c>
      <c r="K968" t="inlineStr">
        <is>
          <t>MIBGAS_Data_2022.xlsx</t>
        </is>
      </c>
      <c r="L968" t="inlineStr">
        <is>
          <t>volumen 317204 MWh</t>
        </is>
      </c>
    </row>
    <row r="969">
      <c r="A969" s="53" t="n">
        <v>44795</v>
      </c>
      <c r="B969" t="inlineStr">
        <is>
          <t>2022-08-22</t>
        </is>
      </c>
      <c r="C969" s="45" t="n">
        <v>185.04</v>
      </c>
      <c r="D969" t="inlineStr">
        <is>
          <t>€/MWh</t>
        </is>
      </c>
      <c r="E969" s="54" t="n">
        <v>0.18504</v>
      </c>
      <c r="F969" s="54" t="n"/>
      <c r="G969" t="inlineStr">
        <is>
          <t>no aplica (precio mayorista)</t>
        </is>
      </c>
      <c r="J969" t="inlineStr">
        <is>
          <t>2022-08-22</t>
        </is>
      </c>
      <c r="K969" t="inlineStr">
        <is>
          <t>MIBGAS_Data_2022.xlsx</t>
        </is>
      </c>
      <c r="L969" t="inlineStr">
        <is>
          <t>volumen 280621 MWh</t>
        </is>
      </c>
    </row>
    <row r="970">
      <c r="A970" s="53" t="n">
        <v>44796</v>
      </c>
      <c r="B970" t="inlineStr">
        <is>
          <t>2022-08-23</t>
        </is>
      </c>
      <c r="C970" s="45" t="n">
        <v>209.03</v>
      </c>
      <c r="D970" t="inlineStr">
        <is>
          <t>€/MWh</t>
        </is>
      </c>
      <c r="E970" s="54" t="n">
        <v>0.20903</v>
      </c>
      <c r="F970" s="54" t="n"/>
      <c r="G970" t="inlineStr">
        <is>
          <t>no aplica (precio mayorista)</t>
        </is>
      </c>
      <c r="J970" t="inlineStr">
        <is>
          <t>2022-08-23</t>
        </is>
      </c>
      <c r="K970" t="inlineStr">
        <is>
          <t>MIBGAS_Data_2022.xlsx</t>
        </is>
      </c>
      <c r="L970" t="inlineStr">
        <is>
          <t>volumen 344498 MWh</t>
        </is>
      </c>
    </row>
    <row r="971">
      <c r="A971" s="53" t="n">
        <v>44797</v>
      </c>
      <c r="B971" t="inlineStr">
        <is>
          <t>2022-08-24</t>
        </is>
      </c>
      <c r="C971" s="45" t="n">
        <v>205.21</v>
      </c>
      <c r="D971" t="inlineStr">
        <is>
          <t>€/MWh</t>
        </is>
      </c>
      <c r="E971" s="54" t="n">
        <v>0.20521</v>
      </c>
      <c r="F971" s="54" t="n"/>
      <c r="G971" t="inlineStr">
        <is>
          <t>no aplica (precio mayorista)</t>
        </is>
      </c>
      <c r="J971" t="inlineStr">
        <is>
          <t>2022-08-24</t>
        </is>
      </c>
      <c r="K971" t="inlineStr">
        <is>
          <t>MIBGAS_Data_2022.xlsx</t>
        </is>
      </c>
      <c r="L971" t="inlineStr">
        <is>
          <t>volumen 367145 MWh</t>
        </is>
      </c>
    </row>
    <row r="972">
      <c r="A972" s="53" t="n">
        <v>44798</v>
      </c>
      <c r="B972" t="inlineStr">
        <is>
          <t>2022-08-25</t>
        </is>
      </c>
      <c r="C972" s="45" t="n">
        <v>215.44</v>
      </c>
      <c r="D972" t="inlineStr">
        <is>
          <t>€/MWh</t>
        </is>
      </c>
      <c r="E972" s="54" t="n">
        <v>0.21544</v>
      </c>
      <c r="F972" s="54" t="n"/>
      <c r="G972" t="inlineStr">
        <is>
          <t>no aplica (precio mayorista)</t>
        </is>
      </c>
      <c r="J972" t="inlineStr">
        <is>
          <t>2022-08-25</t>
        </is>
      </c>
      <c r="K972" t="inlineStr">
        <is>
          <t>MIBGAS_Data_2022.xlsx</t>
        </is>
      </c>
      <c r="L972" t="inlineStr">
        <is>
          <t>volumen 379676 MWh</t>
        </is>
      </c>
    </row>
    <row r="973">
      <c r="A973" s="53" t="n">
        <v>44799</v>
      </c>
      <c r="B973" t="inlineStr">
        <is>
          <t>2022-08-26</t>
        </is>
      </c>
      <c r="C973" s="45" t="n">
        <v>223.48</v>
      </c>
      <c r="D973" t="inlineStr">
        <is>
          <t>€/MWh</t>
        </is>
      </c>
      <c r="E973" s="54" t="n">
        <v>0.22348</v>
      </c>
      <c r="F973" s="54" t="n"/>
      <c r="G973" t="inlineStr">
        <is>
          <t>no aplica (precio mayorista)</t>
        </is>
      </c>
      <c r="J973" t="inlineStr">
        <is>
          <t>2022-08-26</t>
        </is>
      </c>
      <c r="K973" t="inlineStr">
        <is>
          <t>MIBGAS_Data_2022.xlsx</t>
        </is>
      </c>
      <c r="L973" t="inlineStr">
        <is>
          <t>volumen 344375 MWh</t>
        </is>
      </c>
    </row>
    <row r="974">
      <c r="A974" s="53" t="n">
        <v>44800</v>
      </c>
      <c r="B974" t="inlineStr">
        <is>
          <t>2022-08-27</t>
        </is>
      </c>
      <c r="C974" s="45" t="n">
        <v>217.24</v>
      </c>
      <c r="D974" t="inlineStr">
        <is>
          <t>€/MWh</t>
        </is>
      </c>
      <c r="E974" s="54" t="n">
        <v>0.21724</v>
      </c>
      <c r="F974" s="54" t="n"/>
      <c r="G974" t="inlineStr">
        <is>
          <t>no aplica (precio mayorista)</t>
        </is>
      </c>
      <c r="J974" t="inlineStr">
        <is>
          <t>2022-08-27</t>
        </is>
      </c>
      <c r="K974" t="inlineStr">
        <is>
          <t>MIBGAS_Data_2022.xlsx</t>
        </is>
      </c>
      <c r="L974" t="inlineStr">
        <is>
          <t>volumen 329152 MWh</t>
        </is>
      </c>
    </row>
    <row r="975">
      <c r="A975" s="53" t="n">
        <v>44801</v>
      </c>
      <c r="B975" t="inlineStr">
        <is>
          <t>2022-08-28</t>
        </is>
      </c>
      <c r="C975" s="45" t="n">
        <v>219.42</v>
      </c>
      <c r="D975" t="inlineStr">
        <is>
          <t>€/MWh</t>
        </is>
      </c>
      <c r="E975" s="54" t="n">
        <v>0.21942</v>
      </c>
      <c r="F975" s="54" t="n"/>
      <c r="G975" t="inlineStr">
        <is>
          <t>no aplica (precio mayorista)</t>
        </is>
      </c>
      <c r="J975" t="inlineStr">
        <is>
          <t>2022-08-28</t>
        </is>
      </c>
      <c r="K975" t="inlineStr">
        <is>
          <t>MIBGAS_Data_2022.xlsx</t>
        </is>
      </c>
      <c r="L975" t="inlineStr">
        <is>
          <t>volumen 311669 MWh</t>
        </is>
      </c>
    </row>
    <row r="976">
      <c r="A976" s="53" t="n">
        <v>44802</v>
      </c>
      <c r="B976" t="inlineStr">
        <is>
          <t>2022-08-29</t>
        </is>
      </c>
      <c r="C976" s="45" t="n">
        <v>225.03</v>
      </c>
      <c r="D976" t="inlineStr">
        <is>
          <t>€/MWh</t>
        </is>
      </c>
      <c r="E976" s="54" t="n">
        <v>0.22503</v>
      </c>
      <c r="F976" s="54" t="n"/>
      <c r="G976" t="inlineStr">
        <is>
          <t>no aplica (precio mayorista)</t>
        </is>
      </c>
      <c r="J976" t="inlineStr">
        <is>
          <t>2022-08-29</t>
        </is>
      </c>
      <c r="K976" t="inlineStr">
        <is>
          <t>MIBGAS_Data_2022.xlsx</t>
        </is>
      </c>
      <c r="L976" t="inlineStr">
        <is>
          <t>volumen 351049 MWh</t>
        </is>
      </c>
    </row>
    <row r="977">
      <c r="A977" s="53" t="n">
        <v>44803</v>
      </c>
      <c r="B977" t="inlineStr">
        <is>
          <t>2022-08-30</t>
        </is>
      </c>
      <c r="C977" s="45" t="n">
        <v>224.17</v>
      </c>
      <c r="D977" t="inlineStr">
        <is>
          <t>€/MWh</t>
        </is>
      </c>
      <c r="E977" s="54" t="n">
        <v>0.22417</v>
      </c>
      <c r="F977" s="54" t="n"/>
      <c r="G977" t="inlineStr">
        <is>
          <t>no aplica (precio mayorista)</t>
        </is>
      </c>
      <c r="J977" t="inlineStr">
        <is>
          <t>2022-08-30</t>
        </is>
      </c>
      <c r="K977" t="inlineStr">
        <is>
          <t>MIBGAS_Data_2022.xlsx</t>
        </is>
      </c>
      <c r="L977" t="inlineStr">
        <is>
          <t>volumen 562535 MWh</t>
        </is>
      </c>
    </row>
    <row r="978">
      <c r="A978" s="53" t="n">
        <v>44804</v>
      </c>
      <c r="B978" t="inlineStr">
        <is>
          <t>2022-08-31</t>
        </is>
      </c>
      <c r="C978" s="45" t="n">
        <v>204.32</v>
      </c>
      <c r="D978" t="inlineStr">
        <is>
          <t>€/MWh</t>
        </is>
      </c>
      <c r="E978" s="54" t="n">
        <v>0.20432</v>
      </c>
      <c r="F978" s="54" t="n"/>
      <c r="G978" t="inlineStr">
        <is>
          <t>no aplica (precio mayorista)</t>
        </is>
      </c>
      <c r="J978" t="inlineStr">
        <is>
          <t>2022-08-31</t>
        </is>
      </c>
      <c r="K978" t="inlineStr">
        <is>
          <t>MIBGAS_Data_2022.xlsx</t>
        </is>
      </c>
      <c r="L978" t="inlineStr">
        <is>
          <t>volumen 439724 MWh</t>
        </is>
      </c>
    </row>
    <row r="979">
      <c r="A979" s="53" t="n">
        <v>44805</v>
      </c>
      <c r="B979" t="inlineStr">
        <is>
          <t>2022-09-01</t>
        </is>
      </c>
      <c r="C979" s="45" t="n">
        <v>185.39</v>
      </c>
      <c r="D979" t="inlineStr">
        <is>
          <t>€/MWh</t>
        </is>
      </c>
      <c r="E979" s="54" t="n">
        <v>0.18539</v>
      </c>
      <c r="F979" s="54" t="n"/>
      <c r="G979" t="inlineStr">
        <is>
          <t>no aplica (precio mayorista)</t>
        </is>
      </c>
      <c r="J979" t="inlineStr">
        <is>
          <t>2022-09-01</t>
        </is>
      </c>
      <c r="K979" t="inlineStr">
        <is>
          <t>MIBGAS_Data_2022.xlsx</t>
        </is>
      </c>
      <c r="L979" t="inlineStr">
        <is>
          <t>volumen 480742 MWh</t>
        </is>
      </c>
    </row>
    <row r="980">
      <c r="A980" s="53" t="n">
        <v>44806</v>
      </c>
      <c r="B980" t="inlineStr">
        <is>
          <t>2022-09-02</t>
        </is>
      </c>
      <c r="C980" s="45" t="n">
        <v>154.72</v>
      </c>
      <c r="D980" t="inlineStr">
        <is>
          <t>€/MWh</t>
        </is>
      </c>
      <c r="E980" s="54" t="n">
        <v>0.15472</v>
      </c>
      <c r="F980" s="54" t="n"/>
      <c r="G980" t="inlineStr">
        <is>
          <t>no aplica (precio mayorista)</t>
        </is>
      </c>
      <c r="J980" t="inlineStr">
        <is>
          <t>2022-09-02</t>
        </is>
      </c>
      <c r="K980" t="inlineStr">
        <is>
          <t>MIBGAS_Data_2022.xlsx</t>
        </is>
      </c>
      <c r="L980" t="inlineStr">
        <is>
          <t>volumen 458302 MWh</t>
        </is>
      </c>
    </row>
    <row r="981">
      <c r="A981" s="53" t="n">
        <v>44807</v>
      </c>
      <c r="B981" t="inlineStr">
        <is>
          <t>2022-09-03</t>
        </is>
      </c>
      <c r="C981" s="45" t="n">
        <v>109.62</v>
      </c>
      <c r="D981" t="inlineStr">
        <is>
          <t>€/MWh</t>
        </is>
      </c>
      <c r="E981" s="54" t="n">
        <v>0.10962</v>
      </c>
      <c r="F981" s="54" t="n"/>
      <c r="G981" t="inlineStr">
        <is>
          <t>no aplica (precio mayorista)</t>
        </is>
      </c>
      <c r="J981" t="inlineStr">
        <is>
          <t>2022-09-03</t>
        </is>
      </c>
      <c r="K981" t="inlineStr">
        <is>
          <t>MIBGAS_Data_2022.xlsx</t>
        </is>
      </c>
      <c r="L981" t="inlineStr">
        <is>
          <t>volumen 459302 MWh</t>
        </is>
      </c>
    </row>
    <row r="982">
      <c r="A982" s="53" t="n">
        <v>44808</v>
      </c>
      <c r="B982" t="inlineStr">
        <is>
          <t>2022-09-04</t>
        </is>
      </c>
      <c r="C982" s="45" t="n">
        <v>109.07</v>
      </c>
      <c r="D982" t="inlineStr">
        <is>
          <t>€/MWh</t>
        </is>
      </c>
      <c r="E982" s="54" t="n">
        <v>0.10907</v>
      </c>
      <c r="F982" s="54" t="n"/>
      <c r="G982" t="inlineStr">
        <is>
          <t>no aplica (precio mayorista)</t>
        </is>
      </c>
      <c r="J982" t="inlineStr">
        <is>
          <t>2022-09-04</t>
        </is>
      </c>
      <c r="K982" t="inlineStr">
        <is>
          <t>MIBGAS_Data_2022.xlsx</t>
        </is>
      </c>
      <c r="L982" t="inlineStr">
        <is>
          <t>volumen 358744 MWh</t>
        </is>
      </c>
    </row>
    <row r="983">
      <c r="A983" s="53" t="n">
        <v>44809</v>
      </c>
      <c r="B983" t="inlineStr">
        <is>
          <t>2022-09-05</t>
        </is>
      </c>
      <c r="C983" s="45" t="n">
        <v>111.41</v>
      </c>
      <c r="D983" t="inlineStr">
        <is>
          <t>€/MWh</t>
        </is>
      </c>
      <c r="E983" s="54" t="n">
        <v>0.11141</v>
      </c>
      <c r="F983" s="54" t="n"/>
      <c r="G983" t="inlineStr">
        <is>
          <t>no aplica (precio mayorista)</t>
        </is>
      </c>
      <c r="J983" t="inlineStr">
        <is>
          <t>2022-09-05</t>
        </is>
      </c>
      <c r="K983" t="inlineStr">
        <is>
          <t>MIBGAS_Data_2022.xlsx</t>
        </is>
      </c>
      <c r="L983" t="inlineStr">
        <is>
          <t>volumen 403575 MWh</t>
        </is>
      </c>
    </row>
    <row r="984">
      <c r="A984" s="53" t="n">
        <v>44810</v>
      </c>
      <c r="B984" t="inlineStr">
        <is>
          <t>2022-09-06</t>
        </is>
      </c>
      <c r="C984" s="45" t="n">
        <v>122.83</v>
      </c>
      <c r="D984" t="inlineStr">
        <is>
          <t>€/MWh</t>
        </is>
      </c>
      <c r="E984" s="54" t="n">
        <v>0.12283</v>
      </c>
      <c r="F984" s="54" t="n"/>
      <c r="G984" t="inlineStr">
        <is>
          <t>no aplica (precio mayorista)</t>
        </is>
      </c>
      <c r="J984" t="inlineStr">
        <is>
          <t>2022-09-06</t>
        </is>
      </c>
      <c r="K984" t="inlineStr">
        <is>
          <t>MIBGAS_Data_2022.xlsx</t>
        </is>
      </c>
      <c r="L984" t="inlineStr">
        <is>
          <t>volumen 364073 MWh</t>
        </is>
      </c>
    </row>
    <row r="985">
      <c r="A985" s="53" t="n">
        <v>44811</v>
      </c>
      <c r="B985" t="inlineStr">
        <is>
          <t>2022-09-07</t>
        </is>
      </c>
      <c r="C985" s="45" t="n">
        <v>107.37</v>
      </c>
      <c r="D985" t="inlineStr">
        <is>
          <t>€/MWh</t>
        </is>
      </c>
      <c r="E985" s="54" t="n">
        <v>0.10737</v>
      </c>
      <c r="F985" s="54" t="n"/>
      <c r="G985" t="inlineStr">
        <is>
          <t>no aplica (precio mayorista)</t>
        </is>
      </c>
      <c r="J985" t="inlineStr">
        <is>
          <t>2022-09-07</t>
        </is>
      </c>
      <c r="K985" t="inlineStr">
        <is>
          <t>MIBGAS_Data_2022.xlsx</t>
        </is>
      </c>
      <c r="L985" t="inlineStr">
        <is>
          <t>volumen 332762 MWh</t>
        </is>
      </c>
    </row>
    <row r="986">
      <c r="A986" s="53" t="n">
        <v>44812</v>
      </c>
      <c r="B986" t="inlineStr">
        <is>
          <t>2022-09-08</t>
        </is>
      </c>
      <c r="C986" s="45" t="n">
        <v>108.9</v>
      </c>
      <c r="D986" t="inlineStr">
        <is>
          <t>€/MWh</t>
        </is>
      </c>
      <c r="E986" s="54" t="n">
        <v>0.1089</v>
      </c>
      <c r="F986" s="54" t="n"/>
      <c r="G986" t="inlineStr">
        <is>
          <t>no aplica (precio mayorista)</t>
        </is>
      </c>
      <c r="J986" t="inlineStr">
        <is>
          <t>2022-09-08</t>
        </is>
      </c>
      <c r="K986" t="inlineStr">
        <is>
          <t>MIBGAS_Data_2022.xlsx</t>
        </is>
      </c>
      <c r="L986" t="inlineStr">
        <is>
          <t>volumen 395443 MWh</t>
        </is>
      </c>
    </row>
    <row r="987">
      <c r="A987" s="53" t="n">
        <v>44813</v>
      </c>
      <c r="B987" t="inlineStr">
        <is>
          <t>2022-09-09</t>
        </is>
      </c>
      <c r="C987" s="45" t="n">
        <v>130.23</v>
      </c>
      <c r="D987" t="inlineStr">
        <is>
          <t>€/MWh</t>
        </is>
      </c>
      <c r="E987" s="54" t="n">
        <v>0.13023</v>
      </c>
      <c r="F987" s="54" t="n"/>
      <c r="G987" t="inlineStr">
        <is>
          <t>no aplica (precio mayorista)</t>
        </is>
      </c>
      <c r="J987" t="inlineStr">
        <is>
          <t>2022-09-09</t>
        </is>
      </c>
      <c r="K987" t="inlineStr">
        <is>
          <t>MIBGAS_Data_2022.xlsx</t>
        </is>
      </c>
      <c r="L987" t="inlineStr">
        <is>
          <t>volumen 473989 MWh</t>
        </is>
      </c>
    </row>
    <row r="988">
      <c r="A988" s="53" t="n">
        <v>44814</v>
      </c>
      <c r="B988" t="inlineStr">
        <is>
          <t>2022-09-10</t>
        </is>
      </c>
      <c r="C988" s="45" t="n">
        <v>133.92</v>
      </c>
      <c r="D988" t="inlineStr">
        <is>
          <t>€/MWh</t>
        </is>
      </c>
      <c r="E988" s="54" t="n">
        <v>0.13392</v>
      </c>
      <c r="F988" s="54" t="n"/>
      <c r="G988" t="inlineStr">
        <is>
          <t>no aplica (precio mayorista)</t>
        </is>
      </c>
      <c r="J988" t="inlineStr">
        <is>
          <t>2022-09-10</t>
        </is>
      </c>
      <c r="K988" t="inlineStr">
        <is>
          <t>MIBGAS_Data_2022.xlsx</t>
        </is>
      </c>
      <c r="L988" t="inlineStr">
        <is>
          <t>volumen 372440 MWh</t>
        </is>
      </c>
    </row>
    <row r="989">
      <c r="A989" s="53" t="n">
        <v>44815</v>
      </c>
      <c r="B989" t="inlineStr">
        <is>
          <t>2022-09-11</t>
        </is>
      </c>
      <c r="C989" s="45" t="n">
        <v>134.67</v>
      </c>
      <c r="D989" t="inlineStr">
        <is>
          <t>€/MWh</t>
        </is>
      </c>
      <c r="E989" s="54" t="n">
        <v>0.13467</v>
      </c>
      <c r="F989" s="54" t="n"/>
      <c r="G989" t="inlineStr">
        <is>
          <t>no aplica (precio mayorista)</t>
        </is>
      </c>
      <c r="J989" t="inlineStr">
        <is>
          <t>2022-09-11</t>
        </is>
      </c>
      <c r="K989" t="inlineStr">
        <is>
          <t>MIBGAS_Data_2022.xlsx</t>
        </is>
      </c>
      <c r="L989" t="inlineStr">
        <is>
          <t>volumen 395417 MWh</t>
        </is>
      </c>
    </row>
    <row r="990">
      <c r="A990" s="53" t="n">
        <v>44816</v>
      </c>
      <c r="B990" t="inlineStr">
        <is>
          <t>2022-09-12</t>
        </is>
      </c>
      <c r="C990" s="45" t="n">
        <v>137.83</v>
      </c>
      <c r="D990" t="inlineStr">
        <is>
          <t>€/MWh</t>
        </is>
      </c>
      <c r="E990" s="54" t="n">
        <v>0.13783</v>
      </c>
      <c r="F990" s="54" t="n"/>
      <c r="G990" t="inlineStr">
        <is>
          <t>no aplica (precio mayorista)</t>
        </is>
      </c>
      <c r="J990" t="inlineStr">
        <is>
          <t>2022-09-12</t>
        </is>
      </c>
      <c r="K990" t="inlineStr">
        <is>
          <t>MIBGAS_Data_2022.xlsx</t>
        </is>
      </c>
      <c r="L990" t="inlineStr">
        <is>
          <t>volumen 512601 MWh</t>
        </is>
      </c>
    </row>
    <row r="991">
      <c r="A991" s="53" t="n">
        <v>44817</v>
      </c>
      <c r="B991" t="inlineStr">
        <is>
          <t>2022-09-13</t>
        </is>
      </c>
      <c r="C991" s="45" t="n">
        <v>137.26</v>
      </c>
      <c r="D991" t="inlineStr">
        <is>
          <t>€/MWh</t>
        </is>
      </c>
      <c r="E991" s="54" t="n">
        <v>0.13726</v>
      </c>
      <c r="F991" s="54" t="n"/>
      <c r="G991" t="inlineStr">
        <is>
          <t>no aplica (precio mayorista)</t>
        </is>
      </c>
      <c r="J991" t="inlineStr">
        <is>
          <t>2022-09-13</t>
        </is>
      </c>
      <c r="K991" t="inlineStr">
        <is>
          <t>MIBGAS_Data_2022.xlsx</t>
        </is>
      </c>
      <c r="L991" t="inlineStr">
        <is>
          <t>volumen 354657 MWh</t>
        </is>
      </c>
    </row>
    <row r="992">
      <c r="A992" s="53" t="n">
        <v>44818</v>
      </c>
      <c r="B992" t="inlineStr">
        <is>
          <t>2022-09-14</t>
        </is>
      </c>
      <c r="C992" s="45" t="n">
        <v>141.54</v>
      </c>
      <c r="D992" t="inlineStr">
        <is>
          <t>€/MWh</t>
        </is>
      </c>
      <c r="E992" s="54" t="n">
        <v>0.14154</v>
      </c>
      <c r="F992" s="54" t="n"/>
      <c r="G992" t="inlineStr">
        <is>
          <t>no aplica (precio mayorista)</t>
        </is>
      </c>
      <c r="J992" t="inlineStr">
        <is>
          <t>2022-09-14</t>
        </is>
      </c>
      <c r="K992" t="inlineStr">
        <is>
          <t>MIBGAS_Data_2022.xlsx</t>
        </is>
      </c>
      <c r="L992" t="inlineStr">
        <is>
          <t>volumen 392323 MWh</t>
        </is>
      </c>
    </row>
    <row r="993">
      <c r="A993" s="53" t="n">
        <v>44819</v>
      </c>
      <c r="B993" t="inlineStr">
        <is>
          <t>2022-09-15</t>
        </is>
      </c>
      <c r="C993" s="45" t="n">
        <v>159.1</v>
      </c>
      <c r="D993" t="inlineStr">
        <is>
          <t>€/MWh</t>
        </is>
      </c>
      <c r="E993" s="54" t="n">
        <v>0.1591</v>
      </c>
      <c r="F993" s="54" t="n"/>
      <c r="G993" t="inlineStr">
        <is>
          <t>no aplica (precio mayorista)</t>
        </is>
      </c>
      <c r="J993" t="inlineStr">
        <is>
          <t>2022-09-15</t>
        </is>
      </c>
      <c r="K993" t="inlineStr">
        <is>
          <t>MIBGAS_Data_2022.xlsx</t>
        </is>
      </c>
      <c r="L993" t="inlineStr">
        <is>
          <t>volumen 458387 MWh</t>
        </is>
      </c>
    </row>
    <row r="994">
      <c r="A994" s="53" t="n">
        <v>44820</v>
      </c>
      <c r="B994" t="inlineStr">
        <is>
          <t>2022-09-16</t>
        </is>
      </c>
      <c r="C994" s="45" t="n">
        <v>139.14</v>
      </c>
      <c r="D994" t="inlineStr">
        <is>
          <t>€/MWh</t>
        </is>
      </c>
      <c r="E994" s="54" t="n">
        <v>0.13914</v>
      </c>
      <c r="F994" s="54" t="n"/>
      <c r="G994" t="inlineStr">
        <is>
          <t>no aplica (precio mayorista)</t>
        </is>
      </c>
      <c r="J994" t="inlineStr">
        <is>
          <t>2022-09-16</t>
        </is>
      </c>
      <c r="K994" t="inlineStr">
        <is>
          <t>MIBGAS_Data_2022.xlsx</t>
        </is>
      </c>
      <c r="L994" t="inlineStr">
        <is>
          <t>volumen 522244 MWh</t>
        </is>
      </c>
    </row>
    <row r="995">
      <c r="A995" s="53" t="n">
        <v>44821</v>
      </c>
      <c r="B995" t="inlineStr">
        <is>
          <t>2022-09-17</t>
        </is>
      </c>
      <c r="C995" s="45" t="n">
        <v>104.75</v>
      </c>
      <c r="D995" t="inlineStr">
        <is>
          <t>€/MWh</t>
        </is>
      </c>
      <c r="E995" s="54" t="n">
        <v>0.10475</v>
      </c>
      <c r="F995" s="54" t="n"/>
      <c r="G995" t="inlineStr">
        <is>
          <t>no aplica (precio mayorista)</t>
        </is>
      </c>
      <c r="J995" t="inlineStr">
        <is>
          <t>2022-09-17</t>
        </is>
      </c>
      <c r="K995" t="inlineStr">
        <is>
          <t>MIBGAS_Data_2022.xlsx</t>
        </is>
      </c>
      <c r="L995" t="inlineStr">
        <is>
          <t>volumen 448991 MWh</t>
        </is>
      </c>
    </row>
    <row r="996">
      <c r="A996" s="53" t="n">
        <v>44822</v>
      </c>
      <c r="B996" t="inlineStr">
        <is>
          <t>2022-09-18</t>
        </is>
      </c>
      <c r="C996" s="45" t="n">
        <v>106.98</v>
      </c>
      <c r="D996" t="inlineStr">
        <is>
          <t>€/MWh</t>
        </is>
      </c>
      <c r="E996" s="54" t="n">
        <v>0.10698</v>
      </c>
      <c r="F996" s="54" t="n"/>
      <c r="G996" t="inlineStr">
        <is>
          <t>no aplica (precio mayorista)</t>
        </is>
      </c>
      <c r="J996" t="inlineStr">
        <is>
          <t>2022-09-18</t>
        </is>
      </c>
      <c r="K996" t="inlineStr">
        <is>
          <t>MIBGAS_Data_2022.xlsx</t>
        </is>
      </c>
      <c r="L996" t="inlineStr">
        <is>
          <t>volumen 435914 MWh</t>
        </is>
      </c>
    </row>
    <row r="997">
      <c r="A997" s="53" t="n">
        <v>44823</v>
      </c>
      <c r="B997" t="inlineStr">
        <is>
          <t>2022-09-19</t>
        </is>
      </c>
      <c r="C997" s="45" t="n">
        <v>106.1</v>
      </c>
      <c r="D997" t="inlineStr">
        <is>
          <t>€/MWh</t>
        </is>
      </c>
      <c r="E997" s="54" t="n">
        <v>0.1061</v>
      </c>
      <c r="F997" s="54" t="n"/>
      <c r="G997" t="inlineStr">
        <is>
          <t>no aplica (precio mayorista)</t>
        </is>
      </c>
      <c r="J997" t="inlineStr">
        <is>
          <t>2022-09-19</t>
        </is>
      </c>
      <c r="K997" t="inlineStr">
        <is>
          <t>MIBGAS_Data_2022.xlsx</t>
        </is>
      </c>
      <c r="L997" t="inlineStr">
        <is>
          <t>volumen 435030 MWh</t>
        </is>
      </c>
    </row>
    <row r="998">
      <c r="A998" s="53" t="n">
        <v>44824</v>
      </c>
      <c r="B998" t="inlineStr">
        <is>
          <t>2022-09-20</t>
        </is>
      </c>
      <c r="C998" s="45" t="n">
        <v>115.56</v>
      </c>
      <c r="D998" t="inlineStr">
        <is>
          <t>€/MWh</t>
        </is>
      </c>
      <c r="E998" s="54" t="n">
        <v>0.11556</v>
      </c>
      <c r="F998" s="54" t="n"/>
      <c r="G998" t="inlineStr">
        <is>
          <t>no aplica (precio mayorista)</t>
        </is>
      </c>
      <c r="J998" t="inlineStr">
        <is>
          <t>2022-09-20</t>
        </is>
      </c>
      <c r="K998" t="inlineStr">
        <is>
          <t>MIBGAS_Data_2022.xlsx</t>
        </is>
      </c>
      <c r="L998" t="inlineStr">
        <is>
          <t>volumen 362443 MWh</t>
        </is>
      </c>
    </row>
    <row r="999">
      <c r="A999" s="53" t="n">
        <v>44825</v>
      </c>
      <c r="B999" t="inlineStr">
        <is>
          <t>2022-09-21</t>
        </is>
      </c>
      <c r="C999" s="45" t="n">
        <v>122.35</v>
      </c>
      <c r="D999" t="inlineStr">
        <is>
          <t>€/MWh</t>
        </is>
      </c>
      <c r="E999" s="54" t="n">
        <v>0.12235</v>
      </c>
      <c r="F999" s="54" t="n"/>
      <c r="G999" t="inlineStr">
        <is>
          <t>no aplica (precio mayorista)</t>
        </is>
      </c>
      <c r="J999" t="inlineStr">
        <is>
          <t>2022-09-21</t>
        </is>
      </c>
      <c r="K999" t="inlineStr">
        <is>
          <t>MIBGAS_Data_2022.xlsx</t>
        </is>
      </c>
      <c r="L999" t="inlineStr">
        <is>
          <t>volumen 416367 MWh</t>
        </is>
      </c>
    </row>
    <row r="1000">
      <c r="A1000" s="53" t="n">
        <v>44826</v>
      </c>
      <c r="B1000" t="inlineStr">
        <is>
          <t>2022-09-22</t>
        </is>
      </c>
      <c r="C1000" s="45" t="n">
        <v>119.65</v>
      </c>
      <c r="D1000" t="inlineStr">
        <is>
          <t>€/MWh</t>
        </is>
      </c>
      <c r="E1000" s="54" t="n">
        <v>0.11965</v>
      </c>
      <c r="F1000" s="54" t="n"/>
      <c r="G1000" t="inlineStr">
        <is>
          <t>no aplica (precio mayorista)</t>
        </is>
      </c>
      <c r="J1000" t="inlineStr">
        <is>
          <t>2022-09-22</t>
        </is>
      </c>
      <c r="K1000" t="inlineStr">
        <is>
          <t>MIBGAS_Data_2022.xlsx</t>
        </is>
      </c>
      <c r="L1000" t="inlineStr">
        <is>
          <t>volumen 457702 MWh</t>
        </is>
      </c>
    </row>
    <row r="1001">
      <c r="A1001" s="53" t="n">
        <v>44827</v>
      </c>
      <c r="B1001" t="inlineStr">
        <is>
          <t>2022-09-23</t>
        </is>
      </c>
      <c r="C1001" s="45" t="n">
        <v>110.5</v>
      </c>
      <c r="D1001" t="inlineStr">
        <is>
          <t>€/MWh</t>
        </is>
      </c>
      <c r="E1001" s="54" t="n">
        <v>0.1105</v>
      </c>
      <c r="F1001" s="54" t="n"/>
      <c r="G1001" t="inlineStr">
        <is>
          <t>no aplica (precio mayorista)</t>
        </is>
      </c>
      <c r="J1001" t="inlineStr">
        <is>
          <t>2022-09-23</t>
        </is>
      </c>
      <c r="K1001" t="inlineStr">
        <is>
          <t>MIBGAS_Data_2022.xlsx</t>
        </is>
      </c>
      <c r="L1001" t="inlineStr">
        <is>
          <t>volumen 385257 MWh</t>
        </is>
      </c>
    </row>
    <row r="1002">
      <c r="A1002" s="53" t="n">
        <v>44828</v>
      </c>
      <c r="B1002" t="inlineStr">
        <is>
          <t>2022-09-24</t>
        </is>
      </c>
      <c r="C1002" s="45" t="n">
        <v>94.37</v>
      </c>
      <c r="D1002" t="inlineStr">
        <is>
          <t>€/MWh</t>
        </is>
      </c>
      <c r="E1002" s="54" t="n">
        <v>0.09437</v>
      </c>
      <c r="F1002" s="54" t="n"/>
      <c r="G1002" t="inlineStr">
        <is>
          <t>no aplica (precio mayorista)</t>
        </is>
      </c>
      <c r="J1002" t="inlineStr">
        <is>
          <t>2022-09-24</t>
        </is>
      </c>
      <c r="K1002" t="inlineStr">
        <is>
          <t>MIBGAS_Data_2022.xlsx</t>
        </is>
      </c>
      <c r="L1002" t="inlineStr">
        <is>
          <t>volumen 443438 MWh</t>
        </is>
      </c>
    </row>
    <row r="1003">
      <c r="A1003" s="53" t="n">
        <v>44829</v>
      </c>
      <c r="B1003" t="inlineStr">
        <is>
          <t>2022-09-25</t>
        </is>
      </c>
      <c r="C1003" s="45" t="n">
        <v>96.38</v>
      </c>
      <c r="D1003" t="inlineStr">
        <is>
          <t>€/MWh</t>
        </is>
      </c>
      <c r="E1003" s="54" t="n">
        <v>0.09637999999999999</v>
      </c>
      <c r="F1003" s="54" t="n"/>
      <c r="G1003" t="inlineStr">
        <is>
          <t>no aplica (precio mayorista)</t>
        </is>
      </c>
      <c r="J1003" t="inlineStr">
        <is>
          <t>2022-09-25</t>
        </is>
      </c>
      <c r="K1003" t="inlineStr">
        <is>
          <t>MIBGAS_Data_2022.xlsx</t>
        </is>
      </c>
      <c r="L1003" t="inlineStr">
        <is>
          <t>volumen 358604 MWh</t>
        </is>
      </c>
    </row>
    <row r="1004">
      <c r="A1004" s="53" t="n">
        <v>44830</v>
      </c>
      <c r="B1004" t="inlineStr">
        <is>
          <t>2022-09-26</t>
        </is>
      </c>
      <c r="C1004" s="45" t="n">
        <v>93.03</v>
      </c>
      <c r="D1004" t="inlineStr">
        <is>
          <t>€/MWh</t>
        </is>
      </c>
      <c r="E1004" s="54" t="n">
        <v>0.09303</v>
      </c>
      <c r="F1004" s="54" t="n"/>
      <c r="G1004" t="inlineStr">
        <is>
          <t>no aplica (precio mayorista)</t>
        </is>
      </c>
      <c r="J1004" t="inlineStr">
        <is>
          <t>2022-09-26</t>
        </is>
      </c>
      <c r="K1004" t="inlineStr">
        <is>
          <t>MIBGAS_Data_2022.xlsx</t>
        </is>
      </c>
      <c r="L1004" t="inlineStr">
        <is>
          <t>volumen 388147 MWh</t>
        </is>
      </c>
    </row>
    <row r="1005">
      <c r="A1005" s="53" t="n">
        <v>44831</v>
      </c>
      <c r="B1005" t="inlineStr">
        <is>
          <t>2022-09-27</t>
        </is>
      </c>
      <c r="C1005" s="45" t="n">
        <v>86.42</v>
      </c>
      <c r="D1005" t="inlineStr">
        <is>
          <t>€/MWh</t>
        </is>
      </c>
      <c r="E1005" s="54" t="n">
        <v>0.08642</v>
      </c>
      <c r="F1005" s="54" t="n"/>
      <c r="G1005" t="inlineStr">
        <is>
          <t>no aplica (precio mayorista)</t>
        </is>
      </c>
      <c r="J1005" t="inlineStr">
        <is>
          <t>2022-09-27</t>
        </is>
      </c>
      <c r="K1005" t="inlineStr">
        <is>
          <t>MIBGAS_Data_2022.xlsx</t>
        </is>
      </c>
      <c r="L1005" t="inlineStr">
        <is>
          <t>volumen 392973 MWh</t>
        </is>
      </c>
    </row>
    <row r="1006">
      <c r="A1006" s="53" t="n">
        <v>44832</v>
      </c>
      <c r="B1006" t="inlineStr">
        <is>
          <t>2022-09-28</t>
        </is>
      </c>
      <c r="C1006" s="45" t="n">
        <v>92.02</v>
      </c>
      <c r="D1006" t="inlineStr">
        <is>
          <t>€/MWh</t>
        </is>
      </c>
      <c r="E1006" s="54" t="n">
        <v>0.09202</v>
      </c>
      <c r="F1006" s="54" t="n"/>
      <c r="G1006" t="inlineStr">
        <is>
          <t>no aplica (precio mayorista)</t>
        </is>
      </c>
      <c r="J1006" t="inlineStr">
        <is>
          <t>2022-09-28</t>
        </is>
      </c>
      <c r="K1006" t="inlineStr">
        <is>
          <t>MIBGAS_Data_2022.xlsx</t>
        </is>
      </c>
      <c r="L1006" t="inlineStr">
        <is>
          <t>volumen 374074 MWh</t>
        </is>
      </c>
    </row>
    <row r="1007">
      <c r="A1007" s="53" t="n">
        <v>44833</v>
      </c>
      <c r="B1007" t="inlineStr">
        <is>
          <t>2022-09-29</t>
        </is>
      </c>
      <c r="C1007" s="45" t="n">
        <v>88.95</v>
      </c>
      <c r="D1007" t="inlineStr">
        <is>
          <t>€/MWh</t>
        </is>
      </c>
      <c r="E1007" s="54" t="n">
        <v>0.08895</v>
      </c>
      <c r="F1007" s="54" t="n"/>
      <c r="G1007" t="inlineStr">
        <is>
          <t>no aplica (precio mayorista)</t>
        </is>
      </c>
      <c r="J1007" t="inlineStr">
        <is>
          <t>2022-09-29</t>
        </is>
      </c>
      <c r="K1007" t="inlineStr">
        <is>
          <t>MIBGAS_Data_2022.xlsx</t>
        </is>
      </c>
      <c r="L1007" t="inlineStr">
        <is>
          <t>volumen 334127 MWh</t>
        </is>
      </c>
    </row>
    <row r="1008">
      <c r="A1008" s="53" t="n">
        <v>44834</v>
      </c>
      <c r="B1008" t="inlineStr">
        <is>
          <t>2022-09-30</t>
        </is>
      </c>
      <c r="C1008" s="45" t="n">
        <v>82.34999999999999</v>
      </c>
      <c r="D1008" t="inlineStr">
        <is>
          <t>€/MWh</t>
        </is>
      </c>
      <c r="E1008" s="54" t="n">
        <v>0.08235000000000001</v>
      </c>
      <c r="F1008" s="54" t="n"/>
      <c r="G1008" t="inlineStr">
        <is>
          <t>no aplica (precio mayorista)</t>
        </is>
      </c>
      <c r="J1008" t="inlineStr">
        <is>
          <t>2022-09-30</t>
        </is>
      </c>
      <c r="K1008" t="inlineStr">
        <is>
          <t>MIBGAS_Data_2022.xlsx</t>
        </is>
      </c>
      <c r="L1008" t="inlineStr">
        <is>
          <t>volumen 362283 MWh</t>
        </is>
      </c>
    </row>
    <row r="1009">
      <c r="A1009" s="53" t="n">
        <v>44835</v>
      </c>
      <c r="B1009" t="inlineStr">
        <is>
          <t>2022-10-01</t>
        </is>
      </c>
      <c r="C1009" s="45" t="n">
        <v>77.37</v>
      </c>
      <c r="D1009" t="inlineStr">
        <is>
          <t>€/MWh</t>
        </is>
      </c>
      <c r="E1009" s="54" t="n">
        <v>0.07736999999999999</v>
      </c>
      <c r="F1009" s="54" t="n"/>
      <c r="G1009" t="inlineStr">
        <is>
          <t>no aplica (precio mayorista)</t>
        </is>
      </c>
      <c r="J1009" t="inlineStr">
        <is>
          <t>2022-10-01</t>
        </is>
      </c>
      <c r="K1009" t="inlineStr">
        <is>
          <t>MIBGAS_Data_2022.xlsx</t>
        </is>
      </c>
      <c r="L1009" t="inlineStr">
        <is>
          <t>volumen 310085 MWh</t>
        </is>
      </c>
    </row>
    <row r="1010">
      <c r="A1010" s="53" t="n">
        <v>44836</v>
      </c>
      <c r="B1010" t="inlineStr">
        <is>
          <t>2022-10-02</t>
        </is>
      </c>
      <c r="C1010" s="45" t="n">
        <v>83.84</v>
      </c>
      <c r="D1010" t="inlineStr">
        <is>
          <t>€/MWh</t>
        </is>
      </c>
      <c r="E1010" s="54" t="n">
        <v>0.08384</v>
      </c>
      <c r="F1010" s="54" t="n"/>
      <c r="G1010" t="inlineStr">
        <is>
          <t>no aplica (precio mayorista)</t>
        </is>
      </c>
      <c r="J1010" t="inlineStr">
        <is>
          <t>2022-10-02</t>
        </is>
      </c>
      <c r="K1010" t="inlineStr">
        <is>
          <t>MIBGAS_Data_2022.xlsx</t>
        </is>
      </c>
      <c r="L1010" t="inlineStr">
        <is>
          <t>volumen 332812 MWh</t>
        </is>
      </c>
    </row>
    <row r="1011">
      <c r="A1011" s="53" t="n">
        <v>44837</v>
      </c>
      <c r="B1011" t="inlineStr">
        <is>
          <t>2022-10-03</t>
        </is>
      </c>
      <c r="C1011" s="45" t="n">
        <v>96.41</v>
      </c>
      <c r="D1011" t="inlineStr">
        <is>
          <t>€/MWh</t>
        </is>
      </c>
      <c r="E1011" s="54" t="n">
        <v>0.09641</v>
      </c>
      <c r="F1011" s="54" t="n"/>
      <c r="G1011" t="inlineStr">
        <is>
          <t>no aplica (precio mayorista)</t>
        </is>
      </c>
      <c r="J1011" t="inlineStr">
        <is>
          <t>2022-10-03</t>
        </is>
      </c>
      <c r="K1011" t="inlineStr">
        <is>
          <t>MIBGAS_Data_2022.xlsx</t>
        </is>
      </c>
      <c r="L1011" t="inlineStr">
        <is>
          <t>volumen 428982 MWh</t>
        </is>
      </c>
    </row>
    <row r="1012">
      <c r="A1012" s="53" t="n">
        <v>44838</v>
      </c>
      <c r="B1012" t="inlineStr">
        <is>
          <t>2022-10-04</t>
        </is>
      </c>
      <c r="C1012" s="45" t="n">
        <v>101.75</v>
      </c>
      <c r="D1012" t="inlineStr">
        <is>
          <t>€/MWh</t>
        </is>
      </c>
      <c r="E1012" s="54" t="n">
        <v>0.10175</v>
      </c>
      <c r="F1012" s="54" t="n"/>
      <c r="G1012" t="inlineStr">
        <is>
          <t>no aplica (precio mayorista)</t>
        </is>
      </c>
      <c r="J1012" t="inlineStr">
        <is>
          <t>2022-10-04</t>
        </is>
      </c>
      <c r="K1012" t="inlineStr">
        <is>
          <t>MIBGAS_Data_2022.xlsx</t>
        </is>
      </c>
      <c r="L1012" t="inlineStr">
        <is>
          <t>volumen 564024 MWh</t>
        </is>
      </c>
    </row>
    <row r="1013">
      <c r="A1013" s="53" t="n">
        <v>44839</v>
      </c>
      <c r="B1013" t="inlineStr">
        <is>
          <t>2022-10-05</t>
        </is>
      </c>
      <c r="C1013" s="45" t="n">
        <v>96.92</v>
      </c>
      <c r="D1013" t="inlineStr">
        <is>
          <t>€/MWh</t>
        </is>
      </c>
      <c r="E1013" s="54" t="n">
        <v>0.09692000000000001</v>
      </c>
      <c r="F1013" s="54" t="n"/>
      <c r="G1013" t="inlineStr">
        <is>
          <t>no aplica (precio mayorista)</t>
        </is>
      </c>
      <c r="J1013" t="inlineStr">
        <is>
          <t>2022-10-05</t>
        </is>
      </c>
      <c r="K1013" t="inlineStr">
        <is>
          <t>MIBGAS_Data_2022.xlsx</t>
        </is>
      </c>
      <c r="L1013" t="inlineStr">
        <is>
          <t>volumen 460457 MWh</t>
        </is>
      </c>
    </row>
    <row r="1014">
      <c r="A1014" s="53" t="n">
        <v>44840</v>
      </c>
      <c r="B1014" t="inlineStr">
        <is>
          <t>2022-10-06</t>
        </is>
      </c>
      <c r="C1014" s="45" t="n">
        <v>89.53</v>
      </c>
      <c r="D1014" t="inlineStr">
        <is>
          <t>€/MWh</t>
        </is>
      </c>
      <c r="E1014" s="54" t="n">
        <v>0.08953</v>
      </c>
      <c r="F1014" s="54" t="n"/>
      <c r="G1014" t="inlineStr">
        <is>
          <t>no aplica (precio mayorista)</t>
        </is>
      </c>
      <c r="J1014" t="inlineStr">
        <is>
          <t>2022-10-06</t>
        </is>
      </c>
      <c r="K1014" t="inlineStr">
        <is>
          <t>MIBGAS_Data_2022.xlsx</t>
        </is>
      </c>
      <c r="L1014" t="inlineStr">
        <is>
          <t>volumen 402229 MWh</t>
        </is>
      </c>
    </row>
    <row r="1015">
      <c r="A1015" s="53" t="n">
        <v>44841</v>
      </c>
      <c r="B1015" t="inlineStr">
        <is>
          <t>2022-10-07</t>
        </is>
      </c>
      <c r="C1015" s="45" t="n">
        <v>86.81999999999999</v>
      </c>
      <c r="D1015" t="inlineStr">
        <is>
          <t>€/MWh</t>
        </is>
      </c>
      <c r="E1015" s="54" t="n">
        <v>0.08681999999999999</v>
      </c>
      <c r="F1015" s="54" t="n"/>
      <c r="G1015" t="inlineStr">
        <is>
          <t>no aplica (precio mayorista)</t>
        </is>
      </c>
      <c r="J1015" t="inlineStr">
        <is>
          <t>2022-10-07</t>
        </is>
      </c>
      <c r="K1015" t="inlineStr">
        <is>
          <t>MIBGAS_Data_2022.xlsx</t>
        </is>
      </c>
      <c r="L1015" t="inlineStr">
        <is>
          <t>volumen 435150 MWh</t>
        </is>
      </c>
    </row>
    <row r="1016">
      <c r="A1016" s="53" t="n">
        <v>44842</v>
      </c>
      <c r="B1016" t="inlineStr">
        <is>
          <t>2022-10-08</t>
        </is>
      </c>
      <c r="C1016" s="45" t="n">
        <v>77.70999999999999</v>
      </c>
      <c r="D1016" t="inlineStr">
        <is>
          <t>€/MWh</t>
        </is>
      </c>
      <c r="E1016" s="54" t="n">
        <v>0.07771</v>
      </c>
      <c r="F1016" s="54" t="n"/>
      <c r="G1016" t="inlineStr">
        <is>
          <t>no aplica (precio mayorista)</t>
        </is>
      </c>
      <c r="J1016" t="inlineStr">
        <is>
          <t>2022-10-08</t>
        </is>
      </c>
      <c r="K1016" t="inlineStr">
        <is>
          <t>MIBGAS_Data_2022.xlsx</t>
        </is>
      </c>
      <c r="L1016" t="inlineStr">
        <is>
          <t>volumen 374749 MWh</t>
        </is>
      </c>
    </row>
    <row r="1017">
      <c r="A1017" s="53" t="n">
        <v>44843</v>
      </c>
      <c r="B1017" t="inlineStr">
        <is>
          <t>2022-10-09</t>
        </is>
      </c>
      <c r="C1017" s="45" t="n">
        <v>76.64</v>
      </c>
      <c r="D1017" t="inlineStr">
        <is>
          <t>€/MWh</t>
        </is>
      </c>
      <c r="E1017" s="54" t="n">
        <v>0.07664</v>
      </c>
      <c r="F1017" s="54" t="n"/>
      <c r="G1017" t="inlineStr">
        <is>
          <t>no aplica (precio mayorista)</t>
        </is>
      </c>
      <c r="J1017" t="inlineStr">
        <is>
          <t>2022-10-09</t>
        </is>
      </c>
      <c r="K1017" t="inlineStr">
        <is>
          <t>MIBGAS_Data_2022.xlsx</t>
        </is>
      </c>
      <c r="L1017" t="inlineStr">
        <is>
          <t>volumen 465203 MWh</t>
        </is>
      </c>
    </row>
    <row r="1018">
      <c r="A1018" s="53" t="n">
        <v>44844</v>
      </c>
      <c r="B1018" t="inlineStr">
        <is>
          <t>2022-10-10</t>
        </is>
      </c>
      <c r="C1018" s="45" t="n">
        <v>80.59999999999999</v>
      </c>
      <c r="D1018" t="inlineStr">
        <is>
          <t>€/MWh</t>
        </is>
      </c>
      <c r="E1018" s="54" t="n">
        <v>0.0806</v>
      </c>
      <c r="F1018" s="54" t="n"/>
      <c r="G1018" t="inlineStr">
        <is>
          <t>no aplica (precio mayorista)</t>
        </is>
      </c>
      <c r="J1018" t="inlineStr">
        <is>
          <t>2022-10-10</t>
        </is>
      </c>
      <c r="K1018" t="inlineStr">
        <is>
          <t>MIBGAS_Data_2022.xlsx</t>
        </is>
      </c>
      <c r="L1018" t="inlineStr">
        <is>
          <t>volumen 486026 MWh</t>
        </is>
      </c>
    </row>
    <row r="1019">
      <c r="A1019" s="53" t="n">
        <v>44845</v>
      </c>
      <c r="B1019" t="inlineStr">
        <is>
          <t>2022-10-11</t>
        </is>
      </c>
      <c r="C1019" s="45" t="n">
        <v>80.44</v>
      </c>
      <c r="D1019" t="inlineStr">
        <is>
          <t>€/MWh</t>
        </is>
      </c>
      <c r="E1019" s="54" t="n">
        <v>0.08044</v>
      </c>
      <c r="F1019" s="54" t="n"/>
      <c r="G1019" t="inlineStr">
        <is>
          <t>no aplica (precio mayorista)</t>
        </is>
      </c>
      <c r="J1019" t="inlineStr">
        <is>
          <t>2022-10-11</t>
        </is>
      </c>
      <c r="K1019" t="inlineStr">
        <is>
          <t>MIBGAS_Data_2022.xlsx</t>
        </is>
      </c>
      <c r="L1019" t="inlineStr">
        <is>
          <t>volumen 515310 MWh</t>
        </is>
      </c>
    </row>
    <row r="1020">
      <c r="A1020" s="53" t="n">
        <v>44846</v>
      </c>
      <c r="B1020" t="inlineStr">
        <is>
          <t>2022-10-12</t>
        </is>
      </c>
      <c r="C1020" s="45" t="n">
        <v>75.69</v>
      </c>
      <c r="D1020" t="inlineStr">
        <is>
          <t>€/MWh</t>
        </is>
      </c>
      <c r="E1020" s="54" t="n">
        <v>0.07568999999999999</v>
      </c>
      <c r="F1020" s="54" t="n"/>
      <c r="G1020" t="inlineStr">
        <is>
          <t>no aplica (precio mayorista)</t>
        </is>
      </c>
      <c r="J1020" t="inlineStr">
        <is>
          <t>2022-10-12</t>
        </is>
      </c>
      <c r="K1020" t="inlineStr">
        <is>
          <t>MIBGAS_Data_2022.xlsx</t>
        </is>
      </c>
      <c r="L1020" t="inlineStr">
        <is>
          <t>volumen 429540 MWh</t>
        </is>
      </c>
    </row>
    <row r="1021">
      <c r="A1021" s="53" t="n">
        <v>44847</v>
      </c>
      <c r="B1021" t="inlineStr">
        <is>
          <t>2022-10-13</t>
        </is>
      </c>
      <c r="C1021" s="45" t="n">
        <v>77.84</v>
      </c>
      <c r="D1021" t="inlineStr">
        <is>
          <t>€/MWh</t>
        </is>
      </c>
      <c r="E1021" s="54" t="n">
        <v>0.07784000000000001</v>
      </c>
      <c r="F1021" s="54" t="n"/>
      <c r="G1021" t="inlineStr">
        <is>
          <t>no aplica (precio mayorista)</t>
        </is>
      </c>
      <c r="J1021" t="inlineStr">
        <is>
          <t>2022-10-13</t>
        </is>
      </c>
      <c r="K1021" t="inlineStr">
        <is>
          <t>MIBGAS_Data_2022.xlsx</t>
        </is>
      </c>
      <c r="L1021" t="inlineStr">
        <is>
          <t>volumen 382804 MWh</t>
        </is>
      </c>
    </row>
    <row r="1022">
      <c r="A1022" s="53" t="n">
        <v>44848</v>
      </c>
      <c r="B1022" t="inlineStr">
        <is>
          <t>2022-10-14</t>
        </is>
      </c>
      <c r="C1022" s="45" t="n">
        <v>69.95999999999999</v>
      </c>
      <c r="D1022" t="inlineStr">
        <is>
          <t>€/MWh</t>
        </is>
      </c>
      <c r="E1022" s="54" t="n">
        <v>0.06995999999999999</v>
      </c>
      <c r="F1022" s="54" t="n"/>
      <c r="G1022" t="inlineStr">
        <is>
          <t>no aplica (precio mayorista)</t>
        </is>
      </c>
      <c r="J1022" t="inlineStr">
        <is>
          <t>2022-10-14</t>
        </is>
      </c>
      <c r="K1022" t="inlineStr">
        <is>
          <t>MIBGAS_Data_2022.xlsx</t>
        </is>
      </c>
      <c r="L1022" t="inlineStr">
        <is>
          <t>volumen 393989 MWh</t>
        </is>
      </c>
    </row>
    <row r="1023">
      <c r="A1023" s="53" t="n">
        <v>44849</v>
      </c>
      <c r="B1023" t="inlineStr">
        <is>
          <t>2022-10-15</t>
        </is>
      </c>
      <c r="C1023" s="45" t="n">
        <v>55.46</v>
      </c>
      <c r="D1023" t="inlineStr">
        <is>
          <t>€/MWh</t>
        </is>
      </c>
      <c r="E1023" s="54" t="n">
        <v>0.05546</v>
      </c>
      <c r="F1023" s="54" t="n"/>
      <c r="G1023" t="inlineStr">
        <is>
          <t>no aplica (precio mayorista)</t>
        </is>
      </c>
      <c r="J1023" t="inlineStr">
        <is>
          <t>2022-10-15</t>
        </is>
      </c>
      <c r="K1023" t="inlineStr">
        <is>
          <t>MIBGAS_Data_2022.xlsx</t>
        </is>
      </c>
      <c r="L1023" t="inlineStr">
        <is>
          <t>volumen 381405 MWh</t>
        </is>
      </c>
    </row>
    <row r="1024">
      <c r="A1024" s="53" t="n">
        <v>44850</v>
      </c>
      <c r="B1024" t="inlineStr">
        <is>
          <t>2022-10-16</t>
        </is>
      </c>
      <c r="C1024" s="45" t="n">
        <v>52.39</v>
      </c>
      <c r="D1024" t="inlineStr">
        <is>
          <t>€/MWh</t>
        </is>
      </c>
      <c r="E1024" s="54" t="n">
        <v>0.05239</v>
      </c>
      <c r="F1024" s="54" t="n"/>
      <c r="G1024" t="inlineStr">
        <is>
          <t>no aplica (precio mayorista)</t>
        </is>
      </c>
      <c r="J1024" t="inlineStr">
        <is>
          <t>2022-10-16</t>
        </is>
      </c>
      <c r="K1024" t="inlineStr">
        <is>
          <t>MIBGAS_Data_2022.xlsx</t>
        </is>
      </c>
      <c r="L1024" t="inlineStr">
        <is>
          <t>volumen 391798 MWh</t>
        </is>
      </c>
    </row>
    <row r="1025">
      <c r="A1025" s="53" t="n">
        <v>44851</v>
      </c>
      <c r="B1025" t="inlineStr">
        <is>
          <t>2022-10-17</t>
        </is>
      </c>
      <c r="C1025" s="45" t="n">
        <v>52.28</v>
      </c>
      <c r="D1025" t="inlineStr">
        <is>
          <t>€/MWh</t>
        </is>
      </c>
      <c r="E1025" s="54" t="n">
        <v>0.05228</v>
      </c>
      <c r="F1025" s="54" t="n"/>
      <c r="G1025" t="inlineStr">
        <is>
          <t>no aplica (precio mayorista)</t>
        </is>
      </c>
      <c r="J1025" t="inlineStr">
        <is>
          <t>2022-10-17</t>
        </is>
      </c>
      <c r="K1025" t="inlineStr">
        <is>
          <t>MIBGAS_Data_2022.xlsx</t>
        </is>
      </c>
      <c r="L1025" t="inlineStr">
        <is>
          <t>volumen 298352 MWh</t>
        </is>
      </c>
    </row>
    <row r="1026">
      <c r="A1026" s="53" t="n">
        <v>44852</v>
      </c>
      <c r="B1026" t="inlineStr">
        <is>
          <t>2022-10-18</t>
        </is>
      </c>
      <c r="C1026" s="45" t="n">
        <v>35.17</v>
      </c>
      <c r="D1026" t="inlineStr">
        <is>
          <t>€/MWh</t>
        </is>
      </c>
      <c r="E1026" s="54" t="n">
        <v>0.03517</v>
      </c>
      <c r="F1026" s="54" t="n"/>
      <c r="G1026" t="inlineStr">
        <is>
          <t>no aplica (precio mayorista)</t>
        </is>
      </c>
      <c r="J1026" t="inlineStr">
        <is>
          <t>2022-10-18</t>
        </is>
      </c>
      <c r="K1026" t="inlineStr">
        <is>
          <t>MIBGAS_Data_2022.xlsx</t>
        </is>
      </c>
      <c r="L1026" t="inlineStr">
        <is>
          <t>volumen 363620 MWh</t>
        </is>
      </c>
    </row>
    <row r="1027">
      <c r="A1027" s="53" t="n">
        <v>44853</v>
      </c>
      <c r="B1027" t="inlineStr">
        <is>
          <t>2022-10-19</t>
        </is>
      </c>
      <c r="C1027" s="45" t="n">
        <v>25.59</v>
      </c>
      <c r="D1027" t="inlineStr">
        <is>
          <t>€/MWh</t>
        </is>
      </c>
      <c r="E1027" s="54" t="n">
        <v>0.02559</v>
      </c>
      <c r="F1027" s="54" t="n"/>
      <c r="G1027" t="inlineStr">
        <is>
          <t>no aplica (precio mayorista)</t>
        </is>
      </c>
      <c r="J1027" t="inlineStr">
        <is>
          <t>2022-10-19</t>
        </is>
      </c>
      <c r="K1027" t="inlineStr">
        <is>
          <t>MIBGAS_Data_2022.xlsx</t>
        </is>
      </c>
      <c r="L1027" t="inlineStr">
        <is>
          <t>volumen 399817 MWh</t>
        </is>
      </c>
    </row>
    <row r="1028">
      <c r="A1028" s="53" t="n">
        <v>44854</v>
      </c>
      <c r="B1028" t="inlineStr">
        <is>
          <t>2022-10-20</t>
        </is>
      </c>
      <c r="C1028" s="45" t="n">
        <v>32.38</v>
      </c>
      <c r="D1028" t="inlineStr">
        <is>
          <t>€/MWh</t>
        </is>
      </c>
      <c r="E1028" s="54" t="n">
        <v>0.03238</v>
      </c>
      <c r="F1028" s="54" t="n"/>
      <c r="G1028" t="inlineStr">
        <is>
          <t>no aplica (precio mayorista)</t>
        </is>
      </c>
      <c r="J1028" t="inlineStr">
        <is>
          <t>2022-10-20</t>
        </is>
      </c>
      <c r="K1028" t="inlineStr">
        <is>
          <t>MIBGAS_Data_2022.xlsx</t>
        </is>
      </c>
      <c r="L1028" t="inlineStr">
        <is>
          <t>volumen 402836 MWh</t>
        </is>
      </c>
    </row>
    <row r="1029">
      <c r="A1029" s="53" t="n">
        <v>44855</v>
      </c>
      <c r="B1029" t="inlineStr">
        <is>
          <t>2022-10-21</t>
        </is>
      </c>
      <c r="C1029" s="45" t="n">
        <v>43.17</v>
      </c>
      <c r="D1029" t="inlineStr">
        <is>
          <t>€/MWh</t>
        </is>
      </c>
      <c r="E1029" s="54" t="n">
        <v>0.04317</v>
      </c>
      <c r="F1029" s="54" t="n"/>
      <c r="G1029" t="inlineStr">
        <is>
          <t>no aplica (precio mayorista)</t>
        </is>
      </c>
      <c r="J1029" t="inlineStr">
        <is>
          <t>2022-10-21</t>
        </is>
      </c>
      <c r="K1029" t="inlineStr">
        <is>
          <t>MIBGAS_Data_2022.xlsx</t>
        </is>
      </c>
      <c r="L1029" t="inlineStr">
        <is>
          <t>volumen 363138 MWh</t>
        </is>
      </c>
    </row>
    <row r="1030">
      <c r="A1030" s="53" t="n">
        <v>44856</v>
      </c>
      <c r="B1030" t="inlineStr">
        <is>
          <t>2022-10-22</t>
        </is>
      </c>
      <c r="C1030" s="45" t="n">
        <v>36.95</v>
      </c>
      <c r="D1030" t="inlineStr">
        <is>
          <t>€/MWh</t>
        </is>
      </c>
      <c r="E1030" s="54" t="n">
        <v>0.03695</v>
      </c>
      <c r="F1030" s="54" t="n"/>
      <c r="G1030" t="inlineStr">
        <is>
          <t>no aplica (precio mayorista)</t>
        </is>
      </c>
      <c r="J1030" t="inlineStr">
        <is>
          <t>2022-10-22</t>
        </is>
      </c>
      <c r="K1030" t="inlineStr">
        <is>
          <t>MIBGAS_Data_2022.xlsx</t>
        </is>
      </c>
      <c r="L1030" t="inlineStr">
        <is>
          <t>volumen 351165 MWh</t>
        </is>
      </c>
    </row>
    <row r="1031">
      <c r="A1031" s="53" t="n">
        <v>44857</v>
      </c>
      <c r="B1031" t="inlineStr">
        <is>
          <t>2022-10-23</t>
        </is>
      </c>
      <c r="C1031" s="45" t="n">
        <v>29.73</v>
      </c>
      <c r="D1031" t="inlineStr">
        <is>
          <t>€/MWh</t>
        </is>
      </c>
      <c r="E1031" s="54" t="n">
        <v>0.02973</v>
      </c>
      <c r="F1031" s="54" t="n"/>
      <c r="G1031" t="inlineStr">
        <is>
          <t>no aplica (precio mayorista)</t>
        </is>
      </c>
      <c r="J1031" t="inlineStr">
        <is>
          <t>2022-10-23</t>
        </is>
      </c>
      <c r="K1031" t="inlineStr">
        <is>
          <t>MIBGAS_Data_2022.xlsx</t>
        </is>
      </c>
      <c r="L1031" t="inlineStr">
        <is>
          <t>volumen 426233 MWh</t>
        </is>
      </c>
    </row>
    <row r="1032">
      <c r="A1032" s="53" t="n">
        <v>44858</v>
      </c>
      <c r="B1032" t="inlineStr">
        <is>
          <t>2022-10-24</t>
        </is>
      </c>
      <c r="C1032" s="45" t="n">
        <v>38.83</v>
      </c>
      <c r="D1032" t="inlineStr">
        <is>
          <t>€/MWh</t>
        </is>
      </c>
      <c r="E1032" s="54" t="n">
        <v>0.03883</v>
      </c>
      <c r="F1032" s="54" t="n"/>
      <c r="G1032" t="inlineStr">
        <is>
          <t>no aplica (precio mayorista)</t>
        </is>
      </c>
      <c r="J1032" t="inlineStr">
        <is>
          <t>2022-10-24</t>
        </is>
      </c>
      <c r="K1032" t="inlineStr">
        <is>
          <t>MIBGAS_Data_2022.xlsx</t>
        </is>
      </c>
      <c r="L1032" t="inlineStr">
        <is>
          <t>volumen 404100 MWh</t>
        </is>
      </c>
    </row>
    <row r="1033">
      <c r="A1033" s="53" t="n">
        <v>44859</v>
      </c>
      <c r="B1033" t="inlineStr">
        <is>
          <t>2022-10-25</t>
        </is>
      </c>
      <c r="C1033" s="45" t="n">
        <v>33.65</v>
      </c>
      <c r="D1033" t="inlineStr">
        <is>
          <t>€/MWh</t>
        </is>
      </c>
      <c r="E1033" s="54" t="n">
        <v>0.03365</v>
      </c>
      <c r="F1033" s="54" t="n"/>
      <c r="G1033" t="inlineStr">
        <is>
          <t>no aplica (precio mayorista)</t>
        </is>
      </c>
      <c r="J1033" t="inlineStr">
        <is>
          <t>2022-10-25</t>
        </is>
      </c>
      <c r="K1033" t="inlineStr">
        <is>
          <t>MIBGAS_Data_2022.xlsx</t>
        </is>
      </c>
      <c r="L1033" t="inlineStr">
        <is>
          <t>volumen 362960 MWh</t>
        </is>
      </c>
    </row>
    <row r="1034">
      <c r="A1034" s="53" t="n">
        <v>44860</v>
      </c>
      <c r="B1034" t="inlineStr">
        <is>
          <t>2022-10-26</t>
        </is>
      </c>
      <c r="C1034" s="45" t="n">
        <v>41.37</v>
      </c>
      <c r="D1034" t="inlineStr">
        <is>
          <t>€/MWh</t>
        </is>
      </c>
      <c r="E1034" s="54" t="n">
        <v>0.04137</v>
      </c>
      <c r="F1034" s="54" t="n"/>
      <c r="G1034" t="inlineStr">
        <is>
          <t>no aplica (precio mayorista)</t>
        </is>
      </c>
      <c r="J1034" t="inlineStr">
        <is>
          <t>2022-10-26</t>
        </is>
      </c>
      <c r="K1034" t="inlineStr">
        <is>
          <t>MIBGAS_Data_2022.xlsx</t>
        </is>
      </c>
      <c r="L1034" t="inlineStr">
        <is>
          <t>volumen 404863 MWh</t>
        </is>
      </c>
    </row>
    <row r="1035">
      <c r="A1035" s="53" t="n">
        <v>44861</v>
      </c>
      <c r="B1035" t="inlineStr">
        <is>
          <t>2022-10-27</t>
        </is>
      </c>
      <c r="C1035" s="45" t="n">
        <v>45.08</v>
      </c>
      <c r="D1035" t="inlineStr">
        <is>
          <t>€/MWh</t>
        </is>
      </c>
      <c r="E1035" s="54" t="n">
        <v>0.04508</v>
      </c>
      <c r="F1035" s="54" t="n"/>
      <c r="G1035" t="inlineStr">
        <is>
          <t>no aplica (precio mayorista)</t>
        </is>
      </c>
      <c r="J1035" t="inlineStr">
        <is>
          <t>2022-10-27</t>
        </is>
      </c>
      <c r="K1035" t="inlineStr">
        <is>
          <t>MIBGAS_Data_2022.xlsx</t>
        </is>
      </c>
      <c r="L1035" t="inlineStr">
        <is>
          <t>volumen 352147 MWh</t>
        </is>
      </c>
    </row>
    <row r="1036">
      <c r="A1036" s="53" t="n">
        <v>44862</v>
      </c>
      <c r="B1036" t="inlineStr">
        <is>
          <t>2022-10-28</t>
        </is>
      </c>
      <c r="C1036" s="45" t="n">
        <v>43.76</v>
      </c>
      <c r="D1036" t="inlineStr">
        <is>
          <t>€/MWh</t>
        </is>
      </c>
      <c r="E1036" s="54" t="n">
        <v>0.04376</v>
      </c>
      <c r="F1036" s="54" t="n"/>
      <c r="G1036" t="inlineStr">
        <is>
          <t>no aplica (precio mayorista)</t>
        </is>
      </c>
      <c r="J1036" t="inlineStr">
        <is>
          <t>2022-10-28</t>
        </is>
      </c>
      <c r="K1036" t="inlineStr">
        <is>
          <t>MIBGAS_Data_2022.xlsx</t>
        </is>
      </c>
      <c r="L1036" t="inlineStr">
        <is>
          <t>volumen 407029 MWh</t>
        </is>
      </c>
    </row>
    <row r="1037">
      <c r="A1037" s="53" t="n">
        <v>44863</v>
      </c>
      <c r="B1037" t="inlineStr">
        <is>
          <t>2022-10-29</t>
        </is>
      </c>
      <c r="C1037" s="45" t="n">
        <v>46.04</v>
      </c>
      <c r="D1037" t="inlineStr">
        <is>
          <t>€/MWh</t>
        </is>
      </c>
      <c r="E1037" s="54" t="n">
        <v>0.04604</v>
      </c>
      <c r="F1037" s="54" t="n"/>
      <c r="G1037" t="inlineStr">
        <is>
          <t>no aplica (precio mayorista)</t>
        </is>
      </c>
      <c r="J1037" t="inlineStr">
        <is>
          <t>2022-10-29</t>
        </is>
      </c>
      <c r="K1037" t="inlineStr">
        <is>
          <t>MIBGAS_Data_2022.xlsx</t>
        </is>
      </c>
      <c r="L1037" t="inlineStr">
        <is>
          <t>volumen 341386 MWh</t>
        </is>
      </c>
    </row>
    <row r="1038">
      <c r="A1038" s="53" t="n">
        <v>44864</v>
      </c>
      <c r="B1038" t="inlineStr">
        <is>
          <t>2022-10-30</t>
        </is>
      </c>
      <c r="C1038" s="45" t="n">
        <v>43.27</v>
      </c>
      <c r="D1038" t="inlineStr">
        <is>
          <t>€/MWh</t>
        </is>
      </c>
      <c r="E1038" s="54" t="n">
        <v>0.04327</v>
      </c>
      <c r="F1038" s="54" t="n"/>
      <c r="G1038" t="inlineStr">
        <is>
          <t>no aplica (precio mayorista)</t>
        </is>
      </c>
      <c r="J1038" t="inlineStr">
        <is>
          <t>2022-10-30</t>
        </is>
      </c>
      <c r="K1038" t="inlineStr">
        <is>
          <t>MIBGAS_Data_2022.xlsx</t>
        </is>
      </c>
      <c r="L1038" t="inlineStr">
        <is>
          <t>volumen 294172 MWh</t>
        </is>
      </c>
    </row>
    <row r="1039">
      <c r="A1039" s="53" t="n">
        <v>44865</v>
      </c>
      <c r="B1039" t="inlineStr">
        <is>
          <t>2022-10-31</t>
        </is>
      </c>
      <c r="C1039" s="45" t="n">
        <v>48.5</v>
      </c>
      <c r="D1039" t="inlineStr">
        <is>
          <t>€/MWh</t>
        </is>
      </c>
      <c r="E1039" s="54" t="n">
        <v>0.0485</v>
      </c>
      <c r="F1039" s="54" t="n"/>
      <c r="G1039" t="inlineStr">
        <is>
          <t>no aplica (precio mayorista)</t>
        </is>
      </c>
      <c r="J1039" t="inlineStr">
        <is>
          <t>2022-10-31</t>
        </is>
      </c>
      <c r="K1039" t="inlineStr">
        <is>
          <t>MIBGAS_Data_2022.xlsx</t>
        </is>
      </c>
      <c r="L1039" t="inlineStr">
        <is>
          <t>volumen 272159 MWh</t>
        </is>
      </c>
    </row>
    <row r="1040">
      <c r="A1040" s="53" t="n">
        <v>44866</v>
      </c>
      <c r="B1040" t="inlineStr">
        <is>
          <t>2022-11-01</t>
        </is>
      </c>
      <c r="C1040" s="45" t="n">
        <v>51.95</v>
      </c>
      <c r="D1040" t="inlineStr">
        <is>
          <t>€/MWh</t>
        </is>
      </c>
      <c r="E1040" s="54" t="n">
        <v>0.05195</v>
      </c>
      <c r="F1040" s="54" t="n"/>
      <c r="G1040" t="inlineStr">
        <is>
          <t>no aplica (precio mayorista)</t>
        </is>
      </c>
      <c r="J1040" t="inlineStr">
        <is>
          <t>2022-11-01</t>
        </is>
      </c>
      <c r="K1040" t="inlineStr">
        <is>
          <t>MIBGAS_Data_2022.xlsx</t>
        </is>
      </c>
      <c r="L1040" t="inlineStr">
        <is>
          <t>volumen 362144 MWh</t>
        </is>
      </c>
    </row>
    <row r="1041">
      <c r="A1041" s="53" t="n">
        <v>44867</v>
      </c>
      <c r="B1041" t="inlineStr">
        <is>
          <t>2022-11-02</t>
        </is>
      </c>
      <c r="C1041" s="45" t="n">
        <v>52.79</v>
      </c>
      <c r="D1041" t="inlineStr">
        <is>
          <t>€/MWh</t>
        </is>
      </c>
      <c r="E1041" s="54" t="n">
        <v>0.05279</v>
      </c>
      <c r="F1041" s="54" t="n"/>
      <c r="G1041" t="inlineStr">
        <is>
          <t>no aplica (precio mayorista)</t>
        </is>
      </c>
      <c r="J1041" t="inlineStr">
        <is>
          <t>2022-11-02</t>
        </is>
      </c>
      <c r="K1041" t="inlineStr">
        <is>
          <t>MIBGAS_Data_2022.xlsx</t>
        </is>
      </c>
      <c r="L1041" t="inlineStr">
        <is>
          <t>volumen 374555 MWh</t>
        </is>
      </c>
    </row>
    <row r="1042">
      <c r="A1042" s="53" t="n">
        <v>44868</v>
      </c>
      <c r="B1042" t="inlineStr">
        <is>
          <t>2022-11-03</t>
        </is>
      </c>
      <c r="C1042" s="45" t="n">
        <v>53.21</v>
      </c>
      <c r="D1042" t="inlineStr">
        <is>
          <t>€/MWh</t>
        </is>
      </c>
      <c r="E1042" s="54" t="n">
        <v>0.05321</v>
      </c>
      <c r="F1042" s="54" t="n"/>
      <c r="G1042" t="inlineStr">
        <is>
          <t>no aplica (precio mayorista)</t>
        </is>
      </c>
      <c r="J1042" t="inlineStr">
        <is>
          <t>2022-11-03</t>
        </is>
      </c>
      <c r="K1042" t="inlineStr">
        <is>
          <t>MIBGAS_Data_2022.xlsx</t>
        </is>
      </c>
      <c r="L1042" t="inlineStr">
        <is>
          <t>volumen 336896 MWh</t>
        </is>
      </c>
    </row>
    <row r="1043">
      <c r="A1043" s="53" t="n">
        <v>44869</v>
      </c>
      <c r="B1043" t="inlineStr">
        <is>
          <t>2022-11-04</t>
        </is>
      </c>
      <c r="C1043" s="45" t="n">
        <v>55.32</v>
      </c>
      <c r="D1043" t="inlineStr">
        <is>
          <t>€/MWh</t>
        </is>
      </c>
      <c r="E1043" s="54" t="n">
        <v>0.05532</v>
      </c>
      <c r="F1043" s="54" t="n"/>
      <c r="G1043" t="inlineStr">
        <is>
          <t>no aplica (precio mayorista)</t>
        </is>
      </c>
      <c r="J1043" t="inlineStr">
        <is>
          <t>2022-11-04</t>
        </is>
      </c>
      <c r="K1043" t="inlineStr">
        <is>
          <t>MIBGAS_Data_2022.xlsx</t>
        </is>
      </c>
      <c r="L1043" t="inlineStr">
        <is>
          <t>volumen 603149 MWh</t>
        </is>
      </c>
    </row>
    <row r="1044">
      <c r="A1044" s="53" t="n">
        <v>44870</v>
      </c>
      <c r="B1044" t="inlineStr">
        <is>
          <t>2022-11-05</t>
        </is>
      </c>
      <c r="C1044" s="45" t="n">
        <v>45.71</v>
      </c>
      <c r="D1044" t="inlineStr">
        <is>
          <t>€/MWh</t>
        </is>
      </c>
      <c r="E1044" s="54" t="n">
        <v>0.04571</v>
      </c>
      <c r="F1044" s="54" t="n"/>
      <c r="G1044" t="inlineStr">
        <is>
          <t>no aplica (precio mayorista)</t>
        </is>
      </c>
      <c r="J1044" t="inlineStr">
        <is>
          <t>2022-11-05</t>
        </is>
      </c>
      <c r="K1044" t="inlineStr">
        <is>
          <t>MIBGAS_Data_2022.xlsx</t>
        </is>
      </c>
      <c r="L1044" t="inlineStr">
        <is>
          <t>volumen 380115 MWh</t>
        </is>
      </c>
    </row>
    <row r="1045">
      <c r="A1045" s="53" t="n">
        <v>44871</v>
      </c>
      <c r="B1045" t="inlineStr">
        <is>
          <t>2022-11-06</t>
        </is>
      </c>
      <c r="C1045" s="45" t="n">
        <v>43.69</v>
      </c>
      <c r="D1045" t="inlineStr">
        <is>
          <t>€/MWh</t>
        </is>
      </c>
      <c r="E1045" s="54" t="n">
        <v>0.04369</v>
      </c>
      <c r="F1045" s="54" t="n"/>
      <c r="G1045" t="inlineStr">
        <is>
          <t>no aplica (precio mayorista)</t>
        </is>
      </c>
      <c r="J1045" t="inlineStr">
        <is>
          <t>2022-11-06</t>
        </is>
      </c>
      <c r="K1045" t="inlineStr">
        <is>
          <t>MIBGAS_Data_2022.xlsx</t>
        </is>
      </c>
      <c r="L1045" t="inlineStr">
        <is>
          <t>volumen 395106 MWh</t>
        </is>
      </c>
    </row>
    <row r="1046">
      <c r="A1046" s="53" t="n">
        <v>44872</v>
      </c>
      <c r="B1046" t="inlineStr">
        <is>
          <t>2022-11-07</t>
        </is>
      </c>
      <c r="C1046" s="45" t="n">
        <v>43.87</v>
      </c>
      <c r="D1046" t="inlineStr">
        <is>
          <t>€/MWh</t>
        </is>
      </c>
      <c r="E1046" s="54" t="n">
        <v>0.04387</v>
      </c>
      <c r="F1046" s="54" t="n"/>
      <c r="G1046" t="inlineStr">
        <is>
          <t>no aplica (precio mayorista)</t>
        </is>
      </c>
      <c r="J1046" t="inlineStr">
        <is>
          <t>2022-11-07</t>
        </is>
      </c>
      <c r="K1046" t="inlineStr">
        <is>
          <t>MIBGAS_Data_2022.xlsx</t>
        </is>
      </c>
      <c r="L1046" t="inlineStr">
        <is>
          <t>volumen 365961 MWh</t>
        </is>
      </c>
    </row>
    <row r="1047">
      <c r="A1047" s="53" t="n">
        <v>44873</v>
      </c>
      <c r="B1047" t="inlineStr">
        <is>
          <t>2022-11-08</t>
        </is>
      </c>
      <c r="C1047" s="45" t="n">
        <v>45.27</v>
      </c>
      <c r="D1047" t="inlineStr">
        <is>
          <t>€/MWh</t>
        </is>
      </c>
      <c r="E1047" s="54" t="n">
        <v>0.04527</v>
      </c>
      <c r="F1047" s="54" t="n"/>
      <c r="G1047" t="inlineStr">
        <is>
          <t>no aplica (precio mayorista)</t>
        </is>
      </c>
      <c r="J1047" t="inlineStr">
        <is>
          <t>2022-11-08</t>
        </is>
      </c>
      <c r="K1047" t="inlineStr">
        <is>
          <t>MIBGAS_Data_2022.xlsx</t>
        </is>
      </c>
      <c r="L1047" t="inlineStr">
        <is>
          <t>volumen 338653 MWh</t>
        </is>
      </c>
    </row>
    <row r="1048">
      <c r="A1048" s="53" t="n">
        <v>44874</v>
      </c>
      <c r="B1048" t="inlineStr">
        <is>
          <t>2022-11-09</t>
        </is>
      </c>
      <c r="C1048" s="45" t="n">
        <v>47.89</v>
      </c>
      <c r="D1048" t="inlineStr">
        <is>
          <t>€/MWh</t>
        </is>
      </c>
      <c r="E1048" s="54" t="n">
        <v>0.04789</v>
      </c>
      <c r="F1048" s="54" t="n"/>
      <c r="G1048" t="inlineStr">
        <is>
          <t>no aplica (precio mayorista)</t>
        </is>
      </c>
      <c r="J1048" t="inlineStr">
        <is>
          <t>2022-11-09</t>
        </is>
      </c>
      <c r="K1048" t="inlineStr">
        <is>
          <t>MIBGAS_Data_2022.xlsx</t>
        </is>
      </c>
      <c r="L1048" t="inlineStr">
        <is>
          <t>volumen 418627 MWh</t>
        </is>
      </c>
    </row>
    <row r="1049">
      <c r="A1049" s="53" t="n">
        <v>44875</v>
      </c>
      <c r="B1049" t="inlineStr">
        <is>
          <t>2022-11-10</t>
        </is>
      </c>
      <c r="C1049" s="45" t="n">
        <v>49.54</v>
      </c>
      <c r="D1049" t="inlineStr">
        <is>
          <t>€/MWh</t>
        </is>
      </c>
      <c r="E1049" s="54" t="n">
        <v>0.04954</v>
      </c>
      <c r="F1049" s="54" t="n"/>
      <c r="G1049" t="inlineStr">
        <is>
          <t>no aplica (precio mayorista)</t>
        </is>
      </c>
      <c r="J1049" t="inlineStr">
        <is>
          <t>2022-11-10</t>
        </is>
      </c>
      <c r="K1049" t="inlineStr">
        <is>
          <t>MIBGAS_Data_2022.xlsx</t>
        </is>
      </c>
      <c r="L1049" t="inlineStr">
        <is>
          <t>volumen 372325 MWh</t>
        </is>
      </c>
    </row>
    <row r="1050">
      <c r="A1050" s="53" t="n">
        <v>44876</v>
      </c>
      <c r="B1050" t="inlineStr">
        <is>
          <t>2022-11-11</t>
        </is>
      </c>
      <c r="C1050" s="45" t="n">
        <v>52.69</v>
      </c>
      <c r="D1050" t="inlineStr">
        <is>
          <t>€/MWh</t>
        </is>
      </c>
      <c r="E1050" s="54" t="n">
        <v>0.05269</v>
      </c>
      <c r="F1050" s="54" t="n"/>
      <c r="G1050" t="inlineStr">
        <is>
          <t>no aplica (precio mayorista)</t>
        </is>
      </c>
      <c r="J1050" t="inlineStr">
        <is>
          <t>2022-11-11</t>
        </is>
      </c>
      <c r="K1050" t="inlineStr">
        <is>
          <t>MIBGAS_Data_2022.xlsx</t>
        </is>
      </c>
      <c r="L1050" t="inlineStr">
        <is>
          <t>volumen 302592 MWh</t>
        </is>
      </c>
    </row>
    <row r="1051">
      <c r="A1051" s="53" t="n">
        <v>44877</v>
      </c>
      <c r="B1051" t="inlineStr">
        <is>
          <t>2022-11-12</t>
        </is>
      </c>
      <c r="C1051" s="45" t="n">
        <v>49.19</v>
      </c>
      <c r="D1051" t="inlineStr">
        <is>
          <t>€/MWh</t>
        </is>
      </c>
      <c r="E1051" s="54" t="n">
        <v>0.04919</v>
      </c>
      <c r="F1051" s="54" t="n"/>
      <c r="G1051" t="inlineStr">
        <is>
          <t>no aplica (precio mayorista)</t>
        </is>
      </c>
      <c r="J1051" t="inlineStr">
        <is>
          <t>2022-11-12</t>
        </is>
      </c>
      <c r="K1051" t="inlineStr">
        <is>
          <t>MIBGAS_Data_2022.xlsx</t>
        </is>
      </c>
      <c r="L1051" t="inlineStr">
        <is>
          <t>volumen 301667 MWh</t>
        </is>
      </c>
    </row>
    <row r="1052">
      <c r="A1052" s="53" t="n">
        <v>44878</v>
      </c>
      <c r="B1052" t="inlineStr">
        <is>
          <t>2022-11-13</t>
        </is>
      </c>
      <c r="C1052" s="45" t="n">
        <v>49.98</v>
      </c>
      <c r="D1052" t="inlineStr">
        <is>
          <t>€/MWh</t>
        </is>
      </c>
      <c r="E1052" s="54" t="n">
        <v>0.04998</v>
      </c>
      <c r="F1052" s="54" t="n"/>
      <c r="G1052" t="inlineStr">
        <is>
          <t>no aplica (precio mayorista)</t>
        </is>
      </c>
      <c r="J1052" t="inlineStr">
        <is>
          <t>2022-11-13</t>
        </is>
      </c>
      <c r="K1052" t="inlineStr">
        <is>
          <t>MIBGAS_Data_2022.xlsx</t>
        </is>
      </c>
      <c r="L1052" t="inlineStr">
        <is>
          <t>volumen 338754 MWh</t>
        </is>
      </c>
    </row>
    <row r="1053">
      <c r="A1053" s="53" t="n">
        <v>44879</v>
      </c>
      <c r="B1053" t="inlineStr">
        <is>
          <t>2022-11-14</t>
        </is>
      </c>
      <c r="C1053" s="45" t="n">
        <v>53.58</v>
      </c>
      <c r="D1053" t="inlineStr">
        <is>
          <t>€/MWh</t>
        </is>
      </c>
      <c r="E1053" s="54" t="n">
        <v>0.05358</v>
      </c>
      <c r="F1053" s="54" t="n"/>
      <c r="G1053" t="inlineStr">
        <is>
          <t>no aplica (precio mayorista)</t>
        </is>
      </c>
      <c r="J1053" t="inlineStr">
        <is>
          <t>2022-11-14</t>
        </is>
      </c>
      <c r="K1053" t="inlineStr">
        <is>
          <t>MIBGAS_Data_2022.xlsx</t>
        </is>
      </c>
      <c r="L1053" t="inlineStr">
        <is>
          <t>volumen 312606 MWh</t>
        </is>
      </c>
    </row>
    <row r="1054">
      <c r="A1054" s="53" t="n">
        <v>44880</v>
      </c>
      <c r="B1054" t="inlineStr">
        <is>
          <t>2022-11-15</t>
        </is>
      </c>
      <c r="C1054" s="45" t="n">
        <v>53.84</v>
      </c>
      <c r="D1054" t="inlineStr">
        <is>
          <t>€/MWh</t>
        </is>
      </c>
      <c r="E1054" s="54" t="n">
        <v>0.05384</v>
      </c>
      <c r="F1054" s="54" t="n"/>
      <c r="G1054" t="inlineStr">
        <is>
          <t>no aplica (precio mayorista)</t>
        </is>
      </c>
      <c r="J1054" t="inlineStr">
        <is>
          <t>2022-11-15</t>
        </is>
      </c>
      <c r="K1054" t="inlineStr">
        <is>
          <t>MIBGAS_Data_2022.xlsx</t>
        </is>
      </c>
      <c r="L1054" t="inlineStr">
        <is>
          <t>volumen 312519 MWh</t>
        </is>
      </c>
    </row>
    <row r="1055">
      <c r="A1055" s="53" t="n">
        <v>44881</v>
      </c>
      <c r="B1055" t="inlineStr">
        <is>
          <t>2022-11-16</t>
        </is>
      </c>
      <c r="C1055" s="45" t="n">
        <v>53.82</v>
      </c>
      <c r="D1055" t="inlineStr">
        <is>
          <t>€/MWh</t>
        </is>
      </c>
      <c r="E1055" s="54" t="n">
        <v>0.05382</v>
      </c>
      <c r="F1055" s="54" t="n"/>
      <c r="G1055" t="inlineStr">
        <is>
          <t>no aplica (precio mayorista)</t>
        </is>
      </c>
      <c r="J1055" t="inlineStr">
        <is>
          <t>2022-11-16</t>
        </is>
      </c>
      <c r="K1055" t="inlineStr">
        <is>
          <t>MIBGAS_Data_2022.xlsx</t>
        </is>
      </c>
      <c r="L1055" t="inlineStr">
        <is>
          <t>volumen 263784 MWh</t>
        </is>
      </c>
    </row>
    <row r="1056">
      <c r="A1056" s="53" t="n">
        <v>44882</v>
      </c>
      <c r="B1056" t="inlineStr">
        <is>
          <t>2022-11-17</t>
        </is>
      </c>
      <c r="C1056" s="45" t="n">
        <v>52.76</v>
      </c>
      <c r="D1056" t="inlineStr">
        <is>
          <t>€/MWh</t>
        </is>
      </c>
      <c r="E1056" s="54" t="n">
        <v>0.05276</v>
      </c>
      <c r="F1056" s="54" t="n"/>
      <c r="G1056" t="inlineStr">
        <is>
          <t>no aplica (precio mayorista)</t>
        </is>
      </c>
      <c r="J1056" t="inlineStr">
        <is>
          <t>2022-11-17</t>
        </is>
      </c>
      <c r="K1056" t="inlineStr">
        <is>
          <t>MIBGAS_Data_2022.xlsx</t>
        </is>
      </c>
      <c r="L1056" t="inlineStr">
        <is>
          <t>volumen 275848 MWh</t>
        </is>
      </c>
    </row>
    <row r="1057">
      <c r="A1057" s="53" t="n">
        <v>44883</v>
      </c>
      <c r="B1057" t="inlineStr">
        <is>
          <t>2022-11-18</t>
        </is>
      </c>
      <c r="C1057" s="45" t="n">
        <v>53.03</v>
      </c>
      <c r="D1057" t="inlineStr">
        <is>
          <t>€/MWh</t>
        </is>
      </c>
      <c r="E1057" s="54" t="n">
        <v>0.05303</v>
      </c>
      <c r="F1057" s="54" t="n"/>
      <c r="G1057" t="inlineStr">
        <is>
          <t>no aplica (precio mayorista)</t>
        </is>
      </c>
      <c r="J1057" t="inlineStr">
        <is>
          <t>2022-11-18</t>
        </is>
      </c>
      <c r="K1057" t="inlineStr">
        <is>
          <t>MIBGAS_Data_2022.xlsx</t>
        </is>
      </c>
      <c r="L1057" t="inlineStr">
        <is>
          <t>volumen 264893 MWh</t>
        </is>
      </c>
    </row>
    <row r="1058">
      <c r="A1058" s="53" t="n">
        <v>44884</v>
      </c>
      <c r="B1058" t="inlineStr">
        <is>
          <t>2022-11-19</t>
        </is>
      </c>
      <c r="C1058" s="45" t="n">
        <v>51.66</v>
      </c>
      <c r="D1058" t="inlineStr">
        <is>
          <t>€/MWh</t>
        </is>
      </c>
      <c r="E1058" s="54" t="n">
        <v>0.05166</v>
      </c>
      <c r="F1058" s="54" t="n"/>
      <c r="G1058" t="inlineStr">
        <is>
          <t>no aplica (precio mayorista)</t>
        </is>
      </c>
      <c r="J1058" t="inlineStr">
        <is>
          <t>2022-11-19</t>
        </is>
      </c>
      <c r="K1058" t="inlineStr">
        <is>
          <t>MIBGAS_Data_2022.xlsx</t>
        </is>
      </c>
      <c r="L1058" t="inlineStr">
        <is>
          <t>volumen 238869 MWh</t>
        </is>
      </c>
    </row>
    <row r="1059">
      <c r="A1059" s="53" t="n">
        <v>44885</v>
      </c>
      <c r="B1059" t="inlineStr">
        <is>
          <t>2022-11-20</t>
        </is>
      </c>
      <c r="C1059" s="45" t="n">
        <v>51.06</v>
      </c>
      <c r="D1059" t="inlineStr">
        <is>
          <t>€/MWh</t>
        </is>
      </c>
      <c r="E1059" s="54" t="n">
        <v>0.05106</v>
      </c>
      <c r="F1059" s="54" t="n"/>
      <c r="G1059" t="inlineStr">
        <is>
          <t>no aplica (precio mayorista)</t>
        </is>
      </c>
      <c r="J1059" t="inlineStr">
        <is>
          <t>2022-11-20</t>
        </is>
      </c>
      <c r="K1059" t="inlineStr">
        <is>
          <t>MIBGAS_Data_2022.xlsx</t>
        </is>
      </c>
      <c r="L1059" t="inlineStr">
        <is>
          <t>volumen 257003 MWh</t>
        </is>
      </c>
    </row>
    <row r="1060">
      <c r="A1060" s="53" t="n">
        <v>44886</v>
      </c>
      <c r="B1060" t="inlineStr">
        <is>
          <t>2022-11-21</t>
        </is>
      </c>
      <c r="C1060" s="45" t="n">
        <v>52.3</v>
      </c>
      <c r="D1060" t="inlineStr">
        <is>
          <t>€/MWh</t>
        </is>
      </c>
      <c r="E1060" s="54" t="n">
        <v>0.0523</v>
      </c>
      <c r="F1060" s="54" t="n"/>
      <c r="G1060" t="inlineStr">
        <is>
          <t>no aplica (precio mayorista)</t>
        </is>
      </c>
      <c r="J1060" t="inlineStr">
        <is>
          <t>2022-11-21</t>
        </is>
      </c>
      <c r="K1060" t="inlineStr">
        <is>
          <t>MIBGAS_Data_2022.xlsx</t>
        </is>
      </c>
      <c r="L1060" t="inlineStr">
        <is>
          <t>volumen 196489 MWh</t>
        </is>
      </c>
    </row>
    <row r="1061">
      <c r="A1061" s="53" t="n">
        <v>44887</v>
      </c>
      <c r="B1061" t="inlineStr">
        <is>
          <t>2022-11-22</t>
        </is>
      </c>
      <c r="C1061" s="45" t="n">
        <v>52.49</v>
      </c>
      <c r="D1061" t="inlineStr">
        <is>
          <t>€/MWh</t>
        </is>
      </c>
      <c r="E1061" s="54" t="n">
        <v>0.05249</v>
      </c>
      <c r="F1061" s="54" t="n"/>
      <c r="G1061" t="inlineStr">
        <is>
          <t>no aplica (precio mayorista)</t>
        </is>
      </c>
      <c r="J1061" t="inlineStr">
        <is>
          <t>2022-11-22</t>
        </is>
      </c>
      <c r="K1061" t="inlineStr">
        <is>
          <t>MIBGAS_Data_2022.xlsx</t>
        </is>
      </c>
      <c r="L1061" t="inlineStr">
        <is>
          <t>volumen 248267 MWh</t>
        </is>
      </c>
    </row>
    <row r="1062">
      <c r="A1062" s="53" t="n">
        <v>44888</v>
      </c>
      <c r="B1062" t="inlineStr">
        <is>
          <t>2022-11-23</t>
        </is>
      </c>
      <c r="C1062" s="45" t="n">
        <v>66.22</v>
      </c>
      <c r="D1062" t="inlineStr">
        <is>
          <t>€/MWh</t>
        </is>
      </c>
      <c r="E1062" s="54" t="n">
        <v>0.06622</v>
      </c>
      <c r="F1062" s="54" t="n"/>
      <c r="G1062" t="inlineStr">
        <is>
          <t>no aplica (precio mayorista)</t>
        </is>
      </c>
      <c r="J1062" t="inlineStr">
        <is>
          <t>2022-11-23</t>
        </is>
      </c>
      <c r="K1062" t="inlineStr">
        <is>
          <t>MIBGAS_Data_2022.xlsx</t>
        </is>
      </c>
      <c r="L1062" t="inlineStr">
        <is>
          <t>volumen 307954 MWh</t>
        </is>
      </c>
    </row>
    <row r="1063">
      <c r="A1063" s="53" t="n">
        <v>44889</v>
      </c>
      <c r="B1063" t="inlineStr">
        <is>
          <t>2022-11-24</t>
        </is>
      </c>
      <c r="C1063" s="45" t="n">
        <v>82.45</v>
      </c>
      <c r="D1063" t="inlineStr">
        <is>
          <t>€/MWh</t>
        </is>
      </c>
      <c r="E1063" s="54" t="n">
        <v>0.08245</v>
      </c>
      <c r="F1063" s="54" t="n"/>
      <c r="G1063" t="inlineStr">
        <is>
          <t>no aplica (precio mayorista)</t>
        </is>
      </c>
      <c r="J1063" t="inlineStr">
        <is>
          <t>2022-11-24</t>
        </is>
      </c>
      <c r="K1063" t="inlineStr">
        <is>
          <t>MIBGAS_Data_2022.xlsx</t>
        </is>
      </c>
      <c r="L1063" t="inlineStr">
        <is>
          <t>volumen 266528 MWh</t>
        </is>
      </c>
    </row>
    <row r="1064">
      <c r="A1064" s="53" t="n">
        <v>44890</v>
      </c>
      <c r="B1064" t="inlineStr">
        <is>
          <t>2022-11-25</t>
        </is>
      </c>
      <c r="C1064" s="45" t="n">
        <v>88.36</v>
      </c>
      <c r="D1064" t="inlineStr">
        <is>
          <t>€/MWh</t>
        </is>
      </c>
      <c r="E1064" s="54" t="n">
        <v>0.08835999999999999</v>
      </c>
      <c r="F1064" s="54" t="n"/>
      <c r="G1064" t="inlineStr">
        <is>
          <t>no aplica (precio mayorista)</t>
        </is>
      </c>
      <c r="J1064" t="inlineStr">
        <is>
          <t>2022-11-25</t>
        </is>
      </c>
      <c r="K1064" t="inlineStr">
        <is>
          <t>MIBGAS_Data_2022.xlsx</t>
        </is>
      </c>
      <c r="L1064" t="inlineStr">
        <is>
          <t>volumen 318181 MWh</t>
        </is>
      </c>
    </row>
    <row r="1065">
      <c r="A1065" s="53" t="n">
        <v>44891</v>
      </c>
      <c r="B1065" t="inlineStr">
        <is>
          <t>2022-11-26</t>
        </is>
      </c>
      <c r="C1065" s="45" t="n">
        <v>85.37</v>
      </c>
      <c r="D1065" t="inlineStr">
        <is>
          <t>€/MWh</t>
        </is>
      </c>
      <c r="E1065" s="54" t="n">
        <v>0.08537</v>
      </c>
      <c r="F1065" s="54" t="n"/>
      <c r="G1065" t="inlineStr">
        <is>
          <t>no aplica (precio mayorista)</t>
        </is>
      </c>
      <c r="J1065" t="inlineStr">
        <is>
          <t>2022-11-26</t>
        </is>
      </c>
      <c r="K1065" t="inlineStr">
        <is>
          <t>MIBGAS_Data_2022.xlsx</t>
        </is>
      </c>
      <c r="L1065" t="inlineStr">
        <is>
          <t>volumen 317953 MWh</t>
        </is>
      </c>
    </row>
    <row r="1066">
      <c r="A1066" s="53" t="n">
        <v>44892</v>
      </c>
      <c r="B1066" t="inlineStr">
        <is>
          <t>2022-11-27</t>
        </is>
      </c>
      <c r="C1066" s="45" t="n">
        <v>84.20999999999999</v>
      </c>
      <c r="D1066" t="inlineStr">
        <is>
          <t>€/MWh</t>
        </is>
      </c>
      <c r="E1066" s="54" t="n">
        <v>0.08420999999999999</v>
      </c>
      <c r="F1066" s="54" t="n"/>
      <c r="G1066" t="inlineStr">
        <is>
          <t>no aplica (precio mayorista)</t>
        </is>
      </c>
      <c r="J1066" t="inlineStr">
        <is>
          <t>2022-11-27</t>
        </is>
      </c>
      <c r="K1066" t="inlineStr">
        <is>
          <t>MIBGAS_Data_2022.xlsx</t>
        </is>
      </c>
      <c r="L1066" t="inlineStr">
        <is>
          <t>volumen 295624 MWh</t>
        </is>
      </c>
    </row>
    <row r="1067">
      <c r="A1067" s="53" t="n">
        <v>44893</v>
      </c>
      <c r="B1067" t="inlineStr">
        <is>
          <t>2022-11-28</t>
        </is>
      </c>
      <c r="C1067" s="45" t="n">
        <v>87.93000000000001</v>
      </c>
      <c r="D1067" t="inlineStr">
        <is>
          <t>€/MWh</t>
        </is>
      </c>
      <c r="E1067" s="54" t="n">
        <v>0.08792999999999999</v>
      </c>
      <c r="F1067" s="54" t="n"/>
      <c r="G1067" t="inlineStr">
        <is>
          <t>no aplica (precio mayorista)</t>
        </is>
      </c>
      <c r="J1067" t="inlineStr">
        <is>
          <t>2022-11-28</t>
        </is>
      </c>
      <c r="K1067" t="inlineStr">
        <is>
          <t>MIBGAS_Data_2022.xlsx</t>
        </is>
      </c>
      <c r="L1067" t="inlineStr">
        <is>
          <t>volumen 254456 MWh</t>
        </is>
      </c>
    </row>
    <row r="1068">
      <c r="A1068" s="53" t="n">
        <v>44894</v>
      </c>
      <c r="B1068" t="inlineStr">
        <is>
          <t>2022-11-29</t>
        </is>
      </c>
      <c r="C1068" s="45" t="n">
        <v>94.84</v>
      </c>
      <c r="D1068" t="inlineStr">
        <is>
          <t>€/MWh</t>
        </is>
      </c>
      <c r="E1068" s="54" t="n">
        <v>0.09483999999999999</v>
      </c>
      <c r="F1068" s="54" t="n"/>
      <c r="G1068" t="inlineStr">
        <is>
          <t>no aplica (precio mayorista)</t>
        </is>
      </c>
      <c r="J1068" t="inlineStr">
        <is>
          <t>2022-11-29</t>
        </is>
      </c>
      <c r="K1068" t="inlineStr">
        <is>
          <t>MIBGAS_Data_2022.xlsx</t>
        </is>
      </c>
      <c r="L1068" t="inlineStr">
        <is>
          <t>volumen 363313 MWh</t>
        </is>
      </c>
    </row>
    <row r="1069">
      <c r="A1069" s="53" t="n">
        <v>44895</v>
      </c>
      <c r="B1069" t="inlineStr">
        <is>
          <t>2022-11-30</t>
        </is>
      </c>
      <c r="C1069" s="45" t="n">
        <v>109.42</v>
      </c>
      <c r="D1069" t="inlineStr">
        <is>
          <t>€/MWh</t>
        </is>
      </c>
      <c r="E1069" s="54" t="n">
        <v>0.10942</v>
      </c>
      <c r="F1069" s="54" t="n"/>
      <c r="G1069" t="inlineStr">
        <is>
          <t>no aplica (precio mayorista)</t>
        </is>
      </c>
      <c r="J1069" t="inlineStr">
        <is>
          <t>2022-11-30</t>
        </is>
      </c>
      <c r="K1069" t="inlineStr">
        <is>
          <t>MIBGAS_Data_2022.xlsx</t>
        </is>
      </c>
      <c r="L1069" t="inlineStr">
        <is>
          <t>volumen 400390 MWh</t>
        </is>
      </c>
    </row>
    <row r="1070">
      <c r="A1070" s="53" t="n">
        <v>44896</v>
      </c>
      <c r="B1070" t="inlineStr">
        <is>
          <t>2022-12-01</t>
        </is>
      </c>
      <c r="C1070" s="45" t="n">
        <v>114.65</v>
      </c>
      <c r="D1070" t="inlineStr">
        <is>
          <t>€/MWh</t>
        </is>
      </c>
      <c r="E1070" s="54" t="n">
        <v>0.11465</v>
      </c>
      <c r="F1070" s="54" t="n"/>
      <c r="G1070" t="inlineStr">
        <is>
          <t>no aplica (precio mayorista)</t>
        </is>
      </c>
      <c r="J1070" t="inlineStr">
        <is>
          <t>2022-12-01</t>
        </is>
      </c>
      <c r="K1070" t="inlineStr">
        <is>
          <t>MIBGAS_Data_2022.xlsx</t>
        </is>
      </c>
      <c r="L1070" t="inlineStr">
        <is>
          <t>volumen 551340 MWh</t>
        </is>
      </c>
    </row>
    <row r="1071">
      <c r="A1071" s="53" t="n">
        <v>44897</v>
      </c>
      <c r="B1071" t="inlineStr">
        <is>
          <t>2022-12-02</t>
        </is>
      </c>
      <c r="C1071" s="45" t="n">
        <v>103.24</v>
      </c>
      <c r="D1071" t="inlineStr">
        <is>
          <t>€/MWh</t>
        </is>
      </c>
      <c r="E1071" s="54" t="n">
        <v>0.10324</v>
      </c>
      <c r="F1071" s="54" t="n"/>
      <c r="G1071" t="inlineStr">
        <is>
          <t>no aplica (precio mayorista)</t>
        </is>
      </c>
      <c r="J1071" t="inlineStr">
        <is>
          <t>2022-12-02</t>
        </is>
      </c>
      <c r="K1071" t="inlineStr">
        <is>
          <t>MIBGAS_Data_2022.xlsx</t>
        </is>
      </c>
      <c r="L1071" t="inlineStr">
        <is>
          <t>volumen 526435 MWh</t>
        </is>
      </c>
    </row>
    <row r="1072">
      <c r="A1072" s="53" t="n">
        <v>44898</v>
      </c>
      <c r="B1072" t="inlineStr">
        <is>
          <t>2022-12-03</t>
        </is>
      </c>
      <c r="C1072" s="45" t="n">
        <v>117.37</v>
      </c>
      <c r="D1072" t="inlineStr">
        <is>
          <t>€/MWh</t>
        </is>
      </c>
      <c r="E1072" s="54" t="n">
        <v>0.11737</v>
      </c>
      <c r="F1072" s="54" t="n"/>
      <c r="G1072" t="inlineStr">
        <is>
          <t>no aplica (precio mayorista)</t>
        </is>
      </c>
      <c r="J1072" t="inlineStr">
        <is>
          <t>2022-12-03</t>
        </is>
      </c>
      <c r="K1072" t="inlineStr">
        <is>
          <t>MIBGAS_Data_2022.xlsx</t>
        </is>
      </c>
      <c r="L1072" t="inlineStr">
        <is>
          <t>volumen 408933 MWh</t>
        </is>
      </c>
    </row>
    <row r="1073">
      <c r="A1073" s="53" t="n">
        <v>44899</v>
      </c>
      <c r="B1073" t="inlineStr">
        <is>
          <t>2022-12-04</t>
        </is>
      </c>
      <c r="C1073" s="45" t="n">
        <v>117.94</v>
      </c>
      <c r="D1073" t="inlineStr">
        <is>
          <t>€/MWh</t>
        </is>
      </c>
      <c r="E1073" s="54" t="n">
        <v>0.11794</v>
      </c>
      <c r="F1073" s="54" t="n"/>
      <c r="G1073" t="inlineStr">
        <is>
          <t>no aplica (precio mayorista)</t>
        </is>
      </c>
      <c r="J1073" t="inlineStr">
        <is>
          <t>2022-12-04</t>
        </is>
      </c>
      <c r="K1073" t="inlineStr">
        <is>
          <t>MIBGAS_Data_2022.xlsx</t>
        </is>
      </c>
      <c r="L1073" t="inlineStr">
        <is>
          <t>volumen 400548 MWh</t>
        </is>
      </c>
    </row>
    <row r="1074">
      <c r="A1074" s="53" t="n">
        <v>44900</v>
      </c>
      <c r="B1074" t="inlineStr">
        <is>
          <t>2022-12-05</t>
        </is>
      </c>
      <c r="C1074" s="45" t="n">
        <v>119.22</v>
      </c>
      <c r="D1074" t="inlineStr">
        <is>
          <t>€/MWh</t>
        </is>
      </c>
      <c r="E1074" s="54" t="n">
        <v>0.11922</v>
      </c>
      <c r="F1074" s="54" t="n"/>
      <c r="G1074" t="inlineStr">
        <is>
          <t>no aplica (precio mayorista)</t>
        </is>
      </c>
      <c r="J1074" t="inlineStr">
        <is>
          <t>2022-12-05</t>
        </is>
      </c>
      <c r="K1074" t="inlineStr">
        <is>
          <t>MIBGAS_Data_2022.xlsx</t>
        </is>
      </c>
      <c r="L1074" t="inlineStr">
        <is>
          <t>volumen 461917 MWh</t>
        </is>
      </c>
    </row>
    <row r="1075">
      <c r="A1075" s="53" t="n">
        <v>44901</v>
      </c>
      <c r="B1075" t="inlineStr">
        <is>
          <t>2022-12-06</t>
        </is>
      </c>
      <c r="C1075" s="45" t="n">
        <v>124.69</v>
      </c>
      <c r="D1075" t="inlineStr">
        <is>
          <t>€/MWh</t>
        </is>
      </c>
      <c r="E1075" s="54" t="n">
        <v>0.12469</v>
      </c>
      <c r="F1075" s="54" t="n"/>
      <c r="G1075" t="inlineStr">
        <is>
          <t>no aplica (precio mayorista)</t>
        </is>
      </c>
      <c r="J1075" t="inlineStr">
        <is>
          <t>2022-12-06</t>
        </is>
      </c>
      <c r="K1075" t="inlineStr">
        <is>
          <t>MIBGAS_Data_2022.xlsx</t>
        </is>
      </c>
      <c r="L1075" t="inlineStr">
        <is>
          <t>volumen 499431 MWh</t>
        </is>
      </c>
    </row>
    <row r="1076">
      <c r="A1076" s="53" t="n">
        <v>44902</v>
      </c>
      <c r="B1076" t="inlineStr">
        <is>
          <t>2022-12-07</t>
        </is>
      </c>
      <c r="C1076" s="45" t="n">
        <v>122.3</v>
      </c>
      <c r="D1076" t="inlineStr">
        <is>
          <t>€/MWh</t>
        </is>
      </c>
      <c r="E1076" s="54" t="n">
        <v>0.1223</v>
      </c>
      <c r="F1076" s="54" t="n"/>
      <c r="G1076" t="inlineStr">
        <is>
          <t>no aplica (precio mayorista)</t>
        </is>
      </c>
      <c r="J1076" t="inlineStr">
        <is>
          <t>2022-12-07</t>
        </is>
      </c>
      <c r="K1076" t="inlineStr">
        <is>
          <t>MIBGAS_Data_2022.xlsx</t>
        </is>
      </c>
      <c r="L1076" t="inlineStr">
        <is>
          <t>volumen 441509 MWh</t>
        </is>
      </c>
    </row>
    <row r="1077">
      <c r="A1077" s="53" t="n">
        <v>44903</v>
      </c>
      <c r="B1077" t="inlineStr">
        <is>
          <t>2022-12-08</t>
        </is>
      </c>
      <c r="C1077" s="45" t="n">
        <v>122.61</v>
      </c>
      <c r="D1077" t="inlineStr">
        <is>
          <t>€/MWh</t>
        </is>
      </c>
      <c r="E1077" s="54" t="n">
        <v>0.12261</v>
      </c>
      <c r="F1077" s="54" t="n"/>
      <c r="G1077" t="inlineStr">
        <is>
          <t>no aplica (precio mayorista)</t>
        </is>
      </c>
      <c r="J1077" t="inlineStr">
        <is>
          <t>2022-12-08</t>
        </is>
      </c>
      <c r="K1077" t="inlineStr">
        <is>
          <t>MIBGAS_Data_2022.xlsx</t>
        </is>
      </c>
      <c r="L1077" t="inlineStr">
        <is>
          <t>volumen 363255 MWh</t>
        </is>
      </c>
    </row>
    <row r="1078">
      <c r="A1078" s="53" t="n">
        <v>44904</v>
      </c>
      <c r="B1078" t="inlineStr">
        <is>
          <t>2022-12-09</t>
        </is>
      </c>
      <c r="C1078" s="45" t="n">
        <v>126.72</v>
      </c>
      <c r="D1078" t="inlineStr">
        <is>
          <t>€/MWh</t>
        </is>
      </c>
      <c r="E1078" s="54" t="n">
        <v>0.12672</v>
      </c>
      <c r="F1078" s="54" t="n"/>
      <c r="G1078" t="inlineStr">
        <is>
          <t>no aplica (precio mayorista)</t>
        </is>
      </c>
      <c r="J1078" t="inlineStr">
        <is>
          <t>2022-12-09</t>
        </is>
      </c>
      <c r="K1078" t="inlineStr">
        <is>
          <t>MIBGAS_Data_2022.xlsx</t>
        </is>
      </c>
      <c r="L1078" t="inlineStr">
        <is>
          <t>volumen 350266 MWh</t>
        </is>
      </c>
    </row>
    <row r="1079">
      <c r="A1079" s="53" t="n">
        <v>44905</v>
      </c>
      <c r="B1079" t="inlineStr">
        <is>
          <t>2022-12-10</t>
        </is>
      </c>
      <c r="C1079" s="45" t="n">
        <v>126.56</v>
      </c>
      <c r="D1079" t="inlineStr">
        <is>
          <t>€/MWh</t>
        </is>
      </c>
      <c r="E1079" s="54" t="n">
        <v>0.12656</v>
      </c>
      <c r="F1079" s="54" t="n"/>
      <c r="G1079" t="inlineStr">
        <is>
          <t>no aplica (precio mayorista)</t>
        </is>
      </c>
      <c r="J1079" t="inlineStr">
        <is>
          <t>2022-12-10</t>
        </is>
      </c>
      <c r="K1079" t="inlineStr">
        <is>
          <t>MIBGAS_Data_2022.xlsx</t>
        </is>
      </c>
      <c r="L1079" t="inlineStr">
        <is>
          <t>volumen 255714 MWh</t>
        </is>
      </c>
    </row>
    <row r="1080">
      <c r="A1080" s="53" t="n">
        <v>44906</v>
      </c>
      <c r="B1080" t="inlineStr">
        <is>
          <t>2022-12-11</t>
        </is>
      </c>
      <c r="C1080" s="45" t="n">
        <v>127.68</v>
      </c>
      <c r="D1080" t="inlineStr">
        <is>
          <t>€/MWh</t>
        </is>
      </c>
      <c r="E1080" s="54" t="n">
        <v>0.12768</v>
      </c>
      <c r="F1080" s="54" t="n"/>
      <c r="G1080" t="inlineStr">
        <is>
          <t>no aplica (precio mayorista)</t>
        </is>
      </c>
      <c r="J1080" t="inlineStr">
        <is>
          <t>2022-12-11</t>
        </is>
      </c>
      <c r="K1080" t="inlineStr">
        <is>
          <t>MIBGAS_Data_2022.xlsx</t>
        </is>
      </c>
      <c r="L1080" t="inlineStr">
        <is>
          <t>volumen 274251 MWh</t>
        </is>
      </c>
    </row>
    <row r="1081">
      <c r="A1081" s="53" t="n">
        <v>44907</v>
      </c>
      <c r="B1081" t="inlineStr">
        <is>
          <t>2022-12-12</t>
        </is>
      </c>
      <c r="C1081" s="45" t="n">
        <v>125.86</v>
      </c>
      <c r="D1081" t="inlineStr">
        <is>
          <t>€/MWh</t>
        </is>
      </c>
      <c r="E1081" s="54" t="n">
        <v>0.12586</v>
      </c>
      <c r="F1081" s="54" t="n"/>
      <c r="G1081" t="inlineStr">
        <is>
          <t>no aplica (precio mayorista)</t>
        </is>
      </c>
      <c r="J1081" t="inlineStr">
        <is>
          <t>2022-12-12</t>
        </is>
      </c>
      <c r="K1081" t="inlineStr">
        <is>
          <t>MIBGAS_Data_2022.xlsx</t>
        </is>
      </c>
      <c r="L1081" t="inlineStr">
        <is>
          <t>volumen 267884 MWh</t>
        </is>
      </c>
    </row>
    <row r="1082">
      <c r="A1082" s="53" t="n">
        <v>44908</v>
      </c>
      <c r="B1082" t="inlineStr">
        <is>
          <t>2022-12-13</t>
        </is>
      </c>
      <c r="C1082" s="45" t="n">
        <v>118.84</v>
      </c>
      <c r="D1082" t="inlineStr">
        <is>
          <t>€/MWh</t>
        </is>
      </c>
      <c r="E1082" s="54" t="n">
        <v>0.11884</v>
      </c>
      <c r="F1082" s="54" t="n"/>
      <c r="G1082" t="inlineStr">
        <is>
          <t>no aplica (precio mayorista)</t>
        </is>
      </c>
      <c r="J1082" t="inlineStr">
        <is>
          <t>2022-12-13</t>
        </is>
      </c>
      <c r="K1082" t="inlineStr">
        <is>
          <t>MIBGAS_Data_2022.xlsx</t>
        </is>
      </c>
      <c r="L1082" t="inlineStr">
        <is>
          <t>volumen 247996 MWh</t>
        </is>
      </c>
    </row>
    <row r="1083">
      <c r="A1083" s="53" t="n">
        <v>44909</v>
      </c>
      <c r="B1083" t="inlineStr">
        <is>
          <t>2022-12-14</t>
        </is>
      </c>
      <c r="C1083" s="45" t="n">
        <v>117.86</v>
      </c>
      <c r="D1083" t="inlineStr">
        <is>
          <t>€/MWh</t>
        </is>
      </c>
      <c r="E1083" s="54" t="n">
        <v>0.11786</v>
      </c>
      <c r="F1083" s="54" t="n"/>
      <c r="G1083" t="inlineStr">
        <is>
          <t>no aplica (precio mayorista)</t>
        </is>
      </c>
      <c r="J1083" t="inlineStr">
        <is>
          <t>2022-12-14</t>
        </is>
      </c>
      <c r="K1083" t="inlineStr">
        <is>
          <t>MIBGAS_Data_2022.xlsx</t>
        </is>
      </c>
      <c r="L1083" t="inlineStr">
        <is>
          <t>volumen 229607 MWh</t>
        </is>
      </c>
    </row>
    <row r="1084">
      <c r="A1084" s="53" t="n">
        <v>44910</v>
      </c>
      <c r="B1084" t="inlineStr">
        <is>
          <t>2022-12-15</t>
        </is>
      </c>
      <c r="C1084" s="45" t="n">
        <v>115.21</v>
      </c>
      <c r="D1084" t="inlineStr">
        <is>
          <t>€/MWh</t>
        </is>
      </c>
      <c r="E1084" s="54" t="n">
        <v>0.11521</v>
      </c>
      <c r="F1084" s="54" t="n"/>
      <c r="G1084" t="inlineStr">
        <is>
          <t>no aplica (precio mayorista)</t>
        </is>
      </c>
      <c r="J1084" t="inlineStr">
        <is>
          <t>2022-12-15</t>
        </is>
      </c>
      <c r="K1084" t="inlineStr">
        <is>
          <t>MIBGAS_Data_2022.xlsx</t>
        </is>
      </c>
      <c r="L1084" t="inlineStr">
        <is>
          <t>volumen 322191 MWh</t>
        </is>
      </c>
    </row>
    <row r="1085">
      <c r="A1085" s="53" t="n">
        <v>44911</v>
      </c>
      <c r="B1085" t="inlineStr">
        <is>
          <t>2022-12-16</t>
        </is>
      </c>
      <c r="C1085" s="45" t="n">
        <v>115.1</v>
      </c>
      <c r="D1085" t="inlineStr">
        <is>
          <t>€/MWh</t>
        </is>
      </c>
      <c r="E1085" s="54" t="n">
        <v>0.1151</v>
      </c>
      <c r="F1085" s="54" t="n"/>
      <c r="G1085" t="inlineStr">
        <is>
          <t>no aplica (precio mayorista)</t>
        </is>
      </c>
      <c r="J1085" t="inlineStr">
        <is>
          <t>2022-12-16</t>
        </is>
      </c>
      <c r="K1085" t="inlineStr">
        <is>
          <t>MIBGAS_Data_2022.xlsx</t>
        </is>
      </c>
      <c r="L1085" t="inlineStr">
        <is>
          <t>volumen 253699 MWh</t>
        </is>
      </c>
    </row>
    <row r="1086">
      <c r="A1086" s="53" t="n">
        <v>44912</v>
      </c>
      <c r="B1086" t="inlineStr">
        <is>
          <t>2022-12-17</t>
        </is>
      </c>
      <c r="C1086" s="45" t="n">
        <v>111.74</v>
      </c>
      <c r="D1086" t="inlineStr">
        <is>
          <t>€/MWh</t>
        </is>
      </c>
      <c r="E1086" s="54" t="n">
        <v>0.11174</v>
      </c>
      <c r="F1086" s="54" t="n"/>
      <c r="G1086" t="inlineStr">
        <is>
          <t>no aplica (precio mayorista)</t>
        </is>
      </c>
      <c r="J1086" t="inlineStr">
        <is>
          <t>2022-12-17</t>
        </is>
      </c>
      <c r="K1086" t="inlineStr">
        <is>
          <t>MIBGAS_Data_2022.xlsx</t>
        </is>
      </c>
      <c r="L1086" t="inlineStr">
        <is>
          <t>volumen 265975 MWh</t>
        </is>
      </c>
    </row>
    <row r="1087">
      <c r="A1087" s="53" t="n">
        <v>44913</v>
      </c>
      <c r="B1087" t="inlineStr">
        <is>
          <t>2022-12-18</t>
        </is>
      </c>
      <c r="C1087" s="45" t="n">
        <v>105.64</v>
      </c>
      <c r="D1087" t="inlineStr">
        <is>
          <t>€/MWh</t>
        </is>
      </c>
      <c r="E1087" s="54" t="n">
        <v>0.10564</v>
      </c>
      <c r="F1087" s="54" t="n"/>
      <c r="G1087" t="inlineStr">
        <is>
          <t>no aplica (precio mayorista)</t>
        </is>
      </c>
      <c r="J1087" t="inlineStr">
        <is>
          <t>2022-12-18</t>
        </is>
      </c>
      <c r="K1087" t="inlineStr">
        <is>
          <t>MIBGAS_Data_2022.xlsx</t>
        </is>
      </c>
      <c r="L1087" t="inlineStr">
        <is>
          <t>volumen 267987 MWh</t>
        </is>
      </c>
    </row>
    <row r="1088">
      <c r="A1088" s="53" t="n">
        <v>44914</v>
      </c>
      <c r="B1088" t="inlineStr">
        <is>
          <t>2022-12-19</t>
        </is>
      </c>
      <c r="C1088" s="45" t="n">
        <v>101.24</v>
      </c>
      <c r="D1088" t="inlineStr">
        <is>
          <t>€/MWh</t>
        </is>
      </c>
      <c r="E1088" s="54" t="n">
        <v>0.10124</v>
      </c>
      <c r="F1088" s="54" t="n"/>
      <c r="G1088" t="inlineStr">
        <is>
          <t>no aplica (precio mayorista)</t>
        </is>
      </c>
      <c r="J1088" t="inlineStr">
        <is>
          <t>2022-12-19</t>
        </is>
      </c>
      <c r="K1088" t="inlineStr">
        <is>
          <t>MIBGAS_Data_2022.xlsx</t>
        </is>
      </c>
      <c r="L1088" t="inlineStr">
        <is>
          <t>volumen 241650 MWh</t>
        </is>
      </c>
    </row>
    <row r="1089">
      <c r="A1089" s="53" t="n">
        <v>44915</v>
      </c>
      <c r="B1089" t="inlineStr">
        <is>
          <t>2022-12-20</t>
        </is>
      </c>
      <c r="C1089" s="45" t="n">
        <v>90.76000000000001</v>
      </c>
      <c r="D1089" t="inlineStr">
        <is>
          <t>€/MWh</t>
        </is>
      </c>
      <c r="E1089" s="54" t="n">
        <v>0.09075999999999999</v>
      </c>
      <c r="F1089" s="54" t="n"/>
      <c r="G1089" t="inlineStr">
        <is>
          <t>no aplica (precio mayorista)</t>
        </is>
      </c>
      <c r="J1089" t="inlineStr">
        <is>
          <t>2022-12-20</t>
        </is>
      </c>
      <c r="K1089" t="inlineStr">
        <is>
          <t>MIBGAS_Data_2022.xlsx</t>
        </is>
      </c>
      <c r="L1089" t="inlineStr">
        <is>
          <t>volumen 226393 MWh</t>
        </is>
      </c>
    </row>
    <row r="1090">
      <c r="A1090" s="53" t="n">
        <v>44916</v>
      </c>
      <c r="B1090" t="inlineStr">
        <is>
          <t>2022-12-21</t>
        </is>
      </c>
      <c r="C1090" s="45" t="n">
        <v>84.98999999999999</v>
      </c>
      <c r="D1090" t="inlineStr">
        <is>
          <t>€/MWh</t>
        </is>
      </c>
      <c r="E1090" s="54" t="n">
        <v>0.08499</v>
      </c>
      <c r="F1090" s="54" t="n"/>
      <c r="G1090" t="inlineStr">
        <is>
          <t>no aplica (precio mayorista)</t>
        </is>
      </c>
      <c r="J1090" t="inlineStr">
        <is>
          <t>2022-12-21</t>
        </is>
      </c>
      <c r="K1090" t="inlineStr">
        <is>
          <t>MIBGAS_Data_2022.xlsx</t>
        </is>
      </c>
      <c r="L1090" t="inlineStr">
        <is>
          <t>volumen 232249 MWh</t>
        </is>
      </c>
    </row>
    <row r="1091">
      <c r="A1091" s="53" t="n">
        <v>44917</v>
      </c>
      <c r="B1091" t="inlineStr">
        <is>
          <t>2022-12-22</t>
        </is>
      </c>
      <c r="C1091" s="45" t="n">
        <v>78.08</v>
      </c>
      <c r="D1091" t="inlineStr">
        <is>
          <t>€/MWh</t>
        </is>
      </c>
      <c r="E1091" s="54" t="n">
        <v>0.07808</v>
      </c>
      <c r="F1091" s="54" t="n"/>
      <c r="G1091" t="inlineStr">
        <is>
          <t>no aplica (precio mayorista)</t>
        </is>
      </c>
      <c r="J1091" t="inlineStr">
        <is>
          <t>2022-12-22</t>
        </is>
      </c>
      <c r="K1091" t="inlineStr">
        <is>
          <t>MIBGAS_Data_2022.xlsx</t>
        </is>
      </c>
      <c r="L1091" t="inlineStr">
        <is>
          <t>volumen 271751 MWh</t>
        </is>
      </c>
    </row>
    <row r="1092">
      <c r="A1092" s="53" t="n">
        <v>44918</v>
      </c>
      <c r="B1092" t="inlineStr">
        <is>
          <t>2022-12-23</t>
        </is>
      </c>
      <c r="C1092" s="45" t="n">
        <v>73.45</v>
      </c>
      <c r="D1092" t="inlineStr">
        <is>
          <t>€/MWh</t>
        </is>
      </c>
      <c r="E1092" s="54" t="n">
        <v>0.07345</v>
      </c>
      <c r="F1092" s="54" t="n"/>
      <c r="G1092" t="inlineStr">
        <is>
          <t>no aplica (precio mayorista)</t>
        </is>
      </c>
      <c r="J1092" t="inlineStr">
        <is>
          <t>2022-12-23</t>
        </is>
      </c>
      <c r="K1092" t="inlineStr">
        <is>
          <t>MIBGAS_Data_2022.xlsx</t>
        </is>
      </c>
      <c r="L1092" t="inlineStr">
        <is>
          <t>volumen 214011 MWh</t>
        </is>
      </c>
    </row>
    <row r="1093">
      <c r="A1093" s="53" t="n">
        <v>44919</v>
      </c>
      <c r="B1093" t="inlineStr">
        <is>
          <t>2022-12-24</t>
        </is>
      </c>
      <c r="C1093" s="45" t="n">
        <v>64.69</v>
      </c>
      <c r="D1093" t="inlineStr">
        <is>
          <t>€/MWh</t>
        </is>
      </c>
      <c r="E1093" s="54" t="n">
        <v>0.06469</v>
      </c>
      <c r="F1093" s="54" t="n"/>
      <c r="G1093" t="inlineStr">
        <is>
          <t>no aplica (precio mayorista)</t>
        </is>
      </c>
      <c r="J1093" t="inlineStr">
        <is>
          <t>2022-12-24</t>
        </is>
      </c>
      <c r="K1093" t="inlineStr">
        <is>
          <t>MIBGAS_Data_2022.xlsx</t>
        </is>
      </c>
      <c r="L1093" t="inlineStr">
        <is>
          <t>volumen 296633 MWh</t>
        </is>
      </c>
    </row>
    <row r="1094">
      <c r="A1094" s="53" t="n">
        <v>44920</v>
      </c>
      <c r="B1094" t="inlineStr">
        <is>
          <t>2022-12-25</t>
        </is>
      </c>
      <c r="C1094" s="45" t="n">
        <v>67.76000000000001</v>
      </c>
      <c r="D1094" t="inlineStr">
        <is>
          <t>€/MWh</t>
        </is>
      </c>
      <c r="E1094" s="54" t="n">
        <v>0.06776</v>
      </c>
      <c r="F1094" s="54" t="n"/>
      <c r="G1094" t="inlineStr">
        <is>
          <t>no aplica (precio mayorista)</t>
        </is>
      </c>
      <c r="J1094" t="inlineStr">
        <is>
          <t>2022-12-25</t>
        </is>
      </c>
      <c r="K1094" t="inlineStr">
        <is>
          <t>MIBGAS_Data_2022.xlsx</t>
        </is>
      </c>
      <c r="L1094" t="inlineStr">
        <is>
          <t>volumen 203127 MWh</t>
        </is>
      </c>
    </row>
    <row r="1095">
      <c r="A1095" s="53" t="n">
        <v>44921</v>
      </c>
      <c r="B1095" t="inlineStr">
        <is>
          <t>2022-12-26</t>
        </is>
      </c>
      <c r="C1095" s="45" t="n">
        <v>69.23</v>
      </c>
      <c r="D1095" t="inlineStr">
        <is>
          <t>€/MWh</t>
        </is>
      </c>
      <c r="E1095" s="54" t="n">
        <v>0.06923</v>
      </c>
      <c r="F1095" s="54" t="n"/>
      <c r="G1095" t="inlineStr">
        <is>
          <t>no aplica (precio mayorista)</t>
        </is>
      </c>
      <c r="J1095" t="inlineStr">
        <is>
          <t>2022-12-26</t>
        </is>
      </c>
      <c r="K1095" t="inlineStr">
        <is>
          <t>MIBGAS_Data_2022.xlsx</t>
        </is>
      </c>
      <c r="L1095" t="inlineStr">
        <is>
          <t>volumen 291421 MWh</t>
        </is>
      </c>
    </row>
    <row r="1096">
      <c r="A1096" s="53" t="n">
        <v>44922</v>
      </c>
      <c r="B1096" t="inlineStr">
        <is>
          <t>2022-12-27</t>
        </is>
      </c>
      <c r="C1096" s="45" t="n">
        <v>70.76000000000001</v>
      </c>
      <c r="D1096" t="inlineStr">
        <is>
          <t>€/MWh</t>
        </is>
      </c>
      <c r="E1096" s="54" t="n">
        <v>0.07076</v>
      </c>
      <c r="F1096" s="54" t="n"/>
      <c r="G1096" t="inlineStr">
        <is>
          <t>no aplica (precio mayorista)</t>
        </is>
      </c>
      <c r="J1096" t="inlineStr">
        <is>
          <t>2022-12-27</t>
        </is>
      </c>
      <c r="K1096" t="inlineStr">
        <is>
          <t>MIBGAS_Data_2022.xlsx</t>
        </is>
      </c>
      <c r="L1096" t="inlineStr">
        <is>
          <t>volumen 273814 MWh</t>
        </is>
      </c>
    </row>
    <row r="1097">
      <c r="A1097" s="53" t="n">
        <v>44923</v>
      </c>
      <c r="B1097" t="inlineStr">
        <is>
          <t>2022-12-28</t>
        </is>
      </c>
      <c r="C1097" s="45" t="n">
        <v>66.54000000000001</v>
      </c>
      <c r="D1097" t="inlineStr">
        <is>
          <t>€/MWh</t>
        </is>
      </c>
      <c r="E1097" s="54" t="n">
        <v>0.06654</v>
      </c>
      <c r="F1097" s="54" t="n"/>
      <c r="G1097" t="inlineStr">
        <is>
          <t>no aplica (precio mayorista)</t>
        </is>
      </c>
      <c r="J1097" t="inlineStr">
        <is>
          <t>2022-12-28</t>
        </is>
      </c>
      <c r="K1097" t="inlineStr">
        <is>
          <t>MIBGAS_Data_2022.xlsx</t>
        </is>
      </c>
      <c r="L1097" t="inlineStr">
        <is>
          <t>volumen 301600 MWh</t>
        </is>
      </c>
    </row>
    <row r="1098">
      <c r="A1098" s="53" t="n">
        <v>44924</v>
      </c>
      <c r="B1098" t="inlineStr">
        <is>
          <t>2022-12-29</t>
        </is>
      </c>
      <c r="C1098" s="45" t="n">
        <v>63.05</v>
      </c>
      <c r="D1098" t="inlineStr">
        <is>
          <t>€/MWh</t>
        </is>
      </c>
      <c r="E1098" s="54" t="n">
        <v>0.06304999999999999</v>
      </c>
      <c r="F1098" s="54" t="n"/>
      <c r="G1098" t="inlineStr">
        <is>
          <t>no aplica (precio mayorista)</t>
        </is>
      </c>
      <c r="J1098" t="inlineStr">
        <is>
          <t>2022-12-29</t>
        </is>
      </c>
      <c r="K1098" t="inlineStr">
        <is>
          <t>MIBGAS_Data_2022.xlsx</t>
        </is>
      </c>
      <c r="L1098" t="inlineStr">
        <is>
          <t>volumen 314062 MWh</t>
        </is>
      </c>
    </row>
    <row r="1099">
      <c r="A1099" s="53" t="n">
        <v>44925</v>
      </c>
      <c r="B1099" t="inlineStr">
        <is>
          <t>2022-12-30</t>
        </is>
      </c>
      <c r="C1099" s="45" t="n">
        <v>62.68</v>
      </c>
      <c r="D1099" t="inlineStr">
        <is>
          <t>€/MWh</t>
        </is>
      </c>
      <c r="E1099" s="54" t="n">
        <v>0.06268</v>
      </c>
      <c r="F1099" s="54" t="n"/>
      <c r="G1099" t="inlineStr">
        <is>
          <t>no aplica (precio mayorista)</t>
        </is>
      </c>
      <c r="J1099" t="inlineStr">
        <is>
          <t>2022-12-30</t>
        </is>
      </c>
      <c r="K1099" t="inlineStr">
        <is>
          <t>MIBGAS_Data_2022.xlsx</t>
        </is>
      </c>
      <c r="L1099" t="inlineStr">
        <is>
          <t>volumen 275773 MWh</t>
        </is>
      </c>
    </row>
    <row r="1100">
      <c r="A1100" s="53" t="n">
        <v>44926</v>
      </c>
      <c r="B1100" t="inlineStr">
        <is>
          <t>2022-12-31</t>
        </is>
      </c>
      <c r="C1100" s="45" t="n">
        <v>57.91</v>
      </c>
      <c r="D1100" t="inlineStr">
        <is>
          <t>€/MWh</t>
        </is>
      </c>
      <c r="E1100" s="54" t="n">
        <v>0.05791</v>
      </c>
      <c r="F1100" s="54" t="n"/>
      <c r="G1100" t="inlineStr">
        <is>
          <t>no aplica (precio mayorista)</t>
        </is>
      </c>
      <c r="J1100" t="inlineStr">
        <is>
          <t>2022-12-31</t>
        </is>
      </c>
      <c r="K1100" t="inlineStr">
        <is>
          <t>MIBGAS_Data_2022.xlsx</t>
        </is>
      </c>
      <c r="L1100" t="inlineStr">
        <is>
          <t>volumen 265020 MWh</t>
        </is>
      </c>
    </row>
    <row r="1101">
      <c r="A1101" s="53" t="n">
        <v>44927</v>
      </c>
      <c r="B1101" t="inlineStr">
        <is>
          <t>2023-01-01</t>
        </is>
      </c>
      <c r="C1101" s="45" t="n">
        <v>59.42</v>
      </c>
      <c r="D1101" t="inlineStr">
        <is>
          <t>€/MWh</t>
        </is>
      </c>
      <c r="E1101" s="54" t="n">
        <v>0.05942</v>
      </c>
      <c r="F1101" s="54" t="n"/>
      <c r="G1101" t="inlineStr">
        <is>
          <t>no aplica (precio mayorista)</t>
        </is>
      </c>
      <c r="J1101" t="inlineStr">
        <is>
          <t>2023-01-01</t>
        </is>
      </c>
      <c r="K1101" t="inlineStr">
        <is>
          <t>MIBGAS_Data_2023.xlsx</t>
        </is>
      </c>
    </row>
    <row r="1102">
      <c r="A1102" s="53" t="n">
        <v>44928</v>
      </c>
      <c r="B1102" t="inlineStr">
        <is>
          <t>2023-01-02</t>
        </is>
      </c>
      <c r="C1102" s="45" t="n">
        <v>62.71</v>
      </c>
      <c r="D1102" t="inlineStr">
        <is>
          <t>€/MWh</t>
        </is>
      </c>
      <c r="E1102" s="54" t="n">
        <v>0.06271</v>
      </c>
      <c r="F1102" s="54" t="n"/>
      <c r="G1102" t="inlineStr">
        <is>
          <t>no aplica (precio mayorista)</t>
        </is>
      </c>
      <c r="J1102" t="inlineStr">
        <is>
          <t>2023-01-02</t>
        </is>
      </c>
      <c r="K1102" t="inlineStr">
        <is>
          <t>MIBGAS_Data_2023.xlsx</t>
        </is>
      </c>
    </row>
    <row r="1103">
      <c r="A1103" s="53" t="n">
        <v>44929</v>
      </c>
      <c r="B1103" t="inlineStr">
        <is>
          <t>2023-01-03</t>
        </is>
      </c>
      <c r="C1103" s="45" t="n">
        <v>67</v>
      </c>
      <c r="D1103" t="inlineStr">
        <is>
          <t>€/MWh</t>
        </is>
      </c>
      <c r="E1103" s="54" t="n">
        <v>0.067</v>
      </c>
      <c r="F1103" s="54" t="n"/>
      <c r="G1103" t="inlineStr">
        <is>
          <t>no aplica (precio mayorista)</t>
        </is>
      </c>
      <c r="J1103" t="inlineStr">
        <is>
          <t>2023-01-03</t>
        </is>
      </c>
      <c r="K1103" t="inlineStr">
        <is>
          <t>MIBGAS_Data_2023.xlsx</t>
        </is>
      </c>
    </row>
    <row r="1104">
      <c r="A1104" s="53" t="n">
        <v>44930</v>
      </c>
      <c r="B1104" t="inlineStr">
        <is>
          <t>2023-01-04</t>
        </is>
      </c>
      <c r="C1104" s="45" t="n">
        <v>64.91</v>
      </c>
      <c r="D1104" t="inlineStr">
        <is>
          <t>€/MWh</t>
        </is>
      </c>
      <c r="E1104" s="54" t="n">
        <v>0.06491</v>
      </c>
      <c r="F1104" s="54" t="n"/>
      <c r="G1104" t="inlineStr">
        <is>
          <t>no aplica (precio mayorista)</t>
        </is>
      </c>
      <c r="J1104" t="inlineStr">
        <is>
          <t>2023-01-04</t>
        </is>
      </c>
      <c r="K1104" t="inlineStr">
        <is>
          <t>MIBGAS_Data_2023.xlsx</t>
        </is>
      </c>
    </row>
    <row r="1105">
      <c r="A1105" s="53" t="n">
        <v>44931</v>
      </c>
      <c r="B1105" t="inlineStr">
        <is>
          <t>2023-01-05</t>
        </is>
      </c>
      <c r="C1105" s="45" t="n">
        <v>58.74</v>
      </c>
      <c r="D1105" t="inlineStr">
        <is>
          <t>€/MWh</t>
        </is>
      </c>
      <c r="E1105" s="54" t="n">
        <v>0.05874</v>
      </c>
      <c r="F1105" s="54" t="n"/>
      <c r="G1105" t="inlineStr">
        <is>
          <t>no aplica (precio mayorista)</t>
        </is>
      </c>
      <c r="J1105" t="inlineStr">
        <is>
          <t>2023-01-05</t>
        </is>
      </c>
      <c r="K1105" t="inlineStr">
        <is>
          <t>MIBGAS_Data_2023.xlsx</t>
        </is>
      </c>
    </row>
    <row r="1106">
      <c r="A1106" s="53" t="n">
        <v>44932</v>
      </c>
      <c r="B1106" t="inlineStr">
        <is>
          <t>2023-01-06</t>
        </is>
      </c>
      <c r="C1106" s="45" t="n">
        <v>59.74</v>
      </c>
      <c r="D1106" t="inlineStr">
        <is>
          <t>€/MWh</t>
        </is>
      </c>
      <c r="E1106" s="54" t="n">
        <v>0.05974</v>
      </c>
      <c r="F1106" s="54" t="n"/>
      <c r="G1106" t="inlineStr">
        <is>
          <t>no aplica (precio mayorista)</t>
        </is>
      </c>
      <c r="J1106" t="inlineStr">
        <is>
          <t>2023-01-06</t>
        </is>
      </c>
      <c r="K1106" t="inlineStr">
        <is>
          <t>MIBGAS_Data_2023.xlsx</t>
        </is>
      </c>
    </row>
    <row r="1107">
      <c r="A1107" s="53" t="n">
        <v>44933</v>
      </c>
      <c r="B1107" t="inlineStr">
        <is>
          <t>2023-01-07</t>
        </is>
      </c>
      <c r="C1107" s="45" t="n">
        <v>60.69</v>
      </c>
      <c r="D1107" t="inlineStr">
        <is>
          <t>€/MWh</t>
        </is>
      </c>
      <c r="E1107" s="54" t="n">
        <v>0.06069</v>
      </c>
      <c r="F1107" s="54" t="n"/>
      <c r="G1107" t="inlineStr">
        <is>
          <t>no aplica (precio mayorista)</t>
        </is>
      </c>
      <c r="J1107" t="inlineStr">
        <is>
          <t>2023-01-07</t>
        </is>
      </c>
      <c r="K1107" t="inlineStr">
        <is>
          <t>MIBGAS_Data_2023.xlsx</t>
        </is>
      </c>
    </row>
    <row r="1108">
      <c r="A1108" s="53" t="n">
        <v>44934</v>
      </c>
      <c r="B1108" t="inlineStr">
        <is>
          <t>2023-01-08</t>
        </is>
      </c>
      <c r="C1108" s="45" t="n">
        <v>61.28</v>
      </c>
      <c r="D1108" t="inlineStr">
        <is>
          <t>€/MWh</t>
        </is>
      </c>
      <c r="E1108" s="54" t="n">
        <v>0.06128</v>
      </c>
      <c r="F1108" s="54" t="n"/>
      <c r="G1108" t="inlineStr">
        <is>
          <t>no aplica (precio mayorista)</t>
        </is>
      </c>
      <c r="J1108" t="inlineStr">
        <is>
          <t>2023-01-08</t>
        </is>
      </c>
      <c r="K1108" t="inlineStr">
        <is>
          <t>MIBGAS_Data_2023.xlsx</t>
        </is>
      </c>
    </row>
    <row r="1109">
      <c r="A1109" s="53" t="n">
        <v>44935</v>
      </c>
      <c r="B1109" t="inlineStr">
        <is>
          <t>2023-01-09</t>
        </is>
      </c>
      <c r="C1109" s="45" t="n">
        <v>63.09</v>
      </c>
      <c r="D1109" t="inlineStr">
        <is>
          <t>€/MWh</t>
        </is>
      </c>
      <c r="E1109" s="54" t="n">
        <v>0.06308999999999999</v>
      </c>
      <c r="F1109" s="54" t="n"/>
      <c r="G1109" t="inlineStr">
        <is>
          <t>no aplica (precio mayorista)</t>
        </is>
      </c>
      <c r="J1109" t="inlineStr">
        <is>
          <t>2023-01-09</t>
        </is>
      </c>
      <c r="K1109" t="inlineStr">
        <is>
          <t>MIBGAS_Data_2023.xlsx</t>
        </is>
      </c>
    </row>
    <row r="1110">
      <c r="A1110" s="53" t="n">
        <v>44936</v>
      </c>
      <c r="B1110" t="inlineStr">
        <is>
          <t>2023-01-10</t>
        </is>
      </c>
      <c r="C1110" s="45" t="n">
        <v>66.33</v>
      </c>
      <c r="D1110" t="inlineStr">
        <is>
          <t>€/MWh</t>
        </is>
      </c>
      <c r="E1110" s="54" t="n">
        <v>0.06633</v>
      </c>
      <c r="F1110" s="54" t="n"/>
      <c r="G1110" t="inlineStr">
        <is>
          <t>no aplica (precio mayorista)</t>
        </is>
      </c>
      <c r="J1110" t="inlineStr">
        <is>
          <t>2023-01-10</t>
        </is>
      </c>
      <c r="K1110" t="inlineStr">
        <is>
          <t>MIBGAS_Data_2023.xlsx</t>
        </is>
      </c>
    </row>
    <row r="1111">
      <c r="A1111" s="53" t="n">
        <v>44937</v>
      </c>
      <c r="B1111" t="inlineStr">
        <is>
          <t>2023-01-11</t>
        </is>
      </c>
      <c r="C1111" s="45" t="n">
        <v>64.67</v>
      </c>
      <c r="D1111" t="inlineStr">
        <is>
          <t>€/MWh</t>
        </is>
      </c>
      <c r="E1111" s="54" t="n">
        <v>0.06467000000000001</v>
      </c>
      <c r="F1111" s="54" t="n"/>
      <c r="G1111" t="inlineStr">
        <is>
          <t>no aplica (precio mayorista)</t>
        </is>
      </c>
      <c r="J1111" t="inlineStr">
        <is>
          <t>2023-01-11</t>
        </is>
      </c>
      <c r="K1111" t="inlineStr">
        <is>
          <t>MIBGAS_Data_2023.xlsx</t>
        </is>
      </c>
    </row>
    <row r="1112">
      <c r="A1112" s="53" t="n">
        <v>44938</v>
      </c>
      <c r="B1112" t="inlineStr">
        <is>
          <t>2023-01-12</t>
        </is>
      </c>
      <c r="C1112" s="45" t="n">
        <v>62.28</v>
      </c>
      <c r="D1112" t="inlineStr">
        <is>
          <t>€/MWh</t>
        </is>
      </c>
      <c r="E1112" s="54" t="n">
        <v>0.06228</v>
      </c>
      <c r="F1112" s="54" t="n"/>
      <c r="G1112" t="inlineStr">
        <is>
          <t>no aplica (precio mayorista)</t>
        </is>
      </c>
      <c r="J1112" t="inlineStr">
        <is>
          <t>2023-01-12</t>
        </is>
      </c>
      <c r="K1112" t="inlineStr">
        <is>
          <t>MIBGAS_Data_2023.xlsx</t>
        </is>
      </c>
    </row>
    <row r="1113">
      <c r="A1113" s="53" t="n">
        <v>44939</v>
      </c>
      <c r="B1113" t="inlineStr">
        <is>
          <t>2023-01-13</t>
        </is>
      </c>
      <c r="C1113" s="45" t="n">
        <v>62.38</v>
      </c>
      <c r="D1113" t="inlineStr">
        <is>
          <t>€/MWh</t>
        </is>
      </c>
      <c r="E1113" s="54" t="n">
        <v>0.06238</v>
      </c>
      <c r="F1113" s="54" t="n"/>
      <c r="G1113" t="inlineStr">
        <is>
          <t>no aplica (precio mayorista)</t>
        </is>
      </c>
      <c r="J1113" t="inlineStr">
        <is>
          <t>2023-01-13</t>
        </is>
      </c>
      <c r="K1113" t="inlineStr">
        <is>
          <t>MIBGAS_Data_2023.xlsx</t>
        </is>
      </c>
    </row>
    <row r="1114">
      <c r="A1114" s="53" t="n">
        <v>44940</v>
      </c>
      <c r="B1114" t="inlineStr">
        <is>
          <t>2023-01-14</t>
        </is>
      </c>
      <c r="C1114" s="45" t="n">
        <v>61.31</v>
      </c>
      <c r="D1114" t="inlineStr">
        <is>
          <t>€/MWh</t>
        </is>
      </c>
      <c r="E1114" s="54" t="n">
        <v>0.06131</v>
      </c>
      <c r="F1114" s="54" t="n"/>
      <c r="G1114" t="inlineStr">
        <is>
          <t>no aplica (precio mayorista)</t>
        </is>
      </c>
      <c r="J1114" t="inlineStr">
        <is>
          <t>2023-01-14</t>
        </is>
      </c>
      <c r="K1114" t="inlineStr">
        <is>
          <t>MIBGAS_Data_2023.xlsx</t>
        </is>
      </c>
    </row>
    <row r="1115">
      <c r="A1115" s="53" t="n">
        <v>44941</v>
      </c>
      <c r="B1115" t="inlineStr">
        <is>
          <t>2023-01-15</t>
        </is>
      </c>
      <c r="C1115" s="45" t="n">
        <v>59.98</v>
      </c>
      <c r="D1115" t="inlineStr">
        <is>
          <t>€/MWh</t>
        </is>
      </c>
      <c r="E1115" s="54" t="n">
        <v>0.05998</v>
      </c>
      <c r="F1115" s="54" t="n"/>
      <c r="G1115" t="inlineStr">
        <is>
          <t>no aplica (precio mayorista)</t>
        </is>
      </c>
      <c r="J1115" t="inlineStr">
        <is>
          <t>2023-01-15</t>
        </is>
      </c>
      <c r="K1115" t="inlineStr">
        <is>
          <t>MIBGAS_Data_2023.xlsx</t>
        </is>
      </c>
    </row>
    <row r="1116">
      <c r="A1116" s="53" t="n">
        <v>44942</v>
      </c>
      <c r="B1116" t="inlineStr">
        <is>
          <t>2023-01-16</t>
        </is>
      </c>
      <c r="C1116" s="45" t="n">
        <v>58.94</v>
      </c>
      <c r="D1116" t="inlineStr">
        <is>
          <t>€/MWh</t>
        </is>
      </c>
      <c r="E1116" s="54" t="n">
        <v>0.05894</v>
      </c>
      <c r="F1116" s="54" t="n"/>
      <c r="G1116" t="inlineStr">
        <is>
          <t>no aplica (precio mayorista)</t>
        </is>
      </c>
      <c r="J1116" t="inlineStr">
        <is>
          <t>2023-01-16</t>
        </is>
      </c>
      <c r="K1116" t="inlineStr">
        <is>
          <t>MIBGAS_Data_2023.xlsx</t>
        </is>
      </c>
    </row>
    <row r="1117">
      <c r="A1117" s="53" t="n">
        <v>44943</v>
      </c>
      <c r="B1117" t="inlineStr">
        <is>
          <t>2023-01-17</t>
        </is>
      </c>
      <c r="C1117" s="45" t="n">
        <v>53.33</v>
      </c>
      <c r="D1117" t="inlineStr">
        <is>
          <t>€/MWh</t>
        </is>
      </c>
      <c r="E1117" s="54" t="n">
        <v>0.05333</v>
      </c>
      <c r="F1117" s="54" t="n"/>
      <c r="G1117" t="inlineStr">
        <is>
          <t>no aplica (precio mayorista)</t>
        </is>
      </c>
      <c r="J1117" t="inlineStr">
        <is>
          <t>2023-01-17</t>
        </is>
      </c>
      <c r="K1117" t="inlineStr">
        <is>
          <t>MIBGAS_Data_2023.xlsx</t>
        </is>
      </c>
    </row>
    <row r="1118">
      <c r="A1118" s="53" t="n">
        <v>44944</v>
      </c>
      <c r="B1118" t="inlineStr">
        <is>
          <t>2023-01-18</t>
        </is>
      </c>
      <c r="C1118" s="45" t="n">
        <v>54.53</v>
      </c>
      <c r="D1118" t="inlineStr">
        <is>
          <t>€/MWh</t>
        </is>
      </c>
      <c r="E1118" s="54" t="n">
        <v>0.05453</v>
      </c>
      <c r="F1118" s="54" t="n"/>
      <c r="G1118" t="inlineStr">
        <is>
          <t>no aplica (precio mayorista)</t>
        </is>
      </c>
      <c r="J1118" t="inlineStr">
        <is>
          <t>2023-01-18</t>
        </is>
      </c>
      <c r="K1118" t="inlineStr">
        <is>
          <t>MIBGAS_Data_2023.xlsx</t>
        </is>
      </c>
    </row>
    <row r="1119">
      <c r="A1119" s="53" t="n">
        <v>44945</v>
      </c>
      <c r="B1119" t="inlineStr">
        <is>
          <t>2023-01-19</t>
        </is>
      </c>
      <c r="C1119" s="45" t="n">
        <v>57.94</v>
      </c>
      <c r="D1119" t="inlineStr">
        <is>
          <t>€/MWh</t>
        </is>
      </c>
      <c r="E1119" s="54" t="n">
        <v>0.05794</v>
      </c>
      <c r="F1119" s="54" t="n"/>
      <c r="G1119" t="inlineStr">
        <is>
          <t>no aplica (precio mayorista)</t>
        </is>
      </c>
      <c r="J1119" t="inlineStr">
        <is>
          <t>2023-01-19</t>
        </is>
      </c>
      <c r="K1119" t="inlineStr">
        <is>
          <t>MIBGAS_Data_2023.xlsx</t>
        </is>
      </c>
    </row>
    <row r="1120">
      <c r="A1120" s="53" t="n">
        <v>44946</v>
      </c>
      <c r="B1120" t="inlineStr">
        <is>
          <t>2023-01-20</t>
        </is>
      </c>
      <c r="C1120" s="45" t="n">
        <v>58.82</v>
      </c>
      <c r="D1120" t="inlineStr">
        <is>
          <t>€/MWh</t>
        </is>
      </c>
      <c r="E1120" s="54" t="n">
        <v>0.05882</v>
      </c>
      <c r="F1120" s="54" t="n"/>
      <c r="G1120" t="inlineStr">
        <is>
          <t>no aplica (precio mayorista)</t>
        </is>
      </c>
      <c r="J1120" t="inlineStr">
        <is>
          <t>2023-01-20</t>
        </is>
      </c>
      <c r="K1120" t="inlineStr">
        <is>
          <t>MIBGAS_Data_2023.xlsx</t>
        </is>
      </c>
    </row>
    <row r="1121">
      <c r="A1121" s="53" t="n">
        <v>44947</v>
      </c>
      <c r="B1121" t="inlineStr">
        <is>
          <t>2023-01-21</t>
        </is>
      </c>
      <c r="C1121" s="45" t="n">
        <v>61.23</v>
      </c>
      <c r="D1121" t="inlineStr">
        <is>
          <t>€/MWh</t>
        </is>
      </c>
      <c r="E1121" s="54" t="n">
        <v>0.06123</v>
      </c>
      <c r="F1121" s="54" t="n"/>
      <c r="G1121" t="inlineStr">
        <is>
          <t>no aplica (precio mayorista)</t>
        </is>
      </c>
      <c r="J1121" t="inlineStr">
        <is>
          <t>2023-01-21</t>
        </is>
      </c>
      <c r="K1121" t="inlineStr">
        <is>
          <t>MIBGAS_Data_2023.xlsx</t>
        </is>
      </c>
    </row>
    <row r="1122">
      <c r="A1122" s="53" t="n">
        <v>44948</v>
      </c>
      <c r="B1122" t="inlineStr">
        <is>
          <t>2023-01-22</t>
        </is>
      </c>
      <c r="C1122" s="45" t="n">
        <v>62.58</v>
      </c>
      <c r="D1122" t="inlineStr">
        <is>
          <t>€/MWh</t>
        </is>
      </c>
      <c r="E1122" s="54" t="n">
        <v>0.06258</v>
      </c>
      <c r="F1122" s="54" t="n"/>
      <c r="G1122" t="inlineStr">
        <is>
          <t>no aplica (precio mayorista)</t>
        </is>
      </c>
      <c r="J1122" t="inlineStr">
        <is>
          <t>2023-01-22</t>
        </is>
      </c>
      <c r="K1122" t="inlineStr">
        <is>
          <t>MIBGAS_Data_2023.xlsx</t>
        </is>
      </c>
    </row>
    <row r="1123">
      <c r="A1123" s="53" t="n">
        <v>44949</v>
      </c>
      <c r="B1123" t="inlineStr">
        <is>
          <t>2023-01-23</t>
        </is>
      </c>
      <c r="C1123" s="45" t="n">
        <v>63.52</v>
      </c>
      <c r="D1123" t="inlineStr">
        <is>
          <t>€/MWh</t>
        </is>
      </c>
      <c r="E1123" s="54" t="n">
        <v>0.06351999999999999</v>
      </c>
      <c r="F1123" s="54" t="n"/>
      <c r="G1123" t="inlineStr">
        <is>
          <t>no aplica (precio mayorista)</t>
        </is>
      </c>
      <c r="J1123" t="inlineStr">
        <is>
          <t>2023-01-23</t>
        </is>
      </c>
      <c r="K1123" t="inlineStr">
        <is>
          <t>MIBGAS_Data_2023.xlsx</t>
        </is>
      </c>
    </row>
    <row r="1124">
      <c r="A1124" s="53" t="n">
        <v>44950</v>
      </c>
      <c r="B1124" t="inlineStr">
        <is>
          <t>2023-01-24</t>
        </is>
      </c>
      <c r="C1124" s="45" t="n">
        <v>60.3</v>
      </c>
      <c r="D1124" t="inlineStr">
        <is>
          <t>€/MWh</t>
        </is>
      </c>
      <c r="E1124" s="54" t="n">
        <v>0.0603</v>
      </c>
      <c r="F1124" s="54" t="n"/>
      <c r="G1124" t="inlineStr">
        <is>
          <t>no aplica (precio mayorista)</t>
        </is>
      </c>
      <c r="J1124" t="inlineStr">
        <is>
          <t>2023-01-24</t>
        </is>
      </c>
      <c r="K1124" t="inlineStr">
        <is>
          <t>MIBGAS_Data_2023.xlsx</t>
        </is>
      </c>
    </row>
    <row r="1125">
      <c r="A1125" s="53" t="n">
        <v>44951</v>
      </c>
      <c r="B1125" t="inlineStr">
        <is>
          <t>2023-01-25</t>
        </is>
      </c>
      <c r="C1125" s="45" t="n">
        <v>54.87</v>
      </c>
      <c r="D1125" t="inlineStr">
        <is>
          <t>€/MWh</t>
        </is>
      </c>
      <c r="E1125" s="54" t="n">
        <v>0.05487</v>
      </c>
      <c r="F1125" s="54" t="n"/>
      <c r="G1125" t="inlineStr">
        <is>
          <t>no aplica (precio mayorista)</t>
        </is>
      </c>
      <c r="J1125" t="inlineStr">
        <is>
          <t>2023-01-25</t>
        </is>
      </c>
      <c r="K1125" t="inlineStr">
        <is>
          <t>MIBGAS_Data_2023.xlsx</t>
        </is>
      </c>
    </row>
    <row r="1126">
      <c r="A1126" s="53" t="n">
        <v>44952</v>
      </c>
      <c r="B1126" t="inlineStr">
        <is>
          <t>2023-01-26</t>
        </is>
      </c>
      <c r="C1126" s="45" t="n">
        <v>51.36</v>
      </c>
      <c r="D1126" t="inlineStr">
        <is>
          <t>€/MWh</t>
        </is>
      </c>
      <c r="E1126" s="54" t="n">
        <v>0.05136</v>
      </c>
      <c r="F1126" s="54" t="n"/>
      <c r="G1126" t="inlineStr">
        <is>
          <t>no aplica (precio mayorista)</t>
        </is>
      </c>
      <c r="J1126" t="inlineStr">
        <is>
          <t>2023-01-26</t>
        </is>
      </c>
      <c r="K1126" t="inlineStr">
        <is>
          <t>MIBGAS_Data_2023.xlsx</t>
        </is>
      </c>
    </row>
    <row r="1127">
      <c r="A1127" s="53" t="n">
        <v>44953</v>
      </c>
      <c r="B1127" t="inlineStr">
        <is>
          <t>2023-01-27</t>
        </is>
      </c>
      <c r="C1127" s="45" t="n">
        <v>51.41</v>
      </c>
      <c r="D1127" t="inlineStr">
        <is>
          <t>€/MWh</t>
        </is>
      </c>
      <c r="E1127" s="54" t="n">
        <v>0.05141</v>
      </c>
      <c r="F1127" s="54" t="n"/>
      <c r="G1127" t="inlineStr">
        <is>
          <t>no aplica (precio mayorista)</t>
        </is>
      </c>
      <c r="J1127" t="inlineStr">
        <is>
          <t>2023-01-27</t>
        </is>
      </c>
      <c r="K1127" t="inlineStr">
        <is>
          <t>MIBGAS_Data_2023.xlsx</t>
        </is>
      </c>
    </row>
    <row r="1128">
      <c r="A1128" s="53" t="n">
        <v>44954</v>
      </c>
      <c r="B1128" t="inlineStr">
        <is>
          <t>2023-01-28</t>
        </is>
      </c>
      <c r="C1128" s="45" t="n">
        <v>51.88</v>
      </c>
      <c r="D1128" t="inlineStr">
        <is>
          <t>€/MWh</t>
        </is>
      </c>
      <c r="E1128" s="54" t="n">
        <v>0.05188</v>
      </c>
      <c r="F1128" s="54" t="n"/>
      <c r="G1128" t="inlineStr">
        <is>
          <t>no aplica (precio mayorista)</t>
        </is>
      </c>
      <c r="J1128" t="inlineStr">
        <is>
          <t>2023-01-28</t>
        </is>
      </c>
      <c r="K1128" t="inlineStr">
        <is>
          <t>MIBGAS_Data_2023.xlsx</t>
        </is>
      </c>
    </row>
    <row r="1129">
      <c r="A1129" s="53" t="n">
        <v>44955</v>
      </c>
      <c r="B1129" t="inlineStr">
        <is>
          <t>2023-01-29</t>
        </is>
      </c>
      <c r="C1129" s="45" t="n">
        <v>53.63</v>
      </c>
      <c r="D1129" t="inlineStr">
        <is>
          <t>€/MWh</t>
        </is>
      </c>
      <c r="E1129" s="54" t="n">
        <v>0.05363</v>
      </c>
      <c r="F1129" s="54" t="n"/>
      <c r="G1129" t="inlineStr">
        <is>
          <t>no aplica (precio mayorista)</t>
        </is>
      </c>
      <c r="J1129" t="inlineStr">
        <is>
          <t>2023-01-29</t>
        </is>
      </c>
      <c r="K1129" t="inlineStr">
        <is>
          <t>MIBGAS_Data_2023.xlsx</t>
        </is>
      </c>
    </row>
    <row r="1130">
      <c r="A1130" s="53" t="n">
        <v>44956</v>
      </c>
      <c r="B1130" t="inlineStr">
        <is>
          <t>2023-01-30</t>
        </is>
      </c>
      <c r="C1130" s="45" t="n">
        <v>56.53</v>
      </c>
      <c r="D1130" t="inlineStr">
        <is>
          <t>€/MWh</t>
        </is>
      </c>
      <c r="E1130" s="54" t="n">
        <v>0.05653</v>
      </c>
      <c r="F1130" s="54" t="n"/>
      <c r="G1130" t="inlineStr">
        <is>
          <t>no aplica (precio mayorista)</t>
        </is>
      </c>
      <c r="J1130" t="inlineStr">
        <is>
          <t>2023-01-30</t>
        </is>
      </c>
      <c r="K1130" t="inlineStr">
        <is>
          <t>MIBGAS_Data_2023.xlsx</t>
        </is>
      </c>
    </row>
    <row r="1131">
      <c r="A1131" s="53" t="n">
        <v>44957</v>
      </c>
      <c r="B1131" t="inlineStr">
        <is>
          <t>2023-01-31</t>
        </is>
      </c>
      <c r="C1131" s="45" t="n">
        <v>55.74</v>
      </c>
      <c r="D1131" t="inlineStr">
        <is>
          <t>€/MWh</t>
        </is>
      </c>
      <c r="E1131" s="54" t="n">
        <v>0.05574</v>
      </c>
      <c r="F1131" s="54" t="n"/>
      <c r="G1131" t="inlineStr">
        <is>
          <t>no aplica (precio mayorista)</t>
        </is>
      </c>
      <c r="J1131" t="inlineStr">
        <is>
          <t>2023-01-31</t>
        </is>
      </c>
      <c r="K1131" t="inlineStr">
        <is>
          <t>MIBGAS_Data_2023.xlsx</t>
        </is>
      </c>
    </row>
    <row r="1132">
      <c r="A1132" s="53" t="n">
        <v>44958</v>
      </c>
      <c r="B1132" t="inlineStr">
        <is>
          <t>2023-02-01</t>
        </is>
      </c>
      <c r="C1132" s="45" t="n">
        <v>55.99</v>
      </c>
      <c r="D1132" t="inlineStr">
        <is>
          <t>€/MWh</t>
        </is>
      </c>
      <c r="E1132" s="54" t="n">
        <v>0.05599</v>
      </c>
      <c r="F1132" s="54" t="n"/>
      <c r="G1132" t="inlineStr">
        <is>
          <t>no aplica (precio mayorista)</t>
        </is>
      </c>
      <c r="J1132" t="inlineStr">
        <is>
          <t>2023-02-01</t>
        </is>
      </c>
      <c r="K1132" t="inlineStr">
        <is>
          <t>MIBGAS_Data_2023.xlsx</t>
        </is>
      </c>
    </row>
    <row r="1133">
      <c r="A1133" s="53" t="n">
        <v>44959</v>
      </c>
      <c r="B1133" t="inlineStr">
        <is>
          <t>2023-02-02</t>
        </is>
      </c>
      <c r="C1133" s="45" t="n">
        <v>57.65</v>
      </c>
      <c r="D1133" t="inlineStr">
        <is>
          <t>€/MWh</t>
        </is>
      </c>
      <c r="E1133" s="54" t="n">
        <v>0.05765</v>
      </c>
      <c r="F1133" s="54" t="n"/>
      <c r="G1133" t="inlineStr">
        <is>
          <t>no aplica (precio mayorista)</t>
        </is>
      </c>
      <c r="J1133" t="inlineStr">
        <is>
          <t>2023-02-02</t>
        </is>
      </c>
      <c r="K1133" t="inlineStr">
        <is>
          <t>MIBGAS_Data_2023.xlsx</t>
        </is>
      </c>
    </row>
    <row r="1134">
      <c r="A1134" s="53" t="n">
        <v>44960</v>
      </c>
      <c r="B1134" t="inlineStr">
        <is>
          <t>2023-02-03</t>
        </is>
      </c>
      <c r="C1134" s="45" t="n">
        <v>56.4</v>
      </c>
      <c r="D1134" t="inlineStr">
        <is>
          <t>€/MWh</t>
        </is>
      </c>
      <c r="E1134" s="54" t="n">
        <v>0.0564</v>
      </c>
      <c r="F1134" s="54" t="n"/>
      <c r="G1134" t="inlineStr">
        <is>
          <t>no aplica (precio mayorista)</t>
        </is>
      </c>
      <c r="J1134" t="inlineStr">
        <is>
          <t>2023-02-03</t>
        </is>
      </c>
      <c r="K1134" t="inlineStr">
        <is>
          <t>MIBGAS_Data_2023.xlsx</t>
        </is>
      </c>
    </row>
    <row r="1135">
      <c r="A1135" s="53" t="n">
        <v>44961</v>
      </c>
      <c r="B1135" t="inlineStr">
        <is>
          <t>2023-02-04</t>
        </is>
      </c>
      <c r="C1135" s="45" t="n">
        <v>57.04</v>
      </c>
      <c r="D1135" t="inlineStr">
        <is>
          <t>€/MWh</t>
        </is>
      </c>
      <c r="E1135" s="54" t="n">
        <v>0.05704</v>
      </c>
      <c r="F1135" s="54" t="n"/>
      <c r="G1135" t="inlineStr">
        <is>
          <t>no aplica (precio mayorista)</t>
        </is>
      </c>
      <c r="J1135" t="inlineStr">
        <is>
          <t>2023-02-04</t>
        </is>
      </c>
      <c r="K1135" t="inlineStr">
        <is>
          <t>MIBGAS_Data_2023.xlsx</t>
        </is>
      </c>
    </row>
    <row r="1136">
      <c r="A1136" s="53" t="n">
        <v>44962</v>
      </c>
      <c r="B1136" t="inlineStr">
        <is>
          <t>2023-02-05</t>
        </is>
      </c>
      <c r="C1136" s="45" t="n">
        <v>57.38</v>
      </c>
      <c r="D1136" t="inlineStr">
        <is>
          <t>€/MWh</t>
        </is>
      </c>
      <c r="E1136" s="54" t="n">
        <v>0.05738</v>
      </c>
      <c r="F1136" s="54" t="n"/>
      <c r="G1136" t="inlineStr">
        <is>
          <t>no aplica (precio mayorista)</t>
        </is>
      </c>
      <c r="J1136" t="inlineStr">
        <is>
          <t>2023-02-05</t>
        </is>
      </c>
      <c r="K1136" t="inlineStr">
        <is>
          <t>MIBGAS_Data_2023.xlsx</t>
        </is>
      </c>
    </row>
    <row r="1137">
      <c r="A1137" s="53" t="n">
        <v>44963</v>
      </c>
      <c r="B1137" t="inlineStr">
        <is>
          <t>2023-02-06</t>
        </is>
      </c>
      <c r="C1137" s="45" t="n">
        <v>57.7</v>
      </c>
      <c r="D1137" t="inlineStr">
        <is>
          <t>€/MWh</t>
        </is>
      </c>
      <c r="E1137" s="54" t="n">
        <v>0.0577</v>
      </c>
      <c r="F1137" s="54" t="n"/>
      <c r="G1137" t="inlineStr">
        <is>
          <t>no aplica (precio mayorista)</t>
        </is>
      </c>
      <c r="J1137" t="inlineStr">
        <is>
          <t>2023-02-06</t>
        </is>
      </c>
      <c r="K1137" t="inlineStr">
        <is>
          <t>MIBGAS_Data_2023.xlsx</t>
        </is>
      </c>
    </row>
    <row r="1138">
      <c r="A1138" s="53" t="n">
        <v>44964</v>
      </c>
      <c r="B1138" t="inlineStr">
        <is>
          <t>2023-02-07</t>
        </is>
      </c>
      <c r="C1138" s="45" t="n">
        <v>56.12</v>
      </c>
      <c r="D1138" t="inlineStr">
        <is>
          <t>€/MWh</t>
        </is>
      </c>
      <c r="E1138" s="54" t="n">
        <v>0.05612</v>
      </c>
      <c r="F1138" s="54" t="n"/>
      <c r="G1138" t="inlineStr">
        <is>
          <t>no aplica (precio mayorista)</t>
        </is>
      </c>
      <c r="J1138" t="inlineStr">
        <is>
          <t>2023-02-07</t>
        </is>
      </c>
      <c r="K1138" t="inlineStr">
        <is>
          <t>MIBGAS_Data_2023.xlsx</t>
        </is>
      </c>
    </row>
    <row r="1139">
      <c r="A1139" s="53" t="n">
        <v>44965</v>
      </c>
      <c r="B1139" t="inlineStr">
        <is>
          <t>2023-02-08</t>
        </is>
      </c>
      <c r="C1139" s="45" t="n">
        <v>54.52</v>
      </c>
      <c r="D1139" t="inlineStr">
        <is>
          <t>€/MWh</t>
        </is>
      </c>
      <c r="E1139" s="54" t="n">
        <v>0.05452</v>
      </c>
      <c r="F1139" s="54" t="n"/>
      <c r="G1139" t="inlineStr">
        <is>
          <t>no aplica (precio mayorista)</t>
        </is>
      </c>
      <c r="J1139" t="inlineStr">
        <is>
          <t>2023-02-08</t>
        </is>
      </c>
      <c r="K1139" t="inlineStr">
        <is>
          <t>MIBGAS_Data_2023.xlsx</t>
        </is>
      </c>
    </row>
    <row r="1140">
      <c r="A1140" s="53" t="n">
        <v>44966</v>
      </c>
      <c r="B1140" t="inlineStr">
        <is>
          <t>2023-02-09</t>
        </is>
      </c>
      <c r="C1140" s="45" t="n">
        <v>53.15</v>
      </c>
      <c r="D1140" t="inlineStr">
        <is>
          <t>€/MWh</t>
        </is>
      </c>
      <c r="E1140" s="54" t="n">
        <v>0.05315</v>
      </c>
      <c r="F1140" s="54" t="n"/>
      <c r="G1140" t="inlineStr">
        <is>
          <t>no aplica (precio mayorista)</t>
        </is>
      </c>
      <c r="J1140" t="inlineStr">
        <is>
          <t>2023-02-09</t>
        </is>
      </c>
      <c r="K1140" t="inlineStr">
        <is>
          <t>MIBGAS_Data_2023.xlsx</t>
        </is>
      </c>
    </row>
    <row r="1141">
      <c r="A1141" s="53" t="n">
        <v>44967</v>
      </c>
      <c r="B1141" t="inlineStr">
        <is>
          <t>2023-02-10</t>
        </is>
      </c>
      <c r="C1141" s="45" t="n">
        <v>52.75</v>
      </c>
      <c r="D1141" t="inlineStr">
        <is>
          <t>€/MWh</t>
        </is>
      </c>
      <c r="E1141" s="54" t="n">
        <v>0.05275</v>
      </c>
      <c r="F1141" s="54" t="n"/>
      <c r="G1141" t="inlineStr">
        <is>
          <t>no aplica (precio mayorista)</t>
        </is>
      </c>
      <c r="J1141" t="inlineStr">
        <is>
          <t>2023-02-10</t>
        </is>
      </c>
      <c r="K1141" t="inlineStr">
        <is>
          <t>MIBGAS_Data_2023.xlsx</t>
        </is>
      </c>
    </row>
    <row r="1142">
      <c r="A1142" s="53" t="n">
        <v>44968</v>
      </c>
      <c r="B1142" t="inlineStr">
        <is>
          <t>2023-02-11</t>
        </is>
      </c>
      <c r="C1142" s="45" t="n">
        <v>52.63</v>
      </c>
      <c r="D1142" t="inlineStr">
        <is>
          <t>€/MWh</t>
        </is>
      </c>
      <c r="E1142" s="54" t="n">
        <v>0.05263</v>
      </c>
      <c r="F1142" s="54" t="n"/>
      <c r="G1142" t="inlineStr">
        <is>
          <t>no aplica (precio mayorista)</t>
        </is>
      </c>
      <c r="J1142" t="inlineStr">
        <is>
          <t>2023-02-11</t>
        </is>
      </c>
      <c r="K1142" t="inlineStr">
        <is>
          <t>MIBGAS_Data_2023.xlsx</t>
        </is>
      </c>
    </row>
    <row r="1143">
      <c r="A1143" s="53" t="n">
        <v>44969</v>
      </c>
      <c r="B1143" t="inlineStr">
        <is>
          <t>2023-02-12</t>
        </is>
      </c>
      <c r="C1143" s="45" t="n">
        <v>53.3</v>
      </c>
      <c r="D1143" t="inlineStr">
        <is>
          <t>€/MWh</t>
        </is>
      </c>
      <c r="E1143" s="54" t="n">
        <v>0.0533</v>
      </c>
      <c r="F1143" s="54" t="n"/>
      <c r="G1143" t="inlineStr">
        <is>
          <t>no aplica (precio mayorista)</t>
        </is>
      </c>
      <c r="J1143" t="inlineStr">
        <is>
          <t>2023-02-12</t>
        </is>
      </c>
      <c r="K1143" t="inlineStr">
        <is>
          <t>MIBGAS_Data_2023.xlsx</t>
        </is>
      </c>
    </row>
    <row r="1144">
      <c r="A1144" s="53" t="n">
        <v>44970</v>
      </c>
      <c r="B1144" t="inlineStr">
        <is>
          <t>2023-02-13</t>
        </is>
      </c>
      <c r="C1144" s="45" t="n">
        <v>53.47</v>
      </c>
      <c r="D1144" t="inlineStr">
        <is>
          <t>€/MWh</t>
        </is>
      </c>
      <c r="E1144" s="54" t="n">
        <v>0.05347</v>
      </c>
      <c r="F1144" s="54" t="n"/>
      <c r="G1144" t="inlineStr">
        <is>
          <t>no aplica (precio mayorista)</t>
        </is>
      </c>
      <c r="J1144" t="inlineStr">
        <is>
          <t>2023-02-13</t>
        </is>
      </c>
      <c r="K1144" t="inlineStr">
        <is>
          <t>MIBGAS_Data_2023.xlsx</t>
        </is>
      </c>
    </row>
    <row r="1145">
      <c r="A1145" s="53" t="n">
        <v>44971</v>
      </c>
      <c r="B1145" t="inlineStr">
        <is>
          <t>2023-02-14</t>
        </is>
      </c>
      <c r="C1145" s="45" t="n">
        <v>51.23</v>
      </c>
      <c r="D1145" t="inlineStr">
        <is>
          <t>€/MWh</t>
        </is>
      </c>
      <c r="E1145" s="54" t="n">
        <v>0.05123</v>
      </c>
      <c r="F1145" s="54" t="n"/>
      <c r="G1145" t="inlineStr">
        <is>
          <t>no aplica (precio mayorista)</t>
        </is>
      </c>
      <c r="J1145" t="inlineStr">
        <is>
          <t>2023-02-14</t>
        </is>
      </c>
      <c r="K1145" t="inlineStr">
        <is>
          <t>MIBGAS_Data_2023.xlsx</t>
        </is>
      </c>
    </row>
    <row r="1146">
      <c r="A1146" s="53" t="n">
        <v>44972</v>
      </c>
      <c r="B1146" t="inlineStr">
        <is>
          <t>2023-02-15</t>
        </is>
      </c>
      <c r="C1146" s="45" t="n">
        <v>52.36</v>
      </c>
      <c r="D1146" t="inlineStr">
        <is>
          <t>€/MWh</t>
        </is>
      </c>
      <c r="E1146" s="54" t="n">
        <v>0.05236</v>
      </c>
      <c r="F1146" s="54" t="n"/>
      <c r="G1146" t="inlineStr">
        <is>
          <t>no aplica (precio mayorista)</t>
        </is>
      </c>
      <c r="J1146" t="inlineStr">
        <is>
          <t>2023-02-15</t>
        </is>
      </c>
      <c r="K1146" t="inlineStr">
        <is>
          <t>MIBGAS_Data_2023.xlsx</t>
        </is>
      </c>
    </row>
    <row r="1147">
      <c r="A1147" s="53" t="n">
        <v>44973</v>
      </c>
      <c r="B1147" t="inlineStr">
        <is>
          <t>2023-02-16</t>
        </is>
      </c>
      <c r="C1147" s="45" t="n">
        <v>52.81</v>
      </c>
      <c r="D1147" t="inlineStr">
        <is>
          <t>€/MWh</t>
        </is>
      </c>
      <c r="E1147" s="54" t="n">
        <v>0.05281</v>
      </c>
      <c r="F1147" s="54" t="n"/>
      <c r="G1147" t="inlineStr">
        <is>
          <t>no aplica (precio mayorista)</t>
        </is>
      </c>
      <c r="J1147" t="inlineStr">
        <is>
          <t>2023-02-16</t>
        </is>
      </c>
      <c r="K1147" t="inlineStr">
        <is>
          <t>MIBGAS_Data_2023.xlsx</t>
        </is>
      </c>
    </row>
    <row r="1148">
      <c r="A1148" s="53" t="n">
        <v>44974</v>
      </c>
      <c r="B1148" t="inlineStr">
        <is>
          <t>2023-02-17</t>
        </is>
      </c>
      <c r="C1148" s="45" t="n">
        <v>50.48</v>
      </c>
      <c r="D1148" t="inlineStr">
        <is>
          <t>€/MWh</t>
        </is>
      </c>
      <c r="E1148" s="54" t="n">
        <v>0.05048</v>
      </c>
      <c r="F1148" s="54" t="n"/>
      <c r="G1148" t="inlineStr">
        <is>
          <t>no aplica (precio mayorista)</t>
        </is>
      </c>
      <c r="J1148" t="inlineStr">
        <is>
          <t>2023-02-17</t>
        </is>
      </c>
      <c r="K1148" t="inlineStr">
        <is>
          <t>MIBGAS_Data_2023.xlsx</t>
        </is>
      </c>
    </row>
    <row r="1149">
      <c r="A1149" s="53" t="n">
        <v>44975</v>
      </c>
      <c r="B1149" t="inlineStr">
        <is>
          <t>2023-02-18</t>
        </is>
      </c>
      <c r="C1149" s="45" t="n">
        <v>47.96</v>
      </c>
      <c r="D1149" t="inlineStr">
        <is>
          <t>€/MWh</t>
        </is>
      </c>
      <c r="E1149" s="54" t="n">
        <v>0.04796</v>
      </c>
      <c r="F1149" s="54" t="n"/>
      <c r="G1149" t="inlineStr">
        <is>
          <t>no aplica (precio mayorista)</t>
        </is>
      </c>
      <c r="J1149" t="inlineStr">
        <is>
          <t>2023-02-18</t>
        </is>
      </c>
      <c r="K1149" t="inlineStr">
        <is>
          <t>MIBGAS_Data_2023.xlsx</t>
        </is>
      </c>
    </row>
    <row r="1150">
      <c r="A1150" s="53" t="n">
        <v>44976</v>
      </c>
      <c r="B1150" t="inlineStr">
        <is>
          <t>2023-02-19</t>
        </is>
      </c>
      <c r="C1150" s="45" t="n">
        <v>48.14</v>
      </c>
      <c r="D1150" t="inlineStr">
        <is>
          <t>€/MWh</t>
        </is>
      </c>
      <c r="E1150" s="54" t="n">
        <v>0.04814</v>
      </c>
      <c r="F1150" s="54" t="n"/>
      <c r="G1150" t="inlineStr">
        <is>
          <t>no aplica (precio mayorista)</t>
        </is>
      </c>
      <c r="J1150" t="inlineStr">
        <is>
          <t>2023-02-19</t>
        </is>
      </c>
      <c r="K1150" t="inlineStr">
        <is>
          <t>MIBGAS_Data_2023.xlsx</t>
        </is>
      </c>
    </row>
    <row r="1151">
      <c r="A1151" s="53" t="n">
        <v>44977</v>
      </c>
      <c r="B1151" t="inlineStr">
        <is>
          <t>2023-02-20</t>
        </is>
      </c>
      <c r="C1151" s="45" t="n">
        <v>49</v>
      </c>
      <c r="D1151" t="inlineStr">
        <is>
          <t>€/MWh</t>
        </is>
      </c>
      <c r="E1151" s="54" t="n">
        <v>0.049</v>
      </c>
      <c r="F1151" s="54" t="n"/>
      <c r="G1151" t="inlineStr">
        <is>
          <t>no aplica (precio mayorista)</t>
        </is>
      </c>
      <c r="J1151" t="inlineStr">
        <is>
          <t>2023-02-20</t>
        </is>
      </c>
      <c r="K1151" t="inlineStr">
        <is>
          <t>MIBGAS_Data_2023.xlsx</t>
        </is>
      </c>
    </row>
    <row r="1152">
      <c r="A1152" s="53" t="n">
        <v>44978</v>
      </c>
      <c r="B1152" t="inlineStr">
        <is>
          <t>2023-02-21</t>
        </is>
      </c>
      <c r="C1152" s="45" t="n">
        <v>49.82</v>
      </c>
      <c r="D1152" t="inlineStr">
        <is>
          <t>€/MWh</t>
        </is>
      </c>
      <c r="E1152" s="54" t="n">
        <v>0.04982</v>
      </c>
      <c r="F1152" s="54" t="n"/>
      <c r="G1152" t="inlineStr">
        <is>
          <t>no aplica (precio mayorista)</t>
        </is>
      </c>
      <c r="J1152" t="inlineStr">
        <is>
          <t>2023-02-21</t>
        </is>
      </c>
      <c r="K1152" t="inlineStr">
        <is>
          <t>MIBGAS_Data_2023.xlsx</t>
        </is>
      </c>
    </row>
    <row r="1153">
      <c r="A1153" s="53" t="n">
        <v>44979</v>
      </c>
      <c r="B1153" t="inlineStr">
        <is>
          <t>2023-02-22</t>
        </is>
      </c>
      <c r="C1153" s="45" t="n">
        <v>48.23</v>
      </c>
      <c r="D1153" t="inlineStr">
        <is>
          <t>€/MWh</t>
        </is>
      </c>
      <c r="E1153" s="54" t="n">
        <v>0.04823</v>
      </c>
      <c r="F1153" s="54" t="n"/>
      <c r="G1153" t="inlineStr">
        <is>
          <t>no aplica (precio mayorista)</t>
        </is>
      </c>
      <c r="J1153" t="inlineStr">
        <is>
          <t>2023-02-22</t>
        </is>
      </c>
      <c r="K1153" t="inlineStr">
        <is>
          <t>MIBGAS_Data_2023.xlsx</t>
        </is>
      </c>
    </row>
    <row r="1154">
      <c r="A1154" s="53" t="n">
        <v>44980</v>
      </c>
      <c r="B1154" t="inlineStr">
        <is>
          <t>2023-02-23</t>
        </is>
      </c>
      <c r="C1154" s="45" t="n">
        <v>49.27</v>
      </c>
      <c r="D1154" t="inlineStr">
        <is>
          <t>€/MWh</t>
        </is>
      </c>
      <c r="E1154" s="54" t="n">
        <v>0.04927</v>
      </c>
      <c r="F1154" s="54" t="n"/>
      <c r="G1154" t="inlineStr">
        <is>
          <t>no aplica (precio mayorista)</t>
        </is>
      </c>
      <c r="J1154" t="inlineStr">
        <is>
          <t>2023-02-23</t>
        </is>
      </c>
      <c r="K1154" t="inlineStr">
        <is>
          <t>MIBGAS_Data_2023.xlsx</t>
        </is>
      </c>
    </row>
    <row r="1155">
      <c r="A1155" s="53" t="n">
        <v>44981</v>
      </c>
      <c r="B1155" t="inlineStr">
        <is>
          <t>2023-02-24</t>
        </is>
      </c>
      <c r="C1155" s="45" t="n">
        <v>50.7</v>
      </c>
      <c r="D1155" t="inlineStr">
        <is>
          <t>€/MWh</t>
        </is>
      </c>
      <c r="E1155" s="54" t="n">
        <v>0.0507</v>
      </c>
      <c r="F1155" s="54" t="n"/>
      <c r="G1155" t="inlineStr">
        <is>
          <t>no aplica (precio mayorista)</t>
        </is>
      </c>
      <c r="J1155" t="inlineStr">
        <is>
          <t>2023-02-24</t>
        </is>
      </c>
      <c r="K1155" t="inlineStr">
        <is>
          <t>MIBGAS_Data_2023.xlsx</t>
        </is>
      </c>
    </row>
    <row r="1156">
      <c r="A1156" s="53" t="n">
        <v>44982</v>
      </c>
      <c r="B1156" t="inlineStr">
        <is>
          <t>2023-02-25</t>
        </is>
      </c>
      <c r="C1156" s="45" t="n">
        <v>50.22</v>
      </c>
      <c r="D1156" t="inlineStr">
        <is>
          <t>€/MWh</t>
        </is>
      </c>
      <c r="E1156" s="54" t="n">
        <v>0.05022</v>
      </c>
      <c r="F1156" s="54" t="n"/>
      <c r="G1156" t="inlineStr">
        <is>
          <t>no aplica (precio mayorista)</t>
        </is>
      </c>
      <c r="J1156" t="inlineStr">
        <is>
          <t>2023-02-25</t>
        </is>
      </c>
      <c r="K1156" t="inlineStr">
        <is>
          <t>MIBGAS_Data_2023.xlsx</t>
        </is>
      </c>
    </row>
    <row r="1157">
      <c r="A1157" s="53" t="n">
        <v>44983</v>
      </c>
      <c r="B1157" t="inlineStr">
        <is>
          <t>2023-02-26</t>
        </is>
      </c>
      <c r="C1157" s="45" t="n">
        <v>49.74</v>
      </c>
      <c r="D1157" t="inlineStr">
        <is>
          <t>€/MWh</t>
        </is>
      </c>
      <c r="E1157" s="54" t="n">
        <v>0.04974</v>
      </c>
      <c r="F1157" s="54" t="n"/>
      <c r="G1157" t="inlineStr">
        <is>
          <t>no aplica (precio mayorista)</t>
        </is>
      </c>
      <c r="J1157" t="inlineStr">
        <is>
          <t>2023-02-26</t>
        </is>
      </c>
      <c r="K1157" t="inlineStr">
        <is>
          <t>MIBGAS_Data_2023.xlsx</t>
        </is>
      </c>
    </row>
    <row r="1158">
      <c r="A1158" s="53" t="n">
        <v>44984</v>
      </c>
      <c r="B1158" t="inlineStr">
        <is>
          <t>2023-02-27</t>
        </is>
      </c>
      <c r="C1158" s="45" t="n">
        <v>49.63</v>
      </c>
      <c r="D1158" t="inlineStr">
        <is>
          <t>€/MWh</t>
        </is>
      </c>
      <c r="E1158" s="54" t="n">
        <v>0.04963</v>
      </c>
      <c r="F1158" s="54" t="n"/>
      <c r="G1158" t="inlineStr">
        <is>
          <t>no aplica (precio mayorista)</t>
        </is>
      </c>
      <c r="J1158" t="inlineStr">
        <is>
          <t>2023-02-27</t>
        </is>
      </c>
      <c r="K1158" t="inlineStr">
        <is>
          <t>MIBGAS_Data_2023.xlsx</t>
        </is>
      </c>
    </row>
    <row r="1159">
      <c r="A1159" s="53" t="n">
        <v>44985</v>
      </c>
      <c r="B1159" t="inlineStr">
        <is>
          <t>2023-02-28</t>
        </is>
      </c>
      <c r="C1159" s="45" t="n">
        <v>47.62</v>
      </c>
      <c r="D1159" t="inlineStr">
        <is>
          <t>€/MWh</t>
        </is>
      </c>
      <c r="E1159" s="54" t="n">
        <v>0.04762</v>
      </c>
      <c r="F1159" s="54" t="n"/>
      <c r="G1159" t="inlineStr">
        <is>
          <t>no aplica (precio mayorista)</t>
        </is>
      </c>
      <c r="J1159" t="inlineStr">
        <is>
          <t>2023-02-28</t>
        </is>
      </c>
      <c r="K1159" t="inlineStr">
        <is>
          <t>MIBGAS_Data_2023.xlsx</t>
        </is>
      </c>
    </row>
    <row r="1160">
      <c r="A1160" s="53" t="n">
        <v>44986</v>
      </c>
      <c r="B1160" t="inlineStr">
        <is>
          <t>2023-03-01</t>
        </is>
      </c>
      <c r="C1160" s="45" t="n">
        <v>48.04</v>
      </c>
      <c r="D1160" t="inlineStr">
        <is>
          <t>€/MWh</t>
        </is>
      </c>
      <c r="E1160" s="54" t="n">
        <v>0.04804</v>
      </c>
      <c r="F1160" s="54" t="n"/>
      <c r="G1160" t="inlineStr">
        <is>
          <t>no aplica (precio mayorista)</t>
        </is>
      </c>
      <c r="J1160" t="inlineStr">
        <is>
          <t>2023-03-01</t>
        </is>
      </c>
      <c r="K1160" t="inlineStr">
        <is>
          <t>MIBGAS_Data_2023.xlsx</t>
        </is>
      </c>
    </row>
    <row r="1161">
      <c r="A1161" s="53" t="n">
        <v>44987</v>
      </c>
      <c r="B1161" t="inlineStr">
        <is>
          <t>2023-03-02</t>
        </is>
      </c>
      <c r="C1161" s="45" t="n">
        <v>48.11</v>
      </c>
      <c r="D1161" t="inlineStr">
        <is>
          <t>€/MWh</t>
        </is>
      </c>
      <c r="E1161" s="54" t="n">
        <v>0.04811</v>
      </c>
      <c r="F1161" s="54" t="n"/>
      <c r="G1161" t="inlineStr">
        <is>
          <t>no aplica (precio mayorista)</t>
        </is>
      </c>
      <c r="J1161" t="inlineStr">
        <is>
          <t>2023-03-02</t>
        </is>
      </c>
      <c r="K1161" t="inlineStr">
        <is>
          <t>MIBGAS_Data_2023.xlsx</t>
        </is>
      </c>
    </row>
    <row r="1162">
      <c r="A1162" s="53" t="n">
        <v>44988</v>
      </c>
      <c r="B1162" t="inlineStr">
        <is>
          <t>2023-03-03</t>
        </is>
      </c>
      <c r="C1162" s="45" t="n">
        <v>47.49</v>
      </c>
      <c r="D1162" t="inlineStr">
        <is>
          <t>€/MWh</t>
        </is>
      </c>
      <c r="E1162" s="54" t="n">
        <v>0.04749</v>
      </c>
      <c r="F1162" s="54" t="n"/>
      <c r="G1162" t="inlineStr">
        <is>
          <t>no aplica (precio mayorista)</t>
        </is>
      </c>
      <c r="J1162" t="inlineStr">
        <is>
          <t>2023-03-03</t>
        </is>
      </c>
      <c r="K1162" t="inlineStr">
        <is>
          <t>MIBGAS_Data_2023.xlsx</t>
        </is>
      </c>
    </row>
    <row r="1163">
      <c r="A1163" s="53" t="n">
        <v>44989</v>
      </c>
      <c r="B1163" t="inlineStr">
        <is>
          <t>2023-03-04</t>
        </is>
      </c>
      <c r="C1163" s="45" t="n">
        <v>46.15</v>
      </c>
      <c r="D1163" t="inlineStr">
        <is>
          <t>€/MWh</t>
        </is>
      </c>
      <c r="E1163" s="54" t="n">
        <v>0.04615</v>
      </c>
      <c r="F1163" s="54" t="n"/>
      <c r="G1163" t="inlineStr">
        <is>
          <t>no aplica (precio mayorista)</t>
        </is>
      </c>
      <c r="J1163" t="inlineStr">
        <is>
          <t>2023-03-04</t>
        </is>
      </c>
      <c r="K1163" t="inlineStr">
        <is>
          <t>MIBGAS_Data_2023.xlsx</t>
        </is>
      </c>
    </row>
    <row r="1164">
      <c r="A1164" s="53" t="n">
        <v>44990</v>
      </c>
      <c r="B1164" t="inlineStr">
        <is>
          <t>2023-03-05</t>
        </is>
      </c>
      <c r="C1164" s="45" t="n">
        <v>47.1</v>
      </c>
      <c r="D1164" t="inlineStr">
        <is>
          <t>€/MWh</t>
        </is>
      </c>
      <c r="E1164" s="54" t="n">
        <v>0.0471</v>
      </c>
      <c r="F1164" s="54" t="n"/>
      <c r="G1164" t="inlineStr">
        <is>
          <t>no aplica (precio mayorista)</t>
        </is>
      </c>
      <c r="J1164" t="inlineStr">
        <is>
          <t>2023-03-05</t>
        </is>
      </c>
      <c r="K1164" t="inlineStr">
        <is>
          <t>MIBGAS_Data_2023.xlsx</t>
        </is>
      </c>
    </row>
    <row r="1165">
      <c r="A1165" s="53" t="n">
        <v>44991</v>
      </c>
      <c r="B1165" t="inlineStr">
        <is>
          <t>2023-03-06</t>
        </is>
      </c>
      <c r="C1165" s="45" t="n">
        <v>46.84</v>
      </c>
      <c r="D1165" t="inlineStr">
        <is>
          <t>€/MWh</t>
        </is>
      </c>
      <c r="E1165" s="54" t="n">
        <v>0.04684</v>
      </c>
      <c r="F1165" s="54" t="n"/>
      <c r="G1165" t="inlineStr">
        <is>
          <t>no aplica (precio mayorista)</t>
        </is>
      </c>
      <c r="J1165" t="inlineStr">
        <is>
          <t>2023-03-06</t>
        </is>
      </c>
      <c r="K1165" t="inlineStr">
        <is>
          <t>MIBGAS_Data_2023.xlsx</t>
        </is>
      </c>
    </row>
    <row r="1166">
      <c r="A1166" s="53" t="n">
        <v>44992</v>
      </c>
      <c r="B1166" t="inlineStr">
        <is>
          <t>2023-03-07</t>
        </is>
      </c>
      <c r="C1166" s="45" t="n">
        <v>44.82</v>
      </c>
      <c r="D1166" t="inlineStr">
        <is>
          <t>€/MWh</t>
        </is>
      </c>
      <c r="E1166" s="54" t="n">
        <v>0.04482</v>
      </c>
      <c r="F1166" s="54" t="n"/>
      <c r="G1166" t="inlineStr">
        <is>
          <t>no aplica (precio mayorista)</t>
        </is>
      </c>
      <c r="J1166" t="inlineStr">
        <is>
          <t>2023-03-07</t>
        </is>
      </c>
      <c r="K1166" t="inlineStr">
        <is>
          <t>MIBGAS_Data_2023.xlsx</t>
        </is>
      </c>
    </row>
    <row r="1167">
      <c r="A1167" s="53" t="n">
        <v>44993</v>
      </c>
      <c r="B1167" t="inlineStr">
        <is>
          <t>2023-03-08</t>
        </is>
      </c>
      <c r="C1167" s="45" t="n">
        <v>44.19</v>
      </c>
      <c r="D1167" t="inlineStr">
        <is>
          <t>€/MWh</t>
        </is>
      </c>
      <c r="E1167" s="54" t="n">
        <v>0.04419</v>
      </c>
      <c r="F1167" s="54" t="n"/>
      <c r="G1167" t="inlineStr">
        <is>
          <t>no aplica (precio mayorista)</t>
        </is>
      </c>
      <c r="J1167" t="inlineStr">
        <is>
          <t>2023-03-08</t>
        </is>
      </c>
      <c r="K1167" t="inlineStr">
        <is>
          <t>MIBGAS_Data_2023.xlsx</t>
        </is>
      </c>
    </row>
    <row r="1168">
      <c r="A1168" s="53" t="n">
        <v>44994</v>
      </c>
      <c r="B1168" t="inlineStr">
        <is>
          <t>2023-03-09</t>
        </is>
      </c>
      <c r="C1168" s="45" t="n">
        <v>42.55</v>
      </c>
      <c r="D1168" t="inlineStr">
        <is>
          <t>€/MWh</t>
        </is>
      </c>
      <c r="E1168" s="54" t="n">
        <v>0.04255</v>
      </c>
      <c r="F1168" s="54" t="n"/>
      <c r="G1168" t="inlineStr">
        <is>
          <t>no aplica (precio mayorista)</t>
        </is>
      </c>
      <c r="J1168" t="inlineStr">
        <is>
          <t>2023-03-09</t>
        </is>
      </c>
      <c r="K1168" t="inlineStr">
        <is>
          <t>MIBGAS_Data_2023.xlsx</t>
        </is>
      </c>
    </row>
    <row r="1169">
      <c r="A1169" s="53" t="n">
        <v>44995</v>
      </c>
      <c r="B1169" t="inlineStr">
        <is>
          <t>2023-03-10</t>
        </is>
      </c>
      <c r="C1169" s="45" t="n">
        <v>43.67</v>
      </c>
      <c r="D1169" t="inlineStr">
        <is>
          <t>€/MWh</t>
        </is>
      </c>
      <c r="E1169" s="54" t="n">
        <v>0.04367</v>
      </c>
      <c r="F1169" s="54" t="n"/>
      <c r="G1169" t="inlineStr">
        <is>
          <t>no aplica (precio mayorista)</t>
        </is>
      </c>
      <c r="J1169" t="inlineStr">
        <is>
          <t>2023-03-10</t>
        </is>
      </c>
      <c r="K1169" t="inlineStr">
        <is>
          <t>MIBGAS_Data_2023.xlsx</t>
        </is>
      </c>
    </row>
    <row r="1170">
      <c r="A1170" s="53" t="n">
        <v>44996</v>
      </c>
      <c r="B1170" t="inlineStr">
        <is>
          <t>2023-03-11</t>
        </is>
      </c>
      <c r="C1170" s="45" t="n">
        <v>47.94</v>
      </c>
      <c r="D1170" t="inlineStr">
        <is>
          <t>€/MWh</t>
        </is>
      </c>
      <c r="E1170" s="54" t="n">
        <v>0.04794</v>
      </c>
      <c r="F1170" s="54" t="n"/>
      <c r="G1170" t="inlineStr">
        <is>
          <t>no aplica (precio mayorista)</t>
        </is>
      </c>
      <c r="J1170" t="inlineStr">
        <is>
          <t>2023-03-11</t>
        </is>
      </c>
      <c r="K1170" t="inlineStr">
        <is>
          <t>MIBGAS_Data_2023.xlsx</t>
        </is>
      </c>
    </row>
    <row r="1171">
      <c r="A1171" s="53" t="n">
        <v>44997</v>
      </c>
      <c r="B1171" t="inlineStr">
        <is>
          <t>2023-03-12</t>
        </is>
      </c>
      <c r="C1171" s="45" t="n">
        <v>47.86</v>
      </c>
      <c r="D1171" t="inlineStr">
        <is>
          <t>€/MWh</t>
        </is>
      </c>
      <c r="E1171" s="54" t="n">
        <v>0.04786</v>
      </c>
      <c r="F1171" s="54" t="n"/>
      <c r="G1171" t="inlineStr">
        <is>
          <t>no aplica (precio mayorista)</t>
        </is>
      </c>
      <c r="J1171" t="inlineStr">
        <is>
          <t>2023-03-12</t>
        </is>
      </c>
      <c r="K1171" t="inlineStr">
        <is>
          <t>MIBGAS_Data_2023.xlsx</t>
        </is>
      </c>
    </row>
    <row r="1172">
      <c r="A1172" s="53" t="n">
        <v>44998</v>
      </c>
      <c r="B1172" t="inlineStr">
        <is>
          <t>2023-03-13</t>
        </is>
      </c>
      <c r="C1172" s="45" t="n">
        <v>49.55</v>
      </c>
      <c r="D1172" t="inlineStr">
        <is>
          <t>€/MWh</t>
        </is>
      </c>
      <c r="E1172" s="54" t="n">
        <v>0.04955</v>
      </c>
      <c r="F1172" s="54" t="n"/>
      <c r="G1172" t="inlineStr">
        <is>
          <t>no aplica (precio mayorista)</t>
        </is>
      </c>
      <c r="J1172" t="inlineStr">
        <is>
          <t>2023-03-13</t>
        </is>
      </c>
      <c r="K1172" t="inlineStr">
        <is>
          <t>MIBGAS_Data_2023.xlsx</t>
        </is>
      </c>
    </row>
    <row r="1173">
      <c r="A1173" s="53" t="n">
        <v>44999</v>
      </c>
      <c r="B1173" t="inlineStr">
        <is>
          <t>2023-03-14</t>
        </is>
      </c>
      <c r="C1173" s="45" t="n">
        <v>47.68</v>
      </c>
      <c r="D1173" t="inlineStr">
        <is>
          <t>€/MWh</t>
        </is>
      </c>
      <c r="E1173" s="54" t="n">
        <v>0.04768</v>
      </c>
      <c r="F1173" s="54" t="n"/>
      <c r="G1173" t="inlineStr">
        <is>
          <t>no aplica (precio mayorista)</t>
        </is>
      </c>
      <c r="J1173" t="inlineStr">
        <is>
          <t>2023-03-14</t>
        </is>
      </c>
      <c r="K1173" t="inlineStr">
        <is>
          <t>MIBGAS_Data_2023.xlsx</t>
        </is>
      </c>
    </row>
    <row r="1174">
      <c r="A1174" s="53" t="n">
        <v>45000</v>
      </c>
      <c r="B1174" t="inlineStr">
        <is>
          <t>2023-03-15</t>
        </is>
      </c>
      <c r="C1174" s="45" t="n">
        <v>45.7</v>
      </c>
      <c r="D1174" t="inlineStr">
        <is>
          <t>€/MWh</t>
        </is>
      </c>
      <c r="E1174" s="54" t="n">
        <v>0.0457</v>
      </c>
      <c r="F1174" s="54" t="n"/>
      <c r="G1174" t="inlineStr">
        <is>
          <t>no aplica (precio mayorista)</t>
        </is>
      </c>
      <c r="J1174" t="inlineStr">
        <is>
          <t>2023-03-15</t>
        </is>
      </c>
      <c r="K1174" t="inlineStr">
        <is>
          <t>MIBGAS_Data_2023.xlsx</t>
        </is>
      </c>
    </row>
    <row r="1175">
      <c r="A1175" s="53" t="n">
        <v>45001</v>
      </c>
      <c r="B1175" t="inlineStr">
        <is>
          <t>2023-03-16</t>
        </is>
      </c>
      <c r="C1175" s="45" t="n">
        <v>43.05</v>
      </c>
      <c r="D1175" t="inlineStr">
        <is>
          <t>€/MWh</t>
        </is>
      </c>
      <c r="E1175" s="54" t="n">
        <v>0.04305</v>
      </c>
      <c r="F1175" s="54" t="n"/>
      <c r="G1175" t="inlineStr">
        <is>
          <t>no aplica (precio mayorista)</t>
        </is>
      </c>
      <c r="J1175" t="inlineStr">
        <is>
          <t>2023-03-16</t>
        </is>
      </c>
      <c r="K1175" t="inlineStr">
        <is>
          <t>MIBGAS_Data_2023.xlsx</t>
        </is>
      </c>
    </row>
    <row r="1176">
      <c r="A1176" s="53" t="n">
        <v>45002</v>
      </c>
      <c r="B1176" t="inlineStr">
        <is>
          <t>2023-03-17</t>
        </is>
      </c>
      <c r="C1176" s="45" t="n">
        <v>42.66</v>
      </c>
      <c r="D1176" t="inlineStr">
        <is>
          <t>€/MWh</t>
        </is>
      </c>
      <c r="E1176" s="54" t="n">
        <v>0.04266</v>
      </c>
      <c r="F1176" s="54" t="n"/>
      <c r="G1176" t="inlineStr">
        <is>
          <t>no aplica (precio mayorista)</t>
        </is>
      </c>
      <c r="J1176" t="inlineStr">
        <is>
          <t>2023-03-17</t>
        </is>
      </c>
      <c r="K1176" t="inlineStr">
        <is>
          <t>MIBGAS_Data_2023.xlsx</t>
        </is>
      </c>
    </row>
    <row r="1177">
      <c r="A1177" s="53" t="n">
        <v>45003</v>
      </c>
      <c r="B1177" t="inlineStr">
        <is>
          <t>2023-03-18</t>
        </is>
      </c>
      <c r="C1177" s="45" t="n">
        <v>41.47</v>
      </c>
      <c r="D1177" t="inlineStr">
        <is>
          <t>€/MWh</t>
        </is>
      </c>
      <c r="E1177" s="54" t="n">
        <v>0.04147</v>
      </c>
      <c r="F1177" s="54" t="n"/>
      <c r="G1177" t="inlineStr">
        <is>
          <t>no aplica (precio mayorista)</t>
        </is>
      </c>
      <c r="J1177" t="inlineStr">
        <is>
          <t>2023-03-18</t>
        </is>
      </c>
      <c r="K1177" t="inlineStr">
        <is>
          <t>MIBGAS_Data_2023.xlsx</t>
        </is>
      </c>
    </row>
    <row r="1178">
      <c r="A1178" s="53" t="n">
        <v>45004</v>
      </c>
      <c r="B1178" t="inlineStr">
        <is>
          <t>2023-03-19</t>
        </is>
      </c>
      <c r="C1178" s="45" t="n">
        <v>41.91</v>
      </c>
      <c r="D1178" t="inlineStr">
        <is>
          <t>€/MWh</t>
        </is>
      </c>
      <c r="E1178" s="54" t="n">
        <v>0.04191</v>
      </c>
      <c r="F1178" s="54" t="n"/>
      <c r="G1178" t="inlineStr">
        <is>
          <t>no aplica (precio mayorista)</t>
        </is>
      </c>
      <c r="J1178" t="inlineStr">
        <is>
          <t>2023-03-19</t>
        </is>
      </c>
      <c r="K1178" t="inlineStr">
        <is>
          <t>MIBGAS_Data_2023.xlsx</t>
        </is>
      </c>
    </row>
    <row r="1179">
      <c r="A1179" s="53" t="n">
        <v>45005</v>
      </c>
      <c r="B1179" t="inlineStr">
        <is>
          <t>2023-03-20</t>
        </is>
      </c>
      <c r="C1179" s="45" t="n">
        <v>41.99</v>
      </c>
      <c r="D1179" t="inlineStr">
        <is>
          <t>€/MWh</t>
        </is>
      </c>
      <c r="E1179" s="54" t="n">
        <v>0.04199</v>
      </c>
      <c r="F1179" s="54" t="n"/>
      <c r="G1179" t="inlineStr">
        <is>
          <t>no aplica (precio mayorista)</t>
        </is>
      </c>
      <c r="J1179" t="inlineStr">
        <is>
          <t>2023-03-20</t>
        </is>
      </c>
      <c r="K1179" t="inlineStr">
        <is>
          <t>MIBGAS_Data_2023.xlsx</t>
        </is>
      </c>
    </row>
    <row r="1180">
      <c r="A1180" s="53" t="n">
        <v>45006</v>
      </c>
      <c r="B1180" t="inlineStr">
        <is>
          <t>2023-03-21</t>
        </is>
      </c>
      <c r="C1180" s="45" t="n">
        <v>39.95</v>
      </c>
      <c r="D1180" t="inlineStr">
        <is>
          <t>€/MWh</t>
        </is>
      </c>
      <c r="E1180" s="54" t="n">
        <v>0.03995</v>
      </c>
      <c r="F1180" s="54" t="n"/>
      <c r="G1180" t="inlineStr">
        <is>
          <t>no aplica (precio mayorista)</t>
        </is>
      </c>
      <c r="J1180" t="inlineStr">
        <is>
          <t>2023-03-21</t>
        </is>
      </c>
      <c r="K1180" t="inlineStr">
        <is>
          <t>MIBGAS_Data_2023.xlsx</t>
        </is>
      </c>
    </row>
    <row r="1181">
      <c r="A1181" s="53" t="n">
        <v>45007</v>
      </c>
      <c r="B1181" t="inlineStr">
        <is>
          <t>2023-03-22</t>
        </is>
      </c>
      <c r="C1181" s="45" t="n">
        <v>40.14</v>
      </c>
      <c r="D1181" t="inlineStr">
        <is>
          <t>€/MWh</t>
        </is>
      </c>
      <c r="E1181" s="54" t="n">
        <v>0.04014</v>
      </c>
      <c r="F1181" s="54" t="n"/>
      <c r="G1181" t="inlineStr">
        <is>
          <t>no aplica (precio mayorista)</t>
        </is>
      </c>
      <c r="J1181" t="inlineStr">
        <is>
          <t>2023-03-22</t>
        </is>
      </c>
      <c r="K1181" t="inlineStr">
        <is>
          <t>MIBGAS_Data_2023.xlsx</t>
        </is>
      </c>
    </row>
    <row r="1182">
      <c r="A1182" s="53" t="n">
        <v>45008</v>
      </c>
      <c r="B1182" t="inlineStr">
        <is>
          <t>2023-03-23</t>
        </is>
      </c>
      <c r="C1182" s="45" t="n">
        <v>39.81</v>
      </c>
      <c r="D1182" t="inlineStr">
        <is>
          <t>€/MWh</t>
        </is>
      </c>
      <c r="E1182" s="54" t="n">
        <v>0.03981</v>
      </c>
      <c r="F1182" s="54" t="n"/>
      <c r="G1182" t="inlineStr">
        <is>
          <t>no aplica (precio mayorista)</t>
        </is>
      </c>
      <c r="J1182" t="inlineStr">
        <is>
          <t>2023-03-23</t>
        </is>
      </c>
      <c r="K1182" t="inlineStr">
        <is>
          <t>MIBGAS_Data_2023.xlsx</t>
        </is>
      </c>
    </row>
    <row r="1183">
      <c r="A1183" s="53" t="n">
        <v>45009</v>
      </c>
      <c r="B1183" t="inlineStr">
        <is>
          <t>2023-03-24</t>
        </is>
      </c>
      <c r="C1183" s="45" t="n">
        <v>40.99</v>
      </c>
      <c r="D1183" t="inlineStr">
        <is>
          <t>€/MWh</t>
        </is>
      </c>
      <c r="E1183" s="54" t="n">
        <v>0.04099</v>
      </c>
      <c r="F1183" s="54" t="n"/>
      <c r="G1183" t="inlineStr">
        <is>
          <t>no aplica (precio mayorista)</t>
        </is>
      </c>
      <c r="J1183" t="inlineStr">
        <is>
          <t>2023-03-24</t>
        </is>
      </c>
      <c r="K1183" t="inlineStr">
        <is>
          <t>MIBGAS_Data_2023.xlsx</t>
        </is>
      </c>
    </row>
    <row r="1184">
      <c r="A1184" s="53" t="n">
        <v>45010</v>
      </c>
      <c r="B1184" t="inlineStr">
        <is>
          <t>2023-03-25</t>
        </is>
      </c>
      <c r="C1184" s="45" t="n">
        <v>39.26</v>
      </c>
      <c r="D1184" t="inlineStr">
        <is>
          <t>€/MWh</t>
        </is>
      </c>
      <c r="E1184" s="54" t="n">
        <v>0.03926</v>
      </c>
      <c r="F1184" s="54" t="n"/>
      <c r="G1184" t="inlineStr">
        <is>
          <t>no aplica (precio mayorista)</t>
        </is>
      </c>
      <c r="J1184" t="inlineStr">
        <is>
          <t>2023-03-25</t>
        </is>
      </c>
      <c r="K1184" t="inlineStr">
        <is>
          <t>MIBGAS_Data_2023.xlsx</t>
        </is>
      </c>
    </row>
    <row r="1185">
      <c r="A1185" s="53" t="n">
        <v>45011</v>
      </c>
      <c r="B1185" t="inlineStr">
        <is>
          <t>2023-03-26</t>
        </is>
      </c>
      <c r="C1185" s="45" t="n">
        <v>38.25</v>
      </c>
      <c r="D1185" t="inlineStr">
        <is>
          <t>€/MWh</t>
        </is>
      </c>
      <c r="E1185" s="54" t="n">
        <v>0.03825</v>
      </c>
      <c r="F1185" s="54" t="n"/>
      <c r="G1185" t="inlineStr">
        <is>
          <t>no aplica (precio mayorista)</t>
        </is>
      </c>
      <c r="J1185" t="inlineStr">
        <is>
          <t>2023-03-26</t>
        </is>
      </c>
      <c r="K1185" t="inlineStr">
        <is>
          <t>MIBGAS_Data_2023.xlsx</t>
        </is>
      </c>
    </row>
    <row r="1186">
      <c r="A1186" s="53" t="n">
        <v>45012</v>
      </c>
      <c r="B1186" t="inlineStr">
        <is>
          <t>2023-03-27</t>
        </is>
      </c>
      <c r="C1186" s="45" t="n">
        <v>39.68</v>
      </c>
      <c r="D1186" t="inlineStr">
        <is>
          <t>€/MWh</t>
        </is>
      </c>
      <c r="E1186" s="54" t="n">
        <v>0.03968</v>
      </c>
      <c r="F1186" s="54" t="n"/>
      <c r="G1186" t="inlineStr">
        <is>
          <t>no aplica (precio mayorista)</t>
        </is>
      </c>
      <c r="J1186" t="inlineStr">
        <is>
          <t>2023-03-27</t>
        </is>
      </c>
      <c r="K1186" t="inlineStr">
        <is>
          <t>MIBGAS_Data_2023.xlsx</t>
        </is>
      </c>
    </row>
    <row r="1187">
      <c r="A1187" s="53" t="n">
        <v>45013</v>
      </c>
      <c r="B1187" t="inlineStr">
        <is>
          <t>2023-03-28</t>
        </is>
      </c>
      <c r="C1187" s="45" t="n">
        <v>40.43</v>
      </c>
      <c r="D1187" t="inlineStr">
        <is>
          <t>€/MWh</t>
        </is>
      </c>
      <c r="E1187" s="54" t="n">
        <v>0.04043</v>
      </c>
      <c r="F1187" s="54" t="n"/>
      <c r="G1187" t="inlineStr">
        <is>
          <t>no aplica (precio mayorista)</t>
        </is>
      </c>
      <c r="J1187" t="inlineStr">
        <is>
          <t>2023-03-28</t>
        </is>
      </c>
      <c r="K1187" t="inlineStr">
        <is>
          <t>MIBGAS_Data_2023.xlsx</t>
        </is>
      </c>
    </row>
    <row r="1188">
      <c r="A1188" s="53" t="n">
        <v>45014</v>
      </c>
      <c r="B1188" t="inlineStr">
        <is>
          <t>2023-03-29</t>
        </is>
      </c>
      <c r="C1188" s="45" t="n">
        <v>40.08</v>
      </c>
      <c r="D1188" t="inlineStr">
        <is>
          <t>€/MWh</t>
        </is>
      </c>
      <c r="E1188" s="54" t="n">
        <v>0.04008</v>
      </c>
      <c r="F1188" s="54" t="n"/>
      <c r="G1188" t="inlineStr">
        <is>
          <t>no aplica (precio mayorista)</t>
        </is>
      </c>
      <c r="J1188" t="inlineStr">
        <is>
          <t>2023-03-29</t>
        </is>
      </c>
      <c r="K1188" t="inlineStr">
        <is>
          <t>MIBGAS_Data_2023.xlsx</t>
        </is>
      </c>
    </row>
    <row r="1189">
      <c r="A1189" s="53" t="n">
        <v>45015</v>
      </c>
      <c r="B1189" t="inlineStr">
        <is>
          <t>2023-03-30</t>
        </is>
      </c>
      <c r="C1189" s="45" t="n">
        <v>38.33</v>
      </c>
      <c r="D1189" t="inlineStr">
        <is>
          <t>€/MWh</t>
        </is>
      </c>
      <c r="E1189" s="54" t="n">
        <v>0.03833</v>
      </c>
      <c r="F1189" s="54" t="n"/>
      <c r="G1189" t="inlineStr">
        <is>
          <t>no aplica (precio mayorista)</t>
        </is>
      </c>
      <c r="J1189" t="inlineStr">
        <is>
          <t>2023-03-30</t>
        </is>
      </c>
      <c r="K1189" t="inlineStr">
        <is>
          <t>MIBGAS_Data_2023.xlsx</t>
        </is>
      </c>
    </row>
    <row r="1190">
      <c r="A1190" s="53" t="n">
        <v>45016</v>
      </c>
      <c r="B1190" t="inlineStr">
        <is>
          <t>2023-03-31</t>
        </is>
      </c>
      <c r="C1190" s="45" t="n">
        <v>36.74</v>
      </c>
      <c r="D1190" t="inlineStr">
        <is>
          <t>€/MWh</t>
        </is>
      </c>
      <c r="E1190" s="54" t="n">
        <v>0.03674</v>
      </c>
      <c r="F1190" s="54" t="n"/>
      <c r="G1190" t="inlineStr">
        <is>
          <t>no aplica (precio mayorista)</t>
        </is>
      </c>
      <c r="J1190" t="inlineStr">
        <is>
          <t>2023-03-31</t>
        </is>
      </c>
      <c r="K1190" t="inlineStr">
        <is>
          <t>MIBGAS_Data_2023.xlsx</t>
        </is>
      </c>
    </row>
    <row r="1191">
      <c r="A1191" s="53" t="n">
        <v>45017</v>
      </c>
      <c r="B1191" t="inlineStr">
        <is>
          <t>2023-04-01</t>
        </is>
      </c>
      <c r="C1191" s="45" t="n">
        <v>39.76</v>
      </c>
      <c r="D1191" t="inlineStr">
        <is>
          <t>€/MWh</t>
        </is>
      </c>
      <c r="E1191" s="54" t="n">
        <v>0.03976</v>
      </c>
      <c r="F1191" s="54" t="n"/>
      <c r="G1191" t="inlineStr">
        <is>
          <t>no aplica (precio mayorista)</t>
        </is>
      </c>
      <c r="J1191" t="inlineStr">
        <is>
          <t>2023-04-01</t>
        </is>
      </c>
      <c r="K1191" t="inlineStr">
        <is>
          <t>MIBGAS_Data_2023.xlsx</t>
        </is>
      </c>
    </row>
    <row r="1192">
      <c r="A1192" s="53" t="n">
        <v>45018</v>
      </c>
      <c r="B1192" t="inlineStr">
        <is>
          <t>2023-04-02</t>
        </is>
      </c>
      <c r="C1192" s="45" t="n">
        <v>40.35</v>
      </c>
      <c r="D1192" t="inlineStr">
        <is>
          <t>€/MWh</t>
        </is>
      </c>
      <c r="E1192" s="54" t="n">
        <v>0.04035</v>
      </c>
      <c r="F1192" s="54" t="n"/>
      <c r="G1192" t="inlineStr">
        <is>
          <t>no aplica (precio mayorista)</t>
        </is>
      </c>
      <c r="J1192" t="inlineStr">
        <is>
          <t>2023-04-02</t>
        </is>
      </c>
      <c r="K1192" t="inlineStr">
        <is>
          <t>MIBGAS_Data_2023.xlsx</t>
        </is>
      </c>
    </row>
    <row r="1193">
      <c r="A1193" s="53" t="n">
        <v>45019</v>
      </c>
      <c r="B1193" t="inlineStr">
        <is>
          <t>2023-04-03</t>
        </is>
      </c>
      <c r="C1193" s="45" t="n">
        <v>41.96</v>
      </c>
      <c r="D1193" t="inlineStr">
        <is>
          <t>€/MWh</t>
        </is>
      </c>
      <c r="E1193" s="54" t="n">
        <v>0.04196</v>
      </c>
      <c r="F1193" s="54" t="n"/>
      <c r="G1193" t="inlineStr">
        <is>
          <t>no aplica (precio mayorista)</t>
        </is>
      </c>
      <c r="J1193" t="inlineStr">
        <is>
          <t>2023-04-03</t>
        </is>
      </c>
      <c r="K1193" t="inlineStr">
        <is>
          <t>MIBGAS_Data_2023.xlsx</t>
        </is>
      </c>
    </row>
    <row r="1194">
      <c r="A1194" s="53" t="n">
        <v>45020</v>
      </c>
      <c r="B1194" t="inlineStr">
        <is>
          <t>2023-04-04</t>
        </is>
      </c>
      <c r="C1194" s="45" t="n">
        <v>43.68</v>
      </c>
      <c r="D1194" t="inlineStr">
        <is>
          <t>€/MWh</t>
        </is>
      </c>
      <c r="E1194" s="54" t="n">
        <v>0.04368</v>
      </c>
      <c r="F1194" s="54" t="n"/>
      <c r="G1194" t="inlineStr">
        <is>
          <t>no aplica (precio mayorista)</t>
        </is>
      </c>
      <c r="J1194" t="inlineStr">
        <is>
          <t>2023-04-04</t>
        </is>
      </c>
      <c r="K1194" t="inlineStr">
        <is>
          <t>MIBGAS_Data_2023.xlsx</t>
        </is>
      </c>
    </row>
    <row r="1195">
      <c r="A1195" s="53" t="n">
        <v>45021</v>
      </c>
      <c r="B1195" t="inlineStr">
        <is>
          <t>2023-04-05</t>
        </is>
      </c>
      <c r="C1195" s="45" t="n">
        <v>42.6</v>
      </c>
      <c r="D1195" t="inlineStr">
        <is>
          <t>€/MWh</t>
        </is>
      </c>
      <c r="E1195" s="54" t="n">
        <v>0.0426</v>
      </c>
      <c r="F1195" s="54" t="n"/>
      <c r="G1195" t="inlineStr">
        <is>
          <t>no aplica (precio mayorista)</t>
        </is>
      </c>
      <c r="J1195" t="inlineStr">
        <is>
          <t>2023-04-05</t>
        </is>
      </c>
      <c r="K1195" t="inlineStr">
        <is>
          <t>MIBGAS_Data_2023.xlsx</t>
        </is>
      </c>
    </row>
    <row r="1196">
      <c r="A1196" s="53" t="n">
        <v>45022</v>
      </c>
      <c r="B1196" t="inlineStr">
        <is>
          <t>2023-04-06</t>
        </is>
      </c>
      <c r="C1196" s="45" t="n">
        <v>41.04</v>
      </c>
      <c r="D1196" t="inlineStr">
        <is>
          <t>€/MWh</t>
        </is>
      </c>
      <c r="E1196" s="54" t="n">
        <v>0.04104</v>
      </c>
      <c r="F1196" s="54" t="n"/>
      <c r="G1196" t="inlineStr">
        <is>
          <t>no aplica (precio mayorista)</t>
        </is>
      </c>
      <c r="J1196" t="inlineStr">
        <is>
          <t>2023-04-06</t>
        </is>
      </c>
      <c r="K1196" t="inlineStr">
        <is>
          <t>MIBGAS_Data_2023.xlsx</t>
        </is>
      </c>
    </row>
    <row r="1197">
      <c r="A1197" s="53" t="n">
        <v>45023</v>
      </c>
      <c r="B1197" t="inlineStr">
        <is>
          <t>2023-04-07</t>
        </is>
      </c>
      <c r="C1197" s="45" t="n">
        <v>39.46</v>
      </c>
      <c r="D1197" t="inlineStr">
        <is>
          <t>€/MWh</t>
        </is>
      </c>
      <c r="E1197" s="54" t="n">
        <v>0.03946</v>
      </c>
      <c r="F1197" s="54" t="n"/>
      <c r="G1197" t="inlineStr">
        <is>
          <t>no aplica (precio mayorista)</t>
        </is>
      </c>
      <c r="J1197" t="inlineStr">
        <is>
          <t>2023-04-07</t>
        </is>
      </c>
      <c r="K1197" t="inlineStr">
        <is>
          <t>MIBGAS_Data_2023.xlsx</t>
        </is>
      </c>
    </row>
    <row r="1198">
      <c r="A1198" s="53" t="n">
        <v>45024</v>
      </c>
      <c r="B1198" t="inlineStr">
        <is>
          <t>2023-04-08</t>
        </is>
      </c>
      <c r="C1198" s="45" t="n">
        <v>39.7</v>
      </c>
      <c r="D1198" t="inlineStr">
        <is>
          <t>€/MWh</t>
        </is>
      </c>
      <c r="E1198" s="54" t="n">
        <v>0.0397</v>
      </c>
      <c r="F1198" s="54" t="n"/>
      <c r="G1198" t="inlineStr">
        <is>
          <t>no aplica (precio mayorista)</t>
        </is>
      </c>
      <c r="J1198" t="inlineStr">
        <is>
          <t>2023-04-08</t>
        </is>
      </c>
      <c r="K1198" t="inlineStr">
        <is>
          <t>MIBGAS_Data_2023.xlsx</t>
        </is>
      </c>
    </row>
    <row r="1199">
      <c r="A1199" s="53" t="n">
        <v>45025</v>
      </c>
      <c r="B1199" t="inlineStr">
        <is>
          <t>2023-04-09</t>
        </is>
      </c>
      <c r="C1199" s="45" t="n">
        <v>39.74</v>
      </c>
      <c r="D1199" t="inlineStr">
        <is>
          <t>€/MWh</t>
        </is>
      </c>
      <c r="E1199" s="54" t="n">
        <v>0.03974</v>
      </c>
      <c r="F1199" s="54" t="n"/>
      <c r="G1199" t="inlineStr">
        <is>
          <t>no aplica (precio mayorista)</t>
        </is>
      </c>
      <c r="J1199" t="inlineStr">
        <is>
          <t>2023-04-09</t>
        </is>
      </c>
      <c r="K1199" t="inlineStr">
        <is>
          <t>MIBGAS_Data_2023.xlsx</t>
        </is>
      </c>
    </row>
    <row r="1200">
      <c r="A1200" s="53" t="n">
        <v>45026</v>
      </c>
      <c r="B1200" t="inlineStr">
        <is>
          <t>2023-04-10</t>
        </is>
      </c>
      <c r="C1200" s="45" t="n">
        <v>39.63</v>
      </c>
      <c r="D1200" t="inlineStr">
        <is>
          <t>€/MWh</t>
        </is>
      </c>
      <c r="E1200" s="54" t="n">
        <v>0.03963</v>
      </c>
      <c r="F1200" s="54" t="n"/>
      <c r="G1200" t="inlineStr">
        <is>
          <t>no aplica (precio mayorista)</t>
        </is>
      </c>
      <c r="J1200" t="inlineStr">
        <is>
          <t>2023-04-10</t>
        </is>
      </c>
      <c r="K1200" t="inlineStr">
        <is>
          <t>MIBGAS_Data_2023.xlsx</t>
        </is>
      </c>
    </row>
    <row r="1201">
      <c r="A1201" s="53" t="n">
        <v>45027</v>
      </c>
      <c r="B1201" t="inlineStr">
        <is>
          <t>2023-04-11</t>
        </is>
      </c>
      <c r="C1201" s="45" t="n">
        <v>39.3</v>
      </c>
      <c r="D1201" t="inlineStr">
        <is>
          <t>€/MWh</t>
        </is>
      </c>
      <c r="E1201" s="54" t="n">
        <v>0.0393</v>
      </c>
      <c r="F1201" s="54" t="n"/>
      <c r="G1201" t="inlineStr">
        <is>
          <t>no aplica (precio mayorista)</t>
        </is>
      </c>
      <c r="J1201" t="inlineStr">
        <is>
          <t>2023-04-11</t>
        </is>
      </c>
      <c r="K1201" t="inlineStr">
        <is>
          <t>MIBGAS_Data_2023.xlsx</t>
        </is>
      </c>
    </row>
    <row r="1202">
      <c r="A1202" s="53" t="n">
        <v>45028</v>
      </c>
      <c r="B1202" t="inlineStr">
        <is>
          <t>2023-04-12</t>
        </is>
      </c>
      <c r="C1202" s="45" t="n">
        <v>39.13</v>
      </c>
      <c r="D1202" t="inlineStr">
        <is>
          <t>€/MWh</t>
        </is>
      </c>
      <c r="E1202" s="54" t="n">
        <v>0.03913</v>
      </c>
      <c r="F1202" s="54" t="n"/>
      <c r="G1202" t="inlineStr">
        <is>
          <t>no aplica (precio mayorista)</t>
        </is>
      </c>
      <c r="J1202" t="inlineStr">
        <is>
          <t>2023-04-12</t>
        </is>
      </c>
      <c r="K1202" t="inlineStr">
        <is>
          <t>MIBGAS_Data_2023.xlsx</t>
        </is>
      </c>
    </row>
    <row r="1203">
      <c r="A1203" s="53" t="n">
        <v>45029</v>
      </c>
      <c r="B1203" t="inlineStr">
        <is>
          <t>2023-04-13</t>
        </is>
      </c>
      <c r="C1203" s="45" t="n">
        <v>38.32</v>
      </c>
      <c r="D1203" t="inlineStr">
        <is>
          <t>€/MWh</t>
        </is>
      </c>
      <c r="E1203" s="54" t="n">
        <v>0.03832</v>
      </c>
      <c r="F1203" s="54" t="n"/>
      <c r="G1203" t="inlineStr">
        <is>
          <t>no aplica (precio mayorista)</t>
        </is>
      </c>
      <c r="J1203" t="inlineStr">
        <is>
          <t>2023-04-13</t>
        </is>
      </c>
      <c r="K1203" t="inlineStr">
        <is>
          <t>MIBGAS_Data_2023.xlsx</t>
        </is>
      </c>
    </row>
    <row r="1204">
      <c r="A1204" s="53" t="n">
        <v>45030</v>
      </c>
      <c r="B1204" t="inlineStr">
        <is>
          <t>2023-04-14</t>
        </is>
      </c>
      <c r="C1204" s="45" t="n">
        <v>37.13</v>
      </c>
      <c r="D1204" t="inlineStr">
        <is>
          <t>€/MWh</t>
        </is>
      </c>
      <c r="E1204" s="54" t="n">
        <v>0.03713</v>
      </c>
      <c r="F1204" s="54" t="n"/>
      <c r="G1204" t="inlineStr">
        <is>
          <t>no aplica (precio mayorista)</t>
        </is>
      </c>
      <c r="J1204" t="inlineStr">
        <is>
          <t>2023-04-14</t>
        </is>
      </c>
      <c r="K1204" t="inlineStr">
        <is>
          <t>MIBGAS_Data_2023.xlsx</t>
        </is>
      </c>
    </row>
    <row r="1205">
      <c r="A1205" s="53" t="n">
        <v>45031</v>
      </c>
      <c r="B1205" t="inlineStr">
        <is>
          <t>2023-04-15</t>
        </is>
      </c>
      <c r="C1205" s="45" t="n">
        <v>36.63</v>
      </c>
      <c r="D1205" t="inlineStr">
        <is>
          <t>€/MWh</t>
        </is>
      </c>
      <c r="E1205" s="54" t="n">
        <v>0.03663</v>
      </c>
      <c r="F1205" s="54" t="n"/>
      <c r="G1205" t="inlineStr">
        <is>
          <t>no aplica (precio mayorista)</t>
        </is>
      </c>
      <c r="J1205" t="inlineStr">
        <is>
          <t>2023-04-15</t>
        </is>
      </c>
      <c r="K1205" t="inlineStr">
        <is>
          <t>MIBGAS_Data_2023.xlsx</t>
        </is>
      </c>
    </row>
    <row r="1206">
      <c r="A1206" s="53" t="n">
        <v>45032</v>
      </c>
      <c r="B1206" t="inlineStr">
        <is>
          <t>2023-04-16</t>
        </is>
      </c>
      <c r="C1206" s="45" t="n">
        <v>36.65</v>
      </c>
      <c r="D1206" t="inlineStr">
        <is>
          <t>€/MWh</t>
        </is>
      </c>
      <c r="E1206" s="54" t="n">
        <v>0.03665</v>
      </c>
      <c r="F1206" s="54" t="n"/>
      <c r="G1206" t="inlineStr">
        <is>
          <t>no aplica (precio mayorista)</t>
        </is>
      </c>
      <c r="J1206" t="inlineStr">
        <is>
          <t>2023-04-16</t>
        </is>
      </c>
      <c r="K1206" t="inlineStr">
        <is>
          <t>MIBGAS_Data_2023.xlsx</t>
        </is>
      </c>
    </row>
    <row r="1207">
      <c r="A1207" s="53" t="n">
        <v>45033</v>
      </c>
      <c r="B1207" t="inlineStr">
        <is>
          <t>2023-04-17</t>
        </is>
      </c>
      <c r="C1207" s="45" t="n">
        <v>36.88</v>
      </c>
      <c r="D1207" t="inlineStr">
        <is>
          <t>€/MWh</t>
        </is>
      </c>
      <c r="E1207" s="54" t="n">
        <v>0.03688</v>
      </c>
      <c r="F1207" s="54" t="n"/>
      <c r="G1207" t="inlineStr">
        <is>
          <t>no aplica (precio mayorista)</t>
        </is>
      </c>
      <c r="J1207" t="inlineStr">
        <is>
          <t>2023-04-17</t>
        </is>
      </c>
      <c r="K1207" t="inlineStr">
        <is>
          <t>MIBGAS_Data_2023.xlsx</t>
        </is>
      </c>
    </row>
    <row r="1208">
      <c r="A1208" s="53" t="n">
        <v>45034</v>
      </c>
      <c r="B1208" t="inlineStr">
        <is>
          <t>2023-04-18</t>
        </is>
      </c>
      <c r="C1208" s="45" t="n">
        <v>36.81</v>
      </c>
      <c r="D1208" t="inlineStr">
        <is>
          <t>€/MWh</t>
        </is>
      </c>
      <c r="E1208" s="54" t="n">
        <v>0.03681</v>
      </c>
      <c r="F1208" s="54" t="n"/>
      <c r="G1208" t="inlineStr">
        <is>
          <t>no aplica (precio mayorista)</t>
        </is>
      </c>
      <c r="J1208" t="inlineStr">
        <is>
          <t>2023-04-18</t>
        </is>
      </c>
      <c r="K1208" t="inlineStr">
        <is>
          <t>MIBGAS_Data_2023.xlsx</t>
        </is>
      </c>
    </row>
    <row r="1209">
      <c r="A1209" s="53" t="n">
        <v>45035</v>
      </c>
      <c r="B1209" t="inlineStr">
        <is>
          <t>2023-04-19</t>
        </is>
      </c>
      <c r="C1209" s="45" t="n">
        <v>36.79</v>
      </c>
      <c r="D1209" t="inlineStr">
        <is>
          <t>€/MWh</t>
        </is>
      </c>
      <c r="E1209" s="54" t="n">
        <v>0.03679</v>
      </c>
      <c r="F1209" s="54" t="n"/>
      <c r="G1209" t="inlineStr">
        <is>
          <t>no aplica (precio mayorista)</t>
        </is>
      </c>
      <c r="J1209" t="inlineStr">
        <is>
          <t>2023-04-19</t>
        </is>
      </c>
      <c r="K1209" t="inlineStr">
        <is>
          <t>MIBGAS_Data_2023.xlsx</t>
        </is>
      </c>
    </row>
    <row r="1210">
      <c r="A1210" s="53" t="n">
        <v>45036</v>
      </c>
      <c r="B1210" t="inlineStr">
        <is>
          <t>2023-04-20</t>
        </is>
      </c>
      <c r="C1210" s="45" t="n">
        <v>36.41</v>
      </c>
      <c r="D1210" t="inlineStr">
        <is>
          <t>€/MWh</t>
        </is>
      </c>
      <c r="E1210" s="54" t="n">
        <v>0.03641</v>
      </c>
      <c r="F1210" s="54" t="n"/>
      <c r="G1210" t="inlineStr">
        <is>
          <t>no aplica (precio mayorista)</t>
        </is>
      </c>
      <c r="J1210" t="inlineStr">
        <is>
          <t>2023-04-20</t>
        </is>
      </c>
      <c r="K1210" t="inlineStr">
        <is>
          <t>MIBGAS_Data_2023.xlsx</t>
        </is>
      </c>
    </row>
    <row r="1211">
      <c r="A1211" s="53" t="n">
        <v>45037</v>
      </c>
      <c r="B1211" t="inlineStr">
        <is>
          <t>2023-04-21</t>
        </is>
      </c>
      <c r="C1211" s="45" t="n">
        <v>35.66</v>
      </c>
      <c r="D1211" t="inlineStr">
        <is>
          <t>€/MWh</t>
        </is>
      </c>
      <c r="E1211" s="54" t="n">
        <v>0.03566</v>
      </c>
      <c r="F1211" s="54" t="n"/>
      <c r="G1211" t="inlineStr">
        <is>
          <t>no aplica (precio mayorista)</t>
        </is>
      </c>
      <c r="J1211" t="inlineStr">
        <is>
          <t>2023-04-21</t>
        </is>
      </c>
      <c r="K1211" t="inlineStr">
        <is>
          <t>MIBGAS_Data_2023.xlsx</t>
        </is>
      </c>
    </row>
    <row r="1212">
      <c r="A1212" s="53" t="n">
        <v>45038</v>
      </c>
      <c r="B1212" t="inlineStr">
        <is>
          <t>2023-04-22</t>
        </is>
      </c>
      <c r="C1212" s="45" t="n">
        <v>34.59</v>
      </c>
      <c r="D1212" t="inlineStr">
        <is>
          <t>€/MWh</t>
        </is>
      </c>
      <c r="E1212" s="54" t="n">
        <v>0.03459</v>
      </c>
      <c r="F1212" s="54" t="n"/>
      <c r="G1212" t="inlineStr">
        <is>
          <t>no aplica (precio mayorista)</t>
        </is>
      </c>
      <c r="J1212" t="inlineStr">
        <is>
          <t>2023-04-22</t>
        </is>
      </c>
      <c r="K1212" t="inlineStr">
        <is>
          <t>MIBGAS_Data_2023.xlsx</t>
        </is>
      </c>
    </row>
    <row r="1213">
      <c r="A1213" s="53" t="n">
        <v>45039</v>
      </c>
      <c r="B1213" t="inlineStr">
        <is>
          <t>2023-04-23</t>
        </is>
      </c>
      <c r="C1213" s="45" t="n">
        <v>34.59</v>
      </c>
      <c r="D1213" t="inlineStr">
        <is>
          <t>€/MWh</t>
        </is>
      </c>
      <c r="E1213" s="54" t="n">
        <v>0.03459</v>
      </c>
      <c r="F1213" s="54" t="n"/>
      <c r="G1213" t="inlineStr">
        <is>
          <t>no aplica (precio mayorista)</t>
        </is>
      </c>
      <c r="J1213" t="inlineStr">
        <is>
          <t>2023-04-23</t>
        </is>
      </c>
      <c r="K1213" t="inlineStr">
        <is>
          <t>MIBGAS_Data_2023.xlsx</t>
        </is>
      </c>
    </row>
    <row r="1214">
      <c r="A1214" s="53" t="n">
        <v>45040</v>
      </c>
      <c r="B1214" t="inlineStr">
        <is>
          <t>2023-04-24</t>
        </is>
      </c>
      <c r="C1214" s="45" t="n">
        <v>34.59</v>
      </c>
      <c r="D1214" t="inlineStr">
        <is>
          <t>€/MWh</t>
        </is>
      </c>
      <c r="E1214" s="54" t="n">
        <v>0.03459</v>
      </c>
      <c r="F1214" s="54" t="n"/>
      <c r="G1214" t="inlineStr">
        <is>
          <t>no aplica (precio mayorista)</t>
        </is>
      </c>
      <c r="J1214" t="inlineStr">
        <is>
          <t>2023-04-24</t>
        </is>
      </c>
      <c r="K1214" t="inlineStr">
        <is>
          <t>MIBGAS_Data_2023.xlsx</t>
        </is>
      </c>
    </row>
    <row r="1215">
      <c r="A1215" s="53" t="n">
        <v>45041</v>
      </c>
      <c r="B1215" t="inlineStr">
        <is>
          <t>2023-04-25</t>
        </is>
      </c>
      <c r="C1215" s="45" t="n">
        <v>34.06</v>
      </c>
      <c r="D1215" t="inlineStr">
        <is>
          <t>€/MWh</t>
        </is>
      </c>
      <c r="E1215" s="54" t="n">
        <v>0.03406</v>
      </c>
      <c r="F1215" s="54" t="n"/>
      <c r="G1215" t="inlineStr">
        <is>
          <t>no aplica (precio mayorista)</t>
        </is>
      </c>
      <c r="J1215" t="inlineStr">
        <is>
          <t>2023-04-25</t>
        </is>
      </c>
      <c r="K1215" t="inlineStr">
        <is>
          <t>MIBGAS_Data_2023.xlsx</t>
        </is>
      </c>
    </row>
    <row r="1216">
      <c r="A1216" s="53" t="n">
        <v>45042</v>
      </c>
      <c r="B1216" t="inlineStr">
        <is>
          <t>2023-04-26</t>
        </is>
      </c>
      <c r="C1216" s="45" t="n">
        <v>35.76</v>
      </c>
      <c r="D1216" t="inlineStr">
        <is>
          <t>€/MWh</t>
        </is>
      </c>
      <c r="E1216" s="54" t="n">
        <v>0.03576</v>
      </c>
      <c r="F1216" s="54" t="n"/>
      <c r="G1216" t="inlineStr">
        <is>
          <t>no aplica (precio mayorista)</t>
        </is>
      </c>
      <c r="J1216" t="inlineStr">
        <is>
          <t>2023-04-26</t>
        </is>
      </c>
      <c r="K1216" t="inlineStr">
        <is>
          <t>MIBGAS_Data_2023.xlsx</t>
        </is>
      </c>
    </row>
    <row r="1217">
      <c r="A1217" s="53" t="n">
        <v>45043</v>
      </c>
      <c r="B1217" t="inlineStr">
        <is>
          <t>2023-04-27</t>
        </is>
      </c>
      <c r="C1217" s="45" t="n">
        <v>34.85</v>
      </c>
      <c r="D1217" t="inlineStr">
        <is>
          <t>€/MWh</t>
        </is>
      </c>
      <c r="E1217" s="54" t="n">
        <v>0.03485</v>
      </c>
      <c r="F1217" s="54" t="n"/>
      <c r="G1217" t="inlineStr">
        <is>
          <t>no aplica (precio mayorista)</t>
        </is>
      </c>
      <c r="J1217" t="inlineStr">
        <is>
          <t>2023-04-27</t>
        </is>
      </c>
      <c r="K1217" t="inlineStr">
        <is>
          <t>MIBGAS_Data_2023.xlsx</t>
        </is>
      </c>
    </row>
    <row r="1218">
      <c r="A1218" s="53" t="n">
        <v>45044</v>
      </c>
      <c r="B1218" t="inlineStr">
        <is>
          <t>2023-04-28</t>
        </is>
      </c>
      <c r="C1218" s="45" t="n">
        <v>35.32</v>
      </c>
      <c r="D1218" t="inlineStr">
        <is>
          <t>€/MWh</t>
        </is>
      </c>
      <c r="E1218" s="54" t="n">
        <v>0.03532</v>
      </c>
      <c r="F1218" s="54" t="n"/>
      <c r="G1218" t="inlineStr">
        <is>
          <t>no aplica (precio mayorista)</t>
        </is>
      </c>
      <c r="J1218" t="inlineStr">
        <is>
          <t>2023-04-28</t>
        </is>
      </c>
      <c r="K1218" t="inlineStr">
        <is>
          <t>MIBGAS_Data_2023.xlsx</t>
        </is>
      </c>
    </row>
    <row r="1219">
      <c r="A1219" s="53" t="n">
        <v>45045</v>
      </c>
      <c r="B1219" t="inlineStr">
        <is>
          <t>2023-04-29</t>
        </is>
      </c>
      <c r="C1219" s="45" t="n">
        <v>34.63</v>
      </c>
      <c r="D1219" t="inlineStr">
        <is>
          <t>€/MWh</t>
        </is>
      </c>
      <c r="E1219" s="54" t="n">
        <v>0.03463</v>
      </c>
      <c r="F1219" s="54" t="n"/>
      <c r="G1219" t="inlineStr">
        <is>
          <t>no aplica (precio mayorista)</t>
        </is>
      </c>
      <c r="J1219" t="inlineStr">
        <is>
          <t>2023-04-29</t>
        </is>
      </c>
      <c r="K1219" t="inlineStr">
        <is>
          <t>MIBGAS_Data_2023.xlsx</t>
        </is>
      </c>
    </row>
    <row r="1220">
      <c r="A1220" s="53" t="n">
        <v>45046</v>
      </c>
      <c r="B1220" t="inlineStr">
        <is>
          <t>2023-04-30</t>
        </is>
      </c>
      <c r="C1220" s="45" t="n">
        <v>34.67</v>
      </c>
      <c r="D1220" t="inlineStr">
        <is>
          <t>€/MWh</t>
        </is>
      </c>
      <c r="E1220" s="54" t="n">
        <v>0.03467</v>
      </c>
      <c r="F1220" s="54" t="n"/>
      <c r="G1220" t="inlineStr">
        <is>
          <t>no aplica (precio mayorista)</t>
        </is>
      </c>
      <c r="J1220" t="inlineStr">
        <is>
          <t>2023-04-30</t>
        </is>
      </c>
      <c r="K1220" t="inlineStr">
        <is>
          <t>MIBGAS_Data_2023.xlsx</t>
        </is>
      </c>
    </row>
    <row r="1221">
      <c r="A1221" s="53" t="n">
        <v>45047</v>
      </c>
      <c r="B1221" t="inlineStr">
        <is>
          <t>2023-05-01</t>
        </is>
      </c>
      <c r="C1221" s="45" t="n">
        <v>34.93</v>
      </c>
      <c r="D1221" t="inlineStr">
        <is>
          <t>€/MWh</t>
        </is>
      </c>
      <c r="E1221" s="54" t="n">
        <v>0.03493</v>
      </c>
      <c r="F1221" s="54" t="n"/>
      <c r="G1221" t="inlineStr">
        <is>
          <t>no aplica (precio mayorista)</t>
        </is>
      </c>
      <c r="J1221" t="inlineStr">
        <is>
          <t>2023-05-01</t>
        </is>
      </c>
      <c r="K1221" t="inlineStr">
        <is>
          <t>MIBGAS_Data_2023.xlsx</t>
        </is>
      </c>
    </row>
    <row r="1222">
      <c r="A1222" s="53" t="n">
        <v>45048</v>
      </c>
      <c r="B1222" t="inlineStr">
        <is>
          <t>2023-05-02</t>
        </is>
      </c>
      <c r="C1222" s="45" t="n">
        <v>35.74</v>
      </c>
      <c r="D1222" t="inlineStr">
        <is>
          <t>€/MWh</t>
        </is>
      </c>
      <c r="E1222" s="54" t="n">
        <v>0.03574</v>
      </c>
      <c r="F1222" s="54" t="n"/>
      <c r="G1222" t="inlineStr">
        <is>
          <t>no aplica (precio mayorista)</t>
        </is>
      </c>
      <c r="J1222" t="inlineStr">
        <is>
          <t>2023-05-02</t>
        </is>
      </c>
      <c r="K1222" t="inlineStr">
        <is>
          <t>MIBGAS_Data_2023.xlsx</t>
        </is>
      </c>
    </row>
    <row r="1223">
      <c r="A1223" s="53" t="n">
        <v>45049</v>
      </c>
      <c r="B1223" t="inlineStr">
        <is>
          <t>2023-05-03</t>
        </is>
      </c>
      <c r="C1223" s="45" t="n">
        <v>34.3</v>
      </c>
      <c r="D1223" t="inlineStr">
        <is>
          <t>€/MWh</t>
        </is>
      </c>
      <c r="E1223" s="54" t="n">
        <v>0.0343</v>
      </c>
      <c r="F1223" s="54" t="n"/>
      <c r="G1223" t="inlineStr">
        <is>
          <t>no aplica (precio mayorista)</t>
        </is>
      </c>
      <c r="J1223" t="inlineStr">
        <is>
          <t>2023-05-03</t>
        </is>
      </c>
      <c r="K1223" t="inlineStr">
        <is>
          <t>MIBGAS_Data_2023.xlsx</t>
        </is>
      </c>
    </row>
    <row r="1224">
      <c r="A1224" s="53" t="n">
        <v>45050</v>
      </c>
      <c r="B1224" t="inlineStr">
        <is>
          <t>2023-05-04</t>
        </is>
      </c>
      <c r="C1224" s="45" t="n">
        <v>33.2</v>
      </c>
      <c r="D1224" t="inlineStr">
        <is>
          <t>€/MWh</t>
        </is>
      </c>
      <c r="E1224" s="54" t="n">
        <v>0.0332</v>
      </c>
      <c r="F1224" s="54" t="n"/>
      <c r="G1224" t="inlineStr">
        <is>
          <t>no aplica (precio mayorista)</t>
        </is>
      </c>
      <c r="J1224" t="inlineStr">
        <is>
          <t>2023-05-04</t>
        </is>
      </c>
      <c r="K1224" t="inlineStr">
        <is>
          <t>MIBGAS_Data_2023.xlsx</t>
        </is>
      </c>
    </row>
    <row r="1225">
      <c r="A1225" s="53" t="n">
        <v>45051</v>
      </c>
      <c r="B1225" t="inlineStr">
        <is>
          <t>2023-05-05</t>
        </is>
      </c>
      <c r="C1225" s="45" t="n">
        <v>33.39</v>
      </c>
      <c r="D1225" t="inlineStr">
        <is>
          <t>€/MWh</t>
        </is>
      </c>
      <c r="E1225" s="54" t="n">
        <v>0.03339</v>
      </c>
      <c r="F1225" s="54" t="n"/>
      <c r="G1225" t="inlineStr">
        <is>
          <t>no aplica (precio mayorista)</t>
        </is>
      </c>
      <c r="J1225" t="inlineStr">
        <is>
          <t>2023-05-05</t>
        </is>
      </c>
      <c r="K1225" t="inlineStr">
        <is>
          <t>MIBGAS_Data_2023.xlsx</t>
        </is>
      </c>
    </row>
    <row r="1226">
      <c r="A1226" s="53" t="n">
        <v>45052</v>
      </c>
      <c r="B1226" t="inlineStr">
        <is>
          <t>2023-05-06</t>
        </is>
      </c>
      <c r="C1226" s="45" t="n">
        <v>32.95</v>
      </c>
      <c r="D1226" t="inlineStr">
        <is>
          <t>€/MWh</t>
        </is>
      </c>
      <c r="E1226" s="54" t="n">
        <v>0.03295</v>
      </c>
      <c r="F1226" s="54" t="n"/>
      <c r="G1226" t="inlineStr">
        <is>
          <t>no aplica (precio mayorista)</t>
        </is>
      </c>
      <c r="J1226" t="inlineStr">
        <is>
          <t>2023-05-06</t>
        </is>
      </c>
      <c r="K1226" t="inlineStr">
        <is>
          <t>MIBGAS_Data_2023.xlsx</t>
        </is>
      </c>
    </row>
    <row r="1227">
      <c r="A1227" s="53" t="n">
        <v>45053</v>
      </c>
      <c r="B1227" t="inlineStr">
        <is>
          <t>2023-05-07</t>
        </is>
      </c>
      <c r="C1227" s="45" t="n">
        <v>33.13</v>
      </c>
      <c r="D1227" t="inlineStr">
        <is>
          <t>€/MWh</t>
        </is>
      </c>
      <c r="E1227" s="54" t="n">
        <v>0.03313</v>
      </c>
      <c r="F1227" s="54" t="n"/>
      <c r="G1227" t="inlineStr">
        <is>
          <t>no aplica (precio mayorista)</t>
        </is>
      </c>
      <c r="J1227" t="inlineStr">
        <is>
          <t>2023-05-07</t>
        </is>
      </c>
      <c r="K1227" t="inlineStr">
        <is>
          <t>MIBGAS_Data_2023.xlsx</t>
        </is>
      </c>
    </row>
    <row r="1228">
      <c r="A1228" s="53" t="n">
        <v>45054</v>
      </c>
      <c r="B1228" t="inlineStr">
        <is>
          <t>2023-05-08</t>
        </is>
      </c>
      <c r="C1228" s="45" t="n">
        <v>33.2</v>
      </c>
      <c r="D1228" t="inlineStr">
        <is>
          <t>€/MWh</t>
        </is>
      </c>
      <c r="E1228" s="54" t="n">
        <v>0.0332</v>
      </c>
      <c r="F1228" s="54" t="n"/>
      <c r="G1228" t="inlineStr">
        <is>
          <t>no aplica (precio mayorista)</t>
        </is>
      </c>
      <c r="J1228" t="inlineStr">
        <is>
          <t>2023-05-08</t>
        </is>
      </c>
      <c r="K1228" t="inlineStr">
        <is>
          <t>MIBGAS_Data_2023.xlsx</t>
        </is>
      </c>
    </row>
    <row r="1229">
      <c r="A1229" s="53" t="n">
        <v>45055</v>
      </c>
      <c r="B1229" t="inlineStr">
        <is>
          <t>2023-05-09</t>
        </is>
      </c>
      <c r="C1229" s="45" t="n">
        <v>33.67</v>
      </c>
      <c r="D1229" t="inlineStr">
        <is>
          <t>€/MWh</t>
        </is>
      </c>
      <c r="E1229" s="54" t="n">
        <v>0.03367</v>
      </c>
      <c r="F1229" s="54" t="n"/>
      <c r="G1229" t="inlineStr">
        <is>
          <t>no aplica (precio mayorista)</t>
        </is>
      </c>
      <c r="J1229" t="inlineStr">
        <is>
          <t>2023-05-09</t>
        </is>
      </c>
      <c r="K1229" t="inlineStr">
        <is>
          <t>MIBGAS_Data_2023.xlsx</t>
        </is>
      </c>
    </row>
    <row r="1230">
      <c r="A1230" s="53" t="n">
        <v>45056</v>
      </c>
      <c r="B1230" t="inlineStr">
        <is>
          <t>2023-05-10</t>
        </is>
      </c>
      <c r="C1230" s="45" t="n">
        <v>32.39</v>
      </c>
      <c r="D1230" t="inlineStr">
        <is>
          <t>€/MWh</t>
        </is>
      </c>
      <c r="E1230" s="54" t="n">
        <v>0.03239</v>
      </c>
      <c r="F1230" s="54" t="n"/>
      <c r="G1230" t="inlineStr">
        <is>
          <t>no aplica (precio mayorista)</t>
        </is>
      </c>
      <c r="J1230" t="inlineStr">
        <is>
          <t>2023-05-10</t>
        </is>
      </c>
      <c r="K1230" t="inlineStr">
        <is>
          <t>MIBGAS_Data_2023.xlsx</t>
        </is>
      </c>
    </row>
    <row r="1231">
      <c r="A1231" s="53" t="n">
        <v>45057</v>
      </c>
      <c r="B1231" t="inlineStr">
        <is>
          <t>2023-05-11</t>
        </is>
      </c>
      <c r="C1231" s="45" t="n">
        <v>30.01</v>
      </c>
      <c r="D1231" t="inlineStr">
        <is>
          <t>€/MWh</t>
        </is>
      </c>
      <c r="E1231" s="54" t="n">
        <v>0.03001</v>
      </c>
      <c r="F1231" s="54" t="n"/>
      <c r="G1231" t="inlineStr">
        <is>
          <t>no aplica (precio mayorista)</t>
        </is>
      </c>
      <c r="J1231" t="inlineStr">
        <is>
          <t>2023-05-11</t>
        </is>
      </c>
      <c r="K1231" t="inlineStr">
        <is>
          <t>MIBGAS_Data_2023.xlsx</t>
        </is>
      </c>
    </row>
    <row r="1232">
      <c r="A1232" s="53" t="n">
        <v>45058</v>
      </c>
      <c r="B1232" t="inlineStr">
        <is>
          <t>2023-05-12</t>
        </is>
      </c>
      <c r="C1232" s="45" t="n">
        <v>28.06</v>
      </c>
      <c r="D1232" t="inlineStr">
        <is>
          <t>€/MWh</t>
        </is>
      </c>
      <c r="E1232" s="54" t="n">
        <v>0.02806</v>
      </c>
      <c r="F1232" s="54" t="n"/>
      <c r="G1232" t="inlineStr">
        <is>
          <t>no aplica (precio mayorista)</t>
        </is>
      </c>
      <c r="J1232" t="inlineStr">
        <is>
          <t>2023-05-12</t>
        </is>
      </c>
      <c r="K1232" t="inlineStr">
        <is>
          <t>MIBGAS_Data_2023.xlsx</t>
        </is>
      </c>
    </row>
    <row r="1233">
      <c r="A1233" s="53" t="n">
        <v>45059</v>
      </c>
      <c r="B1233" t="inlineStr">
        <is>
          <t>2023-05-13</t>
        </is>
      </c>
      <c r="C1233" s="45" t="n">
        <v>26.61</v>
      </c>
      <c r="D1233" t="inlineStr">
        <is>
          <t>€/MWh</t>
        </is>
      </c>
      <c r="E1233" s="54" t="n">
        <v>0.02661</v>
      </c>
      <c r="F1233" s="54" t="n"/>
      <c r="G1233" t="inlineStr">
        <is>
          <t>no aplica (precio mayorista)</t>
        </is>
      </c>
      <c r="J1233" t="inlineStr">
        <is>
          <t>2023-05-13</t>
        </is>
      </c>
      <c r="K1233" t="inlineStr">
        <is>
          <t>MIBGAS_Data_2023.xlsx</t>
        </is>
      </c>
    </row>
    <row r="1234">
      <c r="A1234" s="53" t="n">
        <v>45060</v>
      </c>
      <c r="B1234" t="inlineStr">
        <is>
          <t>2023-05-14</t>
        </is>
      </c>
      <c r="C1234" s="45" t="n">
        <v>26.69</v>
      </c>
      <c r="D1234" t="inlineStr">
        <is>
          <t>€/MWh</t>
        </is>
      </c>
      <c r="E1234" s="54" t="n">
        <v>0.02669</v>
      </c>
      <c r="F1234" s="54" t="n"/>
      <c r="G1234" t="inlineStr">
        <is>
          <t>no aplica (precio mayorista)</t>
        </is>
      </c>
      <c r="J1234" t="inlineStr">
        <is>
          <t>2023-05-14</t>
        </is>
      </c>
      <c r="K1234" t="inlineStr">
        <is>
          <t>MIBGAS_Data_2023.xlsx</t>
        </is>
      </c>
    </row>
    <row r="1235">
      <c r="A1235" s="53" t="n">
        <v>45061</v>
      </c>
      <c r="B1235" t="inlineStr">
        <is>
          <t>2023-05-15</t>
        </is>
      </c>
      <c r="C1235" s="45" t="n">
        <v>25.96</v>
      </c>
      <c r="D1235" t="inlineStr">
        <is>
          <t>€/MWh</t>
        </is>
      </c>
      <c r="E1235" s="54" t="n">
        <v>0.02596</v>
      </c>
      <c r="F1235" s="54" t="n"/>
      <c r="G1235" t="inlineStr">
        <is>
          <t>no aplica (precio mayorista)</t>
        </is>
      </c>
      <c r="J1235" t="inlineStr">
        <is>
          <t>2023-05-15</t>
        </is>
      </c>
      <c r="K1235" t="inlineStr">
        <is>
          <t>MIBGAS_Data_2023.xlsx</t>
        </is>
      </c>
    </row>
    <row r="1236">
      <c r="A1236" s="53" t="n">
        <v>45062</v>
      </c>
      <c r="B1236" t="inlineStr">
        <is>
          <t>2023-05-16</t>
        </is>
      </c>
      <c r="C1236" s="45" t="n">
        <v>25.64</v>
      </c>
      <c r="D1236" t="inlineStr">
        <is>
          <t>€/MWh</t>
        </is>
      </c>
      <c r="E1236" s="54" t="n">
        <v>0.02564</v>
      </c>
      <c r="F1236" s="54" t="n"/>
      <c r="G1236" t="inlineStr">
        <is>
          <t>no aplica (precio mayorista)</t>
        </is>
      </c>
      <c r="J1236" t="inlineStr">
        <is>
          <t>2023-05-16</t>
        </is>
      </c>
      <c r="K1236" t="inlineStr">
        <is>
          <t>MIBGAS_Data_2023.xlsx</t>
        </is>
      </c>
    </row>
    <row r="1237">
      <c r="A1237" s="53" t="n">
        <v>45063</v>
      </c>
      <c r="B1237" t="inlineStr">
        <is>
          <t>2023-05-17</t>
        </is>
      </c>
      <c r="C1237" s="45" t="n">
        <v>26.42</v>
      </c>
      <c r="D1237" t="inlineStr">
        <is>
          <t>€/MWh</t>
        </is>
      </c>
      <c r="E1237" s="54" t="n">
        <v>0.02642</v>
      </c>
      <c r="F1237" s="54" t="n"/>
      <c r="G1237" t="inlineStr">
        <is>
          <t>no aplica (precio mayorista)</t>
        </is>
      </c>
      <c r="J1237" t="inlineStr">
        <is>
          <t>2023-05-17</t>
        </is>
      </c>
      <c r="K1237" t="inlineStr">
        <is>
          <t>MIBGAS_Data_2023.xlsx</t>
        </is>
      </c>
    </row>
    <row r="1238">
      <c r="A1238" s="53" t="n">
        <v>45064</v>
      </c>
      <c r="B1238" t="inlineStr">
        <is>
          <t>2023-05-18</t>
        </is>
      </c>
      <c r="C1238" s="45" t="n">
        <v>26.6</v>
      </c>
      <c r="D1238" t="inlineStr">
        <is>
          <t>€/MWh</t>
        </is>
      </c>
      <c r="E1238" s="54" t="n">
        <v>0.0266</v>
      </c>
      <c r="F1238" s="54" t="n"/>
      <c r="G1238" t="inlineStr">
        <is>
          <t>no aplica (precio mayorista)</t>
        </is>
      </c>
      <c r="J1238" t="inlineStr">
        <is>
          <t>2023-05-18</t>
        </is>
      </c>
      <c r="K1238" t="inlineStr">
        <is>
          <t>MIBGAS_Data_2023.xlsx</t>
        </is>
      </c>
    </row>
    <row r="1239">
      <c r="A1239" s="53" t="n">
        <v>45065</v>
      </c>
      <c r="B1239" t="inlineStr">
        <is>
          <t>2023-05-19</t>
        </is>
      </c>
      <c r="C1239" s="45" t="n">
        <v>26.01</v>
      </c>
      <c r="D1239" t="inlineStr">
        <is>
          <t>€/MWh</t>
        </is>
      </c>
      <c r="E1239" s="54" t="n">
        <v>0.02601</v>
      </c>
      <c r="F1239" s="54" t="n"/>
      <c r="G1239" t="inlineStr">
        <is>
          <t>no aplica (precio mayorista)</t>
        </is>
      </c>
      <c r="J1239" t="inlineStr">
        <is>
          <t>2023-05-19</t>
        </is>
      </c>
      <c r="K1239" t="inlineStr">
        <is>
          <t>MIBGAS_Data_2023.xlsx</t>
        </is>
      </c>
    </row>
    <row r="1240">
      <c r="A1240" s="53" t="n">
        <v>45066</v>
      </c>
      <c r="B1240" t="inlineStr">
        <is>
          <t>2023-05-20</t>
        </is>
      </c>
      <c r="C1240" s="45" t="n">
        <v>25.78</v>
      </c>
      <c r="D1240" t="inlineStr">
        <is>
          <t>€/MWh</t>
        </is>
      </c>
      <c r="E1240" s="54" t="n">
        <v>0.02578</v>
      </c>
      <c r="F1240" s="54" t="n"/>
      <c r="G1240" t="inlineStr">
        <is>
          <t>no aplica (precio mayorista)</t>
        </is>
      </c>
      <c r="J1240" t="inlineStr">
        <is>
          <t>2023-05-20</t>
        </is>
      </c>
      <c r="K1240" t="inlineStr">
        <is>
          <t>MIBGAS_Data_2023.xlsx</t>
        </is>
      </c>
    </row>
    <row r="1241">
      <c r="A1241" s="53" t="n">
        <v>45067</v>
      </c>
      <c r="B1241" t="inlineStr">
        <is>
          <t>2023-05-21</t>
        </is>
      </c>
      <c r="C1241" s="45" t="n">
        <v>26.47</v>
      </c>
      <c r="D1241" t="inlineStr">
        <is>
          <t>€/MWh</t>
        </is>
      </c>
      <c r="E1241" s="54" t="n">
        <v>0.02647</v>
      </c>
      <c r="F1241" s="54" t="n"/>
      <c r="G1241" t="inlineStr">
        <is>
          <t>no aplica (precio mayorista)</t>
        </is>
      </c>
      <c r="J1241" t="inlineStr">
        <is>
          <t>2023-05-21</t>
        </is>
      </c>
      <c r="K1241" t="inlineStr">
        <is>
          <t>MIBGAS_Data_2023.xlsx</t>
        </is>
      </c>
    </row>
    <row r="1242">
      <c r="A1242" s="53" t="n">
        <v>45068</v>
      </c>
      <c r="B1242" t="inlineStr">
        <is>
          <t>2023-05-22</t>
        </is>
      </c>
      <c r="C1242" s="45" t="n">
        <v>27.68</v>
      </c>
      <c r="D1242" t="inlineStr">
        <is>
          <t>€/MWh</t>
        </is>
      </c>
      <c r="E1242" s="54" t="n">
        <v>0.02768</v>
      </c>
      <c r="F1242" s="54" t="n"/>
      <c r="G1242" t="inlineStr">
        <is>
          <t>no aplica (precio mayorista)</t>
        </is>
      </c>
      <c r="J1242" t="inlineStr">
        <is>
          <t>2023-05-22</t>
        </is>
      </c>
      <c r="K1242" t="inlineStr">
        <is>
          <t>MIBGAS_Data_2023.xlsx</t>
        </is>
      </c>
    </row>
    <row r="1243">
      <c r="A1243" s="53" t="n">
        <v>45069</v>
      </c>
      <c r="B1243" t="inlineStr">
        <is>
          <t>2023-05-23</t>
        </is>
      </c>
      <c r="C1243" s="45" t="n">
        <v>27.39</v>
      </c>
      <c r="D1243" t="inlineStr">
        <is>
          <t>€/MWh</t>
        </is>
      </c>
      <c r="E1243" s="54" t="n">
        <v>0.02739</v>
      </c>
      <c r="F1243" s="54" t="n"/>
      <c r="G1243" t="inlineStr">
        <is>
          <t>no aplica (precio mayorista)</t>
        </is>
      </c>
      <c r="J1243" t="inlineStr">
        <is>
          <t>2023-05-23</t>
        </is>
      </c>
      <c r="K1243" t="inlineStr">
        <is>
          <t>MIBGAS_Data_2023.xlsx</t>
        </is>
      </c>
    </row>
    <row r="1244">
      <c r="A1244" s="53" t="n">
        <v>45070</v>
      </c>
      <c r="B1244" t="inlineStr">
        <is>
          <t>2023-05-24</t>
        </is>
      </c>
      <c r="C1244" s="45" t="n">
        <v>27.19</v>
      </c>
      <c r="D1244" t="inlineStr">
        <is>
          <t>€/MWh</t>
        </is>
      </c>
      <c r="E1244" s="54" t="n">
        <v>0.02719</v>
      </c>
      <c r="F1244" s="54" t="n"/>
      <c r="G1244" t="inlineStr">
        <is>
          <t>no aplica (precio mayorista)</t>
        </is>
      </c>
      <c r="J1244" t="inlineStr">
        <is>
          <t>2023-05-24</t>
        </is>
      </c>
      <c r="K1244" t="inlineStr">
        <is>
          <t>MIBGAS_Data_2023.xlsx</t>
        </is>
      </c>
    </row>
    <row r="1245">
      <c r="A1245" s="53" t="n">
        <v>45071</v>
      </c>
      <c r="B1245" t="inlineStr">
        <is>
          <t>2023-05-25</t>
        </is>
      </c>
      <c r="C1245" s="45" t="n">
        <v>26</v>
      </c>
      <c r="D1245" t="inlineStr">
        <is>
          <t>€/MWh</t>
        </is>
      </c>
      <c r="E1245" s="54" t="n">
        <v>0.026</v>
      </c>
      <c r="F1245" s="54" t="n"/>
      <c r="G1245" t="inlineStr">
        <is>
          <t>no aplica (precio mayorista)</t>
        </is>
      </c>
      <c r="J1245" t="inlineStr">
        <is>
          <t>2023-05-25</t>
        </is>
      </c>
      <c r="K1245" t="inlineStr">
        <is>
          <t>MIBGAS_Data_2023.xlsx</t>
        </is>
      </c>
    </row>
    <row r="1246">
      <c r="A1246" s="53" t="n">
        <v>45072</v>
      </c>
      <c r="B1246" t="inlineStr">
        <is>
          <t>2023-05-26</t>
        </is>
      </c>
      <c r="C1246" s="45" t="n">
        <v>24.33</v>
      </c>
      <c r="D1246" t="inlineStr">
        <is>
          <t>€/MWh</t>
        </is>
      </c>
      <c r="E1246" s="54" t="n">
        <v>0.02433</v>
      </c>
      <c r="F1246" s="54" t="n"/>
      <c r="G1246" t="inlineStr">
        <is>
          <t>no aplica (precio mayorista)</t>
        </is>
      </c>
      <c r="J1246" t="inlineStr">
        <is>
          <t>2023-05-26</t>
        </is>
      </c>
      <c r="K1246" t="inlineStr">
        <is>
          <t>MIBGAS_Data_2023.xlsx</t>
        </is>
      </c>
    </row>
    <row r="1247">
      <c r="A1247" s="53" t="n">
        <v>45073</v>
      </c>
      <c r="B1247" t="inlineStr">
        <is>
          <t>2023-05-27</t>
        </is>
      </c>
      <c r="C1247" s="45" t="n">
        <v>24.25</v>
      </c>
      <c r="D1247" t="inlineStr">
        <is>
          <t>€/MWh</t>
        </is>
      </c>
      <c r="E1247" s="54" t="n">
        <v>0.02425</v>
      </c>
      <c r="F1247" s="54" t="n"/>
      <c r="G1247" t="inlineStr">
        <is>
          <t>no aplica (precio mayorista)</t>
        </is>
      </c>
      <c r="J1247" t="inlineStr">
        <is>
          <t>2023-05-27</t>
        </is>
      </c>
      <c r="K1247" t="inlineStr">
        <is>
          <t>MIBGAS_Data_2023.xlsx</t>
        </is>
      </c>
    </row>
    <row r="1248">
      <c r="A1248" s="53" t="n">
        <v>45074</v>
      </c>
      <c r="B1248" t="inlineStr">
        <is>
          <t>2023-05-28</t>
        </is>
      </c>
      <c r="C1248" s="45" t="n">
        <v>24.95</v>
      </c>
      <c r="D1248" t="inlineStr">
        <is>
          <t>€/MWh</t>
        </is>
      </c>
      <c r="E1248" s="54" t="n">
        <v>0.02495</v>
      </c>
      <c r="F1248" s="54" t="n"/>
      <c r="G1248" t="inlineStr">
        <is>
          <t>no aplica (precio mayorista)</t>
        </is>
      </c>
      <c r="J1248" t="inlineStr">
        <is>
          <t>2023-05-28</t>
        </is>
      </c>
      <c r="K1248" t="inlineStr">
        <is>
          <t>MIBGAS_Data_2023.xlsx</t>
        </is>
      </c>
    </row>
    <row r="1249">
      <c r="A1249" s="53" t="n">
        <v>45075</v>
      </c>
      <c r="B1249" t="inlineStr">
        <is>
          <t>2023-05-29</t>
        </is>
      </c>
      <c r="C1249" s="45" t="n">
        <v>26.05</v>
      </c>
      <c r="D1249" t="inlineStr">
        <is>
          <t>€/MWh</t>
        </is>
      </c>
      <c r="E1249" s="54" t="n">
        <v>0.02605</v>
      </c>
      <c r="F1249" s="54" t="n"/>
      <c r="G1249" t="inlineStr">
        <is>
          <t>no aplica (precio mayorista)</t>
        </is>
      </c>
      <c r="J1249" t="inlineStr">
        <is>
          <t>2023-05-29</t>
        </is>
      </c>
      <c r="K1249" t="inlineStr">
        <is>
          <t>MIBGAS_Data_2023.xlsx</t>
        </is>
      </c>
    </row>
    <row r="1250">
      <c r="A1250" s="53" t="n">
        <v>45076</v>
      </c>
      <c r="B1250" t="inlineStr">
        <is>
          <t>2023-05-30</t>
        </is>
      </c>
      <c r="C1250" s="45" t="n">
        <v>25.59</v>
      </c>
      <c r="D1250" t="inlineStr">
        <is>
          <t>€/MWh</t>
        </is>
      </c>
      <c r="E1250" s="54" t="n">
        <v>0.02559</v>
      </c>
      <c r="F1250" s="54" t="n"/>
      <c r="G1250" t="inlineStr">
        <is>
          <t>no aplica (precio mayorista)</t>
        </is>
      </c>
      <c r="J1250" t="inlineStr">
        <is>
          <t>2023-05-30</t>
        </is>
      </c>
      <c r="K1250" t="inlineStr">
        <is>
          <t>MIBGAS_Data_2023.xlsx</t>
        </is>
      </c>
    </row>
    <row r="1251">
      <c r="A1251" s="53" t="n">
        <v>45077</v>
      </c>
      <c r="B1251" t="inlineStr">
        <is>
          <t>2023-05-31</t>
        </is>
      </c>
      <c r="C1251" s="45" t="n">
        <v>25.49</v>
      </c>
      <c r="D1251" t="inlineStr">
        <is>
          <t>€/MWh</t>
        </is>
      </c>
      <c r="E1251" s="54" t="n">
        <v>0.02549</v>
      </c>
      <c r="F1251" s="54" t="n"/>
      <c r="G1251" t="inlineStr">
        <is>
          <t>no aplica (precio mayorista)</t>
        </is>
      </c>
      <c r="J1251" t="inlineStr">
        <is>
          <t>2023-05-31</t>
        </is>
      </c>
      <c r="K1251" t="inlineStr">
        <is>
          <t>MIBGAS_Data_2023.xlsx</t>
        </is>
      </c>
    </row>
    <row r="1252">
      <c r="A1252" s="53" t="n">
        <v>45078</v>
      </c>
      <c r="B1252" t="inlineStr">
        <is>
          <t>2023-06-01</t>
        </is>
      </c>
      <c r="C1252" s="45" t="n">
        <v>25.68</v>
      </c>
      <c r="D1252" t="inlineStr">
        <is>
          <t>€/MWh</t>
        </is>
      </c>
      <c r="E1252" s="54" t="n">
        <v>0.02568</v>
      </c>
      <c r="F1252" s="54" t="n"/>
      <c r="G1252" t="inlineStr">
        <is>
          <t>no aplica (precio mayorista)</t>
        </is>
      </c>
      <c r="J1252" t="inlineStr">
        <is>
          <t>2023-06-01</t>
        </is>
      </c>
      <c r="K1252" t="inlineStr">
        <is>
          <t>MIBGAS_Data_2023.xlsx</t>
        </is>
      </c>
    </row>
    <row r="1253">
      <c r="A1253" s="53" t="n">
        <v>45079</v>
      </c>
      <c r="B1253" t="inlineStr">
        <is>
          <t>2023-06-02</t>
        </is>
      </c>
      <c r="C1253" s="45" t="n">
        <v>24.47</v>
      </c>
      <c r="D1253" t="inlineStr">
        <is>
          <t>€/MWh</t>
        </is>
      </c>
      <c r="E1253" s="54" t="n">
        <v>0.02447</v>
      </c>
      <c r="F1253" s="54" t="n"/>
      <c r="G1253" t="inlineStr">
        <is>
          <t>no aplica (precio mayorista)</t>
        </is>
      </c>
      <c r="J1253" t="inlineStr">
        <is>
          <t>2023-06-02</t>
        </is>
      </c>
      <c r="K1253" t="inlineStr">
        <is>
          <t>MIBGAS_Data_2023.xlsx</t>
        </is>
      </c>
    </row>
    <row r="1254">
      <c r="A1254" s="53" t="n">
        <v>45080</v>
      </c>
      <c r="B1254" t="inlineStr">
        <is>
          <t>2023-06-03</t>
        </is>
      </c>
      <c r="C1254" s="45" t="n">
        <v>23.81</v>
      </c>
      <c r="D1254" t="inlineStr">
        <is>
          <t>€/MWh</t>
        </is>
      </c>
      <c r="E1254" s="54" t="n">
        <v>0.02381</v>
      </c>
      <c r="F1254" s="54" t="n"/>
      <c r="G1254" t="inlineStr">
        <is>
          <t>no aplica (precio mayorista)</t>
        </is>
      </c>
      <c r="J1254" t="inlineStr">
        <is>
          <t>2023-06-03</t>
        </is>
      </c>
      <c r="K1254" t="inlineStr">
        <is>
          <t>MIBGAS_Data_2023.xlsx</t>
        </is>
      </c>
    </row>
    <row r="1255">
      <c r="A1255" s="53" t="n">
        <v>45081</v>
      </c>
      <c r="B1255" t="inlineStr">
        <is>
          <t>2023-06-04</t>
        </is>
      </c>
      <c r="C1255" s="45" t="n">
        <v>23.86</v>
      </c>
      <c r="D1255" t="inlineStr">
        <is>
          <t>€/MWh</t>
        </is>
      </c>
      <c r="E1255" s="54" t="n">
        <v>0.02386</v>
      </c>
      <c r="F1255" s="54" t="n"/>
      <c r="G1255" t="inlineStr">
        <is>
          <t>no aplica (precio mayorista)</t>
        </is>
      </c>
      <c r="J1255" t="inlineStr">
        <is>
          <t>2023-06-04</t>
        </is>
      </c>
      <c r="K1255" t="inlineStr">
        <is>
          <t>MIBGAS_Data_2023.xlsx</t>
        </is>
      </c>
    </row>
    <row r="1256">
      <c r="A1256" s="53" t="n">
        <v>45082</v>
      </c>
      <c r="B1256" t="inlineStr">
        <is>
          <t>2023-06-05</t>
        </is>
      </c>
      <c r="C1256" s="45" t="n">
        <v>24.15</v>
      </c>
      <c r="D1256" t="inlineStr">
        <is>
          <t>€/MWh</t>
        </is>
      </c>
      <c r="E1256" s="54" t="n">
        <v>0.02415</v>
      </c>
      <c r="F1256" s="54" t="n"/>
      <c r="G1256" t="inlineStr">
        <is>
          <t>no aplica (precio mayorista)</t>
        </is>
      </c>
      <c r="J1256" t="inlineStr">
        <is>
          <t>2023-06-05</t>
        </is>
      </c>
      <c r="K1256" t="inlineStr">
        <is>
          <t>MIBGAS_Data_2023.xlsx</t>
        </is>
      </c>
    </row>
    <row r="1257">
      <c r="A1257" s="53" t="n">
        <v>45083</v>
      </c>
      <c r="B1257" t="inlineStr">
        <is>
          <t>2023-06-06</t>
        </is>
      </c>
      <c r="C1257" s="45" t="n">
        <v>27.1</v>
      </c>
      <c r="D1257" t="inlineStr">
        <is>
          <t>€/MWh</t>
        </is>
      </c>
      <c r="E1257" s="54" t="n">
        <v>0.0271</v>
      </c>
      <c r="F1257" s="54" t="n"/>
      <c r="G1257" t="inlineStr">
        <is>
          <t>no aplica (precio mayorista)</t>
        </is>
      </c>
      <c r="J1257" t="inlineStr">
        <is>
          <t>2023-06-06</t>
        </is>
      </c>
      <c r="K1257" t="inlineStr">
        <is>
          <t>MIBGAS_Data_2023.xlsx</t>
        </is>
      </c>
    </row>
    <row r="1258">
      <c r="A1258" s="53" t="n">
        <v>45084</v>
      </c>
      <c r="B1258" t="inlineStr">
        <is>
          <t>2023-06-07</t>
        </is>
      </c>
      <c r="C1258" s="45" t="n">
        <v>25.65</v>
      </c>
      <c r="D1258" t="inlineStr">
        <is>
          <t>€/MWh</t>
        </is>
      </c>
      <c r="E1258" s="54" t="n">
        <v>0.02565</v>
      </c>
      <c r="F1258" s="54" t="n"/>
      <c r="G1258" t="inlineStr">
        <is>
          <t>no aplica (precio mayorista)</t>
        </is>
      </c>
      <c r="J1258" t="inlineStr">
        <is>
          <t>2023-06-07</t>
        </is>
      </c>
      <c r="K1258" t="inlineStr">
        <is>
          <t>MIBGAS_Data_2023.xlsx</t>
        </is>
      </c>
    </row>
    <row r="1259">
      <c r="A1259" s="53" t="n">
        <v>45085</v>
      </c>
      <c r="B1259" t="inlineStr">
        <is>
          <t>2023-06-08</t>
        </is>
      </c>
      <c r="C1259" s="45" t="n">
        <v>25.8</v>
      </c>
      <c r="D1259" t="inlineStr">
        <is>
          <t>€/MWh</t>
        </is>
      </c>
      <c r="E1259" s="54" t="n">
        <v>0.0258</v>
      </c>
      <c r="F1259" s="54" t="n"/>
      <c r="G1259" t="inlineStr">
        <is>
          <t>no aplica (precio mayorista)</t>
        </is>
      </c>
      <c r="J1259" t="inlineStr">
        <is>
          <t>2023-06-08</t>
        </is>
      </c>
      <c r="K1259" t="inlineStr">
        <is>
          <t>MIBGAS_Data_2023.xlsx</t>
        </is>
      </c>
    </row>
    <row r="1260">
      <c r="A1260" s="53" t="n">
        <v>45086</v>
      </c>
      <c r="B1260" t="inlineStr">
        <is>
          <t>2023-06-09</t>
        </is>
      </c>
      <c r="C1260" s="45" t="n">
        <v>26.91</v>
      </c>
      <c r="D1260" t="inlineStr">
        <is>
          <t>€/MWh</t>
        </is>
      </c>
      <c r="E1260" s="54" t="n">
        <v>0.02691</v>
      </c>
      <c r="F1260" s="54" t="n"/>
      <c r="G1260" t="inlineStr">
        <is>
          <t>no aplica (precio mayorista)</t>
        </is>
      </c>
      <c r="J1260" t="inlineStr">
        <is>
          <t>2023-06-09</t>
        </is>
      </c>
      <c r="K1260" t="inlineStr">
        <is>
          <t>MIBGAS_Data_2023.xlsx</t>
        </is>
      </c>
    </row>
    <row r="1261">
      <c r="A1261" s="53" t="n">
        <v>45087</v>
      </c>
      <c r="B1261" t="inlineStr">
        <is>
          <t>2023-06-10</t>
        </is>
      </c>
      <c r="C1261" s="45" t="n">
        <v>26.82</v>
      </c>
      <c r="D1261" t="inlineStr">
        <is>
          <t>€/MWh</t>
        </is>
      </c>
      <c r="E1261" s="54" t="n">
        <v>0.02682</v>
      </c>
      <c r="F1261" s="54" t="n"/>
      <c r="G1261" t="inlineStr">
        <is>
          <t>no aplica (precio mayorista)</t>
        </is>
      </c>
      <c r="J1261" t="inlineStr">
        <is>
          <t>2023-06-10</t>
        </is>
      </c>
      <c r="K1261" t="inlineStr">
        <is>
          <t>MIBGAS_Data_2023.xlsx</t>
        </is>
      </c>
    </row>
    <row r="1262">
      <c r="A1262" s="53" t="n">
        <v>45088</v>
      </c>
      <c r="B1262" t="inlineStr">
        <is>
          <t>2023-06-11</t>
        </is>
      </c>
      <c r="C1262" s="45" t="n">
        <v>27.07</v>
      </c>
      <c r="D1262" t="inlineStr">
        <is>
          <t>€/MWh</t>
        </is>
      </c>
      <c r="E1262" s="54" t="n">
        <v>0.02707</v>
      </c>
      <c r="F1262" s="54" t="n"/>
      <c r="G1262" t="inlineStr">
        <is>
          <t>no aplica (precio mayorista)</t>
        </is>
      </c>
      <c r="J1262" t="inlineStr">
        <is>
          <t>2023-06-11</t>
        </is>
      </c>
      <c r="K1262" t="inlineStr">
        <is>
          <t>MIBGAS_Data_2023.xlsx</t>
        </is>
      </c>
    </row>
    <row r="1263">
      <c r="A1263" s="53" t="n">
        <v>45089</v>
      </c>
      <c r="B1263" t="inlineStr">
        <is>
          <t>2023-06-12</t>
        </is>
      </c>
      <c r="C1263" s="45" t="n">
        <v>28.56</v>
      </c>
      <c r="D1263" t="inlineStr">
        <is>
          <t>€/MWh</t>
        </is>
      </c>
      <c r="E1263" s="54" t="n">
        <v>0.02856</v>
      </c>
      <c r="F1263" s="54" t="n"/>
      <c r="G1263" t="inlineStr">
        <is>
          <t>no aplica (precio mayorista)</t>
        </is>
      </c>
      <c r="J1263" t="inlineStr">
        <is>
          <t>2023-06-12</t>
        </is>
      </c>
      <c r="K1263" t="inlineStr">
        <is>
          <t>MIBGAS_Data_2023.xlsx</t>
        </is>
      </c>
    </row>
    <row r="1264">
      <c r="A1264" s="53" t="n">
        <v>45090</v>
      </c>
      <c r="B1264" t="inlineStr">
        <is>
          <t>2023-06-13</t>
        </is>
      </c>
      <c r="C1264" s="45" t="n">
        <v>29.04</v>
      </c>
      <c r="D1264" t="inlineStr">
        <is>
          <t>€/MWh</t>
        </is>
      </c>
      <c r="E1264" s="54" t="n">
        <v>0.02904</v>
      </c>
      <c r="F1264" s="54" t="n"/>
      <c r="G1264" t="inlineStr">
        <is>
          <t>no aplica (precio mayorista)</t>
        </is>
      </c>
      <c r="J1264" t="inlineStr">
        <is>
          <t>2023-06-13</t>
        </is>
      </c>
      <c r="K1264" t="inlineStr">
        <is>
          <t>MIBGAS_Data_2023.xlsx</t>
        </is>
      </c>
    </row>
    <row r="1265">
      <c r="A1265" s="53" t="n">
        <v>45091</v>
      </c>
      <c r="B1265" t="inlineStr">
        <is>
          <t>2023-06-14</t>
        </is>
      </c>
      <c r="C1265" s="45" t="n">
        <v>32.99</v>
      </c>
      <c r="D1265" t="inlineStr">
        <is>
          <t>€/MWh</t>
        </is>
      </c>
      <c r="E1265" s="54" t="n">
        <v>0.03299</v>
      </c>
      <c r="F1265" s="54" t="n"/>
      <c r="G1265" t="inlineStr">
        <is>
          <t>no aplica (precio mayorista)</t>
        </is>
      </c>
      <c r="J1265" t="inlineStr">
        <is>
          <t>2023-06-14</t>
        </is>
      </c>
      <c r="K1265" t="inlineStr">
        <is>
          <t>MIBGAS_Data_2023.xlsx</t>
        </is>
      </c>
    </row>
    <row r="1266">
      <c r="A1266" s="53" t="n">
        <v>45092</v>
      </c>
      <c r="B1266" t="inlineStr">
        <is>
          <t>2023-06-15</t>
        </is>
      </c>
      <c r="C1266" s="45" t="n">
        <v>37.34</v>
      </c>
      <c r="D1266" t="inlineStr">
        <is>
          <t>€/MWh</t>
        </is>
      </c>
      <c r="E1266" s="54" t="n">
        <v>0.03734</v>
      </c>
      <c r="F1266" s="54" t="n"/>
      <c r="G1266" t="inlineStr">
        <is>
          <t>no aplica (precio mayorista)</t>
        </is>
      </c>
      <c r="J1266" t="inlineStr">
        <is>
          <t>2023-06-15</t>
        </is>
      </c>
      <c r="K1266" t="inlineStr">
        <is>
          <t>MIBGAS_Data_2023.xlsx</t>
        </is>
      </c>
    </row>
    <row r="1267">
      <c r="A1267" s="53" t="n">
        <v>45093</v>
      </c>
      <c r="B1267" t="inlineStr">
        <is>
          <t>2023-06-16</t>
        </is>
      </c>
      <c r="C1267" s="45" t="n">
        <v>39.79</v>
      </c>
      <c r="D1267" t="inlineStr">
        <is>
          <t>€/MWh</t>
        </is>
      </c>
      <c r="E1267" s="54" t="n">
        <v>0.03979</v>
      </c>
      <c r="F1267" s="54" t="n"/>
      <c r="G1267" t="inlineStr">
        <is>
          <t>no aplica (precio mayorista)</t>
        </is>
      </c>
      <c r="J1267" t="inlineStr">
        <is>
          <t>2023-06-16</t>
        </is>
      </c>
      <c r="K1267" t="inlineStr">
        <is>
          <t>MIBGAS_Data_2023.xlsx</t>
        </is>
      </c>
    </row>
    <row r="1268">
      <c r="A1268" s="53" t="n">
        <v>45094</v>
      </c>
      <c r="B1268" t="inlineStr">
        <is>
          <t>2023-06-17</t>
        </is>
      </c>
      <c r="C1268" s="45" t="n">
        <v>34.55</v>
      </c>
      <c r="D1268" t="inlineStr">
        <is>
          <t>€/MWh</t>
        </is>
      </c>
      <c r="E1268" s="54" t="n">
        <v>0.03455</v>
      </c>
      <c r="F1268" s="54" t="n"/>
      <c r="G1268" t="inlineStr">
        <is>
          <t>no aplica (precio mayorista)</t>
        </is>
      </c>
      <c r="J1268" t="inlineStr">
        <is>
          <t>2023-06-17</t>
        </is>
      </c>
      <c r="K1268" t="inlineStr">
        <is>
          <t>MIBGAS_Data_2023.xlsx</t>
        </is>
      </c>
    </row>
    <row r="1269">
      <c r="A1269" s="53" t="n">
        <v>45095</v>
      </c>
      <c r="B1269" t="inlineStr">
        <is>
          <t>2023-06-18</t>
        </is>
      </c>
      <c r="C1269" s="45" t="n">
        <v>34.06</v>
      </c>
      <c r="D1269" t="inlineStr">
        <is>
          <t>€/MWh</t>
        </is>
      </c>
      <c r="E1269" s="54" t="n">
        <v>0.03406</v>
      </c>
      <c r="F1269" s="54" t="n"/>
      <c r="G1269" t="inlineStr">
        <is>
          <t>no aplica (precio mayorista)</t>
        </is>
      </c>
      <c r="J1269" t="inlineStr">
        <is>
          <t>2023-06-18</t>
        </is>
      </c>
      <c r="K1269" t="inlineStr">
        <is>
          <t>MIBGAS_Data_2023.xlsx</t>
        </is>
      </c>
    </row>
    <row r="1270">
      <c r="A1270" s="53" t="n">
        <v>45096</v>
      </c>
      <c r="B1270" t="inlineStr">
        <is>
          <t>2023-06-19</t>
        </is>
      </c>
      <c r="C1270" s="45" t="n">
        <v>33.85</v>
      </c>
      <c r="D1270" t="inlineStr">
        <is>
          <t>€/MWh</t>
        </is>
      </c>
      <c r="E1270" s="54" t="n">
        <v>0.03385</v>
      </c>
      <c r="F1270" s="54" t="n"/>
      <c r="G1270" t="inlineStr">
        <is>
          <t>no aplica (precio mayorista)</t>
        </is>
      </c>
      <c r="J1270" t="inlineStr">
        <is>
          <t>2023-06-19</t>
        </is>
      </c>
      <c r="K1270" t="inlineStr">
        <is>
          <t>MIBGAS_Data_2023.xlsx</t>
        </is>
      </c>
    </row>
    <row r="1271">
      <c r="A1271" s="53" t="n">
        <v>45097</v>
      </c>
      <c r="B1271" t="inlineStr">
        <is>
          <t>2023-06-20</t>
        </is>
      </c>
      <c r="C1271" s="45" t="n">
        <v>35.57</v>
      </c>
      <c r="D1271" t="inlineStr">
        <is>
          <t>€/MWh</t>
        </is>
      </c>
      <c r="E1271" s="54" t="n">
        <v>0.03557</v>
      </c>
      <c r="F1271" s="54" t="n"/>
      <c r="G1271" t="inlineStr">
        <is>
          <t>no aplica (precio mayorista)</t>
        </is>
      </c>
      <c r="J1271" t="inlineStr">
        <is>
          <t>2023-06-20</t>
        </is>
      </c>
      <c r="K1271" t="inlineStr">
        <is>
          <t>MIBGAS_Data_2023.xlsx</t>
        </is>
      </c>
    </row>
    <row r="1272">
      <c r="A1272" s="53" t="n">
        <v>45098</v>
      </c>
      <c r="B1272" t="inlineStr">
        <is>
          <t>2023-06-21</t>
        </is>
      </c>
      <c r="C1272" s="45" t="n">
        <v>38.49</v>
      </c>
      <c r="D1272" t="inlineStr">
        <is>
          <t>€/MWh</t>
        </is>
      </c>
      <c r="E1272" s="54" t="n">
        <v>0.03849</v>
      </c>
      <c r="F1272" s="54" t="n"/>
      <c r="G1272" t="inlineStr">
        <is>
          <t>no aplica (precio mayorista)</t>
        </is>
      </c>
      <c r="J1272" t="inlineStr">
        <is>
          <t>2023-06-21</t>
        </is>
      </c>
      <c r="K1272" t="inlineStr">
        <is>
          <t>MIBGAS_Data_2023.xlsx</t>
        </is>
      </c>
    </row>
    <row r="1273">
      <c r="A1273" s="53" t="n">
        <v>45099</v>
      </c>
      <c r="B1273" t="inlineStr">
        <is>
          <t>2023-06-22</t>
        </is>
      </c>
      <c r="C1273" s="45" t="n">
        <v>37.9</v>
      </c>
      <c r="D1273" t="inlineStr">
        <is>
          <t>€/MWh</t>
        </is>
      </c>
      <c r="E1273" s="54" t="n">
        <v>0.0379</v>
      </c>
      <c r="F1273" s="54" t="n"/>
      <c r="G1273" t="inlineStr">
        <is>
          <t>no aplica (precio mayorista)</t>
        </is>
      </c>
      <c r="J1273" t="inlineStr">
        <is>
          <t>2023-06-22</t>
        </is>
      </c>
      <c r="K1273" t="inlineStr">
        <is>
          <t>MIBGAS_Data_2023.xlsx</t>
        </is>
      </c>
    </row>
    <row r="1274">
      <c r="A1274" s="53" t="n">
        <v>45100</v>
      </c>
      <c r="B1274" t="inlineStr">
        <is>
          <t>2023-06-23</t>
        </is>
      </c>
      <c r="C1274" s="45" t="n">
        <v>35.43</v>
      </c>
      <c r="D1274" t="inlineStr">
        <is>
          <t>€/MWh</t>
        </is>
      </c>
      <c r="E1274" s="54" t="n">
        <v>0.03543</v>
      </c>
      <c r="F1274" s="54" t="n"/>
      <c r="G1274" t="inlineStr">
        <is>
          <t>no aplica (precio mayorista)</t>
        </is>
      </c>
      <c r="J1274" t="inlineStr">
        <is>
          <t>2023-06-23</t>
        </is>
      </c>
      <c r="K1274" t="inlineStr">
        <is>
          <t>MIBGAS_Data_2023.xlsx</t>
        </is>
      </c>
    </row>
    <row r="1275">
      <c r="A1275" s="53" t="n">
        <v>45101</v>
      </c>
      <c r="B1275" t="inlineStr">
        <is>
          <t>2023-06-24</t>
        </is>
      </c>
      <c r="C1275" s="45" t="n">
        <v>31.56</v>
      </c>
      <c r="D1275" t="inlineStr">
        <is>
          <t>€/MWh</t>
        </is>
      </c>
      <c r="E1275" s="54" t="n">
        <v>0.03156</v>
      </c>
      <c r="F1275" s="54" t="n"/>
      <c r="G1275" t="inlineStr">
        <is>
          <t>no aplica (precio mayorista)</t>
        </is>
      </c>
      <c r="J1275" t="inlineStr">
        <is>
          <t>2023-06-24</t>
        </is>
      </c>
      <c r="K1275" t="inlineStr">
        <is>
          <t>MIBGAS_Data_2023.xlsx</t>
        </is>
      </c>
    </row>
    <row r="1276">
      <c r="A1276" s="53" t="n">
        <v>45102</v>
      </c>
      <c r="B1276" t="inlineStr">
        <is>
          <t>2023-06-25</t>
        </is>
      </c>
      <c r="C1276" s="45" t="n">
        <v>31.35</v>
      </c>
      <c r="D1276" t="inlineStr">
        <is>
          <t>€/MWh</t>
        </is>
      </c>
      <c r="E1276" s="54" t="n">
        <v>0.03135</v>
      </c>
      <c r="F1276" s="54" t="n"/>
      <c r="G1276" t="inlineStr">
        <is>
          <t>no aplica (precio mayorista)</t>
        </is>
      </c>
      <c r="J1276" t="inlineStr">
        <is>
          <t>2023-06-25</t>
        </is>
      </c>
      <c r="K1276" t="inlineStr">
        <is>
          <t>MIBGAS_Data_2023.xlsx</t>
        </is>
      </c>
    </row>
    <row r="1277">
      <c r="A1277" s="53" t="n">
        <v>45103</v>
      </c>
      <c r="B1277" t="inlineStr">
        <is>
          <t>2023-06-26</t>
        </is>
      </c>
      <c r="C1277" s="45" t="n">
        <v>31.77</v>
      </c>
      <c r="D1277" t="inlineStr">
        <is>
          <t>€/MWh</t>
        </is>
      </c>
      <c r="E1277" s="54" t="n">
        <v>0.03177</v>
      </c>
      <c r="F1277" s="54" t="n"/>
      <c r="G1277" t="inlineStr">
        <is>
          <t>no aplica (precio mayorista)</t>
        </is>
      </c>
      <c r="J1277" t="inlineStr">
        <is>
          <t>2023-06-26</t>
        </is>
      </c>
      <c r="K1277" t="inlineStr">
        <is>
          <t>MIBGAS_Data_2023.xlsx</t>
        </is>
      </c>
    </row>
    <row r="1278">
      <c r="A1278" s="53" t="n">
        <v>45104</v>
      </c>
      <c r="B1278" t="inlineStr">
        <is>
          <t>2023-06-27</t>
        </is>
      </c>
      <c r="C1278" s="45" t="n">
        <v>32.3</v>
      </c>
      <c r="D1278" t="inlineStr">
        <is>
          <t>€/MWh</t>
        </is>
      </c>
      <c r="E1278" s="54" t="n">
        <v>0.0323</v>
      </c>
      <c r="F1278" s="54" t="n"/>
      <c r="G1278" t="inlineStr">
        <is>
          <t>no aplica (precio mayorista)</t>
        </is>
      </c>
      <c r="J1278" t="inlineStr">
        <is>
          <t>2023-06-27</t>
        </is>
      </c>
      <c r="K1278" t="inlineStr">
        <is>
          <t>MIBGAS_Data_2023.xlsx</t>
        </is>
      </c>
    </row>
    <row r="1279">
      <c r="A1279" s="53" t="n">
        <v>45105</v>
      </c>
      <c r="B1279" t="inlineStr">
        <is>
          <t>2023-06-28</t>
        </is>
      </c>
      <c r="C1279" s="45" t="n">
        <v>32.91</v>
      </c>
      <c r="D1279" t="inlineStr">
        <is>
          <t>€/MWh</t>
        </is>
      </c>
      <c r="E1279" s="54" t="n">
        <v>0.03291</v>
      </c>
      <c r="F1279" s="54" t="n"/>
      <c r="G1279" t="inlineStr">
        <is>
          <t>no aplica (precio mayorista)</t>
        </is>
      </c>
      <c r="J1279" t="inlineStr">
        <is>
          <t>2023-06-28</t>
        </is>
      </c>
      <c r="K1279" t="inlineStr">
        <is>
          <t>MIBGAS_Data_2023.xlsx</t>
        </is>
      </c>
    </row>
    <row r="1280">
      <c r="A1280" s="53" t="n">
        <v>45106</v>
      </c>
      <c r="B1280" t="inlineStr">
        <is>
          <t>2023-06-29</t>
        </is>
      </c>
      <c r="C1280" s="45" t="n">
        <v>33.22</v>
      </c>
      <c r="D1280" t="inlineStr">
        <is>
          <t>€/MWh</t>
        </is>
      </c>
      <c r="E1280" s="54" t="n">
        <v>0.03322</v>
      </c>
      <c r="F1280" s="54" t="n"/>
      <c r="G1280" t="inlineStr">
        <is>
          <t>no aplica (precio mayorista)</t>
        </is>
      </c>
      <c r="J1280" t="inlineStr">
        <is>
          <t>2023-06-29</t>
        </is>
      </c>
      <c r="K1280" t="inlineStr">
        <is>
          <t>MIBGAS_Data_2023.xlsx</t>
        </is>
      </c>
    </row>
    <row r="1281">
      <c r="A1281" s="53" t="n">
        <v>45107</v>
      </c>
      <c r="B1281" t="inlineStr">
        <is>
          <t>2023-06-30</t>
        </is>
      </c>
      <c r="C1281" s="45" t="n">
        <v>32.84</v>
      </c>
      <c r="D1281" t="inlineStr">
        <is>
          <t>€/MWh</t>
        </is>
      </c>
      <c r="E1281" s="54" t="n">
        <v>0.03284</v>
      </c>
      <c r="F1281" s="54" t="n"/>
      <c r="G1281" t="inlineStr">
        <is>
          <t>no aplica (precio mayorista)</t>
        </is>
      </c>
      <c r="J1281" t="inlineStr">
        <is>
          <t>2023-06-30</t>
        </is>
      </c>
      <c r="K1281" t="inlineStr">
        <is>
          <t>MIBGAS_Data_2023.xlsx</t>
        </is>
      </c>
    </row>
    <row r="1282">
      <c r="A1282" s="53" t="n">
        <v>45108</v>
      </c>
      <c r="B1282" t="inlineStr">
        <is>
          <t>2023-07-01</t>
        </is>
      </c>
      <c r="C1282" s="45" t="n">
        <v>34.49</v>
      </c>
      <c r="D1282" t="inlineStr">
        <is>
          <t>€/MWh</t>
        </is>
      </c>
      <c r="E1282" s="54" t="n">
        <v>0.03449</v>
      </c>
      <c r="F1282" s="54" t="n"/>
      <c r="G1282" t="inlineStr">
        <is>
          <t>no aplica (precio mayorista)</t>
        </is>
      </c>
      <c r="J1282" t="inlineStr">
        <is>
          <t>2023-07-01</t>
        </is>
      </c>
      <c r="K1282" t="inlineStr">
        <is>
          <t>MIBGAS_Data_2023.xlsx</t>
        </is>
      </c>
    </row>
    <row r="1283">
      <c r="A1283" s="53" t="n">
        <v>45109</v>
      </c>
      <c r="B1283" t="inlineStr">
        <is>
          <t>2023-07-02</t>
        </is>
      </c>
      <c r="C1283" s="45" t="n">
        <v>34.94</v>
      </c>
      <c r="D1283" t="inlineStr">
        <is>
          <t>€/MWh</t>
        </is>
      </c>
      <c r="E1283" s="54" t="n">
        <v>0.03494</v>
      </c>
      <c r="F1283" s="54" t="n"/>
      <c r="G1283" t="inlineStr">
        <is>
          <t>no aplica (precio mayorista)</t>
        </is>
      </c>
      <c r="J1283" t="inlineStr">
        <is>
          <t>2023-07-02</t>
        </is>
      </c>
      <c r="K1283" t="inlineStr">
        <is>
          <t>MIBGAS_Data_2023.xlsx</t>
        </is>
      </c>
    </row>
    <row r="1284">
      <c r="A1284" s="53" t="n">
        <v>45110</v>
      </c>
      <c r="B1284" t="inlineStr">
        <is>
          <t>2023-07-03</t>
        </is>
      </c>
      <c r="C1284" s="45" t="n">
        <v>36.5</v>
      </c>
      <c r="D1284" t="inlineStr">
        <is>
          <t>€/MWh</t>
        </is>
      </c>
      <c r="E1284" s="54" t="n">
        <v>0.0365</v>
      </c>
      <c r="F1284" s="54" t="n"/>
      <c r="G1284" t="inlineStr">
        <is>
          <t>no aplica (precio mayorista)</t>
        </is>
      </c>
      <c r="J1284" t="inlineStr">
        <is>
          <t>2023-07-03</t>
        </is>
      </c>
      <c r="K1284" t="inlineStr">
        <is>
          <t>MIBGAS_Data_2023.xlsx</t>
        </is>
      </c>
    </row>
    <row r="1285">
      <c r="A1285" s="53" t="n">
        <v>45111</v>
      </c>
      <c r="B1285" t="inlineStr">
        <is>
          <t>2023-07-04</t>
        </is>
      </c>
      <c r="C1285" s="45" t="n">
        <v>35.63</v>
      </c>
      <c r="D1285" t="inlineStr">
        <is>
          <t>€/MWh</t>
        </is>
      </c>
      <c r="E1285" s="54" t="n">
        <v>0.03563</v>
      </c>
      <c r="F1285" s="54" t="n"/>
      <c r="G1285" t="inlineStr">
        <is>
          <t>no aplica (precio mayorista)</t>
        </is>
      </c>
      <c r="J1285" t="inlineStr">
        <is>
          <t>2023-07-04</t>
        </is>
      </c>
      <c r="K1285" t="inlineStr">
        <is>
          <t>MIBGAS_Data_2023.xlsx</t>
        </is>
      </c>
    </row>
    <row r="1286">
      <c r="A1286" s="53" t="n">
        <v>45112</v>
      </c>
      <c r="B1286" t="inlineStr">
        <is>
          <t>2023-07-05</t>
        </is>
      </c>
      <c r="C1286" s="45" t="n">
        <v>34.66</v>
      </c>
      <c r="D1286" t="inlineStr">
        <is>
          <t>€/MWh</t>
        </is>
      </c>
      <c r="E1286" s="54" t="n">
        <v>0.03466</v>
      </c>
      <c r="F1286" s="54" t="n"/>
      <c r="G1286" t="inlineStr">
        <is>
          <t>no aplica (precio mayorista)</t>
        </is>
      </c>
      <c r="J1286" t="inlineStr">
        <is>
          <t>2023-07-05</t>
        </is>
      </c>
      <c r="K1286" t="inlineStr">
        <is>
          <t>MIBGAS_Data_2023.xlsx</t>
        </is>
      </c>
    </row>
    <row r="1287">
      <c r="A1287" s="53" t="n">
        <v>45113</v>
      </c>
      <c r="B1287" t="inlineStr">
        <is>
          <t>2023-07-06</t>
        </is>
      </c>
      <c r="C1287" s="45" t="n">
        <v>34.54</v>
      </c>
      <c r="D1287" t="inlineStr">
        <is>
          <t>€/MWh</t>
        </is>
      </c>
      <c r="E1287" s="54" t="n">
        <v>0.03454</v>
      </c>
      <c r="F1287" s="54" t="n"/>
      <c r="G1287" t="inlineStr">
        <is>
          <t>no aplica (precio mayorista)</t>
        </is>
      </c>
      <c r="J1287" t="inlineStr">
        <is>
          <t>2023-07-06</t>
        </is>
      </c>
      <c r="K1287" t="inlineStr">
        <is>
          <t>MIBGAS_Data_2023.xlsx</t>
        </is>
      </c>
    </row>
    <row r="1288">
      <c r="A1288" s="53" t="n">
        <v>45114</v>
      </c>
      <c r="B1288" t="inlineStr">
        <is>
          <t>2023-07-07</t>
        </is>
      </c>
      <c r="C1288" s="45" t="n">
        <v>32.68</v>
      </c>
      <c r="D1288" t="inlineStr">
        <is>
          <t>€/MWh</t>
        </is>
      </c>
      <c r="E1288" s="54" t="n">
        <v>0.03268</v>
      </c>
      <c r="F1288" s="54" t="n"/>
      <c r="G1288" t="inlineStr">
        <is>
          <t>no aplica (precio mayorista)</t>
        </is>
      </c>
      <c r="J1288" t="inlineStr">
        <is>
          <t>2023-07-07</t>
        </is>
      </c>
      <c r="K1288" t="inlineStr">
        <is>
          <t>MIBGAS_Data_2023.xlsx</t>
        </is>
      </c>
    </row>
    <row r="1289">
      <c r="A1289" s="53" t="n">
        <v>45115</v>
      </c>
      <c r="B1289" t="inlineStr">
        <is>
          <t>2023-07-08</t>
        </is>
      </c>
      <c r="C1289" s="45" t="n">
        <v>32.24</v>
      </c>
      <c r="D1289" t="inlineStr">
        <is>
          <t>€/MWh</t>
        </is>
      </c>
      <c r="E1289" s="54" t="n">
        <v>0.03224</v>
      </c>
      <c r="F1289" s="54" t="n"/>
      <c r="G1289" t="inlineStr">
        <is>
          <t>no aplica (precio mayorista)</t>
        </is>
      </c>
      <c r="J1289" t="inlineStr">
        <is>
          <t>2023-07-08</t>
        </is>
      </c>
      <c r="K1289" t="inlineStr">
        <is>
          <t>MIBGAS_Data_2023.xlsx</t>
        </is>
      </c>
    </row>
    <row r="1290">
      <c r="A1290" s="53" t="n">
        <v>45116</v>
      </c>
      <c r="B1290" t="inlineStr">
        <is>
          <t>2023-07-09</t>
        </is>
      </c>
      <c r="C1290" s="45" t="n">
        <v>32.44</v>
      </c>
      <c r="D1290" t="inlineStr">
        <is>
          <t>€/MWh</t>
        </is>
      </c>
      <c r="E1290" s="54" t="n">
        <v>0.03244</v>
      </c>
      <c r="F1290" s="54" t="n"/>
      <c r="G1290" t="inlineStr">
        <is>
          <t>no aplica (precio mayorista)</t>
        </is>
      </c>
      <c r="J1290" t="inlineStr">
        <is>
          <t>2023-07-09</t>
        </is>
      </c>
      <c r="K1290" t="inlineStr">
        <is>
          <t>MIBGAS_Data_2023.xlsx</t>
        </is>
      </c>
    </row>
    <row r="1291">
      <c r="A1291" s="53" t="n">
        <v>45117</v>
      </c>
      <c r="B1291" t="inlineStr">
        <is>
          <t>2023-07-10</t>
        </is>
      </c>
      <c r="C1291" s="45" t="n">
        <v>33.25</v>
      </c>
      <c r="D1291" t="inlineStr">
        <is>
          <t>€/MWh</t>
        </is>
      </c>
      <c r="E1291" s="54" t="n">
        <v>0.03325</v>
      </c>
      <c r="F1291" s="54" t="n"/>
      <c r="G1291" t="inlineStr">
        <is>
          <t>no aplica (precio mayorista)</t>
        </is>
      </c>
      <c r="J1291" t="inlineStr">
        <is>
          <t>2023-07-10</t>
        </is>
      </c>
      <c r="K1291" t="inlineStr">
        <is>
          <t>MIBGAS_Data_2023.xlsx</t>
        </is>
      </c>
    </row>
    <row r="1292">
      <c r="A1292" s="53" t="n">
        <v>45118</v>
      </c>
      <c r="B1292" t="inlineStr">
        <is>
          <t>2023-07-11</t>
        </is>
      </c>
      <c r="C1292" s="45" t="n">
        <v>31.73</v>
      </c>
      <c r="D1292" t="inlineStr">
        <is>
          <t>€/MWh</t>
        </is>
      </c>
      <c r="E1292" s="54" t="n">
        <v>0.03173</v>
      </c>
      <c r="F1292" s="54" t="n"/>
      <c r="G1292" t="inlineStr">
        <is>
          <t>no aplica (precio mayorista)</t>
        </is>
      </c>
      <c r="J1292" t="inlineStr">
        <is>
          <t>2023-07-11</t>
        </is>
      </c>
      <c r="K1292" t="inlineStr">
        <is>
          <t>MIBGAS_Data_2023.xlsx</t>
        </is>
      </c>
    </row>
    <row r="1293">
      <c r="A1293" s="53" t="n">
        <v>45119</v>
      </c>
      <c r="B1293" t="inlineStr">
        <is>
          <t>2023-07-12</t>
        </is>
      </c>
      <c r="C1293" s="45" t="n">
        <v>30.26</v>
      </c>
      <c r="D1293" t="inlineStr">
        <is>
          <t>€/MWh</t>
        </is>
      </c>
      <c r="E1293" s="54" t="n">
        <v>0.03026</v>
      </c>
      <c r="F1293" s="54" t="n"/>
      <c r="G1293" t="inlineStr">
        <is>
          <t>no aplica (precio mayorista)</t>
        </is>
      </c>
      <c r="J1293" t="inlineStr">
        <is>
          <t>2023-07-12</t>
        </is>
      </c>
      <c r="K1293" t="inlineStr">
        <is>
          <t>MIBGAS_Data_2023.xlsx</t>
        </is>
      </c>
    </row>
    <row r="1294">
      <c r="A1294" s="53" t="n">
        <v>45120</v>
      </c>
      <c r="B1294" t="inlineStr">
        <is>
          <t>2023-07-13</t>
        </is>
      </c>
      <c r="C1294" s="45" t="n">
        <v>29.5</v>
      </c>
      <c r="D1294" t="inlineStr">
        <is>
          <t>€/MWh</t>
        </is>
      </c>
      <c r="E1294" s="54" t="n">
        <v>0.0295</v>
      </c>
      <c r="F1294" s="54" t="n"/>
      <c r="G1294" t="inlineStr">
        <is>
          <t>no aplica (precio mayorista)</t>
        </is>
      </c>
      <c r="J1294" t="inlineStr">
        <is>
          <t>2023-07-13</t>
        </is>
      </c>
      <c r="K1294" t="inlineStr">
        <is>
          <t>MIBGAS_Data_2023.xlsx</t>
        </is>
      </c>
    </row>
    <row r="1295">
      <c r="A1295" s="53" t="n">
        <v>45121</v>
      </c>
      <c r="B1295" t="inlineStr">
        <is>
          <t>2023-07-14</t>
        </is>
      </c>
      <c r="C1295" s="45" t="n">
        <v>27.9</v>
      </c>
      <c r="D1295" t="inlineStr">
        <is>
          <t>€/MWh</t>
        </is>
      </c>
      <c r="E1295" s="54" t="n">
        <v>0.0279</v>
      </c>
      <c r="F1295" s="54" t="n"/>
      <c r="G1295" t="inlineStr">
        <is>
          <t>no aplica (precio mayorista)</t>
        </is>
      </c>
      <c r="J1295" t="inlineStr">
        <is>
          <t>2023-07-14</t>
        </is>
      </c>
      <c r="K1295" t="inlineStr">
        <is>
          <t>MIBGAS_Data_2023.xlsx</t>
        </is>
      </c>
    </row>
    <row r="1296">
      <c r="A1296" s="53" t="n">
        <v>45122</v>
      </c>
      <c r="B1296" t="inlineStr">
        <is>
          <t>2023-07-15</t>
        </is>
      </c>
      <c r="C1296" s="45" t="n">
        <v>26.68</v>
      </c>
      <c r="D1296" t="inlineStr">
        <is>
          <t>€/MWh</t>
        </is>
      </c>
      <c r="E1296" s="54" t="n">
        <v>0.02668</v>
      </c>
      <c r="F1296" s="54" t="n"/>
      <c r="G1296" t="inlineStr">
        <is>
          <t>no aplica (precio mayorista)</t>
        </is>
      </c>
      <c r="J1296" t="inlineStr">
        <is>
          <t>2023-07-15</t>
        </is>
      </c>
      <c r="K1296" t="inlineStr">
        <is>
          <t>MIBGAS_Data_2023.xlsx</t>
        </is>
      </c>
    </row>
    <row r="1297">
      <c r="A1297" s="53" t="n">
        <v>45123</v>
      </c>
      <c r="B1297" t="inlineStr">
        <is>
          <t>2023-07-16</t>
        </is>
      </c>
      <c r="C1297" s="45" t="n">
        <v>25.68</v>
      </c>
      <c r="D1297" t="inlineStr">
        <is>
          <t>€/MWh</t>
        </is>
      </c>
      <c r="E1297" s="54" t="n">
        <v>0.02568</v>
      </c>
      <c r="F1297" s="54" t="n"/>
      <c r="G1297" t="inlineStr">
        <is>
          <t>no aplica (precio mayorista)</t>
        </is>
      </c>
      <c r="J1297" t="inlineStr">
        <is>
          <t>2023-07-16</t>
        </is>
      </c>
      <c r="K1297" t="inlineStr">
        <is>
          <t>MIBGAS_Data_2023.xlsx</t>
        </is>
      </c>
    </row>
    <row r="1298">
      <c r="A1298" s="53" t="n">
        <v>45124</v>
      </c>
      <c r="B1298" t="inlineStr">
        <is>
          <t>2023-07-17</t>
        </is>
      </c>
      <c r="C1298" s="45" t="n">
        <v>26.56</v>
      </c>
      <c r="D1298" t="inlineStr">
        <is>
          <t>€/MWh</t>
        </is>
      </c>
      <c r="E1298" s="54" t="n">
        <v>0.02656</v>
      </c>
      <c r="F1298" s="54" t="n"/>
      <c r="G1298" t="inlineStr">
        <is>
          <t>no aplica (precio mayorista)</t>
        </is>
      </c>
      <c r="J1298" t="inlineStr">
        <is>
          <t>2023-07-17</t>
        </is>
      </c>
      <c r="K1298" t="inlineStr">
        <is>
          <t>MIBGAS_Data_2023.xlsx</t>
        </is>
      </c>
    </row>
    <row r="1299">
      <c r="A1299" s="53" t="n">
        <v>45125</v>
      </c>
      <c r="B1299" t="inlineStr">
        <is>
          <t>2023-07-18</t>
        </is>
      </c>
      <c r="C1299" s="45" t="n">
        <v>27.24</v>
      </c>
      <c r="D1299" t="inlineStr">
        <is>
          <t>€/MWh</t>
        </is>
      </c>
      <c r="E1299" s="54" t="n">
        <v>0.02724</v>
      </c>
      <c r="F1299" s="54" t="n"/>
      <c r="G1299" t="inlineStr">
        <is>
          <t>no aplica (precio mayorista)</t>
        </is>
      </c>
      <c r="J1299" t="inlineStr">
        <is>
          <t>2023-07-18</t>
        </is>
      </c>
      <c r="K1299" t="inlineStr">
        <is>
          <t>MIBGAS_Data_2023.xlsx</t>
        </is>
      </c>
    </row>
    <row r="1300">
      <c r="A1300" s="53" t="n">
        <v>45126</v>
      </c>
      <c r="B1300" t="inlineStr">
        <is>
          <t>2023-07-19</t>
        </is>
      </c>
      <c r="C1300" s="45" t="n">
        <v>29.44</v>
      </c>
      <c r="D1300" t="inlineStr">
        <is>
          <t>€/MWh</t>
        </is>
      </c>
      <c r="E1300" s="54" t="n">
        <v>0.02944</v>
      </c>
      <c r="F1300" s="54" t="n"/>
      <c r="G1300" t="inlineStr">
        <is>
          <t>no aplica (precio mayorista)</t>
        </is>
      </c>
      <c r="J1300" t="inlineStr">
        <is>
          <t>2023-07-19</t>
        </is>
      </c>
      <c r="K1300" t="inlineStr">
        <is>
          <t>MIBGAS_Data_2023.xlsx</t>
        </is>
      </c>
    </row>
    <row r="1301">
      <c r="A1301" s="53" t="n">
        <v>45127</v>
      </c>
      <c r="B1301" t="inlineStr">
        <is>
          <t>2023-07-20</t>
        </is>
      </c>
      <c r="C1301" s="45" t="n">
        <v>28.87</v>
      </c>
      <c r="D1301" t="inlineStr">
        <is>
          <t>€/MWh</t>
        </is>
      </c>
      <c r="E1301" s="54" t="n">
        <v>0.02887</v>
      </c>
      <c r="F1301" s="54" t="n"/>
      <c r="G1301" t="inlineStr">
        <is>
          <t>no aplica (precio mayorista)</t>
        </is>
      </c>
      <c r="J1301" t="inlineStr">
        <is>
          <t>2023-07-20</t>
        </is>
      </c>
      <c r="K1301" t="inlineStr">
        <is>
          <t>MIBGAS_Data_2023.xlsx</t>
        </is>
      </c>
    </row>
    <row r="1302">
      <c r="A1302" s="53" t="n">
        <v>45128</v>
      </c>
      <c r="B1302" t="inlineStr">
        <is>
          <t>2023-07-21</t>
        </is>
      </c>
      <c r="C1302" s="45" t="n">
        <v>29.24</v>
      </c>
      <c r="D1302" t="inlineStr">
        <is>
          <t>€/MWh</t>
        </is>
      </c>
      <c r="E1302" s="54" t="n">
        <v>0.02924</v>
      </c>
      <c r="F1302" s="54" t="n"/>
      <c r="G1302" t="inlineStr">
        <is>
          <t>no aplica (precio mayorista)</t>
        </is>
      </c>
      <c r="J1302" t="inlineStr">
        <is>
          <t>2023-07-21</t>
        </is>
      </c>
      <c r="K1302" t="inlineStr">
        <is>
          <t>MIBGAS_Data_2023.xlsx</t>
        </is>
      </c>
    </row>
    <row r="1303">
      <c r="A1303" s="53" t="n">
        <v>45129</v>
      </c>
      <c r="B1303" t="inlineStr">
        <is>
          <t>2023-07-22</t>
        </is>
      </c>
      <c r="C1303" s="45" t="n">
        <v>29.46</v>
      </c>
      <c r="D1303" t="inlineStr">
        <is>
          <t>€/MWh</t>
        </is>
      </c>
      <c r="E1303" s="54" t="n">
        <v>0.02946</v>
      </c>
      <c r="F1303" s="54" t="n"/>
      <c r="G1303" t="inlineStr">
        <is>
          <t>no aplica (precio mayorista)</t>
        </is>
      </c>
      <c r="J1303" t="inlineStr">
        <is>
          <t>2023-07-22</t>
        </is>
      </c>
      <c r="K1303" t="inlineStr">
        <is>
          <t>MIBGAS_Data_2023.xlsx</t>
        </is>
      </c>
    </row>
    <row r="1304">
      <c r="A1304" s="53" t="n">
        <v>45130</v>
      </c>
      <c r="B1304" t="inlineStr">
        <is>
          <t>2023-07-23</t>
        </is>
      </c>
      <c r="C1304" s="45" t="n">
        <v>28.25</v>
      </c>
      <c r="D1304" t="inlineStr">
        <is>
          <t>€/MWh</t>
        </is>
      </c>
      <c r="E1304" s="54" t="n">
        <v>0.02825</v>
      </c>
      <c r="F1304" s="54" t="n"/>
      <c r="G1304" t="inlineStr">
        <is>
          <t>no aplica (precio mayorista)</t>
        </is>
      </c>
      <c r="J1304" t="inlineStr">
        <is>
          <t>2023-07-23</t>
        </is>
      </c>
      <c r="K1304" t="inlineStr">
        <is>
          <t>MIBGAS_Data_2023.xlsx</t>
        </is>
      </c>
    </row>
    <row r="1305">
      <c r="A1305" s="53" t="n">
        <v>45131</v>
      </c>
      <c r="B1305" t="inlineStr">
        <is>
          <t>2023-07-24</t>
        </is>
      </c>
      <c r="C1305" s="45" t="n">
        <v>29.36</v>
      </c>
      <c r="D1305" t="inlineStr">
        <is>
          <t>€/MWh</t>
        </is>
      </c>
      <c r="E1305" s="54" t="n">
        <v>0.02936</v>
      </c>
      <c r="F1305" s="54" t="n"/>
      <c r="G1305" t="inlineStr">
        <is>
          <t>no aplica (precio mayorista)</t>
        </is>
      </c>
      <c r="J1305" t="inlineStr">
        <is>
          <t>2023-07-24</t>
        </is>
      </c>
      <c r="K1305" t="inlineStr">
        <is>
          <t>MIBGAS_Data_2023.xlsx</t>
        </is>
      </c>
    </row>
    <row r="1306">
      <c r="A1306" s="53" t="n">
        <v>45132</v>
      </c>
      <c r="B1306" t="inlineStr">
        <is>
          <t>2023-07-25</t>
        </is>
      </c>
      <c r="C1306" s="45" t="n">
        <v>29.99</v>
      </c>
      <c r="D1306" t="inlineStr">
        <is>
          <t>€/MWh</t>
        </is>
      </c>
      <c r="E1306" s="54" t="n">
        <v>0.02999</v>
      </c>
      <c r="F1306" s="54" t="n"/>
      <c r="G1306" t="inlineStr">
        <is>
          <t>no aplica (precio mayorista)</t>
        </is>
      </c>
      <c r="J1306" t="inlineStr">
        <is>
          <t>2023-07-25</t>
        </is>
      </c>
      <c r="K1306" t="inlineStr">
        <is>
          <t>MIBGAS_Data_2023.xlsx</t>
        </is>
      </c>
    </row>
    <row r="1307">
      <c r="A1307" s="53" t="n">
        <v>45133</v>
      </c>
      <c r="B1307" t="inlineStr">
        <is>
          <t>2023-07-26</t>
        </is>
      </c>
      <c r="C1307" s="45" t="n">
        <v>31.84</v>
      </c>
      <c r="D1307" t="inlineStr">
        <is>
          <t>€/MWh</t>
        </is>
      </c>
      <c r="E1307" s="54" t="n">
        <v>0.03184</v>
      </c>
      <c r="F1307" s="54" t="n"/>
      <c r="G1307" t="inlineStr">
        <is>
          <t>no aplica (precio mayorista)</t>
        </is>
      </c>
      <c r="J1307" t="inlineStr">
        <is>
          <t>2023-07-26</t>
        </is>
      </c>
      <c r="K1307" t="inlineStr">
        <is>
          <t>MIBGAS_Data_2023.xlsx</t>
        </is>
      </c>
    </row>
    <row r="1308">
      <c r="A1308" s="53" t="n">
        <v>45134</v>
      </c>
      <c r="B1308" t="inlineStr">
        <is>
          <t>2023-07-27</t>
        </is>
      </c>
      <c r="C1308" s="45" t="n">
        <v>29.98</v>
      </c>
      <c r="D1308" t="inlineStr">
        <is>
          <t>€/MWh</t>
        </is>
      </c>
      <c r="E1308" s="54" t="n">
        <v>0.02998</v>
      </c>
      <c r="F1308" s="54" t="n"/>
      <c r="G1308" t="inlineStr">
        <is>
          <t>no aplica (precio mayorista)</t>
        </is>
      </c>
      <c r="J1308" t="inlineStr">
        <is>
          <t>2023-07-27</t>
        </is>
      </c>
      <c r="K1308" t="inlineStr">
        <is>
          <t>MIBGAS_Data_2023.xlsx</t>
        </is>
      </c>
    </row>
    <row r="1309">
      <c r="A1309" s="53" t="n">
        <v>45135</v>
      </c>
      <c r="B1309" t="inlineStr">
        <is>
          <t>2023-07-28</t>
        </is>
      </c>
      <c r="C1309" s="45" t="n">
        <v>28.2</v>
      </c>
      <c r="D1309" t="inlineStr">
        <is>
          <t>€/MWh</t>
        </is>
      </c>
      <c r="E1309" s="54" t="n">
        <v>0.0282</v>
      </c>
      <c r="F1309" s="54" t="n"/>
      <c r="G1309" t="inlineStr">
        <is>
          <t>no aplica (precio mayorista)</t>
        </is>
      </c>
      <c r="J1309" t="inlineStr">
        <is>
          <t>2023-07-28</t>
        </is>
      </c>
      <c r="K1309" t="inlineStr">
        <is>
          <t>MIBGAS_Data_2023.xlsx</t>
        </is>
      </c>
    </row>
    <row r="1310">
      <c r="A1310" s="53" t="n">
        <v>45136</v>
      </c>
      <c r="B1310" t="inlineStr">
        <is>
          <t>2023-07-29</t>
        </is>
      </c>
      <c r="C1310" s="45" t="n">
        <v>25.43</v>
      </c>
      <c r="D1310" t="inlineStr">
        <is>
          <t>€/MWh</t>
        </is>
      </c>
      <c r="E1310" s="54" t="n">
        <v>0.02543</v>
      </c>
      <c r="F1310" s="54" t="n"/>
      <c r="G1310" t="inlineStr">
        <is>
          <t>no aplica (precio mayorista)</t>
        </is>
      </c>
      <c r="J1310" t="inlineStr">
        <is>
          <t>2023-07-29</t>
        </is>
      </c>
      <c r="K1310" t="inlineStr">
        <is>
          <t>MIBGAS_Data_2023.xlsx</t>
        </is>
      </c>
    </row>
    <row r="1311">
      <c r="A1311" s="53" t="n">
        <v>45137</v>
      </c>
      <c r="B1311" t="inlineStr">
        <is>
          <t>2023-07-30</t>
        </is>
      </c>
      <c r="C1311" s="45" t="n">
        <v>25.62</v>
      </c>
      <c r="D1311" t="inlineStr">
        <is>
          <t>€/MWh</t>
        </is>
      </c>
      <c r="E1311" s="54" t="n">
        <v>0.02562</v>
      </c>
      <c r="F1311" s="54" t="n"/>
      <c r="G1311" t="inlineStr">
        <is>
          <t>no aplica (precio mayorista)</t>
        </is>
      </c>
      <c r="J1311" t="inlineStr">
        <is>
          <t>2023-07-30</t>
        </is>
      </c>
      <c r="K1311" t="inlineStr">
        <is>
          <t>MIBGAS_Data_2023.xlsx</t>
        </is>
      </c>
    </row>
    <row r="1312">
      <c r="A1312" s="53" t="n">
        <v>45138</v>
      </c>
      <c r="B1312" t="inlineStr">
        <is>
          <t>2023-07-31</t>
        </is>
      </c>
      <c r="C1312" s="45" t="n">
        <v>25.67</v>
      </c>
      <c r="D1312" t="inlineStr">
        <is>
          <t>€/MWh</t>
        </is>
      </c>
      <c r="E1312" s="54" t="n">
        <v>0.02567</v>
      </c>
      <c r="F1312" s="54" t="n"/>
      <c r="G1312" t="inlineStr">
        <is>
          <t>no aplica (precio mayorista)</t>
        </is>
      </c>
      <c r="J1312" t="inlineStr">
        <is>
          <t>2023-07-31</t>
        </is>
      </c>
      <c r="K1312" t="inlineStr">
        <is>
          <t>MIBGAS_Data_2023.xlsx</t>
        </is>
      </c>
    </row>
    <row r="1313">
      <c r="A1313" s="53" t="n">
        <v>45139</v>
      </c>
      <c r="B1313" t="inlineStr">
        <is>
          <t>2023-08-01</t>
        </is>
      </c>
      <c r="C1313" s="45" t="n">
        <v>27.71</v>
      </c>
      <c r="D1313" t="inlineStr">
        <is>
          <t>€/MWh</t>
        </is>
      </c>
      <c r="E1313" s="54" t="n">
        <v>0.02771</v>
      </c>
      <c r="F1313" s="54" t="n"/>
      <c r="G1313" t="inlineStr">
        <is>
          <t>no aplica (precio mayorista)</t>
        </is>
      </c>
      <c r="J1313" t="inlineStr">
        <is>
          <t>2023-08-01</t>
        </is>
      </c>
      <c r="K1313" t="inlineStr">
        <is>
          <t>MIBGAS_Data_2023.xlsx</t>
        </is>
      </c>
    </row>
    <row r="1314">
      <c r="A1314" s="53" t="n">
        <v>45140</v>
      </c>
      <c r="B1314" t="inlineStr">
        <is>
          <t>2023-08-02</t>
        </is>
      </c>
      <c r="C1314" s="45" t="n">
        <v>27.37</v>
      </c>
      <c r="D1314" t="inlineStr">
        <is>
          <t>€/MWh</t>
        </is>
      </c>
      <c r="E1314" s="54" t="n">
        <v>0.02737</v>
      </c>
      <c r="F1314" s="54" t="n"/>
      <c r="G1314" t="inlineStr">
        <is>
          <t>no aplica (precio mayorista)</t>
        </is>
      </c>
      <c r="J1314" t="inlineStr">
        <is>
          <t>2023-08-02</t>
        </is>
      </c>
      <c r="K1314" t="inlineStr">
        <is>
          <t>MIBGAS_Data_2023.xlsx</t>
        </is>
      </c>
    </row>
    <row r="1315">
      <c r="A1315" s="53" t="n">
        <v>45141</v>
      </c>
      <c r="B1315" t="inlineStr">
        <is>
          <t>2023-08-03</t>
        </is>
      </c>
      <c r="C1315" s="45" t="n">
        <v>27.67</v>
      </c>
      <c r="D1315" t="inlineStr">
        <is>
          <t>€/MWh</t>
        </is>
      </c>
      <c r="E1315" s="54" t="n">
        <v>0.02767</v>
      </c>
      <c r="F1315" s="54" t="n"/>
      <c r="G1315" t="inlineStr">
        <is>
          <t>no aplica (precio mayorista)</t>
        </is>
      </c>
      <c r="J1315" t="inlineStr">
        <is>
          <t>2023-08-03</t>
        </is>
      </c>
      <c r="K1315" t="inlineStr">
        <is>
          <t>MIBGAS_Data_2023.xlsx</t>
        </is>
      </c>
    </row>
    <row r="1316">
      <c r="A1316" s="53" t="n">
        <v>45142</v>
      </c>
      <c r="B1316" t="inlineStr">
        <is>
          <t>2023-08-04</t>
        </is>
      </c>
      <c r="C1316" s="45" t="n">
        <v>29.01</v>
      </c>
      <c r="D1316" t="inlineStr">
        <is>
          <t>€/MWh</t>
        </is>
      </c>
      <c r="E1316" s="54" t="n">
        <v>0.02901</v>
      </c>
      <c r="F1316" s="54" t="n"/>
      <c r="G1316" t="inlineStr">
        <is>
          <t>no aplica (precio mayorista)</t>
        </is>
      </c>
      <c r="J1316" t="inlineStr">
        <is>
          <t>2023-08-04</t>
        </is>
      </c>
      <c r="K1316" t="inlineStr">
        <is>
          <t>MIBGAS_Data_2023.xlsx</t>
        </is>
      </c>
    </row>
    <row r="1317">
      <c r="A1317" s="53" t="n">
        <v>45143</v>
      </c>
      <c r="B1317" t="inlineStr">
        <is>
          <t>2023-08-05</t>
        </is>
      </c>
      <c r="C1317" s="45" t="n">
        <v>28.29</v>
      </c>
      <c r="D1317" t="inlineStr">
        <is>
          <t>€/MWh</t>
        </is>
      </c>
      <c r="E1317" s="54" t="n">
        <v>0.02829</v>
      </c>
      <c r="F1317" s="54" t="n"/>
      <c r="G1317" t="inlineStr">
        <is>
          <t>no aplica (precio mayorista)</t>
        </is>
      </c>
      <c r="J1317" t="inlineStr">
        <is>
          <t>2023-08-05</t>
        </is>
      </c>
      <c r="K1317" t="inlineStr">
        <is>
          <t>MIBGAS_Data_2023.xlsx</t>
        </is>
      </c>
    </row>
    <row r="1318">
      <c r="A1318" s="53" t="n">
        <v>45144</v>
      </c>
      <c r="B1318" t="inlineStr">
        <is>
          <t>2023-08-06</t>
        </is>
      </c>
      <c r="C1318" s="45" t="n">
        <v>28.26</v>
      </c>
      <c r="D1318" t="inlineStr">
        <is>
          <t>€/MWh</t>
        </is>
      </c>
      <c r="E1318" s="54" t="n">
        <v>0.02826</v>
      </c>
      <c r="F1318" s="54" t="n"/>
      <c r="G1318" t="inlineStr">
        <is>
          <t>no aplica (precio mayorista)</t>
        </is>
      </c>
      <c r="J1318" t="inlineStr">
        <is>
          <t>2023-08-06</t>
        </is>
      </c>
      <c r="K1318" t="inlineStr">
        <is>
          <t>MIBGAS_Data_2023.xlsx</t>
        </is>
      </c>
    </row>
    <row r="1319">
      <c r="A1319" s="53" t="n">
        <v>45145</v>
      </c>
      <c r="B1319" t="inlineStr">
        <is>
          <t>2023-08-07</t>
        </is>
      </c>
      <c r="C1319" s="45" t="n">
        <v>28.59</v>
      </c>
      <c r="D1319" t="inlineStr">
        <is>
          <t>€/MWh</t>
        </is>
      </c>
      <c r="E1319" s="54" t="n">
        <v>0.02859</v>
      </c>
      <c r="F1319" s="54" t="n"/>
      <c r="G1319" t="inlineStr">
        <is>
          <t>no aplica (precio mayorista)</t>
        </is>
      </c>
      <c r="J1319" t="inlineStr">
        <is>
          <t>2023-08-07</t>
        </is>
      </c>
      <c r="K1319" t="inlineStr">
        <is>
          <t>MIBGAS_Data_2023.xlsx</t>
        </is>
      </c>
    </row>
    <row r="1320">
      <c r="A1320" s="53" t="n">
        <v>45146</v>
      </c>
      <c r="B1320" t="inlineStr">
        <is>
          <t>2023-08-08</t>
        </is>
      </c>
      <c r="C1320" s="45" t="n">
        <v>29.46</v>
      </c>
      <c r="D1320" t="inlineStr">
        <is>
          <t>€/MWh</t>
        </is>
      </c>
      <c r="E1320" s="54" t="n">
        <v>0.02946</v>
      </c>
      <c r="F1320" s="54" t="n"/>
      <c r="G1320" t="inlineStr">
        <is>
          <t>no aplica (precio mayorista)</t>
        </is>
      </c>
      <c r="J1320" t="inlineStr">
        <is>
          <t>2023-08-08</t>
        </is>
      </c>
      <c r="K1320" t="inlineStr">
        <is>
          <t>MIBGAS_Data_2023.xlsx</t>
        </is>
      </c>
    </row>
    <row r="1321">
      <c r="A1321" s="53" t="n">
        <v>45147</v>
      </c>
      <c r="B1321" t="inlineStr">
        <is>
          <t>2023-08-09</t>
        </is>
      </c>
      <c r="C1321" s="45" t="n">
        <v>30.72</v>
      </c>
      <c r="D1321" t="inlineStr">
        <is>
          <t>€/MWh</t>
        </is>
      </c>
      <c r="E1321" s="54" t="n">
        <v>0.03072</v>
      </c>
      <c r="F1321" s="54" t="n"/>
      <c r="G1321" t="inlineStr">
        <is>
          <t>no aplica (precio mayorista)</t>
        </is>
      </c>
      <c r="J1321" t="inlineStr">
        <is>
          <t>2023-08-09</t>
        </is>
      </c>
      <c r="K1321" t="inlineStr">
        <is>
          <t>MIBGAS_Data_2023.xlsx</t>
        </is>
      </c>
    </row>
    <row r="1322">
      <c r="A1322" s="53" t="n">
        <v>45148</v>
      </c>
      <c r="B1322" t="inlineStr">
        <is>
          <t>2023-08-10</t>
        </is>
      </c>
      <c r="C1322" s="45" t="n">
        <v>36.47</v>
      </c>
      <c r="D1322" t="inlineStr">
        <is>
          <t>€/MWh</t>
        </is>
      </c>
      <c r="E1322" s="54" t="n">
        <v>0.03647</v>
      </c>
      <c r="F1322" s="54" t="n"/>
      <c r="G1322" t="inlineStr">
        <is>
          <t>no aplica (precio mayorista)</t>
        </is>
      </c>
      <c r="J1322" t="inlineStr">
        <is>
          <t>2023-08-10</t>
        </is>
      </c>
      <c r="K1322" t="inlineStr">
        <is>
          <t>MIBGAS_Data_2023.xlsx</t>
        </is>
      </c>
    </row>
    <row r="1323">
      <c r="A1323" s="53" t="n">
        <v>45149</v>
      </c>
      <c r="B1323" t="inlineStr">
        <is>
          <t>2023-08-11</t>
        </is>
      </c>
      <c r="C1323" s="45" t="n">
        <v>36.74</v>
      </c>
      <c r="D1323" t="inlineStr">
        <is>
          <t>€/MWh</t>
        </is>
      </c>
      <c r="E1323" s="54" t="n">
        <v>0.03674</v>
      </c>
      <c r="F1323" s="54" t="n"/>
      <c r="G1323" t="inlineStr">
        <is>
          <t>no aplica (precio mayorista)</t>
        </is>
      </c>
      <c r="J1323" t="inlineStr">
        <is>
          <t>2023-08-11</t>
        </is>
      </c>
      <c r="K1323" t="inlineStr">
        <is>
          <t>MIBGAS_Data_2023.xlsx</t>
        </is>
      </c>
    </row>
    <row r="1324">
      <c r="A1324" s="53" t="n">
        <v>45150</v>
      </c>
      <c r="B1324" t="inlineStr">
        <is>
          <t>2023-08-12</t>
        </is>
      </c>
      <c r="C1324" s="45" t="n">
        <v>34.22</v>
      </c>
      <c r="D1324" t="inlineStr">
        <is>
          <t>€/MWh</t>
        </is>
      </c>
      <c r="E1324" s="54" t="n">
        <v>0.03422</v>
      </c>
      <c r="F1324" s="54" t="n"/>
      <c r="G1324" t="inlineStr">
        <is>
          <t>no aplica (precio mayorista)</t>
        </is>
      </c>
      <c r="J1324" t="inlineStr">
        <is>
          <t>2023-08-12</t>
        </is>
      </c>
      <c r="K1324" t="inlineStr">
        <is>
          <t>MIBGAS_Data_2023.xlsx</t>
        </is>
      </c>
    </row>
    <row r="1325">
      <c r="A1325" s="53" t="n">
        <v>45151</v>
      </c>
      <c r="B1325" t="inlineStr">
        <is>
          <t>2023-08-13</t>
        </is>
      </c>
      <c r="C1325" s="45" t="n">
        <v>34.15</v>
      </c>
      <c r="D1325" t="inlineStr">
        <is>
          <t>€/MWh</t>
        </is>
      </c>
      <c r="E1325" s="54" t="n">
        <v>0.03415</v>
      </c>
      <c r="F1325" s="54" t="n"/>
      <c r="G1325" t="inlineStr">
        <is>
          <t>no aplica (precio mayorista)</t>
        </is>
      </c>
      <c r="J1325" t="inlineStr">
        <is>
          <t>2023-08-13</t>
        </is>
      </c>
      <c r="K1325" t="inlineStr">
        <is>
          <t>MIBGAS_Data_2023.xlsx</t>
        </is>
      </c>
    </row>
    <row r="1326">
      <c r="A1326" s="53" t="n">
        <v>45152</v>
      </c>
      <c r="B1326" t="inlineStr">
        <is>
          <t>2023-08-14</t>
        </is>
      </c>
      <c r="C1326" s="45" t="n">
        <v>33.85</v>
      </c>
      <c r="D1326" t="inlineStr">
        <is>
          <t>€/MWh</t>
        </is>
      </c>
      <c r="E1326" s="54" t="n">
        <v>0.03385</v>
      </c>
      <c r="F1326" s="54" t="n"/>
      <c r="G1326" t="inlineStr">
        <is>
          <t>no aplica (precio mayorista)</t>
        </is>
      </c>
      <c r="J1326" t="inlineStr">
        <is>
          <t>2023-08-14</t>
        </is>
      </c>
      <c r="K1326" t="inlineStr">
        <is>
          <t>MIBGAS_Data_2023.xlsx</t>
        </is>
      </c>
    </row>
    <row r="1327">
      <c r="A1327" s="53" t="n">
        <v>45153</v>
      </c>
      <c r="B1327" t="inlineStr">
        <is>
          <t>2023-08-15</t>
        </is>
      </c>
      <c r="C1327" s="45" t="n">
        <v>33.49</v>
      </c>
      <c r="D1327" t="inlineStr">
        <is>
          <t>€/MWh</t>
        </is>
      </c>
      <c r="E1327" s="54" t="n">
        <v>0.03349</v>
      </c>
      <c r="F1327" s="54" t="n"/>
      <c r="G1327" t="inlineStr">
        <is>
          <t>no aplica (precio mayorista)</t>
        </is>
      </c>
      <c r="J1327" t="inlineStr">
        <is>
          <t>2023-08-15</t>
        </is>
      </c>
      <c r="K1327" t="inlineStr">
        <is>
          <t>MIBGAS_Data_2023.xlsx</t>
        </is>
      </c>
    </row>
    <row r="1328">
      <c r="A1328" s="53" t="n">
        <v>45154</v>
      </c>
      <c r="B1328" t="inlineStr">
        <is>
          <t>2023-08-16</t>
        </is>
      </c>
      <c r="C1328" s="45" t="n">
        <v>35.71</v>
      </c>
      <c r="D1328" t="inlineStr">
        <is>
          <t>€/MWh</t>
        </is>
      </c>
      <c r="E1328" s="54" t="n">
        <v>0.03571</v>
      </c>
      <c r="F1328" s="54" t="n"/>
      <c r="G1328" t="inlineStr">
        <is>
          <t>no aplica (precio mayorista)</t>
        </is>
      </c>
      <c r="J1328" t="inlineStr">
        <is>
          <t>2023-08-16</t>
        </is>
      </c>
      <c r="K1328" t="inlineStr">
        <is>
          <t>MIBGAS_Data_2023.xlsx</t>
        </is>
      </c>
    </row>
    <row r="1329">
      <c r="A1329" s="53" t="n">
        <v>45155</v>
      </c>
      <c r="B1329" t="inlineStr">
        <is>
          <t>2023-08-17</t>
        </is>
      </c>
      <c r="C1329" s="45" t="n">
        <v>36.37</v>
      </c>
      <c r="D1329" t="inlineStr">
        <is>
          <t>€/MWh</t>
        </is>
      </c>
      <c r="E1329" s="54" t="n">
        <v>0.03637</v>
      </c>
      <c r="F1329" s="54" t="n"/>
      <c r="G1329" t="inlineStr">
        <is>
          <t>no aplica (precio mayorista)</t>
        </is>
      </c>
      <c r="J1329" t="inlineStr">
        <is>
          <t>2023-08-17</t>
        </is>
      </c>
      <c r="K1329" t="inlineStr">
        <is>
          <t>MIBGAS_Data_2023.xlsx</t>
        </is>
      </c>
    </row>
    <row r="1330">
      <c r="A1330" s="53" t="n">
        <v>45156</v>
      </c>
      <c r="B1330" t="inlineStr">
        <is>
          <t>2023-08-18</t>
        </is>
      </c>
      <c r="C1330" s="45" t="n">
        <v>36.2</v>
      </c>
      <c r="D1330" t="inlineStr">
        <is>
          <t>€/MWh</t>
        </is>
      </c>
      <c r="E1330" s="54" t="n">
        <v>0.0362</v>
      </c>
      <c r="F1330" s="54" t="n"/>
      <c r="G1330" t="inlineStr">
        <is>
          <t>no aplica (precio mayorista)</t>
        </is>
      </c>
      <c r="J1330" t="inlineStr">
        <is>
          <t>2023-08-18</t>
        </is>
      </c>
      <c r="K1330" t="inlineStr">
        <is>
          <t>MIBGAS_Data_2023.xlsx</t>
        </is>
      </c>
    </row>
    <row r="1331">
      <c r="A1331" s="53" t="n">
        <v>45157</v>
      </c>
      <c r="B1331" t="inlineStr">
        <is>
          <t>2023-08-19</t>
        </is>
      </c>
      <c r="C1331" s="45" t="n">
        <v>35.23</v>
      </c>
      <c r="D1331" t="inlineStr">
        <is>
          <t>€/MWh</t>
        </is>
      </c>
      <c r="E1331" s="54" t="n">
        <v>0.03523</v>
      </c>
      <c r="F1331" s="54" t="n"/>
      <c r="G1331" t="inlineStr">
        <is>
          <t>no aplica (precio mayorista)</t>
        </is>
      </c>
      <c r="J1331" t="inlineStr">
        <is>
          <t>2023-08-19</t>
        </is>
      </c>
      <c r="K1331" t="inlineStr">
        <is>
          <t>MIBGAS_Data_2023.xlsx</t>
        </is>
      </c>
    </row>
    <row r="1332">
      <c r="A1332" s="53" t="n">
        <v>45158</v>
      </c>
      <c r="B1332" t="inlineStr">
        <is>
          <t>2023-08-20</t>
        </is>
      </c>
      <c r="C1332" s="45" t="n">
        <v>35.61</v>
      </c>
      <c r="D1332" t="inlineStr">
        <is>
          <t>€/MWh</t>
        </is>
      </c>
      <c r="E1332" s="54" t="n">
        <v>0.03561</v>
      </c>
      <c r="F1332" s="54" t="n"/>
      <c r="G1332" t="inlineStr">
        <is>
          <t>no aplica (precio mayorista)</t>
        </is>
      </c>
      <c r="J1332" t="inlineStr">
        <is>
          <t>2023-08-20</t>
        </is>
      </c>
      <c r="K1332" t="inlineStr">
        <is>
          <t>MIBGAS_Data_2023.xlsx</t>
        </is>
      </c>
    </row>
    <row r="1333">
      <c r="A1333" s="53" t="n">
        <v>45159</v>
      </c>
      <c r="B1333" t="inlineStr">
        <is>
          <t>2023-08-21</t>
        </is>
      </c>
      <c r="C1333" s="45" t="n">
        <v>38.73</v>
      </c>
      <c r="D1333" t="inlineStr">
        <is>
          <t>€/MWh</t>
        </is>
      </c>
      <c r="E1333" s="54" t="n">
        <v>0.03873</v>
      </c>
      <c r="F1333" s="54" t="n"/>
      <c r="G1333" t="inlineStr">
        <is>
          <t>no aplica (precio mayorista)</t>
        </is>
      </c>
      <c r="J1333" t="inlineStr">
        <is>
          <t>2023-08-21</t>
        </is>
      </c>
      <c r="K1333" t="inlineStr">
        <is>
          <t>MIBGAS_Data_2023.xlsx</t>
        </is>
      </c>
    </row>
    <row r="1334">
      <c r="A1334" s="53" t="n">
        <v>45160</v>
      </c>
      <c r="B1334" t="inlineStr">
        <is>
          <t>2023-08-22</t>
        </is>
      </c>
      <c r="C1334" s="45" t="n">
        <v>41.74</v>
      </c>
      <c r="D1334" t="inlineStr">
        <is>
          <t>€/MWh</t>
        </is>
      </c>
      <c r="E1334" s="54" t="n">
        <v>0.04174</v>
      </c>
      <c r="F1334" s="54" t="n"/>
      <c r="G1334" t="inlineStr">
        <is>
          <t>no aplica (precio mayorista)</t>
        </is>
      </c>
      <c r="J1334" t="inlineStr">
        <is>
          <t>2023-08-22</t>
        </is>
      </c>
      <c r="K1334" t="inlineStr">
        <is>
          <t>MIBGAS_Data_2023.xlsx</t>
        </is>
      </c>
    </row>
    <row r="1335">
      <c r="A1335" s="53" t="n">
        <v>45161</v>
      </c>
      <c r="B1335" t="inlineStr">
        <is>
          <t>2023-08-23</t>
        </is>
      </c>
      <c r="C1335" s="45" t="n">
        <v>41.73</v>
      </c>
      <c r="D1335" t="inlineStr">
        <is>
          <t>€/MWh</t>
        </is>
      </c>
      <c r="E1335" s="54" t="n">
        <v>0.04173</v>
      </c>
      <c r="F1335" s="54" t="n"/>
      <c r="G1335" t="inlineStr">
        <is>
          <t>no aplica (precio mayorista)</t>
        </is>
      </c>
      <c r="J1335" t="inlineStr">
        <is>
          <t>2023-08-23</t>
        </is>
      </c>
      <c r="K1335" t="inlineStr">
        <is>
          <t>MIBGAS_Data_2023.xlsx</t>
        </is>
      </c>
    </row>
    <row r="1336">
      <c r="A1336" s="53" t="n">
        <v>45162</v>
      </c>
      <c r="B1336" t="inlineStr">
        <is>
          <t>2023-08-24</t>
        </is>
      </c>
      <c r="C1336" s="45" t="n">
        <v>38.17</v>
      </c>
      <c r="D1336" t="inlineStr">
        <is>
          <t>€/MWh</t>
        </is>
      </c>
      <c r="E1336" s="54" t="n">
        <v>0.03817</v>
      </c>
      <c r="F1336" s="54" t="n"/>
      <c r="G1336" t="inlineStr">
        <is>
          <t>no aplica (precio mayorista)</t>
        </is>
      </c>
      <c r="J1336" t="inlineStr">
        <is>
          <t>2023-08-24</t>
        </is>
      </c>
      <c r="K1336" t="inlineStr">
        <is>
          <t>MIBGAS_Data_2023.xlsx</t>
        </is>
      </c>
    </row>
    <row r="1337">
      <c r="A1337" s="53" t="n">
        <v>45163</v>
      </c>
      <c r="B1337" t="inlineStr">
        <is>
          <t>2023-08-25</t>
        </is>
      </c>
      <c r="C1337" s="45" t="n">
        <v>33.52</v>
      </c>
      <c r="D1337" t="inlineStr">
        <is>
          <t>€/MWh</t>
        </is>
      </c>
      <c r="E1337" s="54" t="n">
        <v>0.03352</v>
      </c>
      <c r="F1337" s="54" t="n"/>
      <c r="G1337" t="inlineStr">
        <is>
          <t>no aplica (precio mayorista)</t>
        </is>
      </c>
      <c r="J1337" t="inlineStr">
        <is>
          <t>2023-08-25</t>
        </is>
      </c>
      <c r="K1337" t="inlineStr">
        <is>
          <t>MIBGAS_Data_2023.xlsx</t>
        </is>
      </c>
    </row>
    <row r="1338">
      <c r="A1338" s="53" t="n">
        <v>45164</v>
      </c>
      <c r="B1338" t="inlineStr">
        <is>
          <t>2023-08-26</t>
        </is>
      </c>
      <c r="C1338" s="45" t="n">
        <v>34.86</v>
      </c>
      <c r="D1338" t="inlineStr">
        <is>
          <t>€/MWh</t>
        </is>
      </c>
      <c r="E1338" s="54" t="n">
        <v>0.03486</v>
      </c>
      <c r="F1338" s="54" t="n"/>
      <c r="G1338" t="inlineStr">
        <is>
          <t>no aplica (precio mayorista)</t>
        </is>
      </c>
      <c r="J1338" t="inlineStr">
        <is>
          <t>2023-08-26</t>
        </is>
      </c>
      <c r="K1338" t="inlineStr">
        <is>
          <t>MIBGAS_Data_2023.xlsx</t>
        </is>
      </c>
    </row>
    <row r="1339">
      <c r="A1339" s="53" t="n">
        <v>45165</v>
      </c>
      <c r="B1339" t="inlineStr">
        <is>
          <t>2023-08-27</t>
        </is>
      </c>
      <c r="C1339" s="45" t="n">
        <v>34.67</v>
      </c>
      <c r="D1339" t="inlineStr">
        <is>
          <t>€/MWh</t>
        </is>
      </c>
      <c r="E1339" s="54" t="n">
        <v>0.03467</v>
      </c>
      <c r="F1339" s="54" t="n"/>
      <c r="G1339" t="inlineStr">
        <is>
          <t>no aplica (precio mayorista)</t>
        </is>
      </c>
      <c r="J1339" t="inlineStr">
        <is>
          <t>2023-08-27</t>
        </is>
      </c>
      <c r="K1339" t="inlineStr">
        <is>
          <t>MIBGAS_Data_2023.xlsx</t>
        </is>
      </c>
    </row>
    <row r="1340">
      <c r="A1340" s="53" t="n">
        <v>45166</v>
      </c>
      <c r="B1340" t="inlineStr">
        <is>
          <t>2023-08-28</t>
        </is>
      </c>
      <c r="C1340" s="45" t="n">
        <v>35.02</v>
      </c>
      <c r="D1340" t="inlineStr">
        <is>
          <t>€/MWh</t>
        </is>
      </c>
      <c r="E1340" s="54" t="n">
        <v>0.03502</v>
      </c>
      <c r="F1340" s="54" t="n"/>
      <c r="G1340" t="inlineStr">
        <is>
          <t>no aplica (precio mayorista)</t>
        </is>
      </c>
      <c r="J1340" t="inlineStr">
        <is>
          <t>2023-08-28</t>
        </is>
      </c>
      <c r="K1340" t="inlineStr">
        <is>
          <t>MIBGAS_Data_2023.xlsx</t>
        </is>
      </c>
    </row>
    <row r="1341">
      <c r="A1341" s="53" t="n">
        <v>45167</v>
      </c>
      <c r="B1341" t="inlineStr">
        <is>
          <t>2023-08-29</t>
        </is>
      </c>
      <c r="C1341" s="45" t="n">
        <v>35.95</v>
      </c>
      <c r="D1341" t="inlineStr">
        <is>
          <t>€/MWh</t>
        </is>
      </c>
      <c r="E1341" s="54" t="n">
        <v>0.03595</v>
      </c>
      <c r="F1341" s="54" t="n"/>
      <c r="G1341" t="inlineStr">
        <is>
          <t>no aplica (precio mayorista)</t>
        </is>
      </c>
      <c r="J1341" t="inlineStr">
        <is>
          <t>2023-08-29</t>
        </is>
      </c>
      <c r="K1341" t="inlineStr">
        <is>
          <t>MIBGAS_Data_2023.xlsx</t>
        </is>
      </c>
    </row>
    <row r="1342">
      <c r="A1342" s="53" t="n">
        <v>45168</v>
      </c>
      <c r="B1342" t="inlineStr">
        <is>
          <t>2023-08-30</t>
        </is>
      </c>
      <c r="C1342" s="45" t="n">
        <v>36.42</v>
      </c>
      <c r="D1342" t="inlineStr">
        <is>
          <t>€/MWh</t>
        </is>
      </c>
      <c r="E1342" s="54" t="n">
        <v>0.03642</v>
      </c>
      <c r="F1342" s="54" t="n"/>
      <c r="G1342" t="inlineStr">
        <is>
          <t>no aplica (precio mayorista)</t>
        </is>
      </c>
      <c r="J1342" t="inlineStr">
        <is>
          <t>2023-08-30</t>
        </is>
      </c>
      <c r="K1342" t="inlineStr">
        <is>
          <t>MIBGAS_Data_2023.xlsx</t>
        </is>
      </c>
    </row>
    <row r="1343">
      <c r="A1343" s="53" t="n">
        <v>45169</v>
      </c>
      <c r="B1343" t="inlineStr">
        <is>
          <t>2023-08-31</t>
        </is>
      </c>
      <c r="C1343" s="45" t="n">
        <v>36.8</v>
      </c>
      <c r="D1343" t="inlineStr">
        <is>
          <t>€/MWh</t>
        </is>
      </c>
      <c r="E1343" s="54" t="n">
        <v>0.0368</v>
      </c>
      <c r="F1343" s="54" t="n"/>
      <c r="G1343" t="inlineStr">
        <is>
          <t>no aplica (precio mayorista)</t>
        </is>
      </c>
      <c r="J1343" t="inlineStr">
        <is>
          <t>2023-08-31</t>
        </is>
      </c>
      <c r="K1343" t="inlineStr">
        <is>
          <t>MIBGAS_Data_2023.xlsx</t>
        </is>
      </c>
    </row>
    <row r="1344">
      <c r="A1344" s="53" t="n">
        <v>45170</v>
      </c>
      <c r="B1344" t="inlineStr">
        <is>
          <t>2023-09-01</t>
        </is>
      </c>
      <c r="C1344" s="45" t="n">
        <v>35.07</v>
      </c>
      <c r="D1344" t="inlineStr">
        <is>
          <t>€/MWh</t>
        </is>
      </c>
      <c r="E1344" s="54" t="n">
        <v>0.03507</v>
      </c>
      <c r="F1344" s="54" t="n"/>
      <c r="G1344" t="inlineStr">
        <is>
          <t>no aplica (precio mayorista)</t>
        </is>
      </c>
      <c r="J1344" t="inlineStr">
        <is>
          <t>2023-09-01</t>
        </is>
      </c>
      <c r="K1344" t="inlineStr">
        <is>
          <t>MIBGAS_Data_2023.xlsx</t>
        </is>
      </c>
    </row>
    <row r="1345">
      <c r="A1345" s="53" t="n">
        <v>45171</v>
      </c>
      <c r="B1345" t="inlineStr">
        <is>
          <t>2023-09-02</t>
        </is>
      </c>
      <c r="C1345" s="45" t="n">
        <v>33.82</v>
      </c>
      <c r="D1345" t="inlineStr">
        <is>
          <t>€/MWh</t>
        </is>
      </c>
      <c r="E1345" s="54" t="n">
        <v>0.03382</v>
      </c>
      <c r="F1345" s="54" t="n"/>
      <c r="G1345" t="inlineStr">
        <is>
          <t>no aplica (precio mayorista)</t>
        </is>
      </c>
      <c r="J1345" t="inlineStr">
        <is>
          <t>2023-09-02</t>
        </is>
      </c>
      <c r="K1345" t="inlineStr">
        <is>
          <t>MIBGAS_Data_2023.xlsx</t>
        </is>
      </c>
    </row>
    <row r="1346">
      <c r="A1346" s="53" t="n">
        <v>45172</v>
      </c>
      <c r="B1346" t="inlineStr">
        <is>
          <t>2023-09-03</t>
        </is>
      </c>
      <c r="C1346" s="45" t="n">
        <v>33.28</v>
      </c>
      <c r="D1346" t="inlineStr">
        <is>
          <t>€/MWh</t>
        </is>
      </c>
      <c r="E1346" s="54" t="n">
        <v>0.03328</v>
      </c>
      <c r="F1346" s="54" t="n"/>
      <c r="G1346" t="inlineStr">
        <is>
          <t>no aplica (precio mayorista)</t>
        </is>
      </c>
      <c r="J1346" t="inlineStr">
        <is>
          <t>2023-09-03</t>
        </is>
      </c>
      <c r="K1346" t="inlineStr">
        <is>
          <t>MIBGAS_Data_2023.xlsx</t>
        </is>
      </c>
    </row>
    <row r="1347">
      <c r="A1347" s="53" t="n">
        <v>45173</v>
      </c>
      <c r="B1347" t="inlineStr">
        <is>
          <t>2023-09-04</t>
        </is>
      </c>
      <c r="C1347" s="45" t="n">
        <v>33.79</v>
      </c>
      <c r="D1347" t="inlineStr">
        <is>
          <t>€/MWh</t>
        </is>
      </c>
      <c r="E1347" s="54" t="n">
        <v>0.03379</v>
      </c>
      <c r="F1347" s="54" t="n"/>
      <c r="G1347" t="inlineStr">
        <is>
          <t>no aplica (precio mayorista)</t>
        </is>
      </c>
      <c r="J1347" t="inlineStr">
        <is>
          <t>2023-09-04</t>
        </is>
      </c>
      <c r="K1347" t="inlineStr">
        <is>
          <t>MIBGAS_Data_2023.xlsx</t>
        </is>
      </c>
    </row>
    <row r="1348">
      <c r="A1348" s="53" t="n">
        <v>45174</v>
      </c>
      <c r="B1348" t="inlineStr">
        <is>
          <t>2023-09-05</t>
        </is>
      </c>
      <c r="C1348" s="45" t="n">
        <v>34.07</v>
      </c>
      <c r="D1348" t="inlineStr">
        <is>
          <t>€/MWh</t>
        </is>
      </c>
      <c r="E1348" s="54" t="n">
        <v>0.03407</v>
      </c>
      <c r="F1348" s="54" t="n"/>
      <c r="G1348" t="inlineStr">
        <is>
          <t>no aplica (precio mayorista)</t>
        </is>
      </c>
      <c r="J1348" t="inlineStr">
        <is>
          <t>2023-09-05</t>
        </is>
      </c>
      <c r="K1348" t="inlineStr">
        <is>
          <t>MIBGAS_Data_2023.xlsx</t>
        </is>
      </c>
    </row>
    <row r="1349">
      <c r="A1349" s="53" t="n">
        <v>45175</v>
      </c>
      <c r="B1349" t="inlineStr">
        <is>
          <t>2023-09-06</t>
        </is>
      </c>
      <c r="C1349" s="45" t="n">
        <v>33.87</v>
      </c>
      <c r="D1349" t="inlineStr">
        <is>
          <t>€/MWh</t>
        </is>
      </c>
      <c r="E1349" s="54" t="n">
        <v>0.03387</v>
      </c>
      <c r="F1349" s="54" t="n"/>
      <c r="G1349" t="inlineStr">
        <is>
          <t>no aplica (precio mayorista)</t>
        </is>
      </c>
      <c r="J1349" t="inlineStr">
        <is>
          <t>2023-09-06</t>
        </is>
      </c>
      <c r="K1349" t="inlineStr">
        <is>
          <t>MIBGAS_Data_2023.xlsx</t>
        </is>
      </c>
    </row>
    <row r="1350">
      <c r="A1350" s="53" t="n">
        <v>45176</v>
      </c>
      <c r="B1350" t="inlineStr">
        <is>
          <t>2023-09-07</t>
        </is>
      </c>
      <c r="C1350" s="45" t="n">
        <v>32.56</v>
      </c>
      <c r="D1350" t="inlineStr">
        <is>
          <t>€/MWh</t>
        </is>
      </c>
      <c r="E1350" s="54" t="n">
        <v>0.03256</v>
      </c>
      <c r="F1350" s="54" t="n"/>
      <c r="G1350" t="inlineStr">
        <is>
          <t>no aplica (precio mayorista)</t>
        </is>
      </c>
      <c r="J1350" t="inlineStr">
        <is>
          <t>2023-09-07</t>
        </is>
      </c>
      <c r="K1350" t="inlineStr">
        <is>
          <t>MIBGAS_Data_2023.xlsx</t>
        </is>
      </c>
    </row>
    <row r="1351">
      <c r="A1351" s="53" t="n">
        <v>45177</v>
      </c>
      <c r="B1351" t="inlineStr">
        <is>
          <t>2023-09-08</t>
        </is>
      </c>
      <c r="C1351" s="45" t="n">
        <v>32.09</v>
      </c>
      <c r="D1351" t="inlineStr">
        <is>
          <t>€/MWh</t>
        </is>
      </c>
      <c r="E1351" s="54" t="n">
        <v>0.03209</v>
      </c>
      <c r="F1351" s="54" t="n"/>
      <c r="G1351" t="inlineStr">
        <is>
          <t>no aplica (precio mayorista)</t>
        </is>
      </c>
      <c r="J1351" t="inlineStr">
        <is>
          <t>2023-09-08</t>
        </is>
      </c>
      <c r="K1351" t="inlineStr">
        <is>
          <t>MIBGAS_Data_2023.xlsx</t>
        </is>
      </c>
    </row>
    <row r="1352">
      <c r="A1352" s="53" t="n">
        <v>45178</v>
      </c>
      <c r="B1352" t="inlineStr">
        <is>
          <t>2023-09-09</t>
        </is>
      </c>
      <c r="C1352" s="45" t="n">
        <v>34.39</v>
      </c>
      <c r="D1352" t="inlineStr">
        <is>
          <t>€/MWh</t>
        </is>
      </c>
      <c r="E1352" s="54" t="n">
        <v>0.03439</v>
      </c>
      <c r="F1352" s="54" t="n"/>
      <c r="G1352" t="inlineStr">
        <is>
          <t>no aplica (precio mayorista)</t>
        </is>
      </c>
      <c r="J1352" t="inlineStr">
        <is>
          <t>2023-09-09</t>
        </is>
      </c>
      <c r="K1352" t="inlineStr">
        <is>
          <t>MIBGAS_Data_2023.xlsx</t>
        </is>
      </c>
    </row>
    <row r="1353">
      <c r="A1353" s="53" t="n">
        <v>45179</v>
      </c>
      <c r="B1353" t="inlineStr">
        <is>
          <t>2023-09-10</t>
        </is>
      </c>
      <c r="C1353" s="45" t="n">
        <v>34.69</v>
      </c>
      <c r="D1353" t="inlineStr">
        <is>
          <t>€/MWh</t>
        </is>
      </c>
      <c r="E1353" s="54" t="n">
        <v>0.03469</v>
      </c>
      <c r="F1353" s="54" t="n"/>
      <c r="G1353" t="inlineStr">
        <is>
          <t>no aplica (precio mayorista)</t>
        </is>
      </c>
      <c r="J1353" t="inlineStr">
        <is>
          <t>2023-09-10</t>
        </is>
      </c>
      <c r="K1353" t="inlineStr">
        <is>
          <t>MIBGAS_Data_2023.xlsx</t>
        </is>
      </c>
    </row>
    <row r="1354">
      <c r="A1354" s="53" t="n">
        <v>45180</v>
      </c>
      <c r="B1354" t="inlineStr">
        <is>
          <t>2023-09-11</t>
        </is>
      </c>
      <c r="C1354" s="45" t="n">
        <v>36.65</v>
      </c>
      <c r="D1354" t="inlineStr">
        <is>
          <t>€/MWh</t>
        </is>
      </c>
      <c r="E1354" s="54" t="n">
        <v>0.03665</v>
      </c>
      <c r="F1354" s="54" t="n"/>
      <c r="G1354" t="inlineStr">
        <is>
          <t>no aplica (precio mayorista)</t>
        </is>
      </c>
      <c r="J1354" t="inlineStr">
        <is>
          <t>2023-09-11</t>
        </is>
      </c>
      <c r="K1354" t="inlineStr">
        <is>
          <t>MIBGAS_Data_2023.xlsx</t>
        </is>
      </c>
    </row>
    <row r="1355">
      <c r="A1355" s="53" t="n">
        <v>45181</v>
      </c>
      <c r="B1355" t="inlineStr">
        <is>
          <t>2023-09-12</t>
        </is>
      </c>
      <c r="C1355" s="45" t="n">
        <v>36.63</v>
      </c>
      <c r="D1355" t="inlineStr">
        <is>
          <t>€/MWh</t>
        </is>
      </c>
      <c r="E1355" s="54" t="n">
        <v>0.03663</v>
      </c>
      <c r="F1355" s="54" t="n"/>
      <c r="G1355" t="inlineStr">
        <is>
          <t>no aplica (precio mayorista)</t>
        </is>
      </c>
      <c r="J1355" t="inlineStr">
        <is>
          <t>2023-09-12</t>
        </is>
      </c>
      <c r="K1355" t="inlineStr">
        <is>
          <t>MIBGAS_Data_2023.xlsx</t>
        </is>
      </c>
    </row>
    <row r="1356">
      <c r="A1356" s="53" t="n">
        <v>45182</v>
      </c>
      <c r="B1356" t="inlineStr">
        <is>
          <t>2023-09-13</t>
        </is>
      </c>
      <c r="C1356" s="45" t="n">
        <v>35.65</v>
      </c>
      <c r="D1356" t="inlineStr">
        <is>
          <t>€/MWh</t>
        </is>
      </c>
      <c r="E1356" s="54" t="n">
        <v>0.03565</v>
      </c>
      <c r="F1356" s="54" t="n"/>
      <c r="G1356" t="inlineStr">
        <is>
          <t>no aplica (precio mayorista)</t>
        </is>
      </c>
      <c r="J1356" t="inlineStr">
        <is>
          <t>2023-09-13</t>
        </is>
      </c>
      <c r="K1356" t="inlineStr">
        <is>
          <t>MIBGAS_Data_2023.xlsx</t>
        </is>
      </c>
    </row>
    <row r="1357">
      <c r="A1357" s="53" t="n">
        <v>45183</v>
      </c>
      <c r="B1357" t="inlineStr">
        <is>
          <t>2023-09-14</t>
        </is>
      </c>
      <c r="C1357" s="45" t="n">
        <v>36.41</v>
      </c>
      <c r="D1357" t="inlineStr">
        <is>
          <t>€/MWh</t>
        </is>
      </c>
      <c r="E1357" s="54" t="n">
        <v>0.03641</v>
      </c>
      <c r="F1357" s="54" t="n"/>
      <c r="G1357" t="inlineStr">
        <is>
          <t>no aplica (precio mayorista)</t>
        </is>
      </c>
      <c r="J1357" t="inlineStr">
        <is>
          <t>2023-09-14</t>
        </is>
      </c>
      <c r="K1357" t="inlineStr">
        <is>
          <t>MIBGAS_Data_2023.xlsx</t>
        </is>
      </c>
    </row>
    <row r="1358">
      <c r="A1358" s="53" t="n">
        <v>45184</v>
      </c>
      <c r="B1358" t="inlineStr">
        <is>
          <t>2023-09-15</t>
        </is>
      </c>
      <c r="C1358" s="45" t="n">
        <v>36.03</v>
      </c>
      <c r="D1358" t="inlineStr">
        <is>
          <t>€/MWh</t>
        </is>
      </c>
      <c r="E1358" s="54" t="n">
        <v>0.03603</v>
      </c>
      <c r="F1358" s="54" t="n"/>
      <c r="G1358" t="inlineStr">
        <is>
          <t>no aplica (precio mayorista)</t>
        </is>
      </c>
      <c r="J1358" t="inlineStr">
        <is>
          <t>2023-09-15</t>
        </is>
      </c>
      <c r="K1358" t="inlineStr">
        <is>
          <t>MIBGAS_Data_2023.xlsx</t>
        </is>
      </c>
    </row>
    <row r="1359">
      <c r="A1359" s="53" t="n">
        <v>45185</v>
      </c>
      <c r="B1359" t="inlineStr">
        <is>
          <t>2023-09-16</t>
        </is>
      </c>
      <c r="C1359" s="45" t="n">
        <v>35.8</v>
      </c>
      <c r="D1359" t="inlineStr">
        <is>
          <t>€/MWh</t>
        </is>
      </c>
      <c r="E1359" s="54" t="n">
        <v>0.0358</v>
      </c>
      <c r="F1359" s="54" t="n"/>
      <c r="G1359" t="inlineStr">
        <is>
          <t>no aplica (precio mayorista)</t>
        </is>
      </c>
      <c r="J1359" t="inlineStr">
        <is>
          <t>2023-09-16</t>
        </is>
      </c>
      <c r="K1359" t="inlineStr">
        <is>
          <t>MIBGAS_Data_2023.xlsx</t>
        </is>
      </c>
    </row>
    <row r="1360">
      <c r="A1360" s="53" t="n">
        <v>45186</v>
      </c>
      <c r="B1360" t="inlineStr">
        <is>
          <t>2023-09-17</t>
        </is>
      </c>
      <c r="C1360" s="45" t="n">
        <v>35.97</v>
      </c>
      <c r="D1360" t="inlineStr">
        <is>
          <t>€/MWh</t>
        </is>
      </c>
      <c r="E1360" s="54" t="n">
        <v>0.03597</v>
      </c>
      <c r="F1360" s="54" t="n"/>
      <c r="G1360" t="inlineStr">
        <is>
          <t>no aplica (precio mayorista)</t>
        </is>
      </c>
      <c r="J1360" t="inlineStr">
        <is>
          <t>2023-09-17</t>
        </is>
      </c>
      <c r="K1360" t="inlineStr">
        <is>
          <t>MIBGAS_Data_2023.xlsx</t>
        </is>
      </c>
    </row>
    <row r="1361">
      <c r="A1361" s="53" t="n">
        <v>45187</v>
      </c>
      <c r="B1361" t="inlineStr">
        <is>
          <t>2023-09-18</t>
        </is>
      </c>
      <c r="C1361" s="45" t="n">
        <v>36.66</v>
      </c>
      <c r="D1361" t="inlineStr">
        <is>
          <t>€/MWh</t>
        </is>
      </c>
      <c r="E1361" s="54" t="n">
        <v>0.03666</v>
      </c>
      <c r="F1361" s="54" t="n"/>
      <c r="G1361" t="inlineStr">
        <is>
          <t>no aplica (precio mayorista)</t>
        </is>
      </c>
      <c r="J1361" t="inlineStr">
        <is>
          <t>2023-09-18</t>
        </is>
      </c>
      <c r="K1361" t="inlineStr">
        <is>
          <t>MIBGAS_Data_2023.xlsx</t>
        </is>
      </c>
    </row>
    <row r="1362">
      <c r="A1362" s="53" t="n">
        <v>45188</v>
      </c>
      <c r="B1362" t="inlineStr">
        <is>
          <t>2023-09-19</t>
        </is>
      </c>
      <c r="C1362" s="45" t="n">
        <v>35.5</v>
      </c>
      <c r="D1362" t="inlineStr">
        <is>
          <t>€/MWh</t>
        </is>
      </c>
      <c r="E1362" s="54" t="n">
        <v>0.0355</v>
      </c>
      <c r="F1362" s="54" t="n"/>
      <c r="G1362" t="inlineStr">
        <is>
          <t>no aplica (precio mayorista)</t>
        </is>
      </c>
      <c r="J1362" t="inlineStr">
        <is>
          <t>2023-09-19</t>
        </is>
      </c>
      <c r="K1362" t="inlineStr">
        <is>
          <t>MIBGAS_Data_2023.xlsx</t>
        </is>
      </c>
    </row>
    <row r="1363">
      <c r="A1363" s="53" t="n">
        <v>45189</v>
      </c>
      <c r="B1363" t="inlineStr">
        <is>
          <t>2023-09-20</t>
        </is>
      </c>
      <c r="C1363" s="45" t="n">
        <v>36.01</v>
      </c>
      <c r="D1363" t="inlineStr">
        <is>
          <t>€/MWh</t>
        </is>
      </c>
      <c r="E1363" s="54" t="n">
        <v>0.03601</v>
      </c>
      <c r="F1363" s="54" t="n"/>
      <c r="G1363" t="inlineStr">
        <is>
          <t>no aplica (precio mayorista)</t>
        </is>
      </c>
      <c r="J1363" t="inlineStr">
        <is>
          <t>2023-09-20</t>
        </is>
      </c>
      <c r="K1363" t="inlineStr">
        <is>
          <t>MIBGAS_Data_2023.xlsx</t>
        </is>
      </c>
    </row>
    <row r="1364">
      <c r="A1364" s="53" t="n">
        <v>45190</v>
      </c>
      <c r="B1364" t="inlineStr">
        <is>
          <t>2023-09-21</t>
        </is>
      </c>
      <c r="C1364" s="45" t="n">
        <v>37.38</v>
      </c>
      <c r="D1364" t="inlineStr">
        <is>
          <t>€/MWh</t>
        </is>
      </c>
      <c r="E1364" s="54" t="n">
        <v>0.03738</v>
      </c>
      <c r="F1364" s="54" t="n"/>
      <c r="G1364" t="inlineStr">
        <is>
          <t>no aplica (precio mayorista)</t>
        </is>
      </c>
      <c r="J1364" t="inlineStr">
        <is>
          <t>2023-09-21</t>
        </is>
      </c>
      <c r="K1364" t="inlineStr">
        <is>
          <t>MIBGAS_Data_2023.xlsx</t>
        </is>
      </c>
    </row>
    <row r="1365">
      <c r="A1365" s="53" t="n">
        <v>45191</v>
      </c>
      <c r="B1365" t="inlineStr">
        <is>
          <t>2023-09-22</t>
        </is>
      </c>
      <c r="C1365" s="45" t="n">
        <v>38.37</v>
      </c>
      <c r="D1365" t="inlineStr">
        <is>
          <t>€/MWh</t>
        </is>
      </c>
      <c r="E1365" s="54" t="n">
        <v>0.03837</v>
      </c>
      <c r="F1365" s="54" t="n"/>
      <c r="G1365" t="inlineStr">
        <is>
          <t>no aplica (precio mayorista)</t>
        </is>
      </c>
      <c r="J1365" t="inlineStr">
        <is>
          <t>2023-09-22</t>
        </is>
      </c>
      <c r="K1365" t="inlineStr">
        <is>
          <t>MIBGAS_Data_2023.xlsx</t>
        </is>
      </c>
    </row>
    <row r="1366">
      <c r="A1366" s="53" t="n">
        <v>45192</v>
      </c>
      <c r="B1366" t="inlineStr">
        <is>
          <t>2023-09-23</t>
        </is>
      </c>
      <c r="C1366" s="45" t="n">
        <v>39.92</v>
      </c>
      <c r="D1366" t="inlineStr">
        <is>
          <t>€/MWh</t>
        </is>
      </c>
      <c r="E1366" s="54" t="n">
        <v>0.03992</v>
      </c>
      <c r="F1366" s="54" t="n"/>
      <c r="G1366" t="inlineStr">
        <is>
          <t>no aplica (precio mayorista)</t>
        </is>
      </c>
      <c r="J1366" t="inlineStr">
        <is>
          <t>2023-09-23</t>
        </is>
      </c>
      <c r="K1366" t="inlineStr">
        <is>
          <t>MIBGAS_Data_2023.xlsx</t>
        </is>
      </c>
    </row>
    <row r="1367">
      <c r="A1367" s="53" t="n">
        <v>45193</v>
      </c>
      <c r="B1367" t="inlineStr">
        <is>
          <t>2023-09-24</t>
        </is>
      </c>
      <c r="C1367" s="45" t="n">
        <v>39.91</v>
      </c>
      <c r="D1367" t="inlineStr">
        <is>
          <t>€/MWh</t>
        </is>
      </c>
      <c r="E1367" s="54" t="n">
        <v>0.03991</v>
      </c>
      <c r="F1367" s="54" t="n"/>
      <c r="G1367" t="inlineStr">
        <is>
          <t>no aplica (precio mayorista)</t>
        </is>
      </c>
      <c r="J1367" t="inlineStr">
        <is>
          <t>2023-09-24</t>
        </is>
      </c>
      <c r="K1367" t="inlineStr">
        <is>
          <t>MIBGAS_Data_2023.xlsx</t>
        </is>
      </c>
    </row>
    <row r="1368">
      <c r="A1368" s="53" t="n">
        <v>45194</v>
      </c>
      <c r="B1368" t="inlineStr">
        <is>
          <t>2023-09-25</t>
        </is>
      </c>
      <c r="C1368" s="45" t="n">
        <v>41.99</v>
      </c>
      <c r="D1368" t="inlineStr">
        <is>
          <t>€/MWh</t>
        </is>
      </c>
      <c r="E1368" s="54" t="n">
        <v>0.04199</v>
      </c>
      <c r="F1368" s="54" t="n"/>
      <c r="G1368" t="inlineStr">
        <is>
          <t>no aplica (precio mayorista)</t>
        </is>
      </c>
      <c r="J1368" t="inlineStr">
        <is>
          <t>2023-09-25</t>
        </is>
      </c>
      <c r="K1368" t="inlineStr">
        <is>
          <t>MIBGAS_Data_2023.xlsx</t>
        </is>
      </c>
    </row>
    <row r="1369">
      <c r="A1369" s="53" t="n">
        <v>45195</v>
      </c>
      <c r="B1369" t="inlineStr">
        <is>
          <t>2023-09-26</t>
        </is>
      </c>
      <c r="C1369" s="45" t="n">
        <v>43.19</v>
      </c>
      <c r="D1369" t="inlineStr">
        <is>
          <t>€/MWh</t>
        </is>
      </c>
      <c r="E1369" s="54" t="n">
        <v>0.04319</v>
      </c>
      <c r="F1369" s="54" t="n"/>
      <c r="G1369" t="inlineStr">
        <is>
          <t>no aplica (precio mayorista)</t>
        </is>
      </c>
      <c r="J1369" t="inlineStr">
        <is>
          <t>2023-09-26</t>
        </is>
      </c>
      <c r="K1369" t="inlineStr">
        <is>
          <t>MIBGAS_Data_2023.xlsx</t>
        </is>
      </c>
    </row>
    <row r="1370">
      <c r="A1370" s="53" t="n">
        <v>45196</v>
      </c>
      <c r="B1370" t="inlineStr">
        <is>
          <t>2023-09-27</t>
        </is>
      </c>
      <c r="C1370" s="45" t="n">
        <v>40.77</v>
      </c>
      <c r="D1370" t="inlineStr">
        <is>
          <t>€/MWh</t>
        </is>
      </c>
      <c r="E1370" s="54" t="n">
        <v>0.04077</v>
      </c>
      <c r="F1370" s="54" t="n"/>
      <c r="G1370" t="inlineStr">
        <is>
          <t>no aplica (precio mayorista)</t>
        </is>
      </c>
      <c r="J1370" t="inlineStr">
        <is>
          <t>2023-09-27</t>
        </is>
      </c>
      <c r="K1370" t="inlineStr">
        <is>
          <t>MIBGAS_Data_2023.xlsx</t>
        </is>
      </c>
    </row>
    <row r="1371">
      <c r="A1371" s="53" t="n">
        <v>45197</v>
      </c>
      <c r="B1371" t="inlineStr">
        <is>
          <t>2023-09-28</t>
        </is>
      </c>
      <c r="C1371" s="45" t="n">
        <v>40.08</v>
      </c>
      <c r="D1371" t="inlineStr">
        <is>
          <t>€/MWh</t>
        </is>
      </c>
      <c r="E1371" s="54" t="n">
        <v>0.04008</v>
      </c>
      <c r="F1371" s="54" t="n"/>
      <c r="G1371" t="inlineStr">
        <is>
          <t>no aplica (precio mayorista)</t>
        </is>
      </c>
      <c r="J1371" t="inlineStr">
        <is>
          <t>2023-09-28</t>
        </is>
      </c>
      <c r="K1371" t="inlineStr">
        <is>
          <t>MIBGAS_Data_2023.xlsx</t>
        </is>
      </c>
    </row>
    <row r="1372">
      <c r="A1372" s="53" t="n">
        <v>45198</v>
      </c>
      <c r="B1372" t="inlineStr">
        <is>
          <t>2023-09-29</t>
        </is>
      </c>
      <c r="C1372" s="45" t="n">
        <v>40.15</v>
      </c>
      <c r="D1372" t="inlineStr">
        <is>
          <t>€/MWh</t>
        </is>
      </c>
      <c r="E1372" s="54" t="n">
        <v>0.04015</v>
      </c>
      <c r="F1372" s="54" t="n"/>
      <c r="G1372" t="inlineStr">
        <is>
          <t>no aplica (precio mayorista)</t>
        </is>
      </c>
      <c r="J1372" t="inlineStr">
        <is>
          <t>2023-09-29</t>
        </is>
      </c>
      <c r="K1372" t="inlineStr">
        <is>
          <t>MIBGAS_Data_2023.xlsx</t>
        </is>
      </c>
    </row>
    <row r="1373">
      <c r="A1373" s="53" t="n">
        <v>45199</v>
      </c>
      <c r="B1373" t="inlineStr">
        <is>
          <t>2023-09-30</t>
        </is>
      </c>
      <c r="C1373" s="45" t="n">
        <v>38.9</v>
      </c>
      <c r="D1373" t="inlineStr">
        <is>
          <t>€/MWh</t>
        </is>
      </c>
      <c r="E1373" s="54" t="n">
        <v>0.0389</v>
      </c>
      <c r="F1373" s="54" t="n"/>
      <c r="G1373" t="inlineStr">
        <is>
          <t>no aplica (precio mayorista)</t>
        </is>
      </c>
      <c r="J1373" t="inlineStr">
        <is>
          <t>2023-09-30</t>
        </is>
      </c>
      <c r="K1373" t="inlineStr">
        <is>
          <t>MIBGAS_Data_2023.xlsx</t>
        </is>
      </c>
    </row>
    <row r="1374">
      <c r="A1374" s="53" t="n">
        <v>45200</v>
      </c>
      <c r="B1374" t="inlineStr">
        <is>
          <t>2023-10-01</t>
        </is>
      </c>
      <c r="C1374" s="45" t="n">
        <v>38.94</v>
      </c>
      <c r="D1374" t="inlineStr">
        <is>
          <t>€/MWh</t>
        </is>
      </c>
      <c r="E1374" s="54" t="n">
        <v>0.03894</v>
      </c>
      <c r="F1374" s="54" t="n"/>
      <c r="G1374" t="inlineStr">
        <is>
          <t>no aplica (precio mayorista)</t>
        </is>
      </c>
      <c r="J1374" t="inlineStr">
        <is>
          <t>2023-10-01</t>
        </is>
      </c>
      <c r="K1374" t="inlineStr">
        <is>
          <t>MIBGAS_Data_2023.xlsx</t>
        </is>
      </c>
    </row>
    <row r="1375">
      <c r="A1375" s="53" t="n">
        <v>45201</v>
      </c>
      <c r="B1375" t="inlineStr">
        <is>
          <t>2023-10-02</t>
        </is>
      </c>
      <c r="C1375" s="45" t="n">
        <v>38.96</v>
      </c>
      <c r="D1375" t="inlineStr">
        <is>
          <t>€/MWh</t>
        </is>
      </c>
      <c r="E1375" s="54" t="n">
        <v>0.03896</v>
      </c>
      <c r="F1375" s="54" t="n"/>
      <c r="G1375" t="inlineStr">
        <is>
          <t>no aplica (precio mayorista)</t>
        </is>
      </c>
      <c r="J1375" t="inlineStr">
        <is>
          <t>2023-10-02</t>
        </is>
      </c>
      <c r="K1375" t="inlineStr">
        <is>
          <t>MIBGAS_Data_2023.xlsx</t>
        </is>
      </c>
    </row>
    <row r="1376">
      <c r="A1376" s="53" t="n">
        <v>45202</v>
      </c>
      <c r="B1376" t="inlineStr">
        <is>
          <t>2023-10-03</t>
        </is>
      </c>
      <c r="C1376" s="45" t="n">
        <v>36.33</v>
      </c>
      <c r="D1376" t="inlineStr">
        <is>
          <t>€/MWh</t>
        </is>
      </c>
      <c r="E1376" s="54" t="n">
        <v>0.03633</v>
      </c>
      <c r="F1376" s="54" t="n"/>
      <c r="G1376" t="inlineStr">
        <is>
          <t>no aplica (precio mayorista)</t>
        </is>
      </c>
      <c r="J1376" t="inlineStr">
        <is>
          <t>2023-10-03</t>
        </is>
      </c>
      <c r="K1376" t="inlineStr">
        <is>
          <t>MIBGAS_Data_2023.xlsx</t>
        </is>
      </c>
    </row>
    <row r="1377">
      <c r="A1377" s="53" t="n">
        <v>45203</v>
      </c>
      <c r="B1377" t="inlineStr">
        <is>
          <t>2023-10-04</t>
        </is>
      </c>
      <c r="C1377" s="45" t="n">
        <v>34.07</v>
      </c>
      <c r="D1377" t="inlineStr">
        <is>
          <t>€/MWh</t>
        </is>
      </c>
      <c r="E1377" s="54" t="n">
        <v>0.03407</v>
      </c>
      <c r="F1377" s="54" t="n"/>
      <c r="G1377" t="inlineStr">
        <is>
          <t>no aplica (precio mayorista)</t>
        </is>
      </c>
      <c r="J1377" t="inlineStr">
        <is>
          <t>2023-10-04</t>
        </is>
      </c>
      <c r="K1377" t="inlineStr">
        <is>
          <t>MIBGAS_Data_2023.xlsx</t>
        </is>
      </c>
    </row>
    <row r="1378">
      <c r="A1378" s="53" t="n">
        <v>45204</v>
      </c>
      <c r="B1378" t="inlineStr">
        <is>
          <t>2023-10-05</t>
        </is>
      </c>
      <c r="C1378" s="45" t="n">
        <v>34.62</v>
      </c>
      <c r="D1378" t="inlineStr">
        <is>
          <t>€/MWh</t>
        </is>
      </c>
      <c r="E1378" s="54" t="n">
        <v>0.03462</v>
      </c>
      <c r="F1378" s="54" t="n"/>
      <c r="G1378" t="inlineStr">
        <is>
          <t>no aplica (precio mayorista)</t>
        </is>
      </c>
      <c r="J1378" t="inlineStr">
        <is>
          <t>2023-10-05</t>
        </is>
      </c>
      <c r="K1378" t="inlineStr">
        <is>
          <t>MIBGAS_Data_2023.xlsx</t>
        </is>
      </c>
    </row>
    <row r="1379">
      <c r="A1379" s="53" t="n">
        <v>45205</v>
      </c>
      <c r="B1379" t="inlineStr">
        <is>
          <t>2023-10-06</t>
        </is>
      </c>
      <c r="C1379" s="45" t="n">
        <v>34.18</v>
      </c>
      <c r="D1379" t="inlineStr">
        <is>
          <t>€/MWh</t>
        </is>
      </c>
      <c r="E1379" s="54" t="n">
        <v>0.03418</v>
      </c>
      <c r="F1379" s="54" t="n"/>
      <c r="G1379" t="inlineStr">
        <is>
          <t>no aplica (precio mayorista)</t>
        </is>
      </c>
      <c r="J1379" t="inlineStr">
        <is>
          <t>2023-10-06</t>
        </is>
      </c>
      <c r="K1379" t="inlineStr">
        <is>
          <t>MIBGAS_Data_2023.xlsx</t>
        </is>
      </c>
    </row>
    <row r="1380">
      <c r="A1380" s="53" t="n">
        <v>45206</v>
      </c>
      <c r="B1380" t="inlineStr">
        <is>
          <t>2023-10-07</t>
        </is>
      </c>
      <c r="C1380" s="45" t="n">
        <v>34.65</v>
      </c>
      <c r="D1380" t="inlineStr">
        <is>
          <t>€/MWh</t>
        </is>
      </c>
      <c r="E1380" s="54" t="n">
        <v>0.03465</v>
      </c>
      <c r="F1380" s="54" t="n"/>
      <c r="G1380" t="inlineStr">
        <is>
          <t>no aplica (precio mayorista)</t>
        </is>
      </c>
      <c r="J1380" t="inlineStr">
        <is>
          <t>2023-10-07</t>
        </is>
      </c>
      <c r="K1380" t="inlineStr">
        <is>
          <t>MIBGAS_Data_2023.xlsx</t>
        </is>
      </c>
    </row>
    <row r="1381">
      <c r="A1381" s="53" t="n">
        <v>45207</v>
      </c>
      <c r="B1381" t="inlineStr">
        <is>
          <t>2023-10-08</t>
        </is>
      </c>
      <c r="C1381" s="45" t="n">
        <v>34.97</v>
      </c>
      <c r="D1381" t="inlineStr">
        <is>
          <t>€/MWh</t>
        </is>
      </c>
      <c r="E1381" s="54" t="n">
        <v>0.03497</v>
      </c>
      <c r="F1381" s="54" t="n"/>
      <c r="G1381" t="inlineStr">
        <is>
          <t>no aplica (precio mayorista)</t>
        </is>
      </c>
      <c r="J1381" t="inlineStr">
        <is>
          <t>2023-10-08</t>
        </is>
      </c>
      <c r="K1381" t="inlineStr">
        <is>
          <t>MIBGAS_Data_2023.xlsx</t>
        </is>
      </c>
    </row>
    <row r="1382">
      <c r="A1382" s="53" t="n">
        <v>45208</v>
      </c>
      <c r="B1382" t="inlineStr">
        <is>
          <t>2023-10-09</t>
        </is>
      </c>
      <c r="C1382" s="45" t="n">
        <v>38.56</v>
      </c>
      <c r="D1382" t="inlineStr">
        <is>
          <t>€/MWh</t>
        </is>
      </c>
      <c r="E1382" s="54" t="n">
        <v>0.03856</v>
      </c>
      <c r="F1382" s="54" t="n"/>
      <c r="G1382" t="inlineStr">
        <is>
          <t>no aplica (precio mayorista)</t>
        </is>
      </c>
      <c r="J1382" t="inlineStr">
        <is>
          <t>2023-10-09</t>
        </is>
      </c>
      <c r="K1382" t="inlineStr">
        <is>
          <t>MIBGAS_Data_2023.xlsx</t>
        </is>
      </c>
    </row>
    <row r="1383">
      <c r="A1383" s="53" t="n">
        <v>45209</v>
      </c>
      <c r="B1383" t="inlineStr">
        <is>
          <t>2023-10-10</t>
        </is>
      </c>
      <c r="C1383" s="45" t="n">
        <v>41.61</v>
      </c>
      <c r="D1383" t="inlineStr">
        <is>
          <t>€/MWh</t>
        </is>
      </c>
      <c r="E1383" s="54" t="n">
        <v>0.04161</v>
      </c>
      <c r="F1383" s="54" t="n"/>
      <c r="G1383" t="inlineStr">
        <is>
          <t>no aplica (precio mayorista)</t>
        </is>
      </c>
      <c r="J1383" t="inlineStr">
        <is>
          <t>2023-10-10</t>
        </is>
      </c>
      <c r="K1383" t="inlineStr">
        <is>
          <t>MIBGAS_Data_2023.xlsx</t>
        </is>
      </c>
    </row>
    <row r="1384">
      <c r="A1384" s="53" t="n">
        <v>45210</v>
      </c>
      <c r="B1384" t="inlineStr">
        <is>
          <t>2023-10-11</t>
        </is>
      </c>
      <c r="C1384" s="45" t="n">
        <v>45.43</v>
      </c>
      <c r="D1384" t="inlineStr">
        <is>
          <t>€/MWh</t>
        </is>
      </c>
      <c r="E1384" s="54" t="n">
        <v>0.04543</v>
      </c>
      <c r="F1384" s="54" t="n"/>
      <c r="G1384" t="inlineStr">
        <is>
          <t>no aplica (precio mayorista)</t>
        </is>
      </c>
      <c r="J1384" t="inlineStr">
        <is>
          <t>2023-10-11</t>
        </is>
      </c>
      <c r="K1384" t="inlineStr">
        <is>
          <t>MIBGAS_Data_2023.xlsx</t>
        </is>
      </c>
    </row>
    <row r="1385">
      <c r="A1385" s="53" t="n">
        <v>45211</v>
      </c>
      <c r="B1385" t="inlineStr">
        <is>
          <t>2023-10-12</t>
        </is>
      </c>
      <c r="C1385" s="45" t="n">
        <v>45.74</v>
      </c>
      <c r="D1385" t="inlineStr">
        <is>
          <t>€/MWh</t>
        </is>
      </c>
      <c r="E1385" s="54" t="n">
        <v>0.04574</v>
      </c>
      <c r="F1385" s="54" t="n"/>
      <c r="G1385" t="inlineStr">
        <is>
          <t>no aplica (precio mayorista)</t>
        </is>
      </c>
      <c r="J1385" t="inlineStr">
        <is>
          <t>2023-10-12</t>
        </is>
      </c>
      <c r="K1385" t="inlineStr">
        <is>
          <t>MIBGAS_Data_2023.xlsx</t>
        </is>
      </c>
    </row>
    <row r="1386">
      <c r="A1386" s="53" t="n">
        <v>45212</v>
      </c>
      <c r="B1386" t="inlineStr">
        <is>
          <t>2023-10-13</t>
        </is>
      </c>
      <c r="C1386" s="45" t="n">
        <v>48.35</v>
      </c>
      <c r="D1386" t="inlineStr">
        <is>
          <t>€/MWh</t>
        </is>
      </c>
      <c r="E1386" s="54" t="n">
        <v>0.04835</v>
      </c>
      <c r="F1386" s="54" t="n"/>
      <c r="G1386" t="inlineStr">
        <is>
          <t>no aplica (precio mayorista)</t>
        </is>
      </c>
      <c r="J1386" t="inlineStr">
        <is>
          <t>2023-10-13</t>
        </is>
      </c>
      <c r="K1386" t="inlineStr">
        <is>
          <t>MIBGAS_Data_2023.xlsx</t>
        </is>
      </c>
    </row>
    <row r="1387">
      <c r="A1387" s="53" t="n">
        <v>45213</v>
      </c>
      <c r="B1387" t="inlineStr">
        <is>
          <t>2023-10-14</t>
        </is>
      </c>
      <c r="C1387" s="45" t="n">
        <v>49.99</v>
      </c>
      <c r="D1387" t="inlineStr">
        <is>
          <t>€/MWh</t>
        </is>
      </c>
      <c r="E1387" s="54" t="n">
        <v>0.04999</v>
      </c>
      <c r="F1387" s="54" t="n"/>
      <c r="G1387" t="inlineStr">
        <is>
          <t>no aplica (precio mayorista)</t>
        </is>
      </c>
      <c r="J1387" t="inlineStr">
        <is>
          <t>2023-10-14</t>
        </is>
      </c>
      <c r="K1387" t="inlineStr">
        <is>
          <t>MIBGAS_Data_2023.xlsx</t>
        </is>
      </c>
    </row>
    <row r="1388">
      <c r="A1388" s="53" t="n">
        <v>45214</v>
      </c>
      <c r="B1388" t="inlineStr">
        <is>
          <t>2023-10-15</t>
        </is>
      </c>
      <c r="C1388" s="45" t="n">
        <v>50.2</v>
      </c>
      <c r="D1388" t="inlineStr">
        <is>
          <t>€/MWh</t>
        </is>
      </c>
      <c r="E1388" s="54" t="n">
        <v>0.0502</v>
      </c>
      <c r="F1388" s="54" t="n"/>
      <c r="G1388" t="inlineStr">
        <is>
          <t>no aplica (precio mayorista)</t>
        </is>
      </c>
      <c r="J1388" t="inlineStr">
        <is>
          <t>2023-10-15</t>
        </is>
      </c>
      <c r="K1388" t="inlineStr">
        <is>
          <t>MIBGAS_Data_2023.xlsx</t>
        </is>
      </c>
    </row>
    <row r="1389">
      <c r="A1389" s="53" t="n">
        <v>45215</v>
      </c>
      <c r="B1389" t="inlineStr">
        <is>
          <t>2023-10-16</t>
        </is>
      </c>
      <c r="C1389" s="45" t="n">
        <v>51.16</v>
      </c>
      <c r="D1389" t="inlineStr">
        <is>
          <t>€/MWh</t>
        </is>
      </c>
      <c r="E1389" s="54" t="n">
        <v>0.05116</v>
      </c>
      <c r="F1389" s="54" t="n"/>
      <c r="G1389" t="inlineStr">
        <is>
          <t>no aplica (precio mayorista)</t>
        </is>
      </c>
      <c r="J1389" t="inlineStr">
        <is>
          <t>2023-10-16</t>
        </is>
      </c>
      <c r="K1389" t="inlineStr">
        <is>
          <t>MIBGAS_Data_2023.xlsx</t>
        </is>
      </c>
    </row>
    <row r="1390">
      <c r="A1390" s="53" t="n">
        <v>45216</v>
      </c>
      <c r="B1390" t="inlineStr">
        <is>
          <t>2023-10-17</t>
        </is>
      </c>
      <c r="C1390" s="45" t="n">
        <v>46.04</v>
      </c>
      <c r="D1390" t="inlineStr">
        <is>
          <t>€/MWh</t>
        </is>
      </c>
      <c r="E1390" s="54" t="n">
        <v>0.04604</v>
      </c>
      <c r="F1390" s="54" t="n"/>
      <c r="G1390" t="inlineStr">
        <is>
          <t>no aplica (precio mayorista)</t>
        </is>
      </c>
      <c r="J1390" t="inlineStr">
        <is>
          <t>2023-10-17</t>
        </is>
      </c>
      <c r="K1390" t="inlineStr">
        <is>
          <t>MIBGAS_Data_2023.xlsx</t>
        </is>
      </c>
    </row>
    <row r="1391">
      <c r="A1391" s="53" t="n">
        <v>45217</v>
      </c>
      <c r="B1391" t="inlineStr">
        <is>
          <t>2023-10-18</t>
        </is>
      </c>
      <c r="C1391" s="45" t="n">
        <v>42.78</v>
      </c>
      <c r="D1391" t="inlineStr">
        <is>
          <t>€/MWh</t>
        </is>
      </c>
      <c r="E1391" s="54" t="n">
        <v>0.04278</v>
      </c>
      <c r="F1391" s="54" t="n"/>
      <c r="G1391" t="inlineStr">
        <is>
          <t>no aplica (precio mayorista)</t>
        </is>
      </c>
      <c r="J1391" t="inlineStr">
        <is>
          <t>2023-10-18</t>
        </is>
      </c>
      <c r="K1391" t="inlineStr">
        <is>
          <t>MIBGAS_Data_2023.xlsx</t>
        </is>
      </c>
    </row>
    <row r="1392">
      <c r="A1392" s="53" t="n">
        <v>45218</v>
      </c>
      <c r="B1392" t="inlineStr">
        <is>
          <t>2023-10-19</t>
        </is>
      </c>
      <c r="C1392" s="45" t="n">
        <v>42.6</v>
      </c>
      <c r="D1392" t="inlineStr">
        <is>
          <t>€/MWh</t>
        </is>
      </c>
      <c r="E1392" s="54" t="n">
        <v>0.0426</v>
      </c>
      <c r="F1392" s="54" t="n"/>
      <c r="G1392" t="inlineStr">
        <is>
          <t>no aplica (precio mayorista)</t>
        </is>
      </c>
      <c r="J1392" t="inlineStr">
        <is>
          <t>2023-10-19</t>
        </is>
      </c>
      <c r="K1392" t="inlineStr">
        <is>
          <t>MIBGAS_Data_2023.xlsx</t>
        </is>
      </c>
    </row>
    <row r="1393">
      <c r="A1393" s="53" t="n">
        <v>45219</v>
      </c>
      <c r="B1393" t="inlineStr">
        <is>
          <t>2023-10-20</t>
        </is>
      </c>
      <c r="C1393" s="45" t="n">
        <v>41.69</v>
      </c>
      <c r="D1393" t="inlineStr">
        <is>
          <t>€/MWh</t>
        </is>
      </c>
      <c r="E1393" s="54" t="n">
        <v>0.04169</v>
      </c>
      <c r="F1393" s="54" t="n"/>
      <c r="G1393" t="inlineStr">
        <is>
          <t>no aplica (precio mayorista)</t>
        </is>
      </c>
      <c r="J1393" t="inlineStr">
        <is>
          <t>2023-10-20</t>
        </is>
      </c>
      <c r="K1393" t="inlineStr">
        <is>
          <t>MIBGAS_Data_2023.xlsx</t>
        </is>
      </c>
    </row>
    <row r="1394">
      <c r="A1394" s="53" t="n">
        <v>45220</v>
      </c>
      <c r="B1394" t="inlineStr">
        <is>
          <t>2023-10-21</t>
        </is>
      </c>
      <c r="C1394" s="45" t="n">
        <v>43.24</v>
      </c>
      <c r="D1394" t="inlineStr">
        <is>
          <t>€/MWh</t>
        </is>
      </c>
      <c r="E1394" s="54" t="n">
        <v>0.04324</v>
      </c>
      <c r="F1394" s="54" t="n"/>
      <c r="G1394" t="inlineStr">
        <is>
          <t>no aplica (precio mayorista)</t>
        </is>
      </c>
      <c r="J1394" t="inlineStr">
        <is>
          <t>2023-10-21</t>
        </is>
      </c>
      <c r="K1394" t="inlineStr">
        <is>
          <t>MIBGAS_Data_2023.xlsx</t>
        </is>
      </c>
    </row>
    <row r="1395">
      <c r="A1395" s="53" t="n">
        <v>45221</v>
      </c>
      <c r="B1395" t="inlineStr">
        <is>
          <t>2023-10-22</t>
        </is>
      </c>
      <c r="C1395" s="45" t="n">
        <v>43.6</v>
      </c>
      <c r="D1395" t="inlineStr">
        <is>
          <t>€/MWh</t>
        </is>
      </c>
      <c r="E1395" s="54" t="n">
        <v>0.0436</v>
      </c>
      <c r="F1395" s="54" t="n"/>
      <c r="G1395" t="inlineStr">
        <is>
          <t>no aplica (precio mayorista)</t>
        </is>
      </c>
      <c r="J1395" t="inlineStr">
        <is>
          <t>2023-10-22</t>
        </is>
      </c>
      <c r="K1395" t="inlineStr">
        <is>
          <t>MIBGAS_Data_2023.xlsx</t>
        </is>
      </c>
    </row>
    <row r="1396">
      <c r="A1396" s="53" t="n">
        <v>45222</v>
      </c>
      <c r="B1396" t="inlineStr">
        <is>
          <t>2023-10-23</t>
        </is>
      </c>
      <c r="C1396" s="45" t="n">
        <v>44.97</v>
      </c>
      <c r="D1396" t="inlineStr">
        <is>
          <t>€/MWh</t>
        </is>
      </c>
      <c r="E1396" s="54" t="n">
        <v>0.04497</v>
      </c>
      <c r="F1396" s="54" t="n"/>
      <c r="G1396" t="inlineStr">
        <is>
          <t>no aplica (precio mayorista)</t>
        </is>
      </c>
      <c r="J1396" t="inlineStr">
        <is>
          <t>2023-10-23</t>
        </is>
      </c>
      <c r="K1396" t="inlineStr">
        <is>
          <t>MIBGAS_Data_2023.xlsx</t>
        </is>
      </c>
    </row>
    <row r="1397">
      <c r="A1397" s="53" t="n">
        <v>45223</v>
      </c>
      <c r="B1397" t="inlineStr">
        <is>
          <t>2023-10-24</t>
        </is>
      </c>
      <c r="C1397" s="45" t="n">
        <v>46</v>
      </c>
      <c r="D1397" t="inlineStr">
        <is>
          <t>€/MWh</t>
        </is>
      </c>
      <c r="E1397" s="54" t="n">
        <v>0.046</v>
      </c>
      <c r="F1397" s="54" t="n"/>
      <c r="G1397" t="inlineStr">
        <is>
          <t>no aplica (precio mayorista)</t>
        </is>
      </c>
      <c r="J1397" t="inlineStr">
        <is>
          <t>2023-10-24</t>
        </is>
      </c>
      <c r="K1397" t="inlineStr">
        <is>
          <t>MIBGAS_Data_2023.xlsx</t>
        </is>
      </c>
    </row>
    <row r="1398">
      <c r="A1398" s="53" t="n">
        <v>45224</v>
      </c>
      <c r="B1398" t="inlineStr">
        <is>
          <t>2023-10-25</t>
        </is>
      </c>
      <c r="C1398" s="45" t="n">
        <v>46.13</v>
      </c>
      <c r="D1398" t="inlineStr">
        <is>
          <t>€/MWh</t>
        </is>
      </c>
      <c r="E1398" s="54" t="n">
        <v>0.04613</v>
      </c>
      <c r="F1398" s="54" t="n"/>
      <c r="G1398" t="inlineStr">
        <is>
          <t>no aplica (precio mayorista)</t>
        </is>
      </c>
      <c r="J1398" t="inlineStr">
        <is>
          <t>2023-10-25</t>
        </is>
      </c>
      <c r="K1398" t="inlineStr">
        <is>
          <t>MIBGAS_Data_2023.xlsx</t>
        </is>
      </c>
    </row>
    <row r="1399">
      <c r="A1399" s="53" t="n">
        <v>45225</v>
      </c>
      <c r="B1399" t="inlineStr">
        <is>
          <t>2023-10-26</t>
        </is>
      </c>
      <c r="C1399" s="45" t="n">
        <v>46.16</v>
      </c>
      <c r="D1399" t="inlineStr">
        <is>
          <t>€/MWh</t>
        </is>
      </c>
      <c r="E1399" s="54" t="n">
        <v>0.04616</v>
      </c>
      <c r="F1399" s="54" t="n"/>
      <c r="G1399" t="inlineStr">
        <is>
          <t>no aplica (precio mayorista)</t>
        </is>
      </c>
      <c r="J1399" t="inlineStr">
        <is>
          <t>2023-10-26</t>
        </is>
      </c>
      <c r="K1399" t="inlineStr">
        <is>
          <t>MIBGAS_Data_2023.xlsx</t>
        </is>
      </c>
    </row>
    <row r="1400">
      <c r="A1400" s="53" t="n">
        <v>45226</v>
      </c>
      <c r="B1400" t="inlineStr">
        <is>
          <t>2023-10-27</t>
        </is>
      </c>
      <c r="C1400" s="45" t="n">
        <v>45.16</v>
      </c>
      <c r="D1400" t="inlineStr">
        <is>
          <t>€/MWh</t>
        </is>
      </c>
      <c r="E1400" s="54" t="n">
        <v>0.04516</v>
      </c>
      <c r="F1400" s="54" t="n"/>
      <c r="G1400" t="inlineStr">
        <is>
          <t>no aplica (precio mayorista)</t>
        </is>
      </c>
      <c r="J1400" t="inlineStr">
        <is>
          <t>2023-10-27</t>
        </is>
      </c>
      <c r="K1400" t="inlineStr">
        <is>
          <t>MIBGAS_Data_2023.xlsx</t>
        </is>
      </c>
    </row>
    <row r="1401">
      <c r="A1401" s="53" t="n">
        <v>45227</v>
      </c>
      <c r="B1401" t="inlineStr">
        <is>
          <t>2023-10-28</t>
        </is>
      </c>
      <c r="C1401" s="45" t="n">
        <v>44.56</v>
      </c>
      <c r="D1401" t="inlineStr">
        <is>
          <t>€/MWh</t>
        </is>
      </c>
      <c r="E1401" s="54" t="n">
        <v>0.04456</v>
      </c>
      <c r="F1401" s="54" t="n"/>
      <c r="G1401" t="inlineStr">
        <is>
          <t>no aplica (precio mayorista)</t>
        </is>
      </c>
      <c r="J1401" t="inlineStr">
        <is>
          <t>2023-10-28</t>
        </is>
      </c>
      <c r="K1401" t="inlineStr">
        <is>
          <t>MIBGAS_Data_2023.xlsx</t>
        </is>
      </c>
    </row>
    <row r="1402">
      <c r="A1402" s="53" t="n">
        <v>45228</v>
      </c>
      <c r="B1402" t="inlineStr">
        <is>
          <t>2023-10-29</t>
        </is>
      </c>
      <c r="C1402" s="45" t="n">
        <v>44.71</v>
      </c>
      <c r="D1402" t="inlineStr">
        <is>
          <t>€/MWh</t>
        </is>
      </c>
      <c r="E1402" s="54" t="n">
        <v>0.04471</v>
      </c>
      <c r="F1402" s="54" t="n"/>
      <c r="G1402" t="inlineStr">
        <is>
          <t>no aplica (precio mayorista)</t>
        </is>
      </c>
      <c r="J1402" t="inlineStr">
        <is>
          <t>2023-10-29</t>
        </is>
      </c>
      <c r="K1402" t="inlineStr">
        <is>
          <t>MIBGAS_Data_2023.xlsx</t>
        </is>
      </c>
    </row>
    <row r="1403">
      <c r="A1403" s="53" t="n">
        <v>45229</v>
      </c>
      <c r="B1403" t="inlineStr">
        <is>
          <t>2023-10-30</t>
        </is>
      </c>
      <c r="C1403" s="45" t="n">
        <v>45.69</v>
      </c>
      <c r="D1403" t="inlineStr">
        <is>
          <t>€/MWh</t>
        </is>
      </c>
      <c r="E1403" s="54" t="n">
        <v>0.04569</v>
      </c>
      <c r="F1403" s="54" t="n"/>
      <c r="G1403" t="inlineStr">
        <is>
          <t>no aplica (precio mayorista)</t>
        </is>
      </c>
      <c r="J1403" t="inlineStr">
        <is>
          <t>2023-10-30</t>
        </is>
      </c>
      <c r="K1403" t="inlineStr">
        <is>
          <t>MIBGAS_Data_2023.xlsx</t>
        </is>
      </c>
    </row>
    <row r="1404">
      <c r="A1404" s="53" t="n">
        <v>45230</v>
      </c>
      <c r="B1404" t="inlineStr">
        <is>
          <t>2023-10-31</t>
        </is>
      </c>
      <c r="C1404" s="45" t="n">
        <v>45.36</v>
      </c>
      <c r="D1404" t="inlineStr">
        <is>
          <t>€/MWh</t>
        </is>
      </c>
      <c r="E1404" s="54" t="n">
        <v>0.04536</v>
      </c>
      <c r="F1404" s="54" t="n"/>
      <c r="G1404" t="inlineStr">
        <is>
          <t>no aplica (precio mayorista)</t>
        </is>
      </c>
      <c r="J1404" t="inlineStr">
        <is>
          <t>2023-10-31</t>
        </is>
      </c>
      <c r="K1404" t="inlineStr">
        <is>
          <t>MIBGAS_Data_2023.xlsx</t>
        </is>
      </c>
    </row>
    <row r="1405">
      <c r="A1405" s="53" t="n">
        <v>45231</v>
      </c>
      <c r="B1405" t="inlineStr">
        <is>
          <t>2023-11-01</t>
        </is>
      </c>
      <c r="C1405" s="45" t="n">
        <v>39.08</v>
      </c>
      <c r="D1405" t="inlineStr">
        <is>
          <t>€/MWh</t>
        </is>
      </c>
      <c r="E1405" s="54" t="n">
        <v>0.03908</v>
      </c>
      <c r="F1405" s="54" t="n"/>
      <c r="G1405" t="inlineStr">
        <is>
          <t>no aplica (precio mayorista)</t>
        </is>
      </c>
      <c r="J1405" t="inlineStr">
        <is>
          <t>2023-11-01</t>
        </is>
      </c>
      <c r="K1405" t="inlineStr">
        <is>
          <t>MIBGAS_Data_2023.xlsx</t>
        </is>
      </c>
    </row>
    <row r="1406">
      <c r="A1406" s="53" t="n">
        <v>45232</v>
      </c>
      <c r="B1406" t="inlineStr">
        <is>
          <t>2023-11-02</t>
        </is>
      </c>
      <c r="C1406" s="45" t="n">
        <v>34.9</v>
      </c>
      <c r="D1406" t="inlineStr">
        <is>
          <t>€/MWh</t>
        </is>
      </c>
      <c r="E1406" s="54" t="n">
        <v>0.0349</v>
      </c>
      <c r="F1406" s="54" t="n"/>
      <c r="G1406" t="inlineStr">
        <is>
          <t>no aplica (precio mayorista)</t>
        </is>
      </c>
      <c r="J1406" t="inlineStr">
        <is>
          <t>2023-11-02</t>
        </is>
      </c>
      <c r="K1406" t="inlineStr">
        <is>
          <t>MIBGAS_Data_2023.xlsx</t>
        </is>
      </c>
    </row>
    <row r="1407">
      <c r="A1407" s="53" t="n">
        <v>45233</v>
      </c>
      <c r="B1407" t="inlineStr">
        <is>
          <t>2023-11-03</t>
        </is>
      </c>
      <c r="C1407" s="45" t="n">
        <v>35.24</v>
      </c>
      <c r="D1407" t="inlineStr">
        <is>
          <t>€/MWh</t>
        </is>
      </c>
      <c r="E1407" s="54" t="n">
        <v>0.03524</v>
      </c>
      <c r="F1407" s="54" t="n"/>
      <c r="G1407" t="inlineStr">
        <is>
          <t>no aplica (precio mayorista)</t>
        </is>
      </c>
      <c r="J1407" t="inlineStr">
        <is>
          <t>2023-11-03</t>
        </is>
      </c>
      <c r="K1407" t="inlineStr">
        <is>
          <t>MIBGAS_Data_2023.xlsx</t>
        </is>
      </c>
    </row>
    <row r="1408">
      <c r="A1408" s="53" t="n">
        <v>45234</v>
      </c>
      <c r="B1408" t="inlineStr">
        <is>
          <t>2023-11-04</t>
        </is>
      </c>
      <c r="C1408" s="45" t="n">
        <v>36.04</v>
      </c>
      <c r="D1408" t="inlineStr">
        <is>
          <t>€/MWh</t>
        </is>
      </c>
      <c r="E1408" s="54" t="n">
        <v>0.03604</v>
      </c>
      <c r="F1408" s="54" t="n"/>
      <c r="G1408" t="inlineStr">
        <is>
          <t>no aplica (precio mayorista)</t>
        </is>
      </c>
      <c r="J1408" t="inlineStr">
        <is>
          <t>2023-11-04</t>
        </is>
      </c>
      <c r="K1408" t="inlineStr">
        <is>
          <t>MIBGAS_Data_2023.xlsx</t>
        </is>
      </c>
    </row>
    <row r="1409">
      <c r="A1409" s="53" t="n">
        <v>45235</v>
      </c>
      <c r="B1409" t="inlineStr">
        <is>
          <t>2023-11-05</t>
        </is>
      </c>
      <c r="C1409" s="45" t="n">
        <v>36.38</v>
      </c>
      <c r="D1409" t="inlineStr">
        <is>
          <t>€/MWh</t>
        </is>
      </c>
      <c r="E1409" s="54" t="n">
        <v>0.03638</v>
      </c>
      <c r="F1409" s="54" t="n"/>
      <c r="G1409" t="inlineStr">
        <is>
          <t>no aplica (precio mayorista)</t>
        </is>
      </c>
      <c r="J1409" t="inlineStr">
        <is>
          <t>2023-11-05</t>
        </is>
      </c>
      <c r="K1409" t="inlineStr">
        <is>
          <t>MIBGAS_Data_2023.xlsx</t>
        </is>
      </c>
    </row>
    <row r="1410">
      <c r="A1410" s="53" t="n">
        <v>45236</v>
      </c>
      <c r="B1410" t="inlineStr">
        <is>
          <t>2023-11-06</t>
        </is>
      </c>
      <c r="C1410" s="45" t="n">
        <v>36.78</v>
      </c>
      <c r="D1410" t="inlineStr">
        <is>
          <t>€/MWh</t>
        </is>
      </c>
      <c r="E1410" s="54" t="n">
        <v>0.03678</v>
      </c>
      <c r="F1410" s="54" t="n"/>
      <c r="G1410" t="inlineStr">
        <is>
          <t>no aplica (precio mayorista)</t>
        </is>
      </c>
      <c r="J1410" t="inlineStr">
        <is>
          <t>2023-11-06</t>
        </is>
      </c>
      <c r="K1410" t="inlineStr">
        <is>
          <t>MIBGAS_Data_2023.xlsx</t>
        </is>
      </c>
    </row>
    <row r="1411">
      <c r="A1411" s="53" t="n">
        <v>45237</v>
      </c>
      <c r="B1411" t="inlineStr">
        <is>
          <t>2023-11-07</t>
        </is>
      </c>
      <c r="C1411" s="45" t="n">
        <v>39.92</v>
      </c>
      <c r="D1411" t="inlineStr">
        <is>
          <t>€/MWh</t>
        </is>
      </c>
      <c r="E1411" s="54" t="n">
        <v>0.03992</v>
      </c>
      <c r="F1411" s="54" t="n"/>
      <c r="G1411" t="inlineStr">
        <is>
          <t>no aplica (precio mayorista)</t>
        </is>
      </c>
      <c r="J1411" t="inlineStr">
        <is>
          <t>2023-11-07</t>
        </is>
      </c>
      <c r="K1411" t="inlineStr">
        <is>
          <t>MIBGAS_Data_2023.xlsx</t>
        </is>
      </c>
    </row>
    <row r="1412">
      <c r="A1412" s="53" t="n">
        <v>45238</v>
      </c>
      <c r="B1412" t="inlineStr">
        <is>
          <t>2023-11-08</t>
        </is>
      </c>
      <c r="C1412" s="45" t="n">
        <v>40.91</v>
      </c>
      <c r="D1412" t="inlineStr">
        <is>
          <t>€/MWh</t>
        </is>
      </c>
      <c r="E1412" s="54" t="n">
        <v>0.04091</v>
      </c>
      <c r="F1412" s="54" t="n"/>
      <c r="G1412" t="inlineStr">
        <is>
          <t>no aplica (precio mayorista)</t>
        </is>
      </c>
      <c r="J1412" t="inlineStr">
        <is>
          <t>2023-11-08</t>
        </is>
      </c>
      <c r="K1412" t="inlineStr">
        <is>
          <t>MIBGAS_Data_2023.xlsx</t>
        </is>
      </c>
    </row>
    <row r="1413">
      <c r="A1413" s="53" t="n">
        <v>45239</v>
      </c>
      <c r="B1413" t="inlineStr">
        <is>
          <t>2023-11-09</t>
        </is>
      </c>
      <c r="C1413" s="45" t="n">
        <v>39.13</v>
      </c>
      <c r="D1413" t="inlineStr">
        <is>
          <t>€/MWh</t>
        </is>
      </c>
      <c r="E1413" s="54" t="n">
        <v>0.03913</v>
      </c>
      <c r="F1413" s="54" t="n"/>
      <c r="G1413" t="inlineStr">
        <is>
          <t>no aplica (precio mayorista)</t>
        </is>
      </c>
      <c r="J1413" t="inlineStr">
        <is>
          <t>2023-11-09</t>
        </is>
      </c>
      <c r="K1413" t="inlineStr">
        <is>
          <t>MIBGAS_Data_2023.xlsx</t>
        </is>
      </c>
    </row>
    <row r="1414">
      <c r="A1414" s="53" t="n">
        <v>45240</v>
      </c>
      <c r="B1414" t="inlineStr">
        <is>
          <t>2023-11-10</t>
        </is>
      </c>
      <c r="C1414" s="45" t="n">
        <v>36.9</v>
      </c>
      <c r="D1414" t="inlineStr">
        <is>
          <t>€/MWh</t>
        </is>
      </c>
      <c r="E1414" s="54" t="n">
        <v>0.0369</v>
      </c>
      <c r="F1414" s="54" t="n"/>
      <c r="G1414" t="inlineStr">
        <is>
          <t>no aplica (precio mayorista)</t>
        </is>
      </c>
      <c r="J1414" t="inlineStr">
        <is>
          <t>2023-11-10</t>
        </is>
      </c>
      <c r="K1414" t="inlineStr">
        <is>
          <t>MIBGAS_Data_2023.xlsx</t>
        </is>
      </c>
    </row>
    <row r="1415">
      <c r="A1415" s="53" t="n">
        <v>45241</v>
      </c>
      <c r="B1415" t="inlineStr">
        <is>
          <t>2023-11-11</t>
        </is>
      </c>
      <c r="C1415" s="45" t="n">
        <v>34.92</v>
      </c>
      <c r="D1415" t="inlineStr">
        <is>
          <t>€/MWh</t>
        </is>
      </c>
      <c r="E1415" s="54" t="n">
        <v>0.03492</v>
      </c>
      <c r="F1415" s="54" t="n"/>
      <c r="G1415" t="inlineStr">
        <is>
          <t>no aplica (precio mayorista)</t>
        </is>
      </c>
      <c r="J1415" t="inlineStr">
        <is>
          <t>2023-11-11</t>
        </is>
      </c>
      <c r="K1415" t="inlineStr">
        <is>
          <t>MIBGAS_Data_2023.xlsx</t>
        </is>
      </c>
    </row>
    <row r="1416">
      <c r="A1416" s="53" t="n">
        <v>45242</v>
      </c>
      <c r="B1416" t="inlineStr">
        <is>
          <t>2023-11-12</t>
        </is>
      </c>
      <c r="C1416" s="45" t="n">
        <v>33.37</v>
      </c>
      <c r="D1416" t="inlineStr">
        <is>
          <t>€/MWh</t>
        </is>
      </c>
      <c r="E1416" s="54" t="n">
        <v>0.03337</v>
      </c>
      <c r="F1416" s="54" t="n"/>
      <c r="G1416" t="inlineStr">
        <is>
          <t>no aplica (precio mayorista)</t>
        </is>
      </c>
      <c r="J1416" t="inlineStr">
        <is>
          <t>2023-11-12</t>
        </is>
      </c>
      <c r="K1416" t="inlineStr">
        <is>
          <t>MIBGAS_Data_2023.xlsx</t>
        </is>
      </c>
    </row>
    <row r="1417">
      <c r="A1417" s="53" t="n">
        <v>45243</v>
      </c>
      <c r="B1417" t="inlineStr">
        <is>
          <t>2023-11-13</t>
        </is>
      </c>
      <c r="C1417" s="45" t="n">
        <v>33.24</v>
      </c>
      <c r="D1417" t="inlineStr">
        <is>
          <t>€/MWh</t>
        </is>
      </c>
      <c r="E1417" s="54" t="n">
        <v>0.03324</v>
      </c>
      <c r="F1417" s="54" t="n"/>
      <c r="G1417" t="inlineStr">
        <is>
          <t>no aplica (precio mayorista)</t>
        </is>
      </c>
      <c r="J1417" t="inlineStr">
        <is>
          <t>2023-11-13</t>
        </is>
      </c>
      <c r="K1417" t="inlineStr">
        <is>
          <t>MIBGAS_Data_2023.xlsx</t>
        </is>
      </c>
    </row>
    <row r="1418">
      <c r="A1418" s="53" t="n">
        <v>45244</v>
      </c>
      <c r="B1418" t="inlineStr">
        <is>
          <t>2023-11-14</t>
        </is>
      </c>
      <c r="C1418" s="45" t="n">
        <v>32.02</v>
      </c>
      <c r="D1418" t="inlineStr">
        <is>
          <t>€/MWh</t>
        </is>
      </c>
      <c r="E1418" s="54" t="n">
        <v>0.03202</v>
      </c>
      <c r="F1418" s="54" t="n"/>
      <c r="G1418" t="inlineStr">
        <is>
          <t>no aplica (precio mayorista)</t>
        </is>
      </c>
      <c r="J1418" t="inlineStr">
        <is>
          <t>2023-11-14</t>
        </is>
      </c>
      <c r="K1418" t="inlineStr">
        <is>
          <t>MIBGAS_Data_2023.xlsx</t>
        </is>
      </c>
    </row>
    <row r="1419">
      <c r="A1419" s="53" t="n">
        <v>45245</v>
      </c>
      <c r="B1419" t="inlineStr">
        <is>
          <t>2023-11-15</t>
        </is>
      </c>
      <c r="C1419" s="45" t="n">
        <v>37.85</v>
      </c>
      <c r="D1419" t="inlineStr">
        <is>
          <t>€/MWh</t>
        </is>
      </c>
      <c r="E1419" s="54" t="n">
        <v>0.03785</v>
      </c>
      <c r="F1419" s="54" t="n"/>
      <c r="G1419" t="inlineStr">
        <is>
          <t>no aplica (precio mayorista)</t>
        </is>
      </c>
      <c r="J1419" t="inlineStr">
        <is>
          <t>2023-11-15</t>
        </is>
      </c>
      <c r="K1419" t="inlineStr">
        <is>
          <t>MIBGAS_Data_2023.xlsx</t>
        </is>
      </c>
    </row>
    <row r="1420">
      <c r="A1420" s="53" t="n">
        <v>45246</v>
      </c>
      <c r="B1420" t="inlineStr">
        <is>
          <t>2023-11-16</t>
        </is>
      </c>
      <c r="C1420" s="45" t="n">
        <v>40.52</v>
      </c>
      <c r="D1420" t="inlineStr">
        <is>
          <t>€/MWh</t>
        </is>
      </c>
      <c r="E1420" s="54" t="n">
        <v>0.04052</v>
      </c>
      <c r="F1420" s="54" t="n"/>
      <c r="G1420" t="inlineStr">
        <is>
          <t>no aplica (precio mayorista)</t>
        </is>
      </c>
      <c r="J1420" t="inlineStr">
        <is>
          <t>2023-11-16</t>
        </is>
      </c>
      <c r="K1420" t="inlineStr">
        <is>
          <t>MIBGAS_Data_2023.xlsx</t>
        </is>
      </c>
    </row>
    <row r="1421">
      <c r="A1421" s="53" t="n">
        <v>45247</v>
      </c>
      <c r="B1421" t="inlineStr">
        <is>
          <t>2023-11-17</t>
        </is>
      </c>
      <c r="C1421" s="45" t="n">
        <v>39.94</v>
      </c>
      <c r="D1421" t="inlineStr">
        <is>
          <t>€/MWh</t>
        </is>
      </c>
      <c r="E1421" s="54" t="n">
        <v>0.03994</v>
      </c>
      <c r="F1421" s="54" t="n"/>
      <c r="G1421" t="inlineStr">
        <is>
          <t>no aplica (precio mayorista)</t>
        </is>
      </c>
      <c r="J1421" t="inlineStr">
        <is>
          <t>2023-11-17</t>
        </is>
      </c>
      <c r="K1421" t="inlineStr">
        <is>
          <t>MIBGAS_Data_2023.xlsx</t>
        </is>
      </c>
    </row>
    <row r="1422">
      <c r="A1422" s="53" t="n">
        <v>45248</v>
      </c>
      <c r="B1422" t="inlineStr">
        <is>
          <t>2023-11-18</t>
        </is>
      </c>
      <c r="C1422" s="45" t="n">
        <v>37.79</v>
      </c>
      <c r="D1422" t="inlineStr">
        <is>
          <t>€/MWh</t>
        </is>
      </c>
      <c r="E1422" s="54" t="n">
        <v>0.03779</v>
      </c>
      <c r="F1422" s="54" t="n"/>
      <c r="G1422" t="inlineStr">
        <is>
          <t>no aplica (precio mayorista)</t>
        </is>
      </c>
      <c r="J1422" t="inlineStr">
        <is>
          <t>2023-11-18</t>
        </is>
      </c>
      <c r="K1422" t="inlineStr">
        <is>
          <t>MIBGAS_Data_2023.xlsx</t>
        </is>
      </c>
    </row>
    <row r="1423">
      <c r="A1423" s="53" t="n">
        <v>45249</v>
      </c>
      <c r="B1423" t="inlineStr">
        <is>
          <t>2023-11-19</t>
        </is>
      </c>
      <c r="C1423" s="45" t="n">
        <v>37.6</v>
      </c>
      <c r="D1423" t="inlineStr">
        <is>
          <t>€/MWh</t>
        </is>
      </c>
      <c r="E1423" s="54" t="n">
        <v>0.0376</v>
      </c>
      <c r="F1423" s="54" t="n"/>
      <c r="G1423" t="inlineStr">
        <is>
          <t>no aplica (precio mayorista)</t>
        </is>
      </c>
      <c r="J1423" t="inlineStr">
        <is>
          <t>2023-11-19</t>
        </is>
      </c>
      <c r="K1423" t="inlineStr">
        <is>
          <t>MIBGAS_Data_2023.xlsx</t>
        </is>
      </c>
    </row>
    <row r="1424">
      <c r="A1424" s="53" t="n">
        <v>45250</v>
      </c>
      <c r="B1424" t="inlineStr">
        <is>
          <t>2023-11-20</t>
        </is>
      </c>
      <c r="C1424" s="45" t="n">
        <v>38.2</v>
      </c>
      <c r="D1424" t="inlineStr">
        <is>
          <t>€/MWh</t>
        </is>
      </c>
      <c r="E1424" s="54" t="n">
        <v>0.0382</v>
      </c>
      <c r="F1424" s="54" t="n"/>
      <c r="G1424" t="inlineStr">
        <is>
          <t>no aplica (precio mayorista)</t>
        </is>
      </c>
      <c r="J1424" t="inlineStr">
        <is>
          <t>2023-11-20</t>
        </is>
      </c>
      <c r="K1424" t="inlineStr">
        <is>
          <t>MIBGAS_Data_2023.xlsx</t>
        </is>
      </c>
    </row>
    <row r="1425">
      <c r="A1425" s="53" t="n">
        <v>45251</v>
      </c>
      <c r="B1425" t="inlineStr">
        <is>
          <t>2023-11-21</t>
        </is>
      </c>
      <c r="C1425" s="45" t="n">
        <v>39.79</v>
      </c>
      <c r="D1425" t="inlineStr">
        <is>
          <t>€/MWh</t>
        </is>
      </c>
      <c r="E1425" s="54" t="n">
        <v>0.03979</v>
      </c>
      <c r="F1425" s="54" t="n"/>
      <c r="G1425" t="inlineStr">
        <is>
          <t>no aplica (precio mayorista)</t>
        </is>
      </c>
      <c r="J1425" t="inlineStr">
        <is>
          <t>2023-11-21</t>
        </is>
      </c>
      <c r="K1425" t="inlineStr">
        <is>
          <t>MIBGAS_Data_2023.xlsx</t>
        </is>
      </c>
    </row>
    <row r="1426">
      <c r="A1426" s="53" t="n">
        <v>45252</v>
      </c>
      <c r="B1426" t="inlineStr">
        <is>
          <t>2023-11-22</t>
        </is>
      </c>
      <c r="C1426" s="45" t="n">
        <v>39.56</v>
      </c>
      <c r="D1426" t="inlineStr">
        <is>
          <t>€/MWh</t>
        </is>
      </c>
      <c r="E1426" s="54" t="n">
        <v>0.03956</v>
      </c>
      <c r="F1426" s="54" t="n"/>
      <c r="G1426" t="inlineStr">
        <is>
          <t>no aplica (precio mayorista)</t>
        </is>
      </c>
      <c r="J1426" t="inlineStr">
        <is>
          <t>2023-11-22</t>
        </is>
      </c>
      <c r="K1426" t="inlineStr">
        <is>
          <t>MIBGAS_Data_2023.xlsx</t>
        </is>
      </c>
    </row>
    <row r="1427">
      <c r="A1427" s="53" t="n">
        <v>45253</v>
      </c>
      <c r="B1427" t="inlineStr">
        <is>
          <t>2023-11-23</t>
        </is>
      </c>
      <c r="C1427" s="45" t="n">
        <v>40.06</v>
      </c>
      <c r="D1427" t="inlineStr">
        <is>
          <t>€/MWh</t>
        </is>
      </c>
      <c r="E1427" s="54" t="n">
        <v>0.04006</v>
      </c>
      <c r="F1427" s="54" t="n"/>
      <c r="G1427" t="inlineStr">
        <is>
          <t>no aplica (precio mayorista)</t>
        </is>
      </c>
      <c r="J1427" t="inlineStr">
        <is>
          <t>2023-11-23</t>
        </is>
      </c>
      <c r="K1427" t="inlineStr">
        <is>
          <t>MIBGAS_Data_2023.xlsx</t>
        </is>
      </c>
    </row>
    <row r="1428">
      <c r="A1428" s="53" t="n">
        <v>45254</v>
      </c>
      <c r="B1428" t="inlineStr">
        <is>
          <t>2023-11-24</t>
        </is>
      </c>
      <c r="C1428" s="45" t="n">
        <v>42.11</v>
      </c>
      <c r="D1428" t="inlineStr">
        <is>
          <t>€/MWh</t>
        </is>
      </c>
      <c r="E1428" s="54" t="n">
        <v>0.04211</v>
      </c>
      <c r="F1428" s="54" t="n"/>
      <c r="G1428" t="inlineStr">
        <is>
          <t>no aplica (precio mayorista)</t>
        </is>
      </c>
      <c r="J1428" t="inlineStr">
        <is>
          <t>2023-11-24</t>
        </is>
      </c>
      <c r="K1428" t="inlineStr">
        <is>
          <t>MIBGAS_Data_2023.xlsx</t>
        </is>
      </c>
    </row>
    <row r="1429">
      <c r="A1429" s="53" t="n">
        <v>45255</v>
      </c>
      <c r="B1429" t="inlineStr">
        <is>
          <t>2023-11-25</t>
        </is>
      </c>
      <c r="C1429" s="45" t="n">
        <v>42.35</v>
      </c>
      <c r="D1429" t="inlineStr">
        <is>
          <t>€/MWh</t>
        </is>
      </c>
      <c r="E1429" s="54" t="n">
        <v>0.04235</v>
      </c>
      <c r="F1429" s="54" t="n"/>
      <c r="G1429" t="inlineStr">
        <is>
          <t>no aplica (precio mayorista)</t>
        </is>
      </c>
      <c r="J1429" t="inlineStr">
        <is>
          <t>2023-11-25</t>
        </is>
      </c>
      <c r="K1429" t="inlineStr">
        <is>
          <t>MIBGAS_Data_2023.xlsx</t>
        </is>
      </c>
    </row>
    <row r="1430">
      <c r="A1430" s="53" t="n">
        <v>45256</v>
      </c>
      <c r="B1430" t="inlineStr">
        <is>
          <t>2023-11-26</t>
        </is>
      </c>
      <c r="C1430" s="45" t="n">
        <v>43.04</v>
      </c>
      <c r="D1430" t="inlineStr">
        <is>
          <t>€/MWh</t>
        </is>
      </c>
      <c r="E1430" s="54" t="n">
        <v>0.04304</v>
      </c>
      <c r="F1430" s="54" t="n"/>
      <c r="G1430" t="inlineStr">
        <is>
          <t>no aplica (precio mayorista)</t>
        </is>
      </c>
      <c r="J1430" t="inlineStr">
        <is>
          <t>2023-11-26</t>
        </is>
      </c>
      <c r="K1430" t="inlineStr">
        <is>
          <t>MIBGAS_Data_2023.xlsx</t>
        </is>
      </c>
    </row>
    <row r="1431">
      <c r="A1431" s="53" t="n">
        <v>45257</v>
      </c>
      <c r="B1431" t="inlineStr">
        <is>
          <t>2023-11-27</t>
        </is>
      </c>
      <c r="C1431" s="45" t="n">
        <v>42.8</v>
      </c>
      <c r="D1431" t="inlineStr">
        <is>
          <t>€/MWh</t>
        </is>
      </c>
      <c r="E1431" s="54" t="n">
        <v>0.0428</v>
      </c>
      <c r="F1431" s="54" t="n"/>
      <c r="G1431" t="inlineStr">
        <is>
          <t>no aplica (precio mayorista)</t>
        </is>
      </c>
      <c r="J1431" t="inlineStr">
        <is>
          <t>2023-11-27</t>
        </is>
      </c>
      <c r="K1431" t="inlineStr">
        <is>
          <t>MIBGAS_Data_2023.xlsx</t>
        </is>
      </c>
    </row>
    <row r="1432">
      <c r="A1432" s="53" t="n">
        <v>45258</v>
      </c>
      <c r="B1432" t="inlineStr">
        <is>
          <t>2023-11-28</t>
        </is>
      </c>
      <c r="C1432" s="45" t="n">
        <v>41.41</v>
      </c>
      <c r="D1432" t="inlineStr">
        <is>
          <t>€/MWh</t>
        </is>
      </c>
      <c r="E1432" s="54" t="n">
        <v>0.04141</v>
      </c>
      <c r="F1432" s="54" t="n"/>
      <c r="G1432" t="inlineStr">
        <is>
          <t>no aplica (precio mayorista)</t>
        </is>
      </c>
      <c r="J1432" t="inlineStr">
        <is>
          <t>2023-11-28</t>
        </is>
      </c>
      <c r="K1432" t="inlineStr">
        <is>
          <t>MIBGAS_Data_2023.xlsx</t>
        </is>
      </c>
    </row>
    <row r="1433">
      <c r="A1433" s="53" t="n">
        <v>45259</v>
      </c>
      <c r="B1433" t="inlineStr">
        <is>
          <t>2023-11-29</t>
        </is>
      </c>
      <c r="C1433" s="45" t="n">
        <v>40</v>
      </c>
      <c r="D1433" t="inlineStr">
        <is>
          <t>€/MWh</t>
        </is>
      </c>
      <c r="E1433" s="54" t="n">
        <v>0.04</v>
      </c>
      <c r="F1433" s="54" t="n"/>
      <c r="G1433" t="inlineStr">
        <is>
          <t>no aplica (precio mayorista)</t>
        </is>
      </c>
      <c r="J1433" t="inlineStr">
        <is>
          <t>2023-11-29</t>
        </is>
      </c>
      <c r="K1433" t="inlineStr">
        <is>
          <t>MIBGAS_Data_2023.xlsx</t>
        </is>
      </c>
    </row>
    <row r="1434">
      <c r="A1434" s="53" t="n">
        <v>45260</v>
      </c>
      <c r="B1434" t="inlineStr">
        <is>
          <t>2023-11-30</t>
        </is>
      </c>
      <c r="C1434" s="45" t="n">
        <v>38.34</v>
      </c>
      <c r="D1434" t="inlineStr">
        <is>
          <t>€/MWh</t>
        </is>
      </c>
      <c r="E1434" s="54" t="n">
        <v>0.03834</v>
      </c>
      <c r="F1434" s="54" t="n"/>
      <c r="G1434" t="inlineStr">
        <is>
          <t>no aplica (precio mayorista)</t>
        </is>
      </c>
      <c r="J1434" t="inlineStr">
        <is>
          <t>2023-11-30</t>
        </is>
      </c>
      <c r="K1434" t="inlineStr">
        <is>
          <t>MIBGAS_Data_2023.xlsx</t>
        </is>
      </c>
    </row>
    <row r="1435">
      <c r="A1435" s="53" t="n">
        <v>45261</v>
      </c>
      <c r="B1435" t="inlineStr">
        <is>
          <t>2023-12-01</t>
        </is>
      </c>
      <c r="C1435" s="45" t="n">
        <v>39.22</v>
      </c>
      <c r="D1435" t="inlineStr">
        <is>
          <t>€/MWh</t>
        </is>
      </c>
      <c r="E1435" s="54" t="n">
        <v>0.03922</v>
      </c>
      <c r="F1435" s="54" t="n"/>
      <c r="G1435" t="inlineStr">
        <is>
          <t>no aplica (precio mayorista)</t>
        </is>
      </c>
      <c r="J1435" t="inlineStr">
        <is>
          <t>2023-12-01</t>
        </is>
      </c>
      <c r="K1435" t="inlineStr">
        <is>
          <t>MIBGAS_Data_2023.xlsx</t>
        </is>
      </c>
    </row>
    <row r="1436">
      <c r="A1436" s="53" t="n">
        <v>45262</v>
      </c>
      <c r="B1436" t="inlineStr">
        <is>
          <t>2023-12-02</t>
        </is>
      </c>
      <c r="C1436" s="45" t="n">
        <v>40.53</v>
      </c>
      <c r="D1436" t="inlineStr">
        <is>
          <t>€/MWh</t>
        </is>
      </c>
      <c r="E1436" s="54" t="n">
        <v>0.04053</v>
      </c>
      <c r="F1436" s="54" t="n"/>
      <c r="G1436" t="inlineStr">
        <is>
          <t>no aplica (precio mayorista)</t>
        </is>
      </c>
      <c r="J1436" t="inlineStr">
        <is>
          <t>2023-12-02</t>
        </is>
      </c>
      <c r="K1436" t="inlineStr">
        <is>
          <t>MIBGAS_Data_2023.xlsx</t>
        </is>
      </c>
    </row>
    <row r="1437">
      <c r="A1437" s="53" t="n">
        <v>45263</v>
      </c>
      <c r="B1437" t="inlineStr">
        <is>
          <t>2023-12-03</t>
        </is>
      </c>
      <c r="C1437" s="45" t="n">
        <v>40.71</v>
      </c>
      <c r="D1437" t="inlineStr">
        <is>
          <t>€/MWh</t>
        </is>
      </c>
      <c r="E1437" s="54" t="n">
        <v>0.04071</v>
      </c>
      <c r="F1437" s="54" t="n"/>
      <c r="G1437" t="inlineStr">
        <is>
          <t>no aplica (precio mayorista)</t>
        </is>
      </c>
      <c r="J1437" t="inlineStr">
        <is>
          <t>2023-12-03</t>
        </is>
      </c>
      <c r="K1437" t="inlineStr">
        <is>
          <t>MIBGAS_Data_2023.xlsx</t>
        </is>
      </c>
    </row>
    <row r="1438">
      <c r="A1438" s="53" t="n">
        <v>45264</v>
      </c>
      <c r="B1438" t="inlineStr">
        <is>
          <t>2023-12-04</t>
        </is>
      </c>
      <c r="C1438" s="45" t="n">
        <v>40.65</v>
      </c>
      <c r="D1438" t="inlineStr">
        <is>
          <t>€/MWh</t>
        </is>
      </c>
      <c r="E1438" s="54" t="n">
        <v>0.04065</v>
      </c>
      <c r="F1438" s="54" t="n"/>
      <c r="G1438" t="inlineStr">
        <is>
          <t>no aplica (precio mayorista)</t>
        </is>
      </c>
      <c r="J1438" t="inlineStr">
        <is>
          <t>2023-12-04</t>
        </is>
      </c>
      <c r="K1438" t="inlineStr">
        <is>
          <t>MIBGAS_Data_2023.xlsx</t>
        </is>
      </c>
    </row>
    <row r="1439">
      <c r="A1439" s="53" t="n">
        <v>45265</v>
      </c>
      <c r="B1439" t="inlineStr">
        <is>
          <t>2023-12-05</t>
        </is>
      </c>
      <c r="C1439" s="45" t="n">
        <v>39.07</v>
      </c>
      <c r="D1439" t="inlineStr">
        <is>
          <t>€/MWh</t>
        </is>
      </c>
      <c r="E1439" s="54" t="n">
        <v>0.03907</v>
      </c>
      <c r="F1439" s="54" t="n"/>
      <c r="G1439" t="inlineStr">
        <is>
          <t>no aplica (precio mayorista)</t>
        </is>
      </c>
      <c r="J1439" t="inlineStr">
        <is>
          <t>2023-12-05</t>
        </is>
      </c>
      <c r="K1439" t="inlineStr">
        <is>
          <t>MIBGAS_Data_2023.xlsx</t>
        </is>
      </c>
    </row>
    <row r="1440">
      <c r="A1440" s="53" t="n">
        <v>45266</v>
      </c>
      <c r="B1440" t="inlineStr">
        <is>
          <t>2023-12-06</t>
        </is>
      </c>
      <c r="C1440" s="45" t="n">
        <v>37.2</v>
      </c>
      <c r="D1440" t="inlineStr">
        <is>
          <t>€/MWh</t>
        </is>
      </c>
      <c r="E1440" s="54" t="n">
        <v>0.0372</v>
      </c>
      <c r="F1440" s="54" t="n"/>
      <c r="G1440" t="inlineStr">
        <is>
          <t>no aplica (precio mayorista)</t>
        </is>
      </c>
      <c r="J1440" t="inlineStr">
        <is>
          <t>2023-12-06</t>
        </is>
      </c>
      <c r="K1440" t="inlineStr">
        <is>
          <t>MIBGAS_Data_2023.xlsx</t>
        </is>
      </c>
    </row>
    <row r="1441">
      <c r="A1441" s="53" t="n">
        <v>45267</v>
      </c>
      <c r="B1441" t="inlineStr">
        <is>
          <t>2023-12-07</t>
        </is>
      </c>
      <c r="C1441" s="45" t="n">
        <v>37.48</v>
      </c>
      <c r="D1441" t="inlineStr">
        <is>
          <t>€/MWh</t>
        </is>
      </c>
      <c r="E1441" s="54" t="n">
        <v>0.03748</v>
      </c>
      <c r="F1441" s="54" t="n"/>
      <c r="G1441" t="inlineStr">
        <is>
          <t>no aplica (precio mayorista)</t>
        </is>
      </c>
      <c r="J1441" t="inlineStr">
        <is>
          <t>2023-12-07</t>
        </is>
      </c>
      <c r="K1441" t="inlineStr">
        <is>
          <t>MIBGAS_Data_2023.xlsx</t>
        </is>
      </c>
    </row>
    <row r="1442">
      <c r="A1442" s="53" t="n">
        <v>45268</v>
      </c>
      <c r="B1442" t="inlineStr">
        <is>
          <t>2023-12-08</t>
        </is>
      </c>
      <c r="C1442" s="45" t="n">
        <v>37.44</v>
      </c>
      <c r="D1442" t="inlineStr">
        <is>
          <t>€/MWh</t>
        </is>
      </c>
      <c r="E1442" s="54" t="n">
        <v>0.03744</v>
      </c>
      <c r="F1442" s="54" t="n"/>
      <c r="G1442" t="inlineStr">
        <is>
          <t>no aplica (precio mayorista)</t>
        </is>
      </c>
      <c r="J1442" t="inlineStr">
        <is>
          <t>2023-12-08</t>
        </is>
      </c>
      <c r="K1442" t="inlineStr">
        <is>
          <t>MIBGAS_Data_2023.xlsx</t>
        </is>
      </c>
    </row>
    <row r="1443">
      <c r="A1443" s="53" t="n">
        <v>45269</v>
      </c>
      <c r="B1443" t="inlineStr">
        <is>
          <t>2023-12-09</t>
        </is>
      </c>
      <c r="C1443" s="45" t="n">
        <v>36.04</v>
      </c>
      <c r="D1443" t="inlineStr">
        <is>
          <t>€/MWh</t>
        </is>
      </c>
      <c r="E1443" s="54" t="n">
        <v>0.03604</v>
      </c>
      <c r="F1443" s="54" t="n"/>
      <c r="G1443" t="inlineStr">
        <is>
          <t>no aplica (precio mayorista)</t>
        </is>
      </c>
      <c r="J1443" t="inlineStr">
        <is>
          <t>2023-12-09</t>
        </is>
      </c>
      <c r="K1443" t="inlineStr">
        <is>
          <t>MIBGAS_Data_2023.xlsx</t>
        </is>
      </c>
    </row>
    <row r="1444">
      <c r="A1444" s="53" t="n">
        <v>45270</v>
      </c>
      <c r="B1444" t="inlineStr">
        <is>
          <t>2023-12-10</t>
        </is>
      </c>
      <c r="C1444" s="45" t="n">
        <v>36.44</v>
      </c>
      <c r="D1444" t="inlineStr">
        <is>
          <t>€/MWh</t>
        </is>
      </c>
      <c r="E1444" s="54" t="n">
        <v>0.03644</v>
      </c>
      <c r="F1444" s="54" t="n"/>
      <c r="G1444" t="inlineStr">
        <is>
          <t>no aplica (precio mayorista)</t>
        </is>
      </c>
      <c r="J1444" t="inlineStr">
        <is>
          <t>2023-12-10</t>
        </is>
      </c>
      <c r="K1444" t="inlineStr">
        <is>
          <t>MIBGAS_Data_2023.xlsx</t>
        </is>
      </c>
    </row>
    <row r="1445">
      <c r="A1445" s="53" t="n">
        <v>45271</v>
      </c>
      <c r="B1445" t="inlineStr">
        <is>
          <t>2023-12-11</t>
        </is>
      </c>
      <c r="C1445" s="45" t="n">
        <v>36.27</v>
      </c>
      <c r="D1445" t="inlineStr">
        <is>
          <t>€/MWh</t>
        </is>
      </c>
      <c r="E1445" s="54" t="n">
        <v>0.03627</v>
      </c>
      <c r="F1445" s="54" t="n"/>
      <c r="G1445" t="inlineStr">
        <is>
          <t>no aplica (precio mayorista)</t>
        </is>
      </c>
      <c r="J1445" t="inlineStr">
        <is>
          <t>2023-12-11</t>
        </is>
      </c>
      <c r="K1445" t="inlineStr">
        <is>
          <t>MIBGAS_Data_2023.xlsx</t>
        </is>
      </c>
    </row>
    <row r="1446">
      <c r="A1446" s="53" t="n">
        <v>45272</v>
      </c>
      <c r="B1446" t="inlineStr">
        <is>
          <t>2023-12-12</t>
        </is>
      </c>
      <c r="C1446" s="45" t="n">
        <v>33.88</v>
      </c>
      <c r="D1446" t="inlineStr">
        <is>
          <t>€/MWh</t>
        </is>
      </c>
      <c r="E1446" s="54" t="n">
        <v>0.03388</v>
      </c>
      <c r="F1446" s="54" t="n"/>
      <c r="G1446" t="inlineStr">
        <is>
          <t>no aplica (precio mayorista)</t>
        </is>
      </c>
      <c r="J1446" t="inlineStr">
        <is>
          <t>2023-12-12</t>
        </is>
      </c>
      <c r="K1446" t="inlineStr">
        <is>
          <t>MIBGAS_Data_2023.xlsx</t>
        </is>
      </c>
    </row>
    <row r="1447">
      <c r="A1447" s="53" t="n">
        <v>45273</v>
      </c>
      <c r="B1447" t="inlineStr">
        <is>
          <t>2023-12-13</t>
        </is>
      </c>
      <c r="C1447" s="45" t="n">
        <v>32.69</v>
      </c>
      <c r="D1447" t="inlineStr">
        <is>
          <t>€/MWh</t>
        </is>
      </c>
      <c r="E1447" s="54" t="n">
        <v>0.03269</v>
      </c>
      <c r="F1447" s="54" t="n"/>
      <c r="G1447" t="inlineStr">
        <is>
          <t>no aplica (precio mayorista)</t>
        </is>
      </c>
      <c r="J1447" t="inlineStr">
        <is>
          <t>2023-12-13</t>
        </is>
      </c>
      <c r="K1447" t="inlineStr">
        <is>
          <t>MIBGAS_Data_2023.xlsx</t>
        </is>
      </c>
    </row>
    <row r="1448">
      <c r="A1448" s="53" t="n">
        <v>45274</v>
      </c>
      <c r="B1448" t="inlineStr">
        <is>
          <t>2023-12-14</t>
        </is>
      </c>
      <c r="C1448" s="45" t="n">
        <v>32.72</v>
      </c>
      <c r="D1448" t="inlineStr">
        <is>
          <t>€/MWh</t>
        </is>
      </c>
      <c r="E1448" s="54" t="n">
        <v>0.03272</v>
      </c>
      <c r="F1448" s="54" t="n"/>
      <c r="G1448" t="inlineStr">
        <is>
          <t>no aplica (precio mayorista)</t>
        </is>
      </c>
      <c r="J1448" t="inlineStr">
        <is>
          <t>2023-12-14</t>
        </is>
      </c>
      <c r="K1448" t="inlineStr">
        <is>
          <t>MIBGAS_Data_2023.xlsx</t>
        </is>
      </c>
    </row>
    <row r="1449">
      <c r="A1449" s="53" t="n">
        <v>45275</v>
      </c>
      <c r="B1449" t="inlineStr">
        <is>
          <t>2023-12-15</t>
        </is>
      </c>
      <c r="C1449" s="45" t="n">
        <v>32.09</v>
      </c>
      <c r="D1449" t="inlineStr">
        <is>
          <t>€/MWh</t>
        </is>
      </c>
      <c r="E1449" s="54" t="n">
        <v>0.03209</v>
      </c>
      <c r="F1449" s="54" t="n"/>
      <c r="G1449" t="inlineStr">
        <is>
          <t>no aplica (precio mayorista)</t>
        </is>
      </c>
      <c r="J1449" t="inlineStr">
        <is>
          <t>2023-12-15</t>
        </is>
      </c>
      <c r="K1449" t="inlineStr">
        <is>
          <t>MIBGAS_Data_2023.xlsx</t>
        </is>
      </c>
    </row>
    <row r="1450">
      <c r="A1450" s="53" t="n">
        <v>45276</v>
      </c>
      <c r="B1450" t="inlineStr">
        <is>
          <t>2023-12-16</t>
        </is>
      </c>
      <c r="C1450" s="45" t="n">
        <v>31.92</v>
      </c>
      <c r="D1450" t="inlineStr">
        <is>
          <t>€/MWh</t>
        </is>
      </c>
      <c r="E1450" s="54" t="n">
        <v>0.03192</v>
      </c>
      <c r="F1450" s="54" t="n"/>
      <c r="G1450" t="inlineStr">
        <is>
          <t>no aplica (precio mayorista)</t>
        </is>
      </c>
      <c r="J1450" t="inlineStr">
        <is>
          <t>2023-12-16</t>
        </is>
      </c>
      <c r="K1450" t="inlineStr">
        <is>
          <t>MIBGAS_Data_2023.xlsx</t>
        </is>
      </c>
    </row>
    <row r="1451">
      <c r="A1451" s="53" t="n">
        <v>45277</v>
      </c>
      <c r="B1451" t="inlineStr">
        <is>
          <t>2023-12-17</t>
        </is>
      </c>
      <c r="C1451" s="45" t="n">
        <v>32.54</v>
      </c>
      <c r="D1451" t="inlineStr">
        <is>
          <t>€/MWh</t>
        </is>
      </c>
      <c r="E1451" s="54" t="n">
        <v>0.03254</v>
      </c>
      <c r="F1451" s="54" t="n"/>
      <c r="G1451" t="inlineStr">
        <is>
          <t>no aplica (precio mayorista)</t>
        </is>
      </c>
      <c r="J1451" t="inlineStr">
        <is>
          <t>2023-12-17</t>
        </is>
      </c>
      <c r="K1451" t="inlineStr">
        <is>
          <t>MIBGAS_Data_2023.xlsx</t>
        </is>
      </c>
    </row>
    <row r="1452">
      <c r="A1452" s="53" t="n">
        <v>45278</v>
      </c>
      <c r="B1452" t="inlineStr">
        <is>
          <t>2023-12-18</t>
        </is>
      </c>
      <c r="C1452" s="45" t="n">
        <v>33.53</v>
      </c>
      <c r="D1452" t="inlineStr">
        <is>
          <t>€/MWh</t>
        </is>
      </c>
      <c r="E1452" s="54" t="n">
        <v>0.03353</v>
      </c>
      <c r="F1452" s="54" t="n"/>
      <c r="G1452" t="inlineStr">
        <is>
          <t>no aplica (precio mayorista)</t>
        </is>
      </c>
      <c r="J1452" t="inlineStr">
        <is>
          <t>2023-12-18</t>
        </is>
      </c>
      <c r="K1452" t="inlineStr">
        <is>
          <t>MIBGAS_Data_2023.xlsx</t>
        </is>
      </c>
    </row>
    <row r="1453">
      <c r="A1453" s="53" t="n">
        <v>45279</v>
      </c>
      <c r="B1453" t="inlineStr">
        <is>
          <t>2023-12-19</t>
        </is>
      </c>
      <c r="C1453" s="45" t="n">
        <v>32.48</v>
      </c>
      <c r="D1453" t="inlineStr">
        <is>
          <t>€/MWh</t>
        </is>
      </c>
      <c r="E1453" s="54" t="n">
        <v>0.03248</v>
      </c>
      <c r="F1453" s="54" t="n"/>
      <c r="G1453" t="inlineStr">
        <is>
          <t>no aplica (precio mayorista)</t>
        </is>
      </c>
      <c r="J1453" t="inlineStr">
        <is>
          <t>2023-12-19</t>
        </is>
      </c>
      <c r="K1453" t="inlineStr">
        <is>
          <t>MIBGAS_Data_2023.xlsx</t>
        </is>
      </c>
    </row>
    <row r="1454">
      <c r="A1454" s="53" t="n">
        <v>45280</v>
      </c>
      <c r="B1454" t="inlineStr">
        <is>
          <t>2023-12-20</t>
        </is>
      </c>
      <c r="C1454" s="45" t="n">
        <v>31.3</v>
      </c>
      <c r="D1454" t="inlineStr">
        <is>
          <t>€/MWh</t>
        </is>
      </c>
      <c r="E1454" s="54" t="n">
        <v>0.0313</v>
      </c>
      <c r="F1454" s="54" t="n"/>
      <c r="G1454" t="inlineStr">
        <is>
          <t>no aplica (precio mayorista)</t>
        </is>
      </c>
      <c r="J1454" t="inlineStr">
        <is>
          <t>2023-12-20</t>
        </is>
      </c>
      <c r="K1454" t="inlineStr">
        <is>
          <t>MIBGAS_Data_2023.xlsx</t>
        </is>
      </c>
    </row>
    <row r="1455">
      <c r="A1455" s="53" t="n">
        <v>45281</v>
      </c>
      <c r="B1455" t="inlineStr">
        <is>
          <t>2023-12-21</t>
        </is>
      </c>
      <c r="C1455" s="45" t="n">
        <v>31.78</v>
      </c>
      <c r="D1455" t="inlineStr">
        <is>
          <t>€/MWh</t>
        </is>
      </c>
      <c r="E1455" s="54" t="n">
        <v>0.03178</v>
      </c>
      <c r="F1455" s="54" t="n"/>
      <c r="G1455" t="inlineStr">
        <is>
          <t>no aplica (precio mayorista)</t>
        </is>
      </c>
      <c r="J1455" t="inlineStr">
        <is>
          <t>2023-12-21</t>
        </is>
      </c>
      <c r="K1455" t="inlineStr">
        <is>
          <t>MIBGAS_Data_2023.xlsx</t>
        </is>
      </c>
    </row>
    <row r="1456">
      <c r="A1456" s="53" t="n">
        <v>45282</v>
      </c>
      <c r="B1456" t="inlineStr">
        <is>
          <t>2023-12-22</t>
        </is>
      </c>
      <c r="C1456" s="45" t="n">
        <v>32.01</v>
      </c>
      <c r="D1456" t="inlineStr">
        <is>
          <t>€/MWh</t>
        </is>
      </c>
      <c r="E1456" s="54" t="n">
        <v>0.03201</v>
      </c>
      <c r="F1456" s="54" t="n"/>
      <c r="G1456" t="inlineStr">
        <is>
          <t>no aplica (precio mayorista)</t>
        </is>
      </c>
      <c r="J1456" t="inlineStr">
        <is>
          <t>2023-12-22</t>
        </is>
      </c>
      <c r="K1456" t="inlineStr">
        <is>
          <t>MIBGAS_Data_2023.xlsx</t>
        </is>
      </c>
    </row>
    <row r="1457">
      <c r="A1457" s="53" t="n">
        <v>45283</v>
      </c>
      <c r="B1457" t="inlineStr">
        <is>
          <t>2023-12-23</t>
        </is>
      </c>
      <c r="C1457" s="45" t="n">
        <v>31.42</v>
      </c>
      <c r="D1457" t="inlineStr">
        <is>
          <t>€/MWh</t>
        </is>
      </c>
      <c r="E1457" s="54" t="n">
        <v>0.03142</v>
      </c>
      <c r="F1457" s="54" t="n"/>
      <c r="G1457" t="inlineStr">
        <is>
          <t>no aplica (precio mayorista)</t>
        </is>
      </c>
      <c r="J1457" t="inlineStr">
        <is>
          <t>2023-12-23</t>
        </is>
      </c>
      <c r="K1457" t="inlineStr">
        <is>
          <t>MIBGAS_Data_2023.xlsx</t>
        </is>
      </c>
    </row>
    <row r="1458">
      <c r="A1458" s="53" t="n">
        <v>45284</v>
      </c>
      <c r="B1458" t="inlineStr">
        <is>
          <t>2023-12-24</t>
        </is>
      </c>
      <c r="C1458" s="45" t="n">
        <v>31.61</v>
      </c>
      <c r="D1458" t="inlineStr">
        <is>
          <t>€/MWh</t>
        </is>
      </c>
      <c r="E1458" s="54" t="n">
        <v>0.03161</v>
      </c>
      <c r="F1458" s="54" t="n"/>
      <c r="G1458" t="inlineStr">
        <is>
          <t>no aplica (precio mayorista)</t>
        </is>
      </c>
      <c r="J1458" t="inlineStr">
        <is>
          <t>2023-12-24</t>
        </is>
      </c>
      <c r="K1458" t="inlineStr">
        <is>
          <t>MIBGAS_Data_2023.xlsx</t>
        </is>
      </c>
    </row>
    <row r="1459">
      <c r="A1459" s="53" t="n">
        <v>45285</v>
      </c>
      <c r="B1459" t="inlineStr">
        <is>
          <t>2023-12-25</t>
        </is>
      </c>
      <c r="C1459" s="45" t="n">
        <v>33.22</v>
      </c>
      <c r="D1459" t="inlineStr">
        <is>
          <t>€/MWh</t>
        </is>
      </c>
      <c r="E1459" s="54" t="n">
        <v>0.03322</v>
      </c>
      <c r="F1459" s="54" t="n"/>
      <c r="G1459" t="inlineStr">
        <is>
          <t>no aplica (precio mayorista)</t>
        </is>
      </c>
      <c r="J1459" t="inlineStr">
        <is>
          <t>2023-12-25</t>
        </is>
      </c>
      <c r="K1459" t="inlineStr">
        <is>
          <t>MIBGAS_Data_2023.xlsx</t>
        </is>
      </c>
    </row>
    <row r="1460">
      <c r="A1460" s="53" t="n">
        <v>45286</v>
      </c>
      <c r="B1460" t="inlineStr">
        <is>
          <t>2023-12-26</t>
        </is>
      </c>
      <c r="C1460" s="45" t="n">
        <v>34.04</v>
      </c>
      <c r="D1460" t="inlineStr">
        <is>
          <t>€/MWh</t>
        </is>
      </c>
      <c r="E1460" s="54" t="n">
        <v>0.03404</v>
      </c>
      <c r="F1460" s="54" t="n"/>
      <c r="G1460" t="inlineStr">
        <is>
          <t>no aplica (precio mayorista)</t>
        </is>
      </c>
      <c r="J1460" t="inlineStr">
        <is>
          <t>2023-12-26</t>
        </is>
      </c>
      <c r="K1460" t="inlineStr">
        <is>
          <t>MIBGAS_Data_2023.xlsx</t>
        </is>
      </c>
    </row>
    <row r="1461">
      <c r="A1461" s="53" t="n">
        <v>45287</v>
      </c>
      <c r="B1461" t="inlineStr">
        <is>
          <t>2023-12-27</t>
        </is>
      </c>
      <c r="C1461" s="45" t="n">
        <v>33.91</v>
      </c>
      <c r="D1461" t="inlineStr">
        <is>
          <t>€/MWh</t>
        </is>
      </c>
      <c r="E1461" s="54" t="n">
        <v>0.03391</v>
      </c>
      <c r="F1461" s="54" t="n"/>
      <c r="G1461" t="inlineStr">
        <is>
          <t>no aplica (precio mayorista)</t>
        </is>
      </c>
      <c r="J1461" t="inlineStr">
        <is>
          <t>2023-12-27</t>
        </is>
      </c>
      <c r="K1461" t="inlineStr">
        <is>
          <t>MIBGAS_Data_2023.xlsx</t>
        </is>
      </c>
    </row>
    <row r="1462">
      <c r="A1462" s="53" t="n">
        <v>45288</v>
      </c>
      <c r="B1462" t="inlineStr">
        <is>
          <t>2023-12-28</t>
        </is>
      </c>
      <c r="C1462" s="45" t="n">
        <v>33.93</v>
      </c>
      <c r="D1462" t="inlineStr">
        <is>
          <t>€/MWh</t>
        </is>
      </c>
      <c r="E1462" s="54" t="n">
        <v>0.03393</v>
      </c>
      <c r="F1462" s="54" t="n"/>
      <c r="G1462" t="inlineStr">
        <is>
          <t>no aplica (precio mayorista)</t>
        </is>
      </c>
      <c r="J1462" t="inlineStr">
        <is>
          <t>2023-12-28</t>
        </is>
      </c>
      <c r="K1462" t="inlineStr">
        <is>
          <t>MIBGAS_Data_2023.xlsx</t>
        </is>
      </c>
    </row>
    <row r="1463">
      <c r="A1463" s="53" t="n">
        <v>45289</v>
      </c>
      <c r="B1463" t="inlineStr">
        <is>
          <t>2023-12-29</t>
        </is>
      </c>
      <c r="C1463" s="45" t="n">
        <v>32.23</v>
      </c>
      <c r="D1463" t="inlineStr">
        <is>
          <t>€/MWh</t>
        </is>
      </c>
      <c r="E1463" s="54" t="n">
        <v>0.03223</v>
      </c>
      <c r="F1463" s="54" t="n"/>
      <c r="G1463" t="inlineStr">
        <is>
          <t>no aplica (precio mayorista)</t>
        </is>
      </c>
      <c r="J1463" t="inlineStr">
        <is>
          <t>2023-12-29</t>
        </is>
      </c>
      <c r="K1463" t="inlineStr">
        <is>
          <t>MIBGAS_Data_2023.xlsx</t>
        </is>
      </c>
    </row>
    <row r="1464">
      <c r="A1464" s="53" t="n">
        <v>45290</v>
      </c>
      <c r="B1464" t="inlineStr">
        <is>
          <t>2023-12-30</t>
        </is>
      </c>
      <c r="C1464" s="45" t="n">
        <v>31.42</v>
      </c>
      <c r="D1464" t="inlineStr">
        <is>
          <t>€/MWh</t>
        </is>
      </c>
      <c r="E1464" s="54" t="n">
        <v>0.03142</v>
      </c>
      <c r="F1464" s="54" t="n"/>
      <c r="G1464" t="inlineStr">
        <is>
          <t>no aplica (precio mayorista)</t>
        </is>
      </c>
      <c r="J1464" t="inlineStr">
        <is>
          <t>2023-12-30</t>
        </is>
      </c>
      <c r="K1464" t="inlineStr">
        <is>
          <t>MIBGAS_Data_2023.xlsx</t>
        </is>
      </c>
    </row>
    <row r="1465">
      <c r="A1465" s="53" t="n">
        <v>45291</v>
      </c>
      <c r="B1465" t="inlineStr">
        <is>
          <t>2023-12-31</t>
        </is>
      </c>
      <c r="C1465" s="45" t="n">
        <v>31.08</v>
      </c>
      <c r="D1465" t="inlineStr">
        <is>
          <t>€/MWh</t>
        </is>
      </c>
      <c r="E1465" s="54" t="n">
        <v>0.03108</v>
      </c>
      <c r="F1465" s="54" t="n"/>
      <c r="G1465" t="inlineStr">
        <is>
          <t>no aplica (precio mayorista)</t>
        </is>
      </c>
      <c r="J1465" t="inlineStr">
        <is>
          <t>2023-12-31</t>
        </is>
      </c>
      <c r="K1465" t="inlineStr">
        <is>
          <t>MIBGAS_Data_2023.xlsx</t>
        </is>
      </c>
    </row>
    <row r="1466">
      <c r="A1466" s="53" t="n">
        <v>45292</v>
      </c>
      <c r="B1466" t="inlineStr">
        <is>
          <t>2024-01-01</t>
        </is>
      </c>
      <c r="C1466" s="45" t="n">
        <v>31.4</v>
      </c>
      <c r="D1466" t="inlineStr">
        <is>
          <t>€/MWh</t>
        </is>
      </c>
      <c r="E1466" s="54" t="n">
        <v>0.0314</v>
      </c>
      <c r="F1466" s="54" t="n"/>
      <c r="G1466" t="inlineStr">
        <is>
          <t>no aplica (precio mayorista)</t>
        </is>
      </c>
      <c r="J1466" t="inlineStr">
        <is>
          <t>2024-01-01</t>
        </is>
      </c>
      <c r="K1466" t="inlineStr">
        <is>
          <t>MIBGAS_Data_2024.xlsx</t>
        </is>
      </c>
    </row>
    <row r="1467">
      <c r="A1467" s="53" t="n">
        <v>45293</v>
      </c>
      <c r="B1467" t="inlineStr">
        <is>
          <t>2024-01-02</t>
        </is>
      </c>
      <c r="C1467" s="45" t="n">
        <v>32.02</v>
      </c>
      <c r="D1467" t="inlineStr">
        <is>
          <t>€/MWh</t>
        </is>
      </c>
      <c r="E1467" s="54" t="n">
        <v>0.03202</v>
      </c>
      <c r="F1467" s="54" t="n"/>
      <c r="G1467" t="inlineStr">
        <is>
          <t>no aplica (precio mayorista)</t>
        </is>
      </c>
      <c r="J1467" t="inlineStr">
        <is>
          <t>2024-01-02</t>
        </is>
      </c>
      <c r="K1467" t="inlineStr">
        <is>
          <t>MIBGAS_Data_2024.xlsx</t>
        </is>
      </c>
    </row>
    <row r="1468">
      <c r="A1468" s="53" t="n">
        <v>45294</v>
      </c>
      <c r="B1468" t="inlineStr">
        <is>
          <t>2024-01-03</t>
        </is>
      </c>
      <c r="C1468" s="45" t="n">
        <v>30.95</v>
      </c>
      <c r="D1468" t="inlineStr">
        <is>
          <t>€/MWh</t>
        </is>
      </c>
      <c r="E1468" s="54" t="n">
        <v>0.03095</v>
      </c>
      <c r="F1468" s="54" t="n"/>
      <c r="G1468" t="inlineStr">
        <is>
          <t>no aplica (precio mayorista)</t>
        </is>
      </c>
      <c r="J1468" t="inlineStr">
        <is>
          <t>2024-01-03</t>
        </is>
      </c>
      <c r="K1468" t="inlineStr">
        <is>
          <t>MIBGAS_Data_2024.xlsx</t>
        </is>
      </c>
    </row>
    <row r="1469">
      <c r="A1469" s="53" t="n">
        <v>45295</v>
      </c>
      <c r="B1469" t="inlineStr">
        <is>
          <t>2024-01-04</t>
        </is>
      </c>
      <c r="C1469" s="45" t="n">
        <v>31.97</v>
      </c>
      <c r="D1469" t="inlineStr">
        <is>
          <t>€/MWh</t>
        </is>
      </c>
      <c r="E1469" s="54" t="n">
        <v>0.03197</v>
      </c>
      <c r="F1469" s="54" t="n"/>
      <c r="G1469" t="inlineStr">
        <is>
          <t>no aplica (precio mayorista)</t>
        </is>
      </c>
      <c r="J1469" t="inlineStr">
        <is>
          <t>2024-01-04</t>
        </is>
      </c>
      <c r="K1469" t="inlineStr">
        <is>
          <t>MIBGAS_Data_2024.xlsx</t>
        </is>
      </c>
    </row>
    <row r="1470">
      <c r="A1470" s="53" t="n">
        <v>45296</v>
      </c>
      <c r="B1470" t="inlineStr">
        <is>
          <t>2024-01-05</t>
        </is>
      </c>
      <c r="C1470" s="45" t="n">
        <v>32.83</v>
      </c>
      <c r="D1470" t="inlineStr">
        <is>
          <t>€/MWh</t>
        </is>
      </c>
      <c r="E1470" s="54" t="n">
        <v>0.03283</v>
      </c>
      <c r="F1470" s="54" t="n"/>
      <c r="G1470" t="inlineStr">
        <is>
          <t>no aplica (precio mayorista)</t>
        </is>
      </c>
      <c r="J1470" t="inlineStr">
        <is>
          <t>2024-01-05</t>
        </is>
      </c>
      <c r="K1470" t="inlineStr">
        <is>
          <t>MIBGAS_Data_2024.xlsx</t>
        </is>
      </c>
    </row>
    <row r="1471">
      <c r="A1471" s="53" t="n">
        <v>45297</v>
      </c>
      <c r="B1471" t="inlineStr">
        <is>
          <t>2024-01-06</t>
        </is>
      </c>
      <c r="C1471" s="45" t="n">
        <v>33.68</v>
      </c>
      <c r="D1471" t="inlineStr">
        <is>
          <t>€/MWh</t>
        </is>
      </c>
      <c r="E1471" s="54" t="n">
        <v>0.03368</v>
      </c>
      <c r="F1471" s="54" t="n"/>
      <c r="G1471" t="inlineStr">
        <is>
          <t>no aplica (precio mayorista)</t>
        </is>
      </c>
      <c r="J1471" t="inlineStr">
        <is>
          <t>2024-01-06</t>
        </is>
      </c>
      <c r="K1471" t="inlineStr">
        <is>
          <t>MIBGAS_Data_2024.xlsx</t>
        </is>
      </c>
    </row>
    <row r="1472">
      <c r="A1472" s="53" t="n">
        <v>45298</v>
      </c>
      <c r="B1472" t="inlineStr">
        <is>
          <t>2024-01-07</t>
        </is>
      </c>
      <c r="C1472" s="45" t="n">
        <v>34.81</v>
      </c>
      <c r="D1472" t="inlineStr">
        <is>
          <t>€/MWh</t>
        </is>
      </c>
      <c r="E1472" s="54" t="n">
        <v>0.03481</v>
      </c>
      <c r="F1472" s="54" t="n"/>
      <c r="G1472" t="inlineStr">
        <is>
          <t>no aplica (precio mayorista)</t>
        </is>
      </c>
      <c r="J1472" t="inlineStr">
        <is>
          <t>2024-01-07</t>
        </is>
      </c>
      <c r="K1472" t="inlineStr">
        <is>
          <t>MIBGAS_Data_2024.xlsx</t>
        </is>
      </c>
    </row>
    <row r="1473">
      <c r="A1473" s="53" t="n">
        <v>45299</v>
      </c>
      <c r="B1473" t="inlineStr">
        <is>
          <t>2024-01-08</t>
        </is>
      </c>
      <c r="C1473" s="45" t="n">
        <v>34.66</v>
      </c>
      <c r="D1473" t="inlineStr">
        <is>
          <t>€/MWh</t>
        </is>
      </c>
      <c r="E1473" s="54" t="n">
        <v>0.03466</v>
      </c>
      <c r="F1473" s="54" t="n"/>
      <c r="G1473" t="inlineStr">
        <is>
          <t>no aplica (precio mayorista)</t>
        </is>
      </c>
      <c r="J1473" t="inlineStr">
        <is>
          <t>2024-01-08</t>
        </is>
      </c>
      <c r="K1473" t="inlineStr">
        <is>
          <t>MIBGAS_Data_2024.xlsx</t>
        </is>
      </c>
    </row>
    <row r="1474">
      <c r="A1474" s="53" t="n">
        <v>45300</v>
      </c>
      <c r="B1474" t="inlineStr">
        <is>
          <t>2024-01-09</t>
        </is>
      </c>
      <c r="C1474" s="45" t="n">
        <v>31.98</v>
      </c>
      <c r="D1474" t="inlineStr">
        <is>
          <t>€/MWh</t>
        </is>
      </c>
      <c r="E1474" s="54" t="n">
        <v>0.03198</v>
      </c>
      <c r="F1474" s="54" t="n"/>
      <c r="G1474" t="inlineStr">
        <is>
          <t>no aplica (precio mayorista)</t>
        </is>
      </c>
      <c r="J1474" t="inlineStr">
        <is>
          <t>2024-01-09</t>
        </is>
      </c>
      <c r="K1474" t="inlineStr">
        <is>
          <t>MIBGAS_Data_2024.xlsx</t>
        </is>
      </c>
    </row>
    <row r="1475">
      <c r="A1475" s="53" t="n">
        <v>45301</v>
      </c>
      <c r="B1475" t="inlineStr">
        <is>
          <t>2024-01-10</t>
        </is>
      </c>
      <c r="C1475" s="45" t="n">
        <v>31.05</v>
      </c>
      <c r="D1475" t="inlineStr">
        <is>
          <t>€/MWh</t>
        </is>
      </c>
      <c r="E1475" s="54" t="n">
        <v>0.03105</v>
      </c>
      <c r="F1475" s="54" t="n"/>
      <c r="G1475" t="inlineStr">
        <is>
          <t>no aplica (precio mayorista)</t>
        </is>
      </c>
      <c r="J1475" t="inlineStr">
        <is>
          <t>2024-01-10</t>
        </is>
      </c>
      <c r="K1475" t="inlineStr">
        <is>
          <t>MIBGAS_Data_2024.xlsx</t>
        </is>
      </c>
    </row>
    <row r="1476">
      <c r="A1476" s="53" t="n">
        <v>45302</v>
      </c>
      <c r="B1476" t="inlineStr">
        <is>
          <t>2024-01-11</t>
        </is>
      </c>
      <c r="C1476" s="45" t="n">
        <v>30.68</v>
      </c>
      <c r="D1476" t="inlineStr">
        <is>
          <t>€/MWh</t>
        </is>
      </c>
      <c r="E1476" s="54" t="n">
        <v>0.03068</v>
      </c>
      <c r="F1476" s="54" t="n"/>
      <c r="G1476" t="inlineStr">
        <is>
          <t>no aplica (precio mayorista)</t>
        </is>
      </c>
      <c r="J1476" t="inlineStr">
        <is>
          <t>2024-01-11</t>
        </is>
      </c>
      <c r="K1476" t="inlineStr">
        <is>
          <t>MIBGAS_Data_2024.xlsx</t>
        </is>
      </c>
    </row>
    <row r="1477">
      <c r="A1477" s="53" t="n">
        <v>45303</v>
      </c>
      <c r="B1477" t="inlineStr">
        <is>
          <t>2024-01-12</t>
        </is>
      </c>
      <c r="C1477" s="45" t="n">
        <v>30.42</v>
      </c>
      <c r="D1477" t="inlineStr">
        <is>
          <t>€/MWh</t>
        </is>
      </c>
      <c r="E1477" s="54" t="n">
        <v>0.03042</v>
      </c>
      <c r="F1477" s="54" t="n"/>
      <c r="G1477" t="inlineStr">
        <is>
          <t>no aplica (precio mayorista)</t>
        </is>
      </c>
      <c r="J1477" t="inlineStr">
        <is>
          <t>2024-01-12</t>
        </is>
      </c>
      <c r="K1477" t="inlineStr">
        <is>
          <t>MIBGAS_Data_2024.xlsx</t>
        </is>
      </c>
    </row>
    <row r="1478">
      <c r="A1478" s="53" t="n">
        <v>45304</v>
      </c>
      <c r="B1478" t="inlineStr">
        <is>
          <t>2024-01-13</t>
        </is>
      </c>
      <c r="C1478" s="45" t="n">
        <v>31.42</v>
      </c>
      <c r="D1478" t="inlineStr">
        <is>
          <t>€/MWh</t>
        </is>
      </c>
      <c r="E1478" s="54" t="n">
        <v>0.03142</v>
      </c>
      <c r="F1478" s="54" t="n"/>
      <c r="G1478" t="inlineStr">
        <is>
          <t>no aplica (precio mayorista)</t>
        </is>
      </c>
      <c r="J1478" t="inlineStr">
        <is>
          <t>2024-01-13</t>
        </is>
      </c>
      <c r="K1478" t="inlineStr">
        <is>
          <t>MIBGAS_Data_2024.xlsx</t>
        </is>
      </c>
    </row>
    <row r="1479">
      <c r="A1479" s="53" t="n">
        <v>45305</v>
      </c>
      <c r="B1479" t="inlineStr">
        <is>
          <t>2024-01-14</t>
        </is>
      </c>
      <c r="C1479" s="45" t="n">
        <v>31.18</v>
      </c>
      <c r="D1479" t="inlineStr">
        <is>
          <t>€/MWh</t>
        </is>
      </c>
      <c r="E1479" s="54" t="n">
        <v>0.03118</v>
      </c>
      <c r="F1479" s="54" t="n"/>
      <c r="G1479" t="inlineStr">
        <is>
          <t>no aplica (precio mayorista)</t>
        </is>
      </c>
      <c r="J1479" t="inlineStr">
        <is>
          <t>2024-01-14</t>
        </is>
      </c>
      <c r="K1479" t="inlineStr">
        <is>
          <t>MIBGAS_Data_2024.xlsx</t>
        </is>
      </c>
    </row>
    <row r="1480">
      <c r="A1480" s="53" t="n">
        <v>45306</v>
      </c>
      <c r="B1480" t="inlineStr">
        <is>
          <t>2024-01-15</t>
        </is>
      </c>
      <c r="C1480" s="45" t="n">
        <v>30.64</v>
      </c>
      <c r="D1480" t="inlineStr">
        <is>
          <t>€/MWh</t>
        </is>
      </c>
      <c r="E1480" s="54" t="n">
        <v>0.03064</v>
      </c>
      <c r="F1480" s="54" t="n"/>
      <c r="G1480" t="inlineStr">
        <is>
          <t>no aplica (precio mayorista)</t>
        </is>
      </c>
      <c r="J1480" t="inlineStr">
        <is>
          <t>2024-01-15</t>
        </is>
      </c>
      <c r="K1480" t="inlineStr">
        <is>
          <t>MIBGAS_Data_2024.xlsx</t>
        </is>
      </c>
    </row>
    <row r="1481">
      <c r="A1481" s="53" t="n">
        <v>45307</v>
      </c>
      <c r="B1481" t="inlineStr">
        <is>
          <t>2024-01-16</t>
        </is>
      </c>
      <c r="C1481" s="45" t="n">
        <v>29.3</v>
      </c>
      <c r="D1481" t="inlineStr">
        <is>
          <t>€/MWh</t>
        </is>
      </c>
      <c r="E1481" s="54" t="n">
        <v>0.0293</v>
      </c>
      <c r="F1481" s="54" t="n"/>
      <c r="G1481" t="inlineStr">
        <is>
          <t>no aplica (precio mayorista)</t>
        </is>
      </c>
      <c r="J1481" t="inlineStr">
        <is>
          <t>2024-01-16</t>
        </is>
      </c>
      <c r="K1481" t="inlineStr">
        <is>
          <t>MIBGAS_Data_2024.xlsx</t>
        </is>
      </c>
    </row>
    <row r="1482">
      <c r="A1482" s="53" t="n">
        <v>45308</v>
      </c>
      <c r="B1482" t="inlineStr">
        <is>
          <t>2024-01-17</t>
        </is>
      </c>
      <c r="C1482" s="45" t="n">
        <v>28.07</v>
      </c>
      <c r="D1482" t="inlineStr">
        <is>
          <t>€/MWh</t>
        </is>
      </c>
      <c r="E1482" s="54" t="n">
        <v>0.02807</v>
      </c>
      <c r="F1482" s="54" t="n"/>
      <c r="G1482" t="inlineStr">
        <is>
          <t>no aplica (precio mayorista)</t>
        </is>
      </c>
      <c r="J1482" t="inlineStr">
        <is>
          <t>2024-01-17</t>
        </is>
      </c>
      <c r="K1482" t="inlineStr">
        <is>
          <t>MIBGAS_Data_2024.xlsx</t>
        </is>
      </c>
    </row>
    <row r="1483">
      <c r="A1483" s="53" t="n">
        <v>45309</v>
      </c>
      <c r="B1483" t="inlineStr">
        <is>
          <t>2024-01-18</t>
        </is>
      </c>
      <c r="C1483" s="45" t="n">
        <v>27.12</v>
      </c>
      <c r="D1483" t="inlineStr">
        <is>
          <t>€/MWh</t>
        </is>
      </c>
      <c r="E1483" s="54" t="n">
        <v>0.02712</v>
      </c>
      <c r="F1483" s="54" t="n"/>
      <c r="G1483" t="inlineStr">
        <is>
          <t>no aplica (precio mayorista)</t>
        </is>
      </c>
      <c r="J1483" t="inlineStr">
        <is>
          <t>2024-01-18</t>
        </is>
      </c>
      <c r="K1483" t="inlineStr">
        <is>
          <t>MIBGAS_Data_2024.xlsx</t>
        </is>
      </c>
    </row>
    <row r="1484">
      <c r="A1484" s="53" t="n">
        <v>45310</v>
      </c>
      <c r="B1484" t="inlineStr">
        <is>
          <t>2024-01-19</t>
        </is>
      </c>
      <c r="C1484" s="45" t="n">
        <v>27.54</v>
      </c>
      <c r="D1484" t="inlineStr">
        <is>
          <t>€/MWh</t>
        </is>
      </c>
      <c r="E1484" s="54" t="n">
        <v>0.02754</v>
      </c>
      <c r="F1484" s="54" t="n"/>
      <c r="G1484" t="inlineStr">
        <is>
          <t>no aplica (precio mayorista)</t>
        </is>
      </c>
      <c r="J1484" t="inlineStr">
        <is>
          <t>2024-01-19</t>
        </is>
      </c>
      <c r="K1484" t="inlineStr">
        <is>
          <t>MIBGAS_Data_2024.xlsx</t>
        </is>
      </c>
    </row>
    <row r="1485">
      <c r="A1485" s="53" t="n">
        <v>45311</v>
      </c>
      <c r="B1485" t="inlineStr">
        <is>
          <t>2024-01-20</t>
        </is>
      </c>
      <c r="C1485" s="45" t="n">
        <v>27.76</v>
      </c>
      <c r="D1485" t="inlineStr">
        <is>
          <t>€/MWh</t>
        </is>
      </c>
      <c r="E1485" s="54" t="n">
        <v>0.02776</v>
      </c>
      <c r="F1485" s="54" t="n"/>
      <c r="G1485" t="inlineStr">
        <is>
          <t>no aplica (precio mayorista)</t>
        </is>
      </c>
      <c r="J1485" t="inlineStr">
        <is>
          <t>2024-01-20</t>
        </is>
      </c>
      <c r="K1485" t="inlineStr">
        <is>
          <t>MIBGAS_Data_2024.xlsx</t>
        </is>
      </c>
    </row>
    <row r="1486">
      <c r="A1486" s="53" t="n">
        <v>45312</v>
      </c>
      <c r="B1486" t="inlineStr">
        <is>
          <t>2024-01-21</t>
        </is>
      </c>
      <c r="C1486" s="45" t="n">
        <v>27.67</v>
      </c>
      <c r="D1486" t="inlineStr">
        <is>
          <t>€/MWh</t>
        </is>
      </c>
      <c r="E1486" s="54" t="n">
        <v>0.02767</v>
      </c>
      <c r="F1486" s="54" t="n"/>
      <c r="G1486" t="inlineStr">
        <is>
          <t>no aplica (precio mayorista)</t>
        </is>
      </c>
      <c r="J1486" t="inlineStr">
        <is>
          <t>2024-01-21</t>
        </is>
      </c>
      <c r="K1486" t="inlineStr">
        <is>
          <t>MIBGAS_Data_2024.xlsx</t>
        </is>
      </c>
    </row>
    <row r="1487">
      <c r="A1487" s="53" t="n">
        <v>45313</v>
      </c>
      <c r="B1487" t="inlineStr">
        <is>
          <t>2024-01-22</t>
        </is>
      </c>
      <c r="C1487" s="45" t="n">
        <v>27.72</v>
      </c>
      <c r="D1487" t="inlineStr">
        <is>
          <t>€/MWh</t>
        </is>
      </c>
      <c r="E1487" s="54" t="n">
        <v>0.02772</v>
      </c>
      <c r="F1487" s="54" t="n"/>
      <c r="G1487" t="inlineStr">
        <is>
          <t>no aplica (precio mayorista)</t>
        </is>
      </c>
      <c r="J1487" t="inlineStr">
        <is>
          <t>2024-01-22</t>
        </is>
      </c>
      <c r="K1487" t="inlineStr">
        <is>
          <t>MIBGAS_Data_2024.xlsx</t>
        </is>
      </c>
    </row>
    <row r="1488">
      <c r="A1488" s="53" t="n">
        <v>45314</v>
      </c>
      <c r="B1488" t="inlineStr">
        <is>
          <t>2024-01-23</t>
        </is>
      </c>
      <c r="C1488" s="45" t="n">
        <v>26.91</v>
      </c>
      <c r="D1488" t="inlineStr">
        <is>
          <t>€/MWh</t>
        </is>
      </c>
      <c r="E1488" s="54" t="n">
        <v>0.02691</v>
      </c>
      <c r="F1488" s="54" t="n"/>
      <c r="G1488" t="inlineStr">
        <is>
          <t>no aplica (precio mayorista)</t>
        </is>
      </c>
      <c r="J1488" t="inlineStr">
        <is>
          <t>2024-01-23</t>
        </is>
      </c>
      <c r="K1488" t="inlineStr">
        <is>
          <t>MIBGAS_Data_2024.xlsx</t>
        </is>
      </c>
    </row>
    <row r="1489">
      <c r="A1489" s="53" t="n">
        <v>45315</v>
      </c>
      <c r="B1489" t="inlineStr">
        <is>
          <t>2024-01-24</t>
        </is>
      </c>
      <c r="C1489" s="45" t="n">
        <v>26.77</v>
      </c>
      <c r="D1489" t="inlineStr">
        <is>
          <t>€/MWh</t>
        </is>
      </c>
      <c r="E1489" s="54" t="n">
        <v>0.02677</v>
      </c>
      <c r="F1489" s="54" t="n"/>
      <c r="G1489" t="inlineStr">
        <is>
          <t>no aplica (precio mayorista)</t>
        </is>
      </c>
      <c r="J1489" t="inlineStr">
        <is>
          <t>2024-01-24</t>
        </is>
      </c>
      <c r="K1489" t="inlineStr">
        <is>
          <t>MIBGAS_Data_2024.xlsx</t>
        </is>
      </c>
    </row>
    <row r="1490">
      <c r="A1490" s="53" t="n">
        <v>45316</v>
      </c>
      <c r="B1490" t="inlineStr">
        <is>
          <t>2024-01-25</t>
        </is>
      </c>
      <c r="C1490" s="45" t="n">
        <v>27.85</v>
      </c>
      <c r="D1490" t="inlineStr">
        <is>
          <t>€/MWh</t>
        </is>
      </c>
      <c r="E1490" s="54" t="n">
        <v>0.02785</v>
      </c>
      <c r="F1490" s="54" t="n"/>
      <c r="G1490" t="inlineStr">
        <is>
          <t>no aplica (precio mayorista)</t>
        </is>
      </c>
      <c r="J1490" t="inlineStr">
        <is>
          <t>2024-01-25</t>
        </is>
      </c>
      <c r="K1490" t="inlineStr">
        <is>
          <t>MIBGAS_Data_2024.xlsx</t>
        </is>
      </c>
    </row>
    <row r="1491">
      <c r="A1491" s="53" t="n">
        <v>45317</v>
      </c>
      <c r="B1491" t="inlineStr">
        <is>
          <t>2024-01-26</t>
        </is>
      </c>
      <c r="C1491" s="45" t="n">
        <v>27.06</v>
      </c>
      <c r="D1491" t="inlineStr">
        <is>
          <t>€/MWh</t>
        </is>
      </c>
      <c r="E1491" s="54" t="n">
        <v>0.02706</v>
      </c>
      <c r="F1491" s="54" t="n"/>
      <c r="G1491" t="inlineStr">
        <is>
          <t>no aplica (precio mayorista)</t>
        </is>
      </c>
      <c r="J1491" t="inlineStr">
        <is>
          <t>2024-01-26</t>
        </is>
      </c>
      <c r="K1491" t="inlineStr">
        <is>
          <t>MIBGAS_Data_2024.xlsx</t>
        </is>
      </c>
    </row>
    <row r="1492">
      <c r="A1492" s="53" t="n">
        <v>45318</v>
      </c>
      <c r="B1492" t="inlineStr">
        <is>
          <t>2024-01-27</t>
        </is>
      </c>
      <c r="C1492" s="45" t="n">
        <v>26.84</v>
      </c>
      <c r="D1492" t="inlineStr">
        <is>
          <t>€/MWh</t>
        </is>
      </c>
      <c r="E1492" s="54" t="n">
        <v>0.02684</v>
      </c>
      <c r="F1492" s="54" t="n"/>
      <c r="G1492" t="inlineStr">
        <is>
          <t>no aplica (precio mayorista)</t>
        </is>
      </c>
      <c r="J1492" t="inlineStr">
        <is>
          <t>2024-01-27</t>
        </is>
      </c>
      <c r="K1492" t="inlineStr">
        <is>
          <t>MIBGAS_Data_2024.xlsx</t>
        </is>
      </c>
    </row>
    <row r="1493">
      <c r="A1493" s="53" t="n">
        <v>45319</v>
      </c>
      <c r="B1493" t="inlineStr">
        <is>
          <t>2024-01-28</t>
        </is>
      </c>
      <c r="C1493" s="45" t="n">
        <v>26.85</v>
      </c>
      <c r="D1493" t="inlineStr">
        <is>
          <t>€/MWh</t>
        </is>
      </c>
      <c r="E1493" s="54" t="n">
        <v>0.02685</v>
      </c>
      <c r="F1493" s="54" t="n"/>
      <c r="G1493" t="inlineStr">
        <is>
          <t>no aplica (precio mayorista)</t>
        </is>
      </c>
      <c r="J1493" t="inlineStr">
        <is>
          <t>2024-01-28</t>
        </is>
      </c>
      <c r="K1493" t="inlineStr">
        <is>
          <t>MIBGAS_Data_2024.xlsx</t>
        </is>
      </c>
    </row>
    <row r="1494">
      <c r="A1494" s="53" t="n">
        <v>45320</v>
      </c>
      <c r="B1494" t="inlineStr">
        <is>
          <t>2024-01-29</t>
        </is>
      </c>
      <c r="C1494" s="45" t="n">
        <v>27.45</v>
      </c>
      <c r="D1494" t="inlineStr">
        <is>
          <t>€/MWh</t>
        </is>
      </c>
      <c r="E1494" s="54" t="n">
        <v>0.02745</v>
      </c>
      <c r="F1494" s="54" t="n"/>
      <c r="G1494" t="inlineStr">
        <is>
          <t>no aplica (precio mayorista)</t>
        </is>
      </c>
      <c r="J1494" t="inlineStr">
        <is>
          <t>2024-01-29</t>
        </is>
      </c>
      <c r="K1494" t="inlineStr">
        <is>
          <t>MIBGAS_Data_2024.xlsx</t>
        </is>
      </c>
    </row>
    <row r="1495">
      <c r="A1495" s="53" t="n">
        <v>45321</v>
      </c>
      <c r="B1495" t="inlineStr">
        <is>
          <t>2024-01-30</t>
        </is>
      </c>
      <c r="C1495" s="45" t="n">
        <v>27.84</v>
      </c>
      <c r="D1495" t="inlineStr">
        <is>
          <t>€/MWh</t>
        </is>
      </c>
      <c r="E1495" s="54" t="n">
        <v>0.02784</v>
      </c>
      <c r="F1495" s="54" t="n"/>
      <c r="G1495" t="inlineStr">
        <is>
          <t>no aplica (precio mayorista)</t>
        </is>
      </c>
      <c r="J1495" t="inlineStr">
        <is>
          <t>2024-01-30</t>
        </is>
      </c>
      <c r="K1495" t="inlineStr">
        <is>
          <t>MIBGAS_Data_2024.xlsx</t>
        </is>
      </c>
    </row>
    <row r="1496">
      <c r="A1496" s="53" t="n">
        <v>45322</v>
      </c>
      <c r="B1496" t="inlineStr">
        <is>
          <t>2024-01-31</t>
        </is>
      </c>
      <c r="C1496" s="45" t="n">
        <v>28.81</v>
      </c>
      <c r="D1496" t="inlineStr">
        <is>
          <t>€/MWh</t>
        </is>
      </c>
      <c r="E1496" s="54" t="n">
        <v>0.02881</v>
      </c>
      <c r="F1496" s="54" t="n"/>
      <c r="G1496" t="inlineStr">
        <is>
          <t>no aplica (precio mayorista)</t>
        </is>
      </c>
      <c r="J1496" t="inlineStr">
        <is>
          <t>2024-01-31</t>
        </is>
      </c>
      <c r="K1496" t="inlineStr">
        <is>
          <t>MIBGAS_Data_2024.xlsx</t>
        </is>
      </c>
    </row>
    <row r="1497">
      <c r="A1497" s="53" t="n">
        <v>45323</v>
      </c>
      <c r="B1497" t="inlineStr">
        <is>
          <t>2024-02-01</t>
        </is>
      </c>
      <c r="C1497" s="45" t="n">
        <v>28.94</v>
      </c>
      <c r="D1497" t="inlineStr">
        <is>
          <t>€/MWh</t>
        </is>
      </c>
      <c r="E1497" s="54" t="n">
        <v>0.02894</v>
      </c>
      <c r="F1497" s="54" t="n"/>
      <c r="G1497" t="inlineStr">
        <is>
          <t>no aplica (precio mayorista)</t>
        </is>
      </c>
      <c r="J1497" t="inlineStr">
        <is>
          <t>2024-02-01</t>
        </is>
      </c>
      <c r="K1497" t="inlineStr">
        <is>
          <t>MIBGAS_Data_2024.xlsx</t>
        </is>
      </c>
    </row>
    <row r="1498">
      <c r="A1498" s="53" t="n">
        <v>45324</v>
      </c>
      <c r="B1498" t="inlineStr">
        <is>
          <t>2024-02-02</t>
        </is>
      </c>
      <c r="C1498" s="45" t="n">
        <v>28.08</v>
      </c>
      <c r="D1498" t="inlineStr">
        <is>
          <t>€/MWh</t>
        </is>
      </c>
      <c r="E1498" s="54" t="n">
        <v>0.02808</v>
      </c>
      <c r="F1498" s="54" t="n"/>
      <c r="G1498" t="inlineStr">
        <is>
          <t>no aplica (precio mayorista)</t>
        </is>
      </c>
      <c r="J1498" t="inlineStr">
        <is>
          <t>2024-02-02</t>
        </is>
      </c>
      <c r="K1498" t="inlineStr">
        <is>
          <t>MIBGAS_Data_2024.xlsx</t>
        </is>
      </c>
    </row>
    <row r="1499">
      <c r="A1499" s="53" t="n">
        <v>45325</v>
      </c>
      <c r="B1499" t="inlineStr">
        <is>
          <t>2024-02-03</t>
        </is>
      </c>
      <c r="C1499" s="45" t="n">
        <v>28.23</v>
      </c>
      <c r="D1499" t="inlineStr">
        <is>
          <t>€/MWh</t>
        </is>
      </c>
      <c r="E1499" s="54" t="n">
        <v>0.02823</v>
      </c>
      <c r="F1499" s="54" t="n"/>
      <c r="G1499" t="inlineStr">
        <is>
          <t>no aplica (precio mayorista)</t>
        </is>
      </c>
      <c r="J1499" t="inlineStr">
        <is>
          <t>2024-02-03</t>
        </is>
      </c>
      <c r="K1499" t="inlineStr">
        <is>
          <t>MIBGAS_Data_2024.xlsx</t>
        </is>
      </c>
    </row>
    <row r="1500">
      <c r="A1500" s="53" t="n">
        <v>45326</v>
      </c>
      <c r="B1500" t="inlineStr">
        <is>
          <t>2024-02-04</t>
        </is>
      </c>
      <c r="C1500" s="45" t="n">
        <v>28.61</v>
      </c>
      <c r="D1500" t="inlineStr">
        <is>
          <t>€/MWh</t>
        </is>
      </c>
      <c r="E1500" s="54" t="n">
        <v>0.02861</v>
      </c>
      <c r="F1500" s="54" t="n"/>
      <c r="G1500" t="inlineStr">
        <is>
          <t>no aplica (precio mayorista)</t>
        </is>
      </c>
      <c r="J1500" t="inlineStr">
        <is>
          <t>2024-02-04</t>
        </is>
      </c>
      <c r="K1500" t="inlineStr">
        <is>
          <t>MIBGAS_Data_2024.xlsx</t>
        </is>
      </c>
    </row>
    <row r="1501">
      <c r="A1501" s="53" t="n">
        <v>45327</v>
      </c>
      <c r="B1501" t="inlineStr">
        <is>
          <t>2024-02-05</t>
        </is>
      </c>
      <c r="C1501" s="45" t="n">
        <v>29.03</v>
      </c>
      <c r="D1501" t="inlineStr">
        <is>
          <t>€/MWh</t>
        </is>
      </c>
      <c r="E1501" s="54" t="n">
        <v>0.02903</v>
      </c>
      <c r="F1501" s="54" t="n"/>
      <c r="G1501" t="inlineStr">
        <is>
          <t>no aplica (precio mayorista)</t>
        </is>
      </c>
      <c r="J1501" t="inlineStr">
        <is>
          <t>2024-02-05</t>
        </is>
      </c>
      <c r="K1501" t="inlineStr">
        <is>
          <t>MIBGAS_Data_2024.xlsx</t>
        </is>
      </c>
    </row>
    <row r="1502">
      <c r="A1502" s="53" t="n">
        <v>45328</v>
      </c>
      <c r="B1502" t="inlineStr">
        <is>
          <t>2024-02-06</t>
        </is>
      </c>
      <c r="C1502" s="45" t="n">
        <v>27.93</v>
      </c>
      <c r="D1502" t="inlineStr">
        <is>
          <t>€/MWh</t>
        </is>
      </c>
      <c r="E1502" s="54" t="n">
        <v>0.02793</v>
      </c>
      <c r="F1502" s="54" t="n"/>
      <c r="G1502" t="inlineStr">
        <is>
          <t>no aplica (precio mayorista)</t>
        </is>
      </c>
      <c r="J1502" t="inlineStr">
        <is>
          <t>2024-02-06</t>
        </is>
      </c>
      <c r="K1502" t="inlineStr">
        <is>
          <t>MIBGAS_Data_2024.xlsx</t>
        </is>
      </c>
    </row>
    <row r="1503">
      <c r="A1503" s="53" t="n">
        <v>45329</v>
      </c>
      <c r="B1503" t="inlineStr">
        <is>
          <t>2024-02-07</t>
        </is>
      </c>
      <c r="C1503" s="45" t="n">
        <v>27.61</v>
      </c>
      <c r="D1503" t="inlineStr">
        <is>
          <t>€/MWh</t>
        </is>
      </c>
      <c r="E1503" s="54" t="n">
        <v>0.02761</v>
      </c>
      <c r="F1503" s="54" t="n"/>
      <c r="G1503" t="inlineStr">
        <is>
          <t>no aplica (precio mayorista)</t>
        </is>
      </c>
      <c r="J1503" t="inlineStr">
        <is>
          <t>2024-02-07</t>
        </is>
      </c>
      <c r="K1503" t="inlineStr">
        <is>
          <t>MIBGAS_Data_2024.xlsx</t>
        </is>
      </c>
    </row>
    <row r="1504">
      <c r="A1504" s="53" t="n">
        <v>45330</v>
      </c>
      <c r="B1504" t="inlineStr">
        <is>
          <t>2024-02-08</t>
        </is>
      </c>
      <c r="C1504" s="45" t="n">
        <v>27.29</v>
      </c>
      <c r="D1504" t="inlineStr">
        <is>
          <t>€/MWh</t>
        </is>
      </c>
      <c r="E1504" s="54" t="n">
        <v>0.02729</v>
      </c>
      <c r="F1504" s="54" t="n"/>
      <c r="G1504" t="inlineStr">
        <is>
          <t>no aplica (precio mayorista)</t>
        </is>
      </c>
      <c r="J1504" t="inlineStr">
        <is>
          <t>2024-02-08</t>
        </is>
      </c>
      <c r="K1504" t="inlineStr">
        <is>
          <t>MIBGAS_Data_2024.xlsx</t>
        </is>
      </c>
    </row>
    <row r="1505">
      <c r="A1505" s="53" t="n">
        <v>45331</v>
      </c>
      <c r="B1505" t="inlineStr">
        <is>
          <t>2024-02-09</t>
        </is>
      </c>
      <c r="C1505" s="45" t="n">
        <v>27.02</v>
      </c>
      <c r="D1505" t="inlineStr">
        <is>
          <t>€/MWh</t>
        </is>
      </c>
      <c r="E1505" s="54" t="n">
        <v>0.02702</v>
      </c>
      <c r="F1505" s="54" t="n"/>
      <c r="G1505" t="inlineStr">
        <is>
          <t>no aplica (precio mayorista)</t>
        </is>
      </c>
      <c r="J1505" t="inlineStr">
        <is>
          <t>2024-02-09</t>
        </is>
      </c>
      <c r="K1505" t="inlineStr">
        <is>
          <t>MIBGAS_Data_2024.xlsx</t>
        </is>
      </c>
    </row>
    <row r="1506">
      <c r="A1506" s="53" t="n">
        <v>45332</v>
      </c>
      <c r="B1506" t="inlineStr">
        <is>
          <t>2024-02-10</t>
        </is>
      </c>
      <c r="C1506" s="45" t="n">
        <v>26.27</v>
      </c>
      <c r="D1506" t="inlineStr">
        <is>
          <t>€/MWh</t>
        </is>
      </c>
      <c r="E1506" s="54" t="n">
        <v>0.02627</v>
      </c>
      <c r="F1506" s="54" t="n"/>
      <c r="G1506" t="inlineStr">
        <is>
          <t>no aplica (precio mayorista)</t>
        </is>
      </c>
      <c r="J1506" t="inlineStr">
        <is>
          <t>2024-02-10</t>
        </is>
      </c>
      <c r="K1506" t="inlineStr">
        <is>
          <t>MIBGAS_Data_2024.xlsx</t>
        </is>
      </c>
    </row>
    <row r="1507">
      <c r="A1507" s="53" t="n">
        <v>45333</v>
      </c>
      <c r="B1507" t="inlineStr">
        <is>
          <t>2024-02-11</t>
        </is>
      </c>
      <c r="C1507" s="45" t="n">
        <v>26.37</v>
      </c>
      <c r="D1507" t="inlineStr">
        <is>
          <t>€/MWh</t>
        </is>
      </c>
      <c r="E1507" s="54" t="n">
        <v>0.02637</v>
      </c>
      <c r="F1507" s="54" t="n"/>
      <c r="G1507" t="inlineStr">
        <is>
          <t>no aplica (precio mayorista)</t>
        </is>
      </c>
      <c r="J1507" t="inlineStr">
        <is>
          <t>2024-02-11</t>
        </is>
      </c>
      <c r="K1507" t="inlineStr">
        <is>
          <t>MIBGAS_Data_2024.xlsx</t>
        </is>
      </c>
    </row>
    <row r="1508">
      <c r="A1508" s="53" t="n">
        <v>45334</v>
      </c>
      <c r="B1508" t="inlineStr">
        <is>
          <t>2024-02-12</t>
        </is>
      </c>
      <c r="C1508" s="45" t="n">
        <v>26.11</v>
      </c>
      <c r="D1508" t="inlineStr">
        <is>
          <t>€/MWh</t>
        </is>
      </c>
      <c r="E1508" s="54" t="n">
        <v>0.02611</v>
      </c>
      <c r="F1508" s="54" t="n"/>
      <c r="G1508" t="inlineStr">
        <is>
          <t>no aplica (precio mayorista)</t>
        </is>
      </c>
      <c r="J1508" t="inlineStr">
        <is>
          <t>2024-02-12</t>
        </is>
      </c>
      <c r="K1508" t="inlineStr">
        <is>
          <t>MIBGAS_Data_2024.xlsx</t>
        </is>
      </c>
    </row>
    <row r="1509">
      <c r="A1509" s="53" t="n">
        <v>45335</v>
      </c>
      <c r="B1509" t="inlineStr">
        <is>
          <t>2024-02-13</t>
        </is>
      </c>
      <c r="C1509" s="45" t="n">
        <v>25.55</v>
      </c>
      <c r="D1509" t="inlineStr">
        <is>
          <t>€/MWh</t>
        </is>
      </c>
      <c r="E1509" s="54" t="n">
        <v>0.02555</v>
      </c>
      <c r="F1509" s="54" t="n"/>
      <c r="G1509" t="inlineStr">
        <is>
          <t>no aplica (precio mayorista)</t>
        </is>
      </c>
      <c r="J1509" t="inlineStr">
        <is>
          <t>2024-02-13</t>
        </is>
      </c>
      <c r="K1509" t="inlineStr">
        <is>
          <t>MIBGAS_Data_2024.xlsx</t>
        </is>
      </c>
    </row>
    <row r="1510">
      <c r="A1510" s="53" t="n">
        <v>45336</v>
      </c>
      <c r="B1510" t="inlineStr">
        <is>
          <t>2024-02-14</t>
        </is>
      </c>
      <c r="C1510" s="45" t="n">
        <v>25.08</v>
      </c>
      <c r="D1510" t="inlineStr">
        <is>
          <t>€/MWh</t>
        </is>
      </c>
      <c r="E1510" s="54" t="n">
        <v>0.02508</v>
      </c>
      <c r="F1510" s="54" t="n"/>
      <c r="G1510" t="inlineStr">
        <is>
          <t>no aplica (precio mayorista)</t>
        </is>
      </c>
      <c r="J1510" t="inlineStr">
        <is>
          <t>2024-02-14</t>
        </is>
      </c>
      <c r="K1510" t="inlineStr">
        <is>
          <t>MIBGAS_Data_2024.xlsx</t>
        </is>
      </c>
    </row>
    <row r="1511">
      <c r="A1511" s="53" t="n">
        <v>45337</v>
      </c>
      <c r="B1511" t="inlineStr">
        <is>
          <t>2024-02-15</t>
        </is>
      </c>
      <c r="C1511" s="45" t="n">
        <v>24.58</v>
      </c>
      <c r="D1511" t="inlineStr">
        <is>
          <t>€/MWh</t>
        </is>
      </c>
      <c r="E1511" s="54" t="n">
        <v>0.02458</v>
      </c>
      <c r="F1511" s="54" t="n"/>
      <c r="G1511" t="inlineStr">
        <is>
          <t>no aplica (precio mayorista)</t>
        </is>
      </c>
      <c r="J1511" t="inlineStr">
        <is>
          <t>2024-02-15</t>
        </is>
      </c>
      <c r="K1511" t="inlineStr">
        <is>
          <t>MIBGAS_Data_2024.xlsx</t>
        </is>
      </c>
    </row>
    <row r="1512">
      <c r="A1512" s="53" t="n">
        <v>45338</v>
      </c>
      <c r="B1512" t="inlineStr">
        <is>
          <t>2024-02-16</t>
        </is>
      </c>
      <c r="C1512" s="45" t="n">
        <v>24.66</v>
      </c>
      <c r="D1512" t="inlineStr">
        <is>
          <t>€/MWh</t>
        </is>
      </c>
      <c r="E1512" s="54" t="n">
        <v>0.02466</v>
      </c>
      <c r="F1512" s="54" t="n"/>
      <c r="G1512" t="inlineStr">
        <is>
          <t>no aplica (precio mayorista)</t>
        </is>
      </c>
      <c r="J1512" t="inlineStr">
        <is>
          <t>2024-02-16</t>
        </is>
      </c>
      <c r="K1512" t="inlineStr">
        <is>
          <t>MIBGAS_Data_2024.xlsx</t>
        </is>
      </c>
    </row>
    <row r="1513">
      <c r="A1513" s="53" t="n">
        <v>45339</v>
      </c>
      <c r="B1513" t="inlineStr">
        <is>
          <t>2024-02-17</t>
        </is>
      </c>
      <c r="C1513" s="45" t="n">
        <v>24.5</v>
      </c>
      <c r="D1513" t="inlineStr">
        <is>
          <t>€/MWh</t>
        </is>
      </c>
      <c r="E1513" s="54" t="n">
        <v>0.0245</v>
      </c>
      <c r="F1513" s="54" t="n"/>
      <c r="G1513" t="inlineStr">
        <is>
          <t>no aplica (precio mayorista)</t>
        </is>
      </c>
      <c r="J1513" t="inlineStr">
        <is>
          <t>2024-02-17</t>
        </is>
      </c>
      <c r="K1513" t="inlineStr">
        <is>
          <t>MIBGAS_Data_2024.xlsx</t>
        </is>
      </c>
    </row>
    <row r="1514">
      <c r="A1514" s="53" t="n">
        <v>45340</v>
      </c>
      <c r="B1514" t="inlineStr">
        <is>
          <t>2024-02-18</t>
        </is>
      </c>
      <c r="C1514" s="45" t="n">
        <v>24.47</v>
      </c>
      <c r="D1514" t="inlineStr">
        <is>
          <t>€/MWh</t>
        </is>
      </c>
      <c r="E1514" s="54" t="n">
        <v>0.02447</v>
      </c>
      <c r="F1514" s="54" t="n"/>
      <c r="G1514" t="inlineStr">
        <is>
          <t>no aplica (precio mayorista)</t>
        </is>
      </c>
      <c r="J1514" t="inlineStr">
        <is>
          <t>2024-02-18</t>
        </is>
      </c>
      <c r="K1514" t="inlineStr">
        <is>
          <t>MIBGAS_Data_2024.xlsx</t>
        </is>
      </c>
    </row>
    <row r="1515">
      <c r="A1515" s="53" t="n">
        <v>45341</v>
      </c>
      <c r="B1515" t="inlineStr">
        <is>
          <t>2024-02-19</t>
        </is>
      </c>
      <c r="C1515" s="45" t="n">
        <v>24.01</v>
      </c>
      <c r="D1515" t="inlineStr">
        <is>
          <t>€/MWh</t>
        </is>
      </c>
      <c r="E1515" s="54" t="n">
        <v>0.02401</v>
      </c>
      <c r="F1515" s="54" t="n"/>
      <c r="G1515" t="inlineStr">
        <is>
          <t>no aplica (precio mayorista)</t>
        </is>
      </c>
      <c r="J1515" t="inlineStr">
        <is>
          <t>2024-02-19</t>
        </is>
      </c>
      <c r="K1515" t="inlineStr">
        <is>
          <t>MIBGAS_Data_2024.xlsx</t>
        </is>
      </c>
    </row>
    <row r="1516">
      <c r="A1516" s="53" t="n">
        <v>45342</v>
      </c>
      <c r="B1516" t="inlineStr">
        <is>
          <t>2024-02-20</t>
        </is>
      </c>
      <c r="C1516" s="45" t="n">
        <v>23.67</v>
      </c>
      <c r="D1516" t="inlineStr">
        <is>
          <t>€/MWh</t>
        </is>
      </c>
      <c r="E1516" s="54" t="n">
        <v>0.02367</v>
      </c>
      <c r="F1516" s="54" t="n"/>
      <c r="G1516" t="inlineStr">
        <is>
          <t>no aplica (precio mayorista)</t>
        </is>
      </c>
      <c r="J1516" t="inlineStr">
        <is>
          <t>2024-02-20</t>
        </is>
      </c>
      <c r="K1516" t="inlineStr">
        <is>
          <t>MIBGAS_Data_2024.xlsx</t>
        </is>
      </c>
    </row>
    <row r="1517">
      <c r="A1517" s="53" t="n">
        <v>45343</v>
      </c>
      <c r="B1517" t="inlineStr">
        <is>
          <t>2024-02-21</t>
        </is>
      </c>
      <c r="C1517" s="45" t="n">
        <v>23.7</v>
      </c>
      <c r="D1517" t="inlineStr">
        <is>
          <t>€/MWh</t>
        </is>
      </c>
      <c r="E1517" s="54" t="n">
        <v>0.0237</v>
      </c>
      <c r="F1517" s="54" t="n"/>
      <c r="G1517" t="inlineStr">
        <is>
          <t>no aplica (precio mayorista)</t>
        </is>
      </c>
      <c r="J1517" t="inlineStr">
        <is>
          <t>2024-02-21</t>
        </is>
      </c>
      <c r="K1517" t="inlineStr">
        <is>
          <t>MIBGAS_Data_2024.xlsx</t>
        </is>
      </c>
    </row>
    <row r="1518">
      <c r="A1518" s="53" t="n">
        <v>45344</v>
      </c>
      <c r="B1518" t="inlineStr">
        <is>
          <t>2024-02-22</t>
        </is>
      </c>
      <c r="C1518" s="45" t="n">
        <v>23.53</v>
      </c>
      <c r="D1518" t="inlineStr">
        <is>
          <t>€/MWh</t>
        </is>
      </c>
      <c r="E1518" s="54" t="n">
        <v>0.02353</v>
      </c>
      <c r="F1518" s="54" t="n"/>
      <c r="G1518" t="inlineStr">
        <is>
          <t>no aplica (precio mayorista)</t>
        </is>
      </c>
      <c r="J1518" t="inlineStr">
        <is>
          <t>2024-02-22</t>
        </is>
      </c>
      <c r="K1518" t="inlineStr">
        <is>
          <t>MIBGAS_Data_2024.xlsx</t>
        </is>
      </c>
    </row>
    <row r="1519">
      <c r="A1519" s="53" t="n">
        <v>45345</v>
      </c>
      <c r="B1519" t="inlineStr">
        <is>
          <t>2024-02-23</t>
        </is>
      </c>
      <c r="C1519" s="45" t="n">
        <v>22.93</v>
      </c>
      <c r="D1519" t="inlineStr">
        <is>
          <t>€/MWh</t>
        </is>
      </c>
      <c r="E1519" s="54" t="n">
        <v>0.02293</v>
      </c>
      <c r="F1519" s="54" t="n"/>
      <c r="G1519" t="inlineStr">
        <is>
          <t>no aplica (precio mayorista)</t>
        </is>
      </c>
      <c r="J1519" t="inlineStr">
        <is>
          <t>2024-02-23</t>
        </is>
      </c>
      <c r="K1519" t="inlineStr">
        <is>
          <t>MIBGAS_Data_2024.xlsx</t>
        </is>
      </c>
    </row>
    <row r="1520">
      <c r="A1520" s="53" t="n">
        <v>45346</v>
      </c>
      <c r="B1520" t="inlineStr">
        <is>
          <t>2024-02-24</t>
        </is>
      </c>
      <c r="C1520" s="45" t="n">
        <v>22.64</v>
      </c>
      <c r="D1520" t="inlineStr">
        <is>
          <t>€/MWh</t>
        </is>
      </c>
      <c r="E1520" s="54" t="n">
        <v>0.02264</v>
      </c>
      <c r="F1520" s="54" t="n"/>
      <c r="G1520" t="inlineStr">
        <is>
          <t>no aplica (precio mayorista)</t>
        </is>
      </c>
      <c r="J1520" t="inlineStr">
        <is>
          <t>2024-02-24</t>
        </is>
      </c>
      <c r="K1520" t="inlineStr">
        <is>
          <t>MIBGAS_Data_2024.xlsx</t>
        </is>
      </c>
    </row>
    <row r="1521">
      <c r="A1521" s="53" t="n">
        <v>45347</v>
      </c>
      <c r="B1521" t="inlineStr">
        <is>
          <t>2024-02-25</t>
        </is>
      </c>
      <c r="C1521" s="45" t="n">
        <v>23.07</v>
      </c>
      <c r="D1521" t="inlineStr">
        <is>
          <t>€/MWh</t>
        </is>
      </c>
      <c r="E1521" s="54" t="n">
        <v>0.02307</v>
      </c>
      <c r="F1521" s="54" t="n"/>
      <c r="G1521" t="inlineStr">
        <is>
          <t>no aplica (precio mayorista)</t>
        </is>
      </c>
      <c r="J1521" t="inlineStr">
        <is>
          <t>2024-02-25</t>
        </is>
      </c>
      <c r="K1521" t="inlineStr">
        <is>
          <t>MIBGAS_Data_2024.xlsx</t>
        </is>
      </c>
    </row>
    <row r="1522">
      <c r="A1522" s="53" t="n">
        <v>45348</v>
      </c>
      <c r="B1522" t="inlineStr">
        <is>
          <t>2024-02-26</t>
        </is>
      </c>
      <c r="C1522" s="45" t="n">
        <v>23.21</v>
      </c>
      <c r="D1522" t="inlineStr">
        <is>
          <t>€/MWh</t>
        </is>
      </c>
      <c r="E1522" s="54" t="n">
        <v>0.02321</v>
      </c>
      <c r="F1522" s="54" t="n"/>
      <c r="G1522" t="inlineStr">
        <is>
          <t>no aplica (precio mayorista)</t>
        </is>
      </c>
      <c r="J1522" t="inlineStr">
        <is>
          <t>2024-02-26</t>
        </is>
      </c>
      <c r="K1522" t="inlineStr">
        <is>
          <t>MIBGAS_Data_2024.xlsx</t>
        </is>
      </c>
    </row>
    <row r="1523">
      <c r="A1523" s="53" t="n">
        <v>45349</v>
      </c>
      <c r="B1523" t="inlineStr">
        <is>
          <t>2024-02-27</t>
        </is>
      </c>
      <c r="C1523" s="45" t="n">
        <v>23.66</v>
      </c>
      <c r="D1523" t="inlineStr">
        <is>
          <t>€/MWh</t>
        </is>
      </c>
      <c r="E1523" s="54" t="n">
        <v>0.02366</v>
      </c>
      <c r="F1523" s="54" t="n"/>
      <c r="G1523" t="inlineStr">
        <is>
          <t>no aplica (precio mayorista)</t>
        </is>
      </c>
      <c r="J1523" t="inlineStr">
        <is>
          <t>2024-02-27</t>
        </is>
      </c>
      <c r="K1523" t="inlineStr">
        <is>
          <t>MIBGAS_Data_2024.xlsx</t>
        </is>
      </c>
    </row>
    <row r="1524">
      <c r="A1524" s="53" t="n">
        <v>45350</v>
      </c>
      <c r="B1524" t="inlineStr">
        <is>
          <t>2024-02-28</t>
        </is>
      </c>
      <c r="C1524" s="45" t="n">
        <v>24.39</v>
      </c>
      <c r="D1524" t="inlineStr">
        <is>
          <t>€/MWh</t>
        </is>
      </c>
      <c r="E1524" s="54" t="n">
        <v>0.02439</v>
      </c>
      <c r="F1524" s="54" t="n"/>
      <c r="G1524" t="inlineStr">
        <is>
          <t>no aplica (precio mayorista)</t>
        </is>
      </c>
      <c r="J1524" t="inlineStr">
        <is>
          <t>2024-02-28</t>
        </is>
      </c>
      <c r="K1524" t="inlineStr">
        <is>
          <t>MIBGAS_Data_2024.xlsx</t>
        </is>
      </c>
    </row>
    <row r="1525">
      <c r="A1525" s="53" t="n">
        <v>45351</v>
      </c>
      <c r="B1525" t="inlineStr">
        <is>
          <t>2024-02-29</t>
        </is>
      </c>
      <c r="C1525" s="45" t="n">
        <v>24.64</v>
      </c>
      <c r="D1525" t="inlineStr">
        <is>
          <t>€/MWh</t>
        </is>
      </c>
      <c r="E1525" s="54" t="n">
        <v>0.02464</v>
      </c>
      <c r="F1525" s="54" t="n"/>
      <c r="G1525" t="inlineStr">
        <is>
          <t>no aplica (precio mayorista)</t>
        </is>
      </c>
      <c r="J1525" t="inlineStr">
        <is>
          <t>2024-02-29</t>
        </is>
      </c>
      <c r="K1525" t="inlineStr">
        <is>
          <t>MIBGAS_Data_2024.xlsx</t>
        </is>
      </c>
    </row>
    <row r="1526">
      <c r="A1526" s="53" t="n">
        <v>45352</v>
      </c>
      <c r="B1526" t="inlineStr">
        <is>
          <t>2024-03-01</t>
        </is>
      </c>
      <c r="C1526" s="45" t="n">
        <v>24.65</v>
      </c>
      <c r="D1526" t="inlineStr">
        <is>
          <t>€/MWh</t>
        </is>
      </c>
      <c r="E1526" s="54" t="n">
        <v>0.02465</v>
      </c>
      <c r="F1526" s="54" t="n"/>
      <c r="G1526" t="inlineStr">
        <is>
          <t>no aplica (precio mayorista)</t>
        </is>
      </c>
      <c r="J1526" t="inlineStr">
        <is>
          <t>2024-03-01</t>
        </is>
      </c>
      <c r="K1526" t="inlineStr">
        <is>
          <t>MIBGAS_Data_2024.xlsx</t>
        </is>
      </c>
    </row>
    <row r="1527">
      <c r="A1527" s="53" t="n">
        <v>45353</v>
      </c>
      <c r="B1527" t="inlineStr">
        <is>
          <t>2024-03-02</t>
        </is>
      </c>
      <c r="C1527" s="45" t="n">
        <v>24.9</v>
      </c>
      <c r="D1527" t="inlineStr">
        <is>
          <t>€/MWh</t>
        </is>
      </c>
      <c r="E1527" s="54" t="n">
        <v>0.0249</v>
      </c>
      <c r="F1527" s="54" t="n"/>
      <c r="G1527" t="inlineStr">
        <is>
          <t>no aplica (precio mayorista)</t>
        </is>
      </c>
      <c r="J1527" t="inlineStr">
        <is>
          <t>2024-03-02</t>
        </is>
      </c>
      <c r="K1527" t="inlineStr">
        <is>
          <t>MIBGAS_Data_2024.xlsx</t>
        </is>
      </c>
    </row>
    <row r="1528">
      <c r="A1528" s="53" t="n">
        <v>45354</v>
      </c>
      <c r="B1528" t="inlineStr">
        <is>
          <t>2024-03-03</t>
        </is>
      </c>
      <c r="C1528" s="45" t="n">
        <v>24.97</v>
      </c>
      <c r="D1528" t="inlineStr">
        <is>
          <t>€/MWh</t>
        </is>
      </c>
      <c r="E1528" s="54" t="n">
        <v>0.02497</v>
      </c>
      <c r="F1528" s="54" t="n"/>
      <c r="G1528" t="inlineStr">
        <is>
          <t>no aplica (precio mayorista)</t>
        </is>
      </c>
      <c r="J1528" t="inlineStr">
        <is>
          <t>2024-03-03</t>
        </is>
      </c>
      <c r="K1528" t="inlineStr">
        <is>
          <t>MIBGAS_Data_2024.xlsx</t>
        </is>
      </c>
    </row>
    <row r="1529">
      <c r="A1529" s="53" t="n">
        <v>45355</v>
      </c>
      <c r="B1529" t="inlineStr">
        <is>
          <t>2024-03-04</t>
        </is>
      </c>
      <c r="C1529" s="45" t="n">
        <v>25.2</v>
      </c>
      <c r="D1529" t="inlineStr">
        <is>
          <t>€/MWh</t>
        </is>
      </c>
      <c r="E1529" s="54" t="n">
        <v>0.0252</v>
      </c>
      <c r="F1529" s="54" t="n"/>
      <c r="G1529" t="inlineStr">
        <is>
          <t>no aplica (precio mayorista)</t>
        </is>
      </c>
      <c r="J1529" t="inlineStr">
        <is>
          <t>2024-03-04</t>
        </is>
      </c>
      <c r="K1529" t="inlineStr">
        <is>
          <t>MIBGAS_Data_2024.xlsx</t>
        </is>
      </c>
    </row>
    <row r="1530">
      <c r="A1530" s="53" t="n">
        <v>45356</v>
      </c>
      <c r="B1530" t="inlineStr">
        <is>
          <t>2024-03-05</t>
        </is>
      </c>
      <c r="C1530" s="45" t="n">
        <v>26.34</v>
      </c>
      <c r="D1530" t="inlineStr">
        <is>
          <t>€/MWh</t>
        </is>
      </c>
      <c r="E1530" s="54" t="n">
        <v>0.02634</v>
      </c>
      <c r="F1530" s="54" t="n"/>
      <c r="G1530" t="inlineStr">
        <is>
          <t>no aplica (precio mayorista)</t>
        </is>
      </c>
      <c r="J1530" t="inlineStr">
        <is>
          <t>2024-03-05</t>
        </is>
      </c>
      <c r="K1530" t="inlineStr">
        <is>
          <t>MIBGAS_Data_2024.xlsx</t>
        </is>
      </c>
    </row>
    <row r="1531">
      <c r="A1531" s="53" t="n">
        <v>45357</v>
      </c>
      <c r="B1531" t="inlineStr">
        <is>
          <t>2024-03-06</t>
        </is>
      </c>
      <c r="C1531" s="45" t="n">
        <v>27.36</v>
      </c>
      <c r="D1531" t="inlineStr">
        <is>
          <t>€/MWh</t>
        </is>
      </c>
      <c r="E1531" s="54" t="n">
        <v>0.02736</v>
      </c>
      <c r="F1531" s="54" t="n"/>
      <c r="G1531" t="inlineStr">
        <is>
          <t>no aplica (precio mayorista)</t>
        </is>
      </c>
      <c r="J1531" t="inlineStr">
        <is>
          <t>2024-03-06</t>
        </is>
      </c>
      <c r="K1531" t="inlineStr">
        <is>
          <t>MIBGAS_Data_2024.xlsx</t>
        </is>
      </c>
    </row>
    <row r="1532">
      <c r="A1532" s="53" t="n">
        <v>45358</v>
      </c>
      <c r="B1532" t="inlineStr">
        <is>
          <t>2024-03-07</t>
        </is>
      </c>
      <c r="C1532" s="45" t="n">
        <v>26.81</v>
      </c>
      <c r="D1532" t="inlineStr">
        <is>
          <t>€/MWh</t>
        </is>
      </c>
      <c r="E1532" s="54" t="n">
        <v>0.02681</v>
      </c>
      <c r="F1532" s="54" t="n"/>
      <c r="G1532" t="inlineStr">
        <is>
          <t>no aplica (precio mayorista)</t>
        </is>
      </c>
      <c r="J1532" t="inlineStr">
        <is>
          <t>2024-03-07</t>
        </is>
      </c>
      <c r="K1532" t="inlineStr">
        <is>
          <t>MIBGAS_Data_2024.xlsx</t>
        </is>
      </c>
    </row>
    <row r="1533">
      <c r="A1533" s="53" t="n">
        <v>45359</v>
      </c>
      <c r="B1533" t="inlineStr">
        <is>
          <t>2024-03-08</t>
        </is>
      </c>
      <c r="C1533" s="45" t="n">
        <v>26.1</v>
      </c>
      <c r="D1533" t="inlineStr">
        <is>
          <t>€/MWh</t>
        </is>
      </c>
      <c r="E1533" s="54" t="n">
        <v>0.0261</v>
      </c>
      <c r="F1533" s="54" t="n"/>
      <c r="G1533" t="inlineStr">
        <is>
          <t>no aplica (precio mayorista)</t>
        </is>
      </c>
      <c r="J1533" t="inlineStr">
        <is>
          <t>2024-03-08</t>
        </is>
      </c>
      <c r="K1533" t="inlineStr">
        <is>
          <t>MIBGAS_Data_2024.xlsx</t>
        </is>
      </c>
    </row>
    <row r="1534">
      <c r="A1534" s="53" t="n">
        <v>45360</v>
      </c>
      <c r="B1534" t="inlineStr">
        <is>
          <t>2024-03-09</t>
        </is>
      </c>
      <c r="C1534" s="45" t="n">
        <v>26.48</v>
      </c>
      <c r="D1534" t="inlineStr">
        <is>
          <t>€/MWh</t>
        </is>
      </c>
      <c r="E1534" s="54" t="n">
        <v>0.02648</v>
      </c>
      <c r="F1534" s="54" t="n"/>
      <c r="G1534" t="inlineStr">
        <is>
          <t>no aplica (precio mayorista)</t>
        </is>
      </c>
      <c r="J1534" t="inlineStr">
        <is>
          <t>2024-03-09</t>
        </is>
      </c>
      <c r="K1534" t="inlineStr">
        <is>
          <t>MIBGAS_Data_2024.xlsx</t>
        </is>
      </c>
    </row>
    <row r="1535">
      <c r="A1535" s="53" t="n">
        <v>45361</v>
      </c>
      <c r="B1535" t="inlineStr">
        <is>
          <t>2024-03-10</t>
        </is>
      </c>
      <c r="C1535" s="45" t="n">
        <v>26.58</v>
      </c>
      <c r="D1535" t="inlineStr">
        <is>
          <t>€/MWh</t>
        </is>
      </c>
      <c r="E1535" s="54" t="n">
        <v>0.02658</v>
      </c>
      <c r="F1535" s="54" t="n"/>
      <c r="G1535" t="inlineStr">
        <is>
          <t>no aplica (precio mayorista)</t>
        </is>
      </c>
      <c r="J1535" t="inlineStr">
        <is>
          <t>2024-03-10</t>
        </is>
      </c>
      <c r="K1535" t="inlineStr">
        <is>
          <t>MIBGAS_Data_2024.xlsx</t>
        </is>
      </c>
    </row>
    <row r="1536">
      <c r="A1536" s="53" t="n">
        <v>45362</v>
      </c>
      <c r="B1536" t="inlineStr">
        <is>
          <t>2024-03-11</t>
        </is>
      </c>
      <c r="C1536" s="45" t="n">
        <v>26.23</v>
      </c>
      <c r="D1536" t="inlineStr">
        <is>
          <t>€/MWh</t>
        </is>
      </c>
      <c r="E1536" s="54" t="n">
        <v>0.02623</v>
      </c>
      <c r="F1536" s="54" t="n"/>
      <c r="G1536" t="inlineStr">
        <is>
          <t>no aplica (precio mayorista)</t>
        </is>
      </c>
      <c r="J1536" t="inlineStr">
        <is>
          <t>2024-03-11</t>
        </is>
      </c>
      <c r="K1536" t="inlineStr">
        <is>
          <t>MIBGAS_Data_2024.xlsx</t>
        </is>
      </c>
    </row>
    <row r="1537">
      <c r="A1537" s="53" t="n">
        <v>45363</v>
      </c>
      <c r="B1537" t="inlineStr">
        <is>
          <t>2024-03-12</t>
        </is>
      </c>
      <c r="C1537" s="45" t="n">
        <v>25.11</v>
      </c>
      <c r="D1537" t="inlineStr">
        <is>
          <t>€/MWh</t>
        </is>
      </c>
      <c r="E1537" s="54" t="n">
        <v>0.02511</v>
      </c>
      <c r="F1537" s="54" t="n"/>
      <c r="G1537" t="inlineStr">
        <is>
          <t>no aplica (precio mayorista)</t>
        </is>
      </c>
      <c r="J1537" t="inlineStr">
        <is>
          <t>2024-03-12</t>
        </is>
      </c>
      <c r="K1537" t="inlineStr">
        <is>
          <t>MIBGAS_Data_2024.xlsx</t>
        </is>
      </c>
    </row>
    <row r="1538">
      <c r="A1538" s="53" t="n">
        <v>45364</v>
      </c>
      <c r="B1538" t="inlineStr">
        <is>
          <t>2024-03-13</t>
        </is>
      </c>
      <c r="C1538" s="45" t="n">
        <v>24.93</v>
      </c>
      <c r="D1538" t="inlineStr">
        <is>
          <t>€/MWh</t>
        </is>
      </c>
      <c r="E1538" s="54" t="n">
        <v>0.02493</v>
      </c>
      <c r="F1538" s="54" t="n"/>
      <c r="G1538" t="inlineStr">
        <is>
          <t>no aplica (precio mayorista)</t>
        </is>
      </c>
      <c r="J1538" t="inlineStr">
        <is>
          <t>2024-03-13</t>
        </is>
      </c>
      <c r="K1538" t="inlineStr">
        <is>
          <t>MIBGAS_Data_2024.xlsx</t>
        </is>
      </c>
    </row>
    <row r="1539">
      <c r="A1539" s="53" t="n">
        <v>45365</v>
      </c>
      <c r="B1539" t="inlineStr">
        <is>
          <t>2024-03-14</t>
        </is>
      </c>
      <c r="C1539" s="45" t="n">
        <v>25.06</v>
      </c>
      <c r="D1539" t="inlineStr">
        <is>
          <t>€/MWh</t>
        </is>
      </c>
      <c r="E1539" s="54" t="n">
        <v>0.02506</v>
      </c>
      <c r="F1539" s="54" t="n"/>
      <c r="G1539" t="inlineStr">
        <is>
          <t>no aplica (precio mayorista)</t>
        </is>
      </c>
      <c r="J1539" t="inlineStr">
        <is>
          <t>2024-03-14</t>
        </is>
      </c>
      <c r="K1539" t="inlineStr">
        <is>
          <t>MIBGAS_Data_2024.xlsx</t>
        </is>
      </c>
    </row>
    <row r="1540">
      <c r="A1540" s="53" t="n">
        <v>45366</v>
      </c>
      <c r="B1540" t="inlineStr">
        <is>
          <t>2024-03-15</t>
        </is>
      </c>
      <c r="C1540" s="45" t="n">
        <v>25.69</v>
      </c>
      <c r="D1540" t="inlineStr">
        <is>
          <t>€/MWh</t>
        </is>
      </c>
      <c r="E1540" s="54" t="n">
        <v>0.02569</v>
      </c>
      <c r="F1540" s="54" t="n"/>
      <c r="G1540" t="inlineStr">
        <is>
          <t>no aplica (precio mayorista)</t>
        </is>
      </c>
      <c r="J1540" t="inlineStr">
        <is>
          <t>2024-03-15</t>
        </is>
      </c>
      <c r="K1540" t="inlineStr">
        <is>
          <t>MIBGAS_Data_2024.xlsx</t>
        </is>
      </c>
    </row>
    <row r="1541">
      <c r="A1541" s="53" t="n">
        <v>45367</v>
      </c>
      <c r="B1541" t="inlineStr">
        <is>
          <t>2024-03-16</t>
        </is>
      </c>
      <c r="C1541" s="45" t="n">
        <v>26.93</v>
      </c>
      <c r="D1541" t="inlineStr">
        <is>
          <t>€/MWh</t>
        </is>
      </c>
      <c r="E1541" s="54" t="n">
        <v>0.02693</v>
      </c>
      <c r="F1541" s="54" t="n"/>
      <c r="G1541" t="inlineStr">
        <is>
          <t>no aplica (precio mayorista)</t>
        </is>
      </c>
      <c r="J1541" t="inlineStr">
        <is>
          <t>2024-03-16</t>
        </is>
      </c>
      <c r="K1541" t="inlineStr">
        <is>
          <t>MIBGAS_Data_2024.xlsx</t>
        </is>
      </c>
    </row>
    <row r="1542">
      <c r="A1542" s="53" t="n">
        <v>45368</v>
      </c>
      <c r="B1542" t="inlineStr">
        <is>
          <t>2024-03-17</t>
        </is>
      </c>
      <c r="C1542" s="45" t="n">
        <v>27.23</v>
      </c>
      <c r="D1542" t="inlineStr">
        <is>
          <t>€/MWh</t>
        </is>
      </c>
      <c r="E1542" s="54" t="n">
        <v>0.02723</v>
      </c>
      <c r="F1542" s="54" t="n"/>
      <c r="G1542" t="inlineStr">
        <is>
          <t>no aplica (precio mayorista)</t>
        </is>
      </c>
      <c r="J1542" t="inlineStr">
        <is>
          <t>2024-03-17</t>
        </is>
      </c>
      <c r="K1542" t="inlineStr">
        <is>
          <t>MIBGAS_Data_2024.xlsx</t>
        </is>
      </c>
    </row>
    <row r="1543">
      <c r="A1543" s="53" t="n">
        <v>45369</v>
      </c>
      <c r="B1543" t="inlineStr">
        <is>
          <t>2024-03-18</t>
        </is>
      </c>
      <c r="C1543" s="45" t="n">
        <v>28.15</v>
      </c>
      <c r="D1543" t="inlineStr">
        <is>
          <t>€/MWh</t>
        </is>
      </c>
      <c r="E1543" s="54" t="n">
        <v>0.02815</v>
      </c>
      <c r="F1543" s="54" t="n"/>
      <c r="G1543" t="inlineStr">
        <is>
          <t>no aplica (precio mayorista)</t>
        </is>
      </c>
      <c r="J1543" t="inlineStr">
        <is>
          <t>2024-03-18</t>
        </is>
      </c>
      <c r="K1543" t="inlineStr">
        <is>
          <t>MIBGAS_Data_2024.xlsx</t>
        </is>
      </c>
    </row>
    <row r="1544">
      <c r="A1544" s="53" t="n">
        <v>45370</v>
      </c>
      <c r="B1544" t="inlineStr">
        <is>
          <t>2024-03-19</t>
        </is>
      </c>
      <c r="C1544" s="45" t="n">
        <v>28.66</v>
      </c>
      <c r="D1544" t="inlineStr">
        <is>
          <t>€/MWh</t>
        </is>
      </c>
      <c r="E1544" s="54" t="n">
        <v>0.02866</v>
      </c>
      <c r="F1544" s="54" t="n"/>
      <c r="G1544" t="inlineStr">
        <is>
          <t>no aplica (precio mayorista)</t>
        </is>
      </c>
      <c r="J1544" t="inlineStr">
        <is>
          <t>2024-03-19</t>
        </is>
      </c>
      <c r="K1544" t="inlineStr">
        <is>
          <t>MIBGAS_Data_2024.xlsx</t>
        </is>
      </c>
    </row>
    <row r="1545">
      <c r="A1545" s="53" t="n">
        <v>45371</v>
      </c>
      <c r="B1545" t="inlineStr">
        <is>
          <t>2024-03-20</t>
        </is>
      </c>
      <c r="C1545" s="45" t="n">
        <v>28.58</v>
      </c>
      <c r="D1545" t="inlineStr">
        <is>
          <t>€/MWh</t>
        </is>
      </c>
      <c r="E1545" s="54" t="n">
        <v>0.02858</v>
      </c>
      <c r="F1545" s="54" t="n"/>
      <c r="G1545" t="inlineStr">
        <is>
          <t>no aplica (precio mayorista)</t>
        </is>
      </c>
      <c r="J1545" t="inlineStr">
        <is>
          <t>2024-03-20</t>
        </is>
      </c>
      <c r="K1545" t="inlineStr">
        <is>
          <t>MIBGAS_Data_2024.xlsx</t>
        </is>
      </c>
    </row>
    <row r="1546">
      <c r="A1546" s="53" t="n">
        <v>45372</v>
      </c>
      <c r="B1546" t="inlineStr">
        <is>
          <t>2024-03-21</t>
        </is>
      </c>
      <c r="C1546" s="45" t="n">
        <v>27.83</v>
      </c>
      <c r="D1546" t="inlineStr">
        <is>
          <t>€/MWh</t>
        </is>
      </c>
      <c r="E1546" s="54" t="n">
        <v>0.02783</v>
      </c>
      <c r="F1546" s="54" t="n"/>
      <c r="G1546" t="inlineStr">
        <is>
          <t>no aplica (precio mayorista)</t>
        </is>
      </c>
      <c r="J1546" t="inlineStr">
        <is>
          <t>2024-03-21</t>
        </is>
      </c>
      <c r="K1546" t="inlineStr">
        <is>
          <t>MIBGAS_Data_2024.xlsx</t>
        </is>
      </c>
    </row>
    <row r="1547">
      <c r="A1547" s="53" t="n">
        <v>45373</v>
      </c>
      <c r="B1547" t="inlineStr">
        <is>
          <t>2024-03-22</t>
        </is>
      </c>
      <c r="C1547" s="45" t="n">
        <v>27.13</v>
      </c>
      <c r="D1547" t="inlineStr">
        <is>
          <t>€/MWh</t>
        </is>
      </c>
      <c r="E1547" s="54" t="n">
        <v>0.02713</v>
      </c>
      <c r="F1547" s="54" t="n"/>
      <c r="G1547" t="inlineStr">
        <is>
          <t>no aplica (precio mayorista)</t>
        </is>
      </c>
      <c r="J1547" t="inlineStr">
        <is>
          <t>2024-03-22</t>
        </is>
      </c>
      <c r="K1547" t="inlineStr">
        <is>
          <t>MIBGAS_Data_2024.xlsx</t>
        </is>
      </c>
    </row>
    <row r="1548">
      <c r="A1548" s="53" t="n">
        <v>45374</v>
      </c>
      <c r="B1548" t="inlineStr">
        <is>
          <t>2024-03-23</t>
        </is>
      </c>
      <c r="C1548" s="45" t="n">
        <v>27.26</v>
      </c>
      <c r="D1548" t="inlineStr">
        <is>
          <t>€/MWh</t>
        </is>
      </c>
      <c r="E1548" s="54" t="n">
        <v>0.02726</v>
      </c>
      <c r="F1548" s="54" t="n"/>
      <c r="G1548" t="inlineStr">
        <is>
          <t>no aplica (precio mayorista)</t>
        </is>
      </c>
      <c r="J1548" t="inlineStr">
        <is>
          <t>2024-03-23</t>
        </is>
      </c>
      <c r="K1548" t="inlineStr">
        <is>
          <t>MIBGAS_Data_2024.xlsx</t>
        </is>
      </c>
    </row>
    <row r="1549">
      <c r="A1549" s="53" t="n">
        <v>45375</v>
      </c>
      <c r="B1549" t="inlineStr">
        <is>
          <t>2024-03-24</t>
        </is>
      </c>
      <c r="C1549" s="45" t="n">
        <v>26.98</v>
      </c>
      <c r="D1549" t="inlineStr">
        <is>
          <t>€/MWh</t>
        </is>
      </c>
      <c r="E1549" s="54" t="n">
        <v>0.02698</v>
      </c>
      <c r="F1549" s="54" t="n"/>
      <c r="G1549" t="inlineStr">
        <is>
          <t>no aplica (precio mayorista)</t>
        </is>
      </c>
      <c r="J1549" t="inlineStr">
        <is>
          <t>2024-03-24</t>
        </is>
      </c>
      <c r="K1549" t="inlineStr">
        <is>
          <t>MIBGAS_Data_2024.xlsx</t>
        </is>
      </c>
    </row>
    <row r="1550">
      <c r="A1550" s="53" t="n">
        <v>45376</v>
      </c>
      <c r="B1550" t="inlineStr">
        <is>
          <t>2024-03-25</t>
        </is>
      </c>
      <c r="C1550" s="45" t="n">
        <v>27.65</v>
      </c>
      <c r="D1550" t="inlineStr">
        <is>
          <t>€/MWh</t>
        </is>
      </c>
      <c r="E1550" s="54" t="n">
        <v>0.02765</v>
      </c>
      <c r="F1550" s="54" t="n"/>
      <c r="G1550" t="inlineStr">
        <is>
          <t>no aplica (precio mayorista)</t>
        </is>
      </c>
      <c r="J1550" t="inlineStr">
        <is>
          <t>2024-03-25</t>
        </is>
      </c>
      <c r="K1550" t="inlineStr">
        <is>
          <t>MIBGAS_Data_2024.xlsx</t>
        </is>
      </c>
    </row>
    <row r="1551">
      <c r="A1551" s="53" t="n">
        <v>45377</v>
      </c>
      <c r="B1551" t="inlineStr">
        <is>
          <t>2024-03-26</t>
        </is>
      </c>
      <c r="C1551" s="45" t="n">
        <v>28.1</v>
      </c>
      <c r="D1551" t="inlineStr">
        <is>
          <t>€/MWh</t>
        </is>
      </c>
      <c r="E1551" s="54" t="n">
        <v>0.0281</v>
      </c>
      <c r="F1551" s="54" t="n"/>
      <c r="G1551" t="inlineStr">
        <is>
          <t>no aplica (precio mayorista)</t>
        </is>
      </c>
      <c r="J1551" t="inlineStr">
        <is>
          <t>2024-03-26</t>
        </is>
      </c>
      <c r="K1551" t="inlineStr">
        <is>
          <t>MIBGAS_Data_2024.xlsx</t>
        </is>
      </c>
    </row>
    <row r="1552">
      <c r="A1552" s="53" t="n">
        <v>45378</v>
      </c>
      <c r="B1552" t="inlineStr">
        <is>
          <t>2024-03-27</t>
        </is>
      </c>
      <c r="C1552" s="45" t="n">
        <v>27.61</v>
      </c>
      <c r="D1552" t="inlineStr">
        <is>
          <t>€/MWh</t>
        </is>
      </c>
      <c r="E1552" s="54" t="n">
        <v>0.02761</v>
      </c>
      <c r="F1552" s="54" t="n"/>
      <c r="G1552" t="inlineStr">
        <is>
          <t>no aplica (precio mayorista)</t>
        </is>
      </c>
      <c r="J1552" t="inlineStr">
        <is>
          <t>2024-03-27</t>
        </is>
      </c>
      <c r="K1552" t="inlineStr">
        <is>
          <t>MIBGAS_Data_2024.xlsx</t>
        </is>
      </c>
    </row>
    <row r="1553">
      <c r="A1553" s="53" t="n">
        <v>45379</v>
      </c>
      <c r="B1553" t="inlineStr">
        <is>
          <t>2024-03-28</t>
        </is>
      </c>
      <c r="C1553" s="45" t="n">
        <v>27.58</v>
      </c>
      <c r="D1553" t="inlineStr">
        <is>
          <t>€/MWh</t>
        </is>
      </c>
      <c r="E1553" s="54" t="n">
        <v>0.02758</v>
      </c>
      <c r="F1553" s="54" t="n"/>
      <c r="G1553" t="inlineStr">
        <is>
          <t>no aplica (precio mayorista)</t>
        </is>
      </c>
      <c r="J1553" t="inlineStr">
        <is>
          <t>2024-03-28</t>
        </is>
      </c>
      <c r="K1553" t="inlineStr">
        <is>
          <t>MIBGAS_Data_2024.xlsx</t>
        </is>
      </c>
    </row>
    <row r="1554">
      <c r="A1554" s="53" t="n">
        <v>45380</v>
      </c>
      <c r="B1554" t="inlineStr">
        <is>
          <t>2024-03-29</t>
        </is>
      </c>
      <c r="C1554" s="45" t="n">
        <v>27.59</v>
      </c>
      <c r="D1554" t="inlineStr">
        <is>
          <t>€/MWh</t>
        </is>
      </c>
      <c r="E1554" s="54" t="n">
        <v>0.02759</v>
      </c>
      <c r="F1554" s="54" t="n"/>
      <c r="G1554" t="inlineStr">
        <is>
          <t>no aplica (precio mayorista)</t>
        </is>
      </c>
      <c r="J1554" t="inlineStr">
        <is>
          <t>2024-03-29</t>
        </is>
      </c>
      <c r="K1554" t="inlineStr">
        <is>
          <t>MIBGAS_Data_2024.xlsx</t>
        </is>
      </c>
    </row>
    <row r="1555">
      <c r="A1555" s="53" t="n">
        <v>45381</v>
      </c>
      <c r="B1555" t="inlineStr">
        <is>
          <t>2024-03-30</t>
        </is>
      </c>
      <c r="C1555" s="45" t="n">
        <v>27.77</v>
      </c>
      <c r="D1555" t="inlineStr">
        <is>
          <t>€/MWh</t>
        </is>
      </c>
      <c r="E1555" s="54" t="n">
        <v>0.02777</v>
      </c>
      <c r="F1555" s="54" t="n"/>
      <c r="G1555" t="inlineStr">
        <is>
          <t>no aplica (precio mayorista)</t>
        </is>
      </c>
      <c r="J1555" t="inlineStr">
        <is>
          <t>2024-03-30</t>
        </is>
      </c>
      <c r="K1555" t="inlineStr">
        <is>
          <t>MIBGAS_Data_2024.xlsx</t>
        </is>
      </c>
    </row>
    <row r="1556">
      <c r="A1556" s="53" t="n">
        <v>45382</v>
      </c>
      <c r="B1556" t="inlineStr">
        <is>
          <t>2024-03-31</t>
        </is>
      </c>
      <c r="C1556" s="45" t="n">
        <v>28</v>
      </c>
      <c r="D1556" t="inlineStr">
        <is>
          <t>€/MWh</t>
        </is>
      </c>
      <c r="E1556" s="54" t="n">
        <v>0.028</v>
      </c>
      <c r="F1556" s="54" t="n"/>
      <c r="G1556" t="inlineStr">
        <is>
          <t>no aplica (precio mayorista)</t>
        </is>
      </c>
      <c r="J1556" t="inlineStr">
        <is>
          <t>2024-03-31</t>
        </is>
      </c>
      <c r="K1556" t="inlineStr">
        <is>
          <t>MIBGAS_Data_2024.xlsx</t>
        </is>
      </c>
    </row>
    <row r="1557">
      <c r="A1557" s="53" t="n">
        <v>45383</v>
      </c>
      <c r="B1557" t="inlineStr">
        <is>
          <t>2024-04-01</t>
        </is>
      </c>
      <c r="C1557" s="45" t="n">
        <v>29.45</v>
      </c>
      <c r="D1557" t="inlineStr">
        <is>
          <t>€/MWh</t>
        </is>
      </c>
      <c r="E1557" s="54" t="n">
        <v>0.02945</v>
      </c>
      <c r="F1557" s="54" t="n"/>
      <c r="G1557" t="inlineStr">
        <is>
          <t>no aplica (precio mayorista)</t>
        </is>
      </c>
      <c r="J1557" t="inlineStr">
        <is>
          <t>2024-04-01</t>
        </is>
      </c>
      <c r="K1557" t="inlineStr">
        <is>
          <t>MIBGAS_Data_2024.xlsx</t>
        </is>
      </c>
    </row>
    <row r="1558">
      <c r="A1558" s="53" t="n">
        <v>45384</v>
      </c>
      <c r="B1558" t="inlineStr">
        <is>
          <t>2024-04-02</t>
        </is>
      </c>
      <c r="C1558" s="45" t="n">
        <v>28.75</v>
      </c>
      <c r="D1558" t="inlineStr">
        <is>
          <t>€/MWh</t>
        </is>
      </c>
      <c r="E1558" s="54" t="n">
        <v>0.02875</v>
      </c>
      <c r="F1558" s="54" t="n"/>
      <c r="G1558" t="inlineStr">
        <is>
          <t>no aplica (precio mayorista)</t>
        </is>
      </c>
      <c r="J1558" t="inlineStr">
        <is>
          <t>2024-04-02</t>
        </is>
      </c>
      <c r="K1558" t="inlineStr">
        <is>
          <t>MIBGAS_Data_2024.xlsx</t>
        </is>
      </c>
    </row>
    <row r="1559">
      <c r="A1559" s="53" t="n">
        <v>45385</v>
      </c>
      <c r="B1559" t="inlineStr">
        <is>
          <t>2024-04-03</t>
        </is>
      </c>
      <c r="C1559" s="45" t="n">
        <v>26.86</v>
      </c>
      <c r="D1559" t="inlineStr">
        <is>
          <t>€/MWh</t>
        </is>
      </c>
      <c r="E1559" s="54" t="n">
        <v>0.02686</v>
      </c>
      <c r="F1559" s="54" t="n"/>
      <c r="G1559" t="inlineStr">
        <is>
          <t>no aplica (precio mayorista)</t>
        </is>
      </c>
      <c r="J1559" t="inlineStr">
        <is>
          <t>2024-04-03</t>
        </is>
      </c>
      <c r="K1559" t="inlineStr">
        <is>
          <t>MIBGAS_Data_2024.xlsx</t>
        </is>
      </c>
    </row>
    <row r="1560">
      <c r="A1560" s="53" t="n">
        <v>45386</v>
      </c>
      <c r="B1560" t="inlineStr">
        <is>
          <t>2024-04-04</t>
        </is>
      </c>
      <c r="C1560" s="45" t="n">
        <v>26.22</v>
      </c>
      <c r="D1560" t="inlineStr">
        <is>
          <t>€/MWh</t>
        </is>
      </c>
      <c r="E1560" s="54" t="n">
        <v>0.02622</v>
      </c>
      <c r="F1560" s="54" t="n"/>
      <c r="G1560" t="inlineStr">
        <is>
          <t>no aplica (precio mayorista)</t>
        </is>
      </c>
      <c r="J1560" t="inlineStr">
        <is>
          <t>2024-04-04</t>
        </is>
      </c>
      <c r="K1560" t="inlineStr">
        <is>
          <t>MIBGAS_Data_2024.xlsx</t>
        </is>
      </c>
    </row>
    <row r="1561">
      <c r="A1561" s="53" t="n">
        <v>45387</v>
      </c>
      <c r="B1561" t="inlineStr">
        <is>
          <t>2024-04-05</t>
        </is>
      </c>
      <c r="C1561" s="45" t="n">
        <v>26.35</v>
      </c>
      <c r="D1561" t="inlineStr">
        <is>
          <t>€/MWh</t>
        </is>
      </c>
      <c r="E1561" s="54" t="n">
        <v>0.02635</v>
      </c>
      <c r="F1561" s="54" t="n"/>
      <c r="G1561" t="inlineStr">
        <is>
          <t>no aplica (precio mayorista)</t>
        </is>
      </c>
      <c r="J1561" t="inlineStr">
        <is>
          <t>2024-04-05</t>
        </is>
      </c>
      <c r="K1561" t="inlineStr">
        <is>
          <t>MIBGAS_Data_2024.xlsx</t>
        </is>
      </c>
    </row>
    <row r="1562">
      <c r="A1562" s="53" t="n">
        <v>45388</v>
      </c>
      <c r="B1562" t="inlineStr">
        <is>
          <t>2024-04-06</t>
        </is>
      </c>
      <c r="C1562" s="45" t="n">
        <v>26.77</v>
      </c>
      <c r="D1562" t="inlineStr">
        <is>
          <t>€/MWh</t>
        </is>
      </c>
      <c r="E1562" s="54" t="n">
        <v>0.02677</v>
      </c>
      <c r="F1562" s="54" t="n"/>
      <c r="G1562" t="inlineStr">
        <is>
          <t>no aplica (precio mayorista)</t>
        </is>
      </c>
      <c r="J1562" t="inlineStr">
        <is>
          <t>2024-04-06</t>
        </is>
      </c>
      <c r="K1562" t="inlineStr">
        <is>
          <t>MIBGAS_Data_2024.xlsx</t>
        </is>
      </c>
    </row>
    <row r="1563">
      <c r="A1563" s="53" t="n">
        <v>45389</v>
      </c>
      <c r="B1563" t="inlineStr">
        <is>
          <t>2024-04-07</t>
        </is>
      </c>
      <c r="C1563" s="45" t="n">
        <v>26.87</v>
      </c>
      <c r="D1563" t="inlineStr">
        <is>
          <t>€/MWh</t>
        </is>
      </c>
      <c r="E1563" s="54" t="n">
        <v>0.02687</v>
      </c>
      <c r="F1563" s="54" t="n"/>
      <c r="G1563" t="inlineStr">
        <is>
          <t>no aplica (precio mayorista)</t>
        </is>
      </c>
      <c r="J1563" t="inlineStr">
        <is>
          <t>2024-04-07</t>
        </is>
      </c>
      <c r="K1563" t="inlineStr">
        <is>
          <t>MIBGAS_Data_2024.xlsx</t>
        </is>
      </c>
    </row>
    <row r="1564">
      <c r="A1564" s="53" t="n">
        <v>45390</v>
      </c>
      <c r="B1564" t="inlineStr">
        <is>
          <t>2024-04-08</t>
        </is>
      </c>
      <c r="C1564" s="45" t="n">
        <v>26.95</v>
      </c>
      <c r="D1564" t="inlineStr">
        <is>
          <t>€/MWh</t>
        </is>
      </c>
      <c r="E1564" s="54" t="n">
        <v>0.02695</v>
      </c>
      <c r="F1564" s="54" t="n"/>
      <c r="G1564" t="inlineStr">
        <is>
          <t>no aplica (precio mayorista)</t>
        </is>
      </c>
      <c r="J1564" t="inlineStr">
        <is>
          <t>2024-04-08</t>
        </is>
      </c>
      <c r="K1564" t="inlineStr">
        <is>
          <t>MIBGAS_Data_2024.xlsx</t>
        </is>
      </c>
    </row>
    <row r="1565">
      <c r="A1565" s="53" t="n">
        <v>45391</v>
      </c>
      <c r="B1565" t="inlineStr">
        <is>
          <t>2024-04-09</t>
        </is>
      </c>
      <c r="C1565" s="45" t="n">
        <v>27.75</v>
      </c>
      <c r="D1565" t="inlineStr">
        <is>
          <t>€/MWh</t>
        </is>
      </c>
      <c r="E1565" s="54" t="n">
        <v>0.02775</v>
      </c>
      <c r="F1565" s="54" t="n"/>
      <c r="G1565" t="inlineStr">
        <is>
          <t>no aplica (precio mayorista)</t>
        </is>
      </c>
      <c r="J1565" t="inlineStr">
        <is>
          <t>2024-04-09</t>
        </is>
      </c>
      <c r="K1565" t="inlineStr">
        <is>
          <t>MIBGAS_Data_2024.xlsx</t>
        </is>
      </c>
    </row>
    <row r="1566">
      <c r="A1566" s="53" t="n">
        <v>45392</v>
      </c>
      <c r="B1566" t="inlineStr">
        <is>
          <t>2024-04-10</t>
        </is>
      </c>
      <c r="C1566" s="45" t="n">
        <v>28.41</v>
      </c>
      <c r="D1566" t="inlineStr">
        <is>
          <t>€/MWh</t>
        </is>
      </c>
      <c r="E1566" s="54" t="n">
        <v>0.02841</v>
      </c>
      <c r="F1566" s="54" t="n"/>
      <c r="G1566" t="inlineStr">
        <is>
          <t>no aplica (precio mayorista)</t>
        </is>
      </c>
      <c r="J1566" t="inlineStr">
        <is>
          <t>2024-04-10</t>
        </is>
      </c>
      <c r="K1566" t="inlineStr">
        <is>
          <t>MIBGAS_Data_2024.xlsx</t>
        </is>
      </c>
    </row>
    <row r="1567">
      <c r="A1567" s="53" t="n">
        <v>45393</v>
      </c>
      <c r="B1567" t="inlineStr">
        <is>
          <t>2024-04-11</t>
        </is>
      </c>
      <c r="C1567" s="45" t="n">
        <v>28.4</v>
      </c>
      <c r="D1567" t="inlineStr">
        <is>
          <t>€/MWh</t>
        </is>
      </c>
      <c r="E1567" s="54" t="n">
        <v>0.0284</v>
      </c>
      <c r="F1567" s="54" t="n"/>
      <c r="G1567" t="inlineStr">
        <is>
          <t>no aplica (precio mayorista)</t>
        </is>
      </c>
      <c r="J1567" t="inlineStr">
        <is>
          <t>2024-04-11</t>
        </is>
      </c>
      <c r="K1567" t="inlineStr">
        <is>
          <t>MIBGAS_Data_2024.xlsx</t>
        </is>
      </c>
    </row>
    <row r="1568">
      <c r="A1568" s="53" t="n">
        <v>45394</v>
      </c>
      <c r="B1568" t="inlineStr">
        <is>
          <t>2024-04-12</t>
        </is>
      </c>
      <c r="C1568" s="45" t="n">
        <v>29.74</v>
      </c>
      <c r="D1568" t="inlineStr">
        <is>
          <t>€/MWh</t>
        </is>
      </c>
      <c r="E1568" s="54" t="n">
        <v>0.02974</v>
      </c>
      <c r="F1568" s="54" t="n"/>
      <c r="G1568" t="inlineStr">
        <is>
          <t>no aplica (precio mayorista)</t>
        </is>
      </c>
      <c r="J1568" t="inlineStr">
        <is>
          <t>2024-04-12</t>
        </is>
      </c>
      <c r="K1568" t="inlineStr">
        <is>
          <t>MIBGAS_Data_2024.xlsx</t>
        </is>
      </c>
    </row>
    <row r="1569">
      <c r="A1569" s="53" t="n">
        <v>45395</v>
      </c>
      <c r="B1569" t="inlineStr">
        <is>
          <t>2024-04-13</t>
        </is>
      </c>
      <c r="C1569" s="45" t="n">
        <v>29.93</v>
      </c>
      <c r="D1569" t="inlineStr">
        <is>
          <t>€/MWh</t>
        </is>
      </c>
      <c r="E1569" s="54" t="n">
        <v>0.02993</v>
      </c>
      <c r="F1569" s="54" t="n"/>
      <c r="G1569" t="inlineStr">
        <is>
          <t>no aplica (precio mayorista)</t>
        </is>
      </c>
      <c r="J1569" t="inlineStr">
        <is>
          <t>2024-04-13</t>
        </is>
      </c>
      <c r="K1569" t="inlineStr">
        <is>
          <t>MIBGAS_Data_2024.xlsx</t>
        </is>
      </c>
    </row>
    <row r="1570">
      <c r="A1570" s="53" t="n">
        <v>45396</v>
      </c>
      <c r="B1570" t="inlineStr">
        <is>
          <t>2024-04-14</t>
        </is>
      </c>
      <c r="C1570" s="45" t="n">
        <v>29.92</v>
      </c>
      <c r="D1570" t="inlineStr">
        <is>
          <t>€/MWh</t>
        </is>
      </c>
      <c r="E1570" s="54" t="n">
        <v>0.02992</v>
      </c>
      <c r="F1570" s="54" t="n"/>
      <c r="G1570" t="inlineStr">
        <is>
          <t>no aplica (precio mayorista)</t>
        </is>
      </c>
      <c r="J1570" t="inlineStr">
        <is>
          <t>2024-04-14</t>
        </is>
      </c>
      <c r="K1570" t="inlineStr">
        <is>
          <t>MIBGAS_Data_2024.xlsx</t>
        </is>
      </c>
    </row>
    <row r="1571">
      <c r="A1571" s="53" t="n">
        <v>45397</v>
      </c>
      <c r="B1571" t="inlineStr">
        <is>
          <t>2024-04-15</t>
        </is>
      </c>
      <c r="C1571" s="45" t="n">
        <v>30.35</v>
      </c>
      <c r="D1571" t="inlineStr">
        <is>
          <t>€/MWh</t>
        </is>
      </c>
      <c r="E1571" s="54" t="n">
        <v>0.03035</v>
      </c>
      <c r="F1571" s="54" t="n"/>
      <c r="G1571" t="inlineStr">
        <is>
          <t>no aplica (precio mayorista)</t>
        </is>
      </c>
      <c r="J1571" t="inlineStr">
        <is>
          <t>2024-04-15</t>
        </is>
      </c>
      <c r="K1571" t="inlineStr">
        <is>
          <t>MIBGAS_Data_2024.xlsx</t>
        </is>
      </c>
    </row>
    <row r="1572">
      <c r="A1572" s="53" t="n">
        <v>45398</v>
      </c>
      <c r="B1572" t="inlineStr">
        <is>
          <t>2024-04-16</t>
        </is>
      </c>
      <c r="C1572" s="45" t="n">
        <v>31.36</v>
      </c>
      <c r="D1572" t="inlineStr">
        <is>
          <t>€/MWh</t>
        </is>
      </c>
      <c r="E1572" s="54" t="n">
        <v>0.03136</v>
      </c>
      <c r="F1572" s="54" t="n"/>
      <c r="G1572" t="inlineStr">
        <is>
          <t>no aplica (precio mayorista)</t>
        </is>
      </c>
      <c r="J1572" t="inlineStr">
        <is>
          <t>2024-04-16</t>
        </is>
      </c>
      <c r="K1572" t="inlineStr">
        <is>
          <t>MIBGAS_Data_2024.xlsx</t>
        </is>
      </c>
    </row>
    <row r="1573">
      <c r="A1573" s="53" t="n">
        <v>45399</v>
      </c>
      <c r="B1573" t="inlineStr">
        <is>
          <t>2024-04-17</t>
        </is>
      </c>
      <c r="C1573" s="45" t="n">
        <v>32.53</v>
      </c>
      <c r="D1573" t="inlineStr">
        <is>
          <t>€/MWh</t>
        </is>
      </c>
      <c r="E1573" s="54" t="n">
        <v>0.03253</v>
      </c>
      <c r="F1573" s="54" t="n"/>
      <c r="G1573" t="inlineStr">
        <is>
          <t>no aplica (precio mayorista)</t>
        </is>
      </c>
      <c r="J1573" t="inlineStr">
        <is>
          <t>2024-04-17</t>
        </is>
      </c>
      <c r="K1573" t="inlineStr">
        <is>
          <t>MIBGAS_Data_2024.xlsx</t>
        </is>
      </c>
    </row>
    <row r="1574">
      <c r="A1574" s="53" t="n">
        <v>45400</v>
      </c>
      <c r="B1574" t="inlineStr">
        <is>
          <t>2024-04-18</t>
        </is>
      </c>
      <c r="C1574" s="45" t="n">
        <v>31.37</v>
      </c>
      <c r="D1574" t="inlineStr">
        <is>
          <t>€/MWh</t>
        </is>
      </c>
      <c r="E1574" s="54" t="n">
        <v>0.03137</v>
      </c>
      <c r="F1574" s="54" t="n"/>
      <c r="G1574" t="inlineStr">
        <is>
          <t>no aplica (precio mayorista)</t>
        </is>
      </c>
      <c r="J1574" t="inlineStr">
        <is>
          <t>2024-04-18</t>
        </is>
      </c>
      <c r="K1574" t="inlineStr">
        <is>
          <t>MIBGAS_Data_2024.xlsx</t>
        </is>
      </c>
    </row>
    <row r="1575">
      <c r="A1575" s="53" t="n">
        <v>45401</v>
      </c>
      <c r="B1575" t="inlineStr">
        <is>
          <t>2024-04-19</t>
        </is>
      </c>
      <c r="C1575" s="45" t="n">
        <v>31.85</v>
      </c>
      <c r="D1575" t="inlineStr">
        <is>
          <t>€/MWh</t>
        </is>
      </c>
      <c r="E1575" s="54" t="n">
        <v>0.03185</v>
      </c>
      <c r="F1575" s="54" t="n"/>
      <c r="G1575" t="inlineStr">
        <is>
          <t>no aplica (precio mayorista)</t>
        </is>
      </c>
      <c r="J1575" t="inlineStr">
        <is>
          <t>2024-04-19</t>
        </is>
      </c>
      <c r="K1575" t="inlineStr">
        <is>
          <t>MIBGAS_Data_2024.xlsx</t>
        </is>
      </c>
    </row>
    <row r="1576">
      <c r="A1576" s="53" t="n">
        <v>45402</v>
      </c>
      <c r="B1576" t="inlineStr">
        <is>
          <t>2024-04-20</t>
        </is>
      </c>
      <c r="C1576" s="45" t="n">
        <v>30.74</v>
      </c>
      <c r="D1576" t="inlineStr">
        <is>
          <t>€/MWh</t>
        </is>
      </c>
      <c r="E1576" s="54" t="n">
        <v>0.03074</v>
      </c>
      <c r="F1576" s="54" t="n"/>
      <c r="G1576" t="inlineStr">
        <is>
          <t>no aplica (precio mayorista)</t>
        </is>
      </c>
      <c r="J1576" t="inlineStr">
        <is>
          <t>2024-04-20</t>
        </is>
      </c>
      <c r="K1576" t="inlineStr">
        <is>
          <t>MIBGAS_Data_2024.xlsx</t>
        </is>
      </c>
    </row>
    <row r="1577">
      <c r="A1577" s="53" t="n">
        <v>45403</v>
      </c>
      <c r="B1577" t="inlineStr">
        <is>
          <t>2024-04-21</t>
        </is>
      </c>
      <c r="C1577" s="45" t="n">
        <v>30.58</v>
      </c>
      <c r="D1577" t="inlineStr">
        <is>
          <t>€/MWh</t>
        </is>
      </c>
      <c r="E1577" s="54" t="n">
        <v>0.03058</v>
      </c>
      <c r="F1577" s="54" t="n"/>
      <c r="G1577" t="inlineStr">
        <is>
          <t>no aplica (precio mayorista)</t>
        </is>
      </c>
      <c r="J1577" t="inlineStr">
        <is>
          <t>2024-04-21</t>
        </is>
      </c>
      <c r="K1577" t="inlineStr">
        <is>
          <t>MIBGAS_Data_2024.xlsx</t>
        </is>
      </c>
    </row>
    <row r="1578">
      <c r="A1578" s="53" t="n">
        <v>45404</v>
      </c>
      <c r="B1578" t="inlineStr">
        <is>
          <t>2024-04-22</t>
        </is>
      </c>
      <c r="C1578" s="45" t="n">
        <v>30.33</v>
      </c>
      <c r="D1578" t="inlineStr">
        <is>
          <t>€/MWh</t>
        </is>
      </c>
      <c r="E1578" s="54" t="n">
        <v>0.03033</v>
      </c>
      <c r="F1578" s="54" t="n"/>
      <c r="G1578" t="inlineStr">
        <is>
          <t>no aplica (precio mayorista)</t>
        </is>
      </c>
      <c r="J1578" t="inlineStr">
        <is>
          <t>2024-04-22</t>
        </is>
      </c>
      <c r="K1578" t="inlineStr">
        <is>
          <t>MIBGAS_Data_2024.xlsx</t>
        </is>
      </c>
    </row>
    <row r="1579">
      <c r="A1579" s="53" t="n">
        <v>45405</v>
      </c>
      <c r="B1579" t="inlineStr">
        <is>
          <t>2024-04-23</t>
        </is>
      </c>
      <c r="C1579" s="45" t="n">
        <v>29.46</v>
      </c>
      <c r="D1579" t="inlineStr">
        <is>
          <t>€/MWh</t>
        </is>
      </c>
      <c r="E1579" s="54" t="n">
        <v>0.02946</v>
      </c>
      <c r="F1579" s="54" t="n"/>
      <c r="G1579" t="inlineStr">
        <is>
          <t>no aplica (precio mayorista)</t>
        </is>
      </c>
      <c r="J1579" t="inlineStr">
        <is>
          <t>2024-04-23</t>
        </is>
      </c>
      <c r="K1579" t="inlineStr">
        <is>
          <t>MIBGAS_Data_2024.xlsx</t>
        </is>
      </c>
    </row>
    <row r="1580">
      <c r="A1580" s="53" t="n">
        <v>45406</v>
      </c>
      <c r="B1580" t="inlineStr">
        <is>
          <t>2024-04-24</t>
        </is>
      </c>
      <c r="C1580" s="45" t="n">
        <v>29.02</v>
      </c>
      <c r="D1580" t="inlineStr">
        <is>
          <t>€/MWh</t>
        </is>
      </c>
      <c r="E1580" s="54" t="n">
        <v>0.02902</v>
      </c>
      <c r="F1580" s="54" t="n"/>
      <c r="G1580" t="inlineStr">
        <is>
          <t>no aplica (precio mayorista)</t>
        </is>
      </c>
      <c r="J1580" t="inlineStr">
        <is>
          <t>2024-04-24</t>
        </is>
      </c>
      <c r="K1580" t="inlineStr">
        <is>
          <t>MIBGAS_Data_2024.xlsx</t>
        </is>
      </c>
    </row>
    <row r="1581">
      <c r="A1581" s="53" t="n">
        <v>45407</v>
      </c>
      <c r="B1581" t="inlineStr">
        <is>
          <t>2024-04-25</t>
        </is>
      </c>
      <c r="C1581" s="45" t="n">
        <v>29.82</v>
      </c>
      <c r="D1581" t="inlineStr">
        <is>
          <t>€/MWh</t>
        </is>
      </c>
      <c r="E1581" s="54" t="n">
        <v>0.02982</v>
      </c>
      <c r="F1581" s="54" t="n"/>
      <c r="G1581" t="inlineStr">
        <is>
          <t>no aplica (precio mayorista)</t>
        </is>
      </c>
      <c r="J1581" t="inlineStr">
        <is>
          <t>2024-04-25</t>
        </is>
      </c>
      <c r="K1581" t="inlineStr">
        <is>
          <t>MIBGAS_Data_2024.xlsx</t>
        </is>
      </c>
    </row>
    <row r="1582">
      <c r="A1582" s="53" t="n">
        <v>45408</v>
      </c>
      <c r="B1582" t="inlineStr">
        <is>
          <t>2024-04-26</t>
        </is>
      </c>
      <c r="C1582" s="45" t="n">
        <v>29.9</v>
      </c>
      <c r="D1582" t="inlineStr">
        <is>
          <t>€/MWh</t>
        </is>
      </c>
      <c r="E1582" s="54" t="n">
        <v>0.0299</v>
      </c>
      <c r="F1582" s="54" t="n"/>
      <c r="G1582" t="inlineStr">
        <is>
          <t>no aplica (precio mayorista)</t>
        </is>
      </c>
      <c r="J1582" t="inlineStr">
        <is>
          <t>2024-04-26</t>
        </is>
      </c>
      <c r="K1582" t="inlineStr">
        <is>
          <t>MIBGAS_Data_2024.xlsx</t>
        </is>
      </c>
    </row>
    <row r="1583">
      <c r="A1583" s="53" t="n">
        <v>45409</v>
      </c>
      <c r="B1583" t="inlineStr">
        <is>
          <t>2024-04-27</t>
        </is>
      </c>
      <c r="C1583" s="45" t="n">
        <v>29.64</v>
      </c>
      <c r="D1583" t="inlineStr">
        <is>
          <t>€/MWh</t>
        </is>
      </c>
      <c r="E1583" s="54" t="n">
        <v>0.02964</v>
      </c>
      <c r="F1583" s="54" t="n"/>
      <c r="G1583" t="inlineStr">
        <is>
          <t>no aplica (precio mayorista)</t>
        </is>
      </c>
      <c r="J1583" t="inlineStr">
        <is>
          <t>2024-04-27</t>
        </is>
      </c>
      <c r="K1583" t="inlineStr">
        <is>
          <t>MIBGAS_Data_2024.xlsx</t>
        </is>
      </c>
    </row>
    <row r="1584">
      <c r="A1584" s="53" t="n">
        <v>45410</v>
      </c>
      <c r="B1584" t="inlineStr">
        <is>
          <t>2024-04-28</t>
        </is>
      </c>
      <c r="C1584" s="45" t="n">
        <v>29.63</v>
      </c>
      <c r="D1584" t="inlineStr">
        <is>
          <t>€/MWh</t>
        </is>
      </c>
      <c r="E1584" s="54" t="n">
        <v>0.02963</v>
      </c>
      <c r="F1584" s="54" t="n"/>
      <c r="G1584" t="inlineStr">
        <is>
          <t>no aplica (precio mayorista)</t>
        </is>
      </c>
      <c r="J1584" t="inlineStr">
        <is>
          <t>2024-04-28</t>
        </is>
      </c>
      <c r="K1584" t="inlineStr">
        <is>
          <t>MIBGAS_Data_2024.xlsx</t>
        </is>
      </c>
    </row>
    <row r="1585">
      <c r="A1585" s="53" t="n">
        <v>45411</v>
      </c>
      <c r="B1585" t="inlineStr">
        <is>
          <t>2024-04-29</t>
        </is>
      </c>
      <c r="C1585" s="45" t="n">
        <v>29.43</v>
      </c>
      <c r="D1585" t="inlineStr">
        <is>
          <t>€/MWh</t>
        </is>
      </c>
      <c r="E1585" s="54" t="n">
        <v>0.02943</v>
      </c>
      <c r="F1585" s="54" t="n"/>
      <c r="G1585" t="inlineStr">
        <is>
          <t>no aplica (precio mayorista)</t>
        </is>
      </c>
      <c r="J1585" t="inlineStr">
        <is>
          <t>2024-04-29</t>
        </is>
      </c>
      <c r="K1585" t="inlineStr">
        <is>
          <t>MIBGAS_Data_2024.xlsx</t>
        </is>
      </c>
    </row>
    <row r="1586">
      <c r="A1586" s="53" t="n">
        <v>45412</v>
      </c>
      <c r="B1586" t="inlineStr">
        <is>
          <t>2024-04-30</t>
        </is>
      </c>
      <c r="C1586" s="45" t="n">
        <v>28.62</v>
      </c>
      <c r="D1586" t="inlineStr">
        <is>
          <t>€/MWh</t>
        </is>
      </c>
      <c r="E1586" s="54" t="n">
        <v>0.02862</v>
      </c>
      <c r="F1586" s="54" t="n"/>
      <c r="G1586" t="inlineStr">
        <is>
          <t>no aplica (precio mayorista)</t>
        </is>
      </c>
      <c r="J1586" t="inlineStr">
        <is>
          <t>2024-04-30</t>
        </is>
      </c>
      <c r="K1586" t="inlineStr">
        <is>
          <t>MIBGAS_Data_2024.xlsx</t>
        </is>
      </c>
    </row>
    <row r="1587">
      <c r="A1587" s="53" t="n">
        <v>45413</v>
      </c>
      <c r="B1587" t="inlineStr">
        <is>
          <t>2024-05-01</t>
        </is>
      </c>
      <c r="C1587" s="45" t="n">
        <v>29.17</v>
      </c>
      <c r="D1587" t="inlineStr">
        <is>
          <t>€/MWh</t>
        </is>
      </c>
      <c r="E1587" s="54" t="n">
        <v>0.02917</v>
      </c>
      <c r="F1587" s="54" t="n"/>
      <c r="G1587" t="inlineStr">
        <is>
          <t>no aplica (precio mayorista)</t>
        </is>
      </c>
      <c r="J1587" t="inlineStr">
        <is>
          <t>2024-05-01</t>
        </is>
      </c>
      <c r="K1587" t="inlineStr">
        <is>
          <t>MIBGAS_Data_2024.xlsx</t>
        </is>
      </c>
    </row>
    <row r="1588">
      <c r="A1588" s="53" t="n">
        <v>45414</v>
      </c>
      <c r="B1588" t="inlineStr">
        <is>
          <t>2024-05-02</t>
        </is>
      </c>
      <c r="C1588" s="45" t="n">
        <v>29.47</v>
      </c>
      <c r="D1588" t="inlineStr">
        <is>
          <t>€/MWh</t>
        </is>
      </c>
      <c r="E1588" s="54" t="n">
        <v>0.02947</v>
      </c>
      <c r="F1588" s="54" t="n"/>
      <c r="G1588" t="inlineStr">
        <is>
          <t>no aplica (precio mayorista)</t>
        </is>
      </c>
      <c r="J1588" t="inlineStr">
        <is>
          <t>2024-05-02</t>
        </is>
      </c>
      <c r="K1588" t="inlineStr">
        <is>
          <t>MIBGAS_Data_2024.xlsx</t>
        </is>
      </c>
    </row>
    <row r="1589">
      <c r="A1589" s="53" t="n">
        <v>45415</v>
      </c>
      <c r="B1589" t="inlineStr">
        <is>
          <t>2024-05-03</t>
        </is>
      </c>
      <c r="C1589" s="45" t="n">
        <v>30.55</v>
      </c>
      <c r="D1589" t="inlineStr">
        <is>
          <t>€/MWh</t>
        </is>
      </c>
      <c r="E1589" s="54" t="n">
        <v>0.03055</v>
      </c>
      <c r="F1589" s="54" t="n"/>
      <c r="G1589" t="inlineStr">
        <is>
          <t>no aplica (precio mayorista)</t>
        </is>
      </c>
      <c r="J1589" t="inlineStr">
        <is>
          <t>2024-05-03</t>
        </is>
      </c>
      <c r="K1589" t="inlineStr">
        <is>
          <t>MIBGAS_Data_2024.xlsx</t>
        </is>
      </c>
    </row>
    <row r="1590">
      <c r="A1590" s="53" t="n">
        <v>45416</v>
      </c>
      <c r="B1590" t="inlineStr">
        <is>
          <t>2024-05-04</t>
        </is>
      </c>
      <c r="C1590" s="45" t="n">
        <v>30.21</v>
      </c>
      <c r="D1590" t="inlineStr">
        <is>
          <t>€/MWh</t>
        </is>
      </c>
      <c r="E1590" s="54" t="n">
        <v>0.03021</v>
      </c>
      <c r="F1590" s="54" t="n"/>
      <c r="G1590" t="inlineStr">
        <is>
          <t>no aplica (precio mayorista)</t>
        </is>
      </c>
      <c r="J1590" t="inlineStr">
        <is>
          <t>2024-05-04</t>
        </is>
      </c>
      <c r="K1590" t="inlineStr">
        <is>
          <t>MIBGAS_Data_2024.xlsx</t>
        </is>
      </c>
    </row>
    <row r="1591">
      <c r="A1591" s="53" t="n">
        <v>45417</v>
      </c>
      <c r="B1591" t="inlineStr">
        <is>
          <t>2024-05-05</t>
        </is>
      </c>
      <c r="C1591" s="45" t="n">
        <v>30.12</v>
      </c>
      <c r="D1591" t="inlineStr">
        <is>
          <t>€/MWh</t>
        </is>
      </c>
      <c r="E1591" s="54" t="n">
        <v>0.03012</v>
      </c>
      <c r="F1591" s="54" t="n"/>
      <c r="G1591" t="inlineStr">
        <is>
          <t>no aplica (precio mayorista)</t>
        </is>
      </c>
      <c r="J1591" t="inlineStr">
        <is>
          <t>2024-05-05</t>
        </is>
      </c>
      <c r="K1591" t="inlineStr">
        <is>
          <t>MIBGAS_Data_2024.xlsx</t>
        </is>
      </c>
    </row>
    <row r="1592">
      <c r="A1592" s="53" t="n">
        <v>45418</v>
      </c>
      <c r="B1592" t="inlineStr">
        <is>
          <t>2024-05-06</t>
        </is>
      </c>
      <c r="C1592" s="45" t="n">
        <v>30.63</v>
      </c>
      <c r="D1592" t="inlineStr">
        <is>
          <t>€/MWh</t>
        </is>
      </c>
      <c r="E1592" s="54" t="n">
        <v>0.03063</v>
      </c>
      <c r="F1592" s="54" t="n"/>
      <c r="G1592" t="inlineStr">
        <is>
          <t>no aplica (precio mayorista)</t>
        </is>
      </c>
      <c r="J1592" t="inlineStr">
        <is>
          <t>2024-05-06</t>
        </is>
      </c>
      <c r="K1592" t="inlineStr">
        <is>
          <t>MIBGAS_Data_2024.xlsx</t>
        </is>
      </c>
    </row>
    <row r="1593">
      <c r="A1593" s="53" t="n">
        <v>45419</v>
      </c>
      <c r="B1593" t="inlineStr">
        <is>
          <t>2024-05-07</t>
        </is>
      </c>
      <c r="C1593" s="45" t="n">
        <v>30.88</v>
      </c>
      <c r="D1593" t="inlineStr">
        <is>
          <t>€/MWh</t>
        </is>
      </c>
      <c r="E1593" s="54" t="n">
        <v>0.03088</v>
      </c>
      <c r="F1593" s="54" t="n"/>
      <c r="G1593" t="inlineStr">
        <is>
          <t>no aplica (precio mayorista)</t>
        </is>
      </c>
      <c r="J1593" t="inlineStr">
        <is>
          <t>2024-05-07</t>
        </is>
      </c>
      <c r="K1593" t="inlineStr">
        <is>
          <t>MIBGAS_Data_2024.xlsx</t>
        </is>
      </c>
    </row>
    <row r="1594">
      <c r="A1594" s="53" t="n">
        <v>45420</v>
      </c>
      <c r="B1594" t="inlineStr">
        <is>
          <t>2024-05-08</t>
        </is>
      </c>
      <c r="C1594" s="45" t="n">
        <v>31</v>
      </c>
      <c r="D1594" t="inlineStr">
        <is>
          <t>€/MWh</t>
        </is>
      </c>
      <c r="E1594" s="54" t="n">
        <v>0.031</v>
      </c>
      <c r="F1594" s="54" t="n"/>
      <c r="G1594" t="inlineStr">
        <is>
          <t>no aplica (precio mayorista)</t>
        </is>
      </c>
      <c r="J1594" t="inlineStr">
        <is>
          <t>2024-05-08</t>
        </is>
      </c>
      <c r="K1594" t="inlineStr">
        <is>
          <t>MIBGAS_Data_2024.xlsx</t>
        </is>
      </c>
    </row>
    <row r="1595">
      <c r="A1595" s="53" t="n">
        <v>45421</v>
      </c>
      <c r="B1595" t="inlineStr">
        <is>
          <t>2024-05-09</t>
        </is>
      </c>
      <c r="C1595" s="45" t="n">
        <v>30.54</v>
      </c>
      <c r="D1595" t="inlineStr">
        <is>
          <t>€/MWh</t>
        </is>
      </c>
      <c r="E1595" s="54" t="n">
        <v>0.03054</v>
      </c>
      <c r="F1595" s="54" t="n"/>
      <c r="G1595" t="inlineStr">
        <is>
          <t>no aplica (precio mayorista)</t>
        </is>
      </c>
      <c r="J1595" t="inlineStr">
        <is>
          <t>2024-05-09</t>
        </is>
      </c>
      <c r="K1595" t="inlineStr">
        <is>
          <t>MIBGAS_Data_2024.xlsx</t>
        </is>
      </c>
    </row>
    <row r="1596">
      <c r="A1596" s="53" t="n">
        <v>45422</v>
      </c>
      <c r="B1596" t="inlineStr">
        <is>
          <t>2024-05-10</t>
        </is>
      </c>
      <c r="C1596" s="45" t="n">
        <v>30.85</v>
      </c>
      <c r="D1596" t="inlineStr">
        <is>
          <t>€/MWh</t>
        </is>
      </c>
      <c r="E1596" s="54" t="n">
        <v>0.03085</v>
      </c>
      <c r="F1596" s="54" t="n"/>
      <c r="G1596" t="inlineStr">
        <is>
          <t>no aplica (precio mayorista)</t>
        </is>
      </c>
      <c r="J1596" t="inlineStr">
        <is>
          <t>2024-05-10</t>
        </is>
      </c>
      <c r="K1596" t="inlineStr">
        <is>
          <t>MIBGAS_Data_2024.xlsx</t>
        </is>
      </c>
    </row>
    <row r="1597">
      <c r="A1597" s="53" t="n">
        <v>45423</v>
      </c>
      <c r="B1597" t="inlineStr">
        <is>
          <t>2024-05-11</t>
        </is>
      </c>
      <c r="C1597" s="45" t="n">
        <v>30.02</v>
      </c>
      <c r="D1597" t="inlineStr">
        <is>
          <t>€/MWh</t>
        </is>
      </c>
      <c r="E1597" s="54" t="n">
        <v>0.03002</v>
      </c>
      <c r="F1597" s="54" t="n"/>
      <c r="G1597" t="inlineStr">
        <is>
          <t>no aplica (precio mayorista)</t>
        </is>
      </c>
      <c r="J1597" t="inlineStr">
        <is>
          <t>2024-05-11</t>
        </is>
      </c>
      <c r="K1597" t="inlineStr">
        <is>
          <t>MIBGAS_Data_2024.xlsx</t>
        </is>
      </c>
    </row>
    <row r="1598">
      <c r="A1598" s="53" t="n">
        <v>45424</v>
      </c>
      <c r="B1598" t="inlineStr">
        <is>
          <t>2024-05-12</t>
        </is>
      </c>
      <c r="C1598" s="45" t="n">
        <v>29.96</v>
      </c>
      <c r="D1598" t="inlineStr">
        <is>
          <t>€/MWh</t>
        </is>
      </c>
      <c r="E1598" s="54" t="n">
        <v>0.02996</v>
      </c>
      <c r="F1598" s="54" t="n"/>
      <c r="G1598" t="inlineStr">
        <is>
          <t>no aplica (precio mayorista)</t>
        </is>
      </c>
      <c r="J1598" t="inlineStr">
        <is>
          <t>2024-05-12</t>
        </is>
      </c>
      <c r="K1598" t="inlineStr">
        <is>
          <t>MIBGAS_Data_2024.xlsx</t>
        </is>
      </c>
    </row>
    <row r="1599">
      <c r="A1599" s="53" t="n">
        <v>45425</v>
      </c>
      <c r="B1599" t="inlineStr">
        <is>
          <t>2024-05-13</t>
        </is>
      </c>
      <c r="C1599" s="45" t="n">
        <v>29.98</v>
      </c>
      <c r="D1599" t="inlineStr">
        <is>
          <t>€/MWh</t>
        </is>
      </c>
      <c r="E1599" s="54" t="n">
        <v>0.02998</v>
      </c>
      <c r="F1599" s="54" t="n"/>
      <c r="G1599" t="inlineStr">
        <is>
          <t>no aplica (precio mayorista)</t>
        </is>
      </c>
      <c r="J1599" t="inlineStr">
        <is>
          <t>2024-05-13</t>
        </is>
      </c>
      <c r="K1599" t="inlineStr">
        <is>
          <t>MIBGAS_Data_2024.xlsx</t>
        </is>
      </c>
    </row>
    <row r="1600">
      <c r="A1600" s="53" t="n">
        <v>45426</v>
      </c>
      <c r="B1600" t="inlineStr">
        <is>
          <t>2024-05-14</t>
        </is>
      </c>
      <c r="C1600" s="45" t="n">
        <v>29.6</v>
      </c>
      <c r="D1600" t="inlineStr">
        <is>
          <t>€/MWh</t>
        </is>
      </c>
      <c r="E1600" s="54" t="n">
        <v>0.0296</v>
      </c>
      <c r="F1600" s="54" t="n"/>
      <c r="G1600" t="inlineStr">
        <is>
          <t>no aplica (precio mayorista)</t>
        </is>
      </c>
      <c r="J1600" t="inlineStr">
        <is>
          <t>2024-05-14</t>
        </is>
      </c>
      <c r="K1600" t="inlineStr">
        <is>
          <t>MIBGAS_Data_2024.xlsx</t>
        </is>
      </c>
    </row>
    <row r="1601">
      <c r="A1601" s="53" t="n">
        <v>45427</v>
      </c>
      <c r="B1601" t="inlineStr">
        <is>
          <t>2024-05-15</t>
        </is>
      </c>
      <c r="C1601" s="45" t="n">
        <v>29.87</v>
      </c>
      <c r="D1601" t="inlineStr">
        <is>
          <t>€/MWh</t>
        </is>
      </c>
      <c r="E1601" s="54" t="n">
        <v>0.02987</v>
      </c>
      <c r="F1601" s="54" t="n"/>
      <c r="G1601" t="inlineStr">
        <is>
          <t>no aplica (precio mayorista)</t>
        </is>
      </c>
      <c r="J1601" t="inlineStr">
        <is>
          <t>2024-05-15</t>
        </is>
      </c>
      <c r="K1601" t="inlineStr">
        <is>
          <t>MIBGAS_Data_2024.xlsx</t>
        </is>
      </c>
    </row>
    <row r="1602">
      <c r="A1602" s="53" t="n">
        <v>45428</v>
      </c>
      <c r="B1602" t="inlineStr">
        <is>
          <t>2024-05-16</t>
        </is>
      </c>
      <c r="C1602" s="45" t="n">
        <v>30.16</v>
      </c>
      <c r="D1602" t="inlineStr">
        <is>
          <t>€/MWh</t>
        </is>
      </c>
      <c r="E1602" s="54" t="n">
        <v>0.03016</v>
      </c>
      <c r="F1602" s="54" t="n"/>
      <c r="G1602" t="inlineStr">
        <is>
          <t>no aplica (precio mayorista)</t>
        </is>
      </c>
      <c r="J1602" t="inlineStr">
        <is>
          <t>2024-05-16</t>
        </is>
      </c>
      <c r="K1602" t="inlineStr">
        <is>
          <t>MIBGAS_Data_2024.xlsx</t>
        </is>
      </c>
    </row>
    <row r="1603">
      <c r="A1603" s="53" t="n">
        <v>45429</v>
      </c>
      <c r="B1603" t="inlineStr">
        <is>
          <t>2024-05-17</t>
        </is>
      </c>
      <c r="C1603" s="45" t="n">
        <v>30.93</v>
      </c>
      <c r="D1603" t="inlineStr">
        <is>
          <t>€/MWh</t>
        </is>
      </c>
      <c r="E1603" s="54" t="n">
        <v>0.03093</v>
      </c>
      <c r="F1603" s="54" t="n"/>
      <c r="G1603" t="inlineStr">
        <is>
          <t>no aplica (precio mayorista)</t>
        </is>
      </c>
      <c r="J1603" t="inlineStr">
        <is>
          <t>2024-05-17</t>
        </is>
      </c>
      <c r="K1603" t="inlineStr">
        <is>
          <t>MIBGAS_Data_2024.xlsx</t>
        </is>
      </c>
    </row>
    <row r="1604">
      <c r="A1604" s="53" t="n">
        <v>45430</v>
      </c>
      <c r="B1604" t="inlineStr">
        <is>
          <t>2024-05-18</t>
        </is>
      </c>
      <c r="C1604" s="45" t="n">
        <v>30.98</v>
      </c>
      <c r="D1604" t="inlineStr">
        <is>
          <t>€/MWh</t>
        </is>
      </c>
      <c r="E1604" s="54" t="n">
        <v>0.03098</v>
      </c>
      <c r="F1604" s="54" t="n"/>
      <c r="G1604" t="inlineStr">
        <is>
          <t>no aplica (precio mayorista)</t>
        </is>
      </c>
      <c r="J1604" t="inlineStr">
        <is>
          <t>2024-05-18</t>
        </is>
      </c>
      <c r="K1604" t="inlineStr">
        <is>
          <t>MIBGAS_Data_2024.xlsx</t>
        </is>
      </c>
    </row>
    <row r="1605">
      <c r="A1605" s="53" t="n">
        <v>45431</v>
      </c>
      <c r="B1605" t="inlineStr">
        <is>
          <t>2024-05-19</t>
        </is>
      </c>
      <c r="C1605" s="45" t="n">
        <v>31.12</v>
      </c>
      <c r="D1605" t="inlineStr">
        <is>
          <t>€/MWh</t>
        </is>
      </c>
      <c r="E1605" s="54" t="n">
        <v>0.03112</v>
      </c>
      <c r="F1605" s="54" t="n"/>
      <c r="G1605" t="inlineStr">
        <is>
          <t>no aplica (precio mayorista)</t>
        </is>
      </c>
      <c r="J1605" t="inlineStr">
        <is>
          <t>2024-05-19</t>
        </is>
      </c>
      <c r="K1605" t="inlineStr">
        <is>
          <t>MIBGAS_Data_2024.xlsx</t>
        </is>
      </c>
    </row>
    <row r="1606">
      <c r="A1606" s="53" t="n">
        <v>45432</v>
      </c>
      <c r="B1606" t="inlineStr">
        <is>
          <t>2024-05-20</t>
        </is>
      </c>
      <c r="C1606" s="45" t="n">
        <v>31.39</v>
      </c>
      <c r="D1606" t="inlineStr">
        <is>
          <t>€/MWh</t>
        </is>
      </c>
      <c r="E1606" s="54" t="n">
        <v>0.03139</v>
      </c>
      <c r="F1606" s="54" t="n"/>
      <c r="G1606" t="inlineStr">
        <is>
          <t>no aplica (precio mayorista)</t>
        </is>
      </c>
      <c r="J1606" t="inlineStr">
        <is>
          <t>2024-05-20</t>
        </is>
      </c>
      <c r="K1606" t="inlineStr">
        <is>
          <t>MIBGAS_Data_2024.xlsx</t>
        </is>
      </c>
    </row>
    <row r="1607">
      <c r="A1607" s="53" t="n">
        <v>45433</v>
      </c>
      <c r="B1607" t="inlineStr">
        <is>
          <t>2024-05-21</t>
        </is>
      </c>
      <c r="C1607" s="45" t="n">
        <v>32.27</v>
      </c>
      <c r="D1607" t="inlineStr">
        <is>
          <t>€/MWh</t>
        </is>
      </c>
      <c r="E1607" s="54" t="n">
        <v>0.03227</v>
      </c>
      <c r="F1607" s="54" t="n"/>
      <c r="G1607" t="inlineStr">
        <is>
          <t>no aplica (precio mayorista)</t>
        </is>
      </c>
      <c r="J1607" t="inlineStr">
        <is>
          <t>2024-05-21</t>
        </is>
      </c>
      <c r="K1607" t="inlineStr">
        <is>
          <t>MIBGAS_Data_2024.xlsx</t>
        </is>
      </c>
    </row>
    <row r="1608">
      <c r="A1608" s="53" t="n">
        <v>45434</v>
      </c>
      <c r="B1608" t="inlineStr">
        <is>
          <t>2024-05-22</t>
        </is>
      </c>
      <c r="C1608" s="45" t="n">
        <v>33.21</v>
      </c>
      <c r="D1608" t="inlineStr">
        <is>
          <t>€/MWh</t>
        </is>
      </c>
      <c r="E1608" s="54" t="n">
        <v>0.03321</v>
      </c>
      <c r="F1608" s="54" t="n"/>
      <c r="G1608" t="inlineStr">
        <is>
          <t>no aplica (precio mayorista)</t>
        </is>
      </c>
      <c r="J1608" t="inlineStr">
        <is>
          <t>2024-05-22</t>
        </is>
      </c>
      <c r="K1608" t="inlineStr">
        <is>
          <t>MIBGAS_Data_2024.xlsx</t>
        </is>
      </c>
    </row>
    <row r="1609">
      <c r="A1609" s="53" t="n">
        <v>45435</v>
      </c>
      <c r="B1609" t="inlineStr">
        <is>
          <t>2024-05-23</t>
        </is>
      </c>
      <c r="C1609" s="45" t="n">
        <v>34.61</v>
      </c>
      <c r="D1609" t="inlineStr">
        <is>
          <t>€/MWh</t>
        </is>
      </c>
      <c r="E1609" s="54" t="n">
        <v>0.03461</v>
      </c>
      <c r="F1609" s="54" t="n"/>
      <c r="G1609" t="inlineStr">
        <is>
          <t>no aplica (precio mayorista)</t>
        </is>
      </c>
      <c r="J1609" t="inlineStr">
        <is>
          <t>2024-05-23</t>
        </is>
      </c>
      <c r="K1609" t="inlineStr">
        <is>
          <t>MIBGAS_Data_2024.xlsx</t>
        </is>
      </c>
    </row>
    <row r="1610">
      <c r="A1610" s="53" t="n">
        <v>45436</v>
      </c>
      <c r="B1610" t="inlineStr">
        <is>
          <t>2024-05-24</t>
        </is>
      </c>
      <c r="C1610" s="45" t="n">
        <v>35.42</v>
      </c>
      <c r="D1610" t="inlineStr">
        <is>
          <t>€/MWh</t>
        </is>
      </c>
      <c r="E1610" s="54" t="n">
        <v>0.03542</v>
      </c>
      <c r="F1610" s="54" t="n"/>
      <c r="G1610" t="inlineStr">
        <is>
          <t>no aplica (precio mayorista)</t>
        </is>
      </c>
      <c r="J1610" t="inlineStr">
        <is>
          <t>2024-05-24</t>
        </is>
      </c>
      <c r="K1610" t="inlineStr">
        <is>
          <t>MIBGAS_Data_2024.xlsx</t>
        </is>
      </c>
    </row>
    <row r="1611">
      <c r="A1611" s="53" t="n">
        <v>45437</v>
      </c>
      <c r="B1611" t="inlineStr">
        <is>
          <t>2024-05-25</t>
        </is>
      </c>
      <c r="C1611" s="45" t="n">
        <v>34.72</v>
      </c>
      <c r="D1611" t="inlineStr">
        <is>
          <t>€/MWh</t>
        </is>
      </c>
      <c r="E1611" s="54" t="n">
        <v>0.03472</v>
      </c>
      <c r="F1611" s="54" t="n"/>
      <c r="G1611" t="inlineStr">
        <is>
          <t>no aplica (precio mayorista)</t>
        </is>
      </c>
      <c r="J1611" t="inlineStr">
        <is>
          <t>2024-05-25</t>
        </is>
      </c>
      <c r="K1611" t="inlineStr">
        <is>
          <t>MIBGAS_Data_2024.xlsx</t>
        </is>
      </c>
    </row>
    <row r="1612">
      <c r="A1612" s="53" t="n">
        <v>45438</v>
      </c>
      <c r="B1612" t="inlineStr">
        <is>
          <t>2024-05-26</t>
        </is>
      </c>
      <c r="C1612" s="45" t="n">
        <v>34.51</v>
      </c>
      <c r="D1612" t="inlineStr">
        <is>
          <t>€/MWh</t>
        </is>
      </c>
      <c r="E1612" s="54" t="n">
        <v>0.03451</v>
      </c>
      <c r="F1612" s="54" t="n"/>
      <c r="G1612" t="inlineStr">
        <is>
          <t>no aplica (precio mayorista)</t>
        </is>
      </c>
      <c r="J1612" t="inlineStr">
        <is>
          <t>2024-05-26</t>
        </is>
      </c>
      <c r="K1612" t="inlineStr">
        <is>
          <t>MIBGAS_Data_2024.xlsx</t>
        </is>
      </c>
    </row>
    <row r="1613">
      <c r="A1613" s="53" t="n">
        <v>45439</v>
      </c>
      <c r="B1613" t="inlineStr">
        <is>
          <t>2024-05-27</t>
        </is>
      </c>
      <c r="C1613" s="45" t="n">
        <v>34.7</v>
      </c>
      <c r="D1613" t="inlineStr">
        <is>
          <t>€/MWh</t>
        </is>
      </c>
      <c r="E1613" s="54" t="n">
        <v>0.0347</v>
      </c>
      <c r="F1613" s="54" t="n"/>
      <c r="G1613" t="inlineStr">
        <is>
          <t>no aplica (precio mayorista)</t>
        </is>
      </c>
      <c r="J1613" t="inlineStr">
        <is>
          <t>2024-05-27</t>
        </is>
      </c>
      <c r="K1613" t="inlineStr">
        <is>
          <t>MIBGAS_Data_2024.xlsx</t>
        </is>
      </c>
    </row>
    <row r="1614">
      <c r="A1614" s="53" t="n">
        <v>45440</v>
      </c>
      <c r="B1614" t="inlineStr">
        <is>
          <t>2024-05-28</t>
        </is>
      </c>
      <c r="C1614" s="45" t="n">
        <v>34.57</v>
      </c>
      <c r="D1614" t="inlineStr">
        <is>
          <t>€/MWh</t>
        </is>
      </c>
      <c r="E1614" s="54" t="n">
        <v>0.03457</v>
      </c>
      <c r="F1614" s="54" t="n"/>
      <c r="G1614" t="inlineStr">
        <is>
          <t>no aplica (precio mayorista)</t>
        </is>
      </c>
      <c r="J1614" t="inlineStr">
        <is>
          <t>2024-05-28</t>
        </is>
      </c>
      <c r="K1614" t="inlineStr">
        <is>
          <t>MIBGAS_Data_2024.xlsx</t>
        </is>
      </c>
    </row>
    <row r="1615">
      <c r="A1615" s="53" t="n">
        <v>45441</v>
      </c>
      <c r="B1615" t="inlineStr">
        <is>
          <t>2024-05-29</t>
        </is>
      </c>
      <c r="C1615" s="45" t="n">
        <v>34.42</v>
      </c>
      <c r="D1615" t="inlineStr">
        <is>
          <t>€/MWh</t>
        </is>
      </c>
      <c r="E1615" s="54" t="n">
        <v>0.03442</v>
      </c>
      <c r="F1615" s="54" t="n"/>
      <c r="G1615" t="inlineStr">
        <is>
          <t>no aplica (precio mayorista)</t>
        </is>
      </c>
      <c r="J1615" t="inlineStr">
        <is>
          <t>2024-05-29</t>
        </is>
      </c>
      <c r="K1615" t="inlineStr">
        <is>
          <t>MIBGAS_Data_2024.xlsx</t>
        </is>
      </c>
    </row>
    <row r="1616">
      <c r="A1616" s="53" t="n">
        <v>45442</v>
      </c>
      <c r="B1616" t="inlineStr">
        <is>
          <t>2024-05-30</t>
        </is>
      </c>
      <c r="C1616" s="45" t="n">
        <v>34.32</v>
      </c>
      <c r="D1616" t="inlineStr">
        <is>
          <t>€/MWh</t>
        </is>
      </c>
      <c r="E1616" s="54" t="n">
        <v>0.03432</v>
      </c>
      <c r="F1616" s="54" t="n"/>
      <c r="G1616" t="inlineStr">
        <is>
          <t>no aplica (precio mayorista)</t>
        </is>
      </c>
      <c r="J1616" t="inlineStr">
        <is>
          <t>2024-05-30</t>
        </is>
      </c>
      <c r="K1616" t="inlineStr">
        <is>
          <t>MIBGAS_Data_2024.xlsx</t>
        </is>
      </c>
    </row>
    <row r="1617">
      <c r="A1617" s="53" t="n">
        <v>45443</v>
      </c>
      <c r="B1617" t="inlineStr">
        <is>
          <t>2024-05-31</t>
        </is>
      </c>
      <c r="C1617" s="45" t="n">
        <v>34.89</v>
      </c>
      <c r="D1617" t="inlineStr">
        <is>
          <t>€/MWh</t>
        </is>
      </c>
      <c r="E1617" s="54" t="n">
        <v>0.03489</v>
      </c>
      <c r="F1617" s="54" t="n"/>
      <c r="G1617" t="inlineStr">
        <is>
          <t>no aplica (precio mayorista)</t>
        </is>
      </c>
      <c r="J1617" t="inlineStr">
        <is>
          <t>2024-05-31</t>
        </is>
      </c>
      <c r="K1617" t="inlineStr">
        <is>
          <t>MIBGAS_Data_2024.xlsx</t>
        </is>
      </c>
    </row>
    <row r="1618">
      <c r="A1618" s="53" t="n">
        <v>45444</v>
      </c>
      <c r="B1618" t="inlineStr">
        <is>
          <t>2024-06-01</t>
        </is>
      </c>
      <c r="C1618" s="45" t="n">
        <v>34.57</v>
      </c>
      <c r="D1618" t="inlineStr">
        <is>
          <t>€/MWh</t>
        </is>
      </c>
      <c r="E1618" s="54" t="n">
        <v>0.03457</v>
      </c>
      <c r="F1618" s="54" t="n"/>
      <c r="G1618" t="inlineStr">
        <is>
          <t>no aplica (precio mayorista)</t>
        </is>
      </c>
      <c r="J1618" t="inlineStr">
        <is>
          <t>2024-06-01</t>
        </is>
      </c>
      <c r="K1618" t="inlineStr">
        <is>
          <t>MIBGAS_Data_2024.xlsx</t>
        </is>
      </c>
    </row>
    <row r="1619">
      <c r="A1619" s="53" t="n">
        <v>45445</v>
      </c>
      <c r="B1619" t="inlineStr">
        <is>
          <t>2024-06-02</t>
        </is>
      </c>
      <c r="C1619" s="45" t="n">
        <v>34.68</v>
      </c>
      <c r="D1619" t="inlineStr">
        <is>
          <t>€/MWh</t>
        </is>
      </c>
      <c r="E1619" s="54" t="n">
        <v>0.03468</v>
      </c>
      <c r="F1619" s="54" t="n"/>
      <c r="G1619" t="inlineStr">
        <is>
          <t>no aplica (precio mayorista)</t>
        </is>
      </c>
      <c r="J1619" t="inlineStr">
        <is>
          <t>2024-06-02</t>
        </is>
      </c>
      <c r="K1619" t="inlineStr">
        <is>
          <t>MIBGAS_Data_2024.xlsx</t>
        </is>
      </c>
    </row>
    <row r="1620">
      <c r="A1620" s="53" t="n">
        <v>45446</v>
      </c>
      <c r="B1620" t="inlineStr">
        <is>
          <t>2024-06-03</t>
        </is>
      </c>
      <c r="C1620" s="45" t="n">
        <v>35.9</v>
      </c>
      <c r="D1620" t="inlineStr">
        <is>
          <t>€/MWh</t>
        </is>
      </c>
      <c r="E1620" s="54" t="n">
        <v>0.0359</v>
      </c>
      <c r="F1620" s="54" t="n"/>
      <c r="G1620" t="inlineStr">
        <is>
          <t>no aplica (precio mayorista)</t>
        </is>
      </c>
      <c r="J1620" t="inlineStr">
        <is>
          <t>2024-06-03</t>
        </is>
      </c>
      <c r="K1620" t="inlineStr">
        <is>
          <t>MIBGAS_Data_2024.xlsx</t>
        </is>
      </c>
    </row>
    <row r="1621">
      <c r="A1621" s="53" t="n">
        <v>45447</v>
      </c>
      <c r="B1621" t="inlineStr">
        <is>
          <t>2024-06-04</t>
        </is>
      </c>
      <c r="C1621" s="45" t="n">
        <v>36.55</v>
      </c>
      <c r="D1621" t="inlineStr">
        <is>
          <t>€/MWh</t>
        </is>
      </c>
      <c r="E1621" s="54" t="n">
        <v>0.03655</v>
      </c>
      <c r="F1621" s="54" t="n"/>
      <c r="G1621" t="inlineStr">
        <is>
          <t>no aplica (precio mayorista)</t>
        </is>
      </c>
      <c r="J1621" t="inlineStr">
        <is>
          <t>2024-06-04</t>
        </is>
      </c>
      <c r="K1621" t="inlineStr">
        <is>
          <t>MIBGAS_Data_2024.xlsx</t>
        </is>
      </c>
    </row>
    <row r="1622">
      <c r="A1622" s="53" t="n">
        <v>45448</v>
      </c>
      <c r="B1622" t="inlineStr">
        <is>
          <t>2024-06-05</t>
        </is>
      </c>
      <c r="C1622" s="45" t="n">
        <v>35.26</v>
      </c>
      <c r="D1622" t="inlineStr">
        <is>
          <t>€/MWh</t>
        </is>
      </c>
      <c r="E1622" s="54" t="n">
        <v>0.03526</v>
      </c>
      <c r="F1622" s="54" t="n"/>
      <c r="G1622" t="inlineStr">
        <is>
          <t>no aplica (precio mayorista)</t>
        </is>
      </c>
      <c r="J1622" t="inlineStr">
        <is>
          <t>2024-06-05</t>
        </is>
      </c>
      <c r="K1622" t="inlineStr">
        <is>
          <t>MIBGAS_Data_2024.xlsx</t>
        </is>
      </c>
    </row>
    <row r="1623">
      <c r="A1623" s="53" t="n">
        <v>45449</v>
      </c>
      <c r="B1623" t="inlineStr">
        <is>
          <t>2024-06-06</t>
        </is>
      </c>
      <c r="C1623" s="45" t="n">
        <v>34.21</v>
      </c>
      <c r="D1623" t="inlineStr">
        <is>
          <t>€/MWh</t>
        </is>
      </c>
      <c r="E1623" s="54" t="n">
        <v>0.03421</v>
      </c>
      <c r="F1623" s="54" t="n"/>
      <c r="G1623" t="inlineStr">
        <is>
          <t>no aplica (precio mayorista)</t>
        </is>
      </c>
      <c r="J1623" t="inlineStr">
        <is>
          <t>2024-06-06</t>
        </is>
      </c>
      <c r="K1623" t="inlineStr">
        <is>
          <t>MIBGAS_Data_2024.xlsx</t>
        </is>
      </c>
    </row>
    <row r="1624">
      <c r="A1624" s="53" t="n">
        <v>45450</v>
      </c>
      <c r="B1624" t="inlineStr">
        <is>
          <t>2024-06-07</t>
        </is>
      </c>
      <c r="C1624" s="45" t="n">
        <v>33.85</v>
      </c>
      <c r="D1624" t="inlineStr">
        <is>
          <t>€/MWh</t>
        </is>
      </c>
      <c r="E1624" s="54" t="n">
        <v>0.03385</v>
      </c>
      <c r="F1624" s="54" t="n"/>
      <c r="G1624" t="inlineStr">
        <is>
          <t>no aplica (precio mayorista)</t>
        </is>
      </c>
      <c r="J1624" t="inlineStr">
        <is>
          <t>2024-06-07</t>
        </is>
      </c>
      <c r="K1624" t="inlineStr">
        <is>
          <t>MIBGAS_Data_2024.xlsx</t>
        </is>
      </c>
    </row>
    <row r="1625">
      <c r="A1625" s="53" t="n">
        <v>45451</v>
      </c>
      <c r="B1625" t="inlineStr">
        <is>
          <t>2024-06-08</t>
        </is>
      </c>
      <c r="C1625" s="45" t="n">
        <v>33.73</v>
      </c>
      <c r="D1625" t="inlineStr">
        <is>
          <t>€/MWh</t>
        </is>
      </c>
      <c r="E1625" s="54" t="n">
        <v>0.03373</v>
      </c>
      <c r="F1625" s="54" t="n"/>
      <c r="G1625" t="inlineStr">
        <is>
          <t>no aplica (precio mayorista)</t>
        </is>
      </c>
      <c r="J1625" t="inlineStr">
        <is>
          <t>2024-06-08</t>
        </is>
      </c>
      <c r="K1625" t="inlineStr">
        <is>
          <t>MIBGAS_Data_2024.xlsx</t>
        </is>
      </c>
    </row>
    <row r="1626">
      <c r="A1626" s="53" t="n">
        <v>45452</v>
      </c>
      <c r="B1626" t="inlineStr">
        <is>
          <t>2024-06-09</t>
        </is>
      </c>
      <c r="C1626" s="45" t="n">
        <v>33.49</v>
      </c>
      <c r="D1626" t="inlineStr">
        <is>
          <t>€/MWh</t>
        </is>
      </c>
      <c r="E1626" s="54" t="n">
        <v>0.03349</v>
      </c>
      <c r="F1626" s="54" t="n"/>
      <c r="G1626" t="inlineStr">
        <is>
          <t>no aplica (precio mayorista)</t>
        </is>
      </c>
      <c r="J1626" t="inlineStr">
        <is>
          <t>2024-06-09</t>
        </is>
      </c>
      <c r="K1626" t="inlineStr">
        <is>
          <t>MIBGAS_Data_2024.xlsx</t>
        </is>
      </c>
    </row>
    <row r="1627">
      <c r="A1627" s="53" t="n">
        <v>45453</v>
      </c>
      <c r="B1627" t="inlineStr">
        <is>
          <t>2024-06-10</t>
        </is>
      </c>
      <c r="C1627" s="45" t="n">
        <v>33.54</v>
      </c>
      <c r="D1627" t="inlineStr">
        <is>
          <t>€/MWh</t>
        </is>
      </c>
      <c r="E1627" s="54" t="n">
        <v>0.03354</v>
      </c>
      <c r="F1627" s="54" t="n"/>
      <c r="G1627" t="inlineStr">
        <is>
          <t>no aplica (precio mayorista)</t>
        </is>
      </c>
      <c r="J1627" t="inlineStr">
        <is>
          <t>2024-06-10</t>
        </is>
      </c>
      <c r="K1627" t="inlineStr">
        <is>
          <t>MIBGAS_Data_2024.xlsx</t>
        </is>
      </c>
    </row>
    <row r="1628">
      <c r="A1628" s="53" t="n">
        <v>45454</v>
      </c>
      <c r="B1628" t="inlineStr">
        <is>
          <t>2024-06-11</t>
        </is>
      </c>
      <c r="C1628" s="45" t="n">
        <v>34.05</v>
      </c>
      <c r="D1628" t="inlineStr">
        <is>
          <t>€/MWh</t>
        </is>
      </c>
      <c r="E1628" s="54" t="n">
        <v>0.03405</v>
      </c>
      <c r="F1628" s="54" t="n"/>
      <c r="G1628" t="inlineStr">
        <is>
          <t>no aplica (precio mayorista)</t>
        </is>
      </c>
      <c r="J1628" t="inlineStr">
        <is>
          <t>2024-06-11</t>
        </is>
      </c>
      <c r="K1628" t="inlineStr">
        <is>
          <t>MIBGAS_Data_2024.xlsx</t>
        </is>
      </c>
    </row>
    <row r="1629">
      <c r="A1629" s="53" t="n">
        <v>45455</v>
      </c>
      <c r="B1629" t="inlineStr">
        <is>
          <t>2024-06-12</t>
        </is>
      </c>
      <c r="C1629" s="45" t="n">
        <v>34.86</v>
      </c>
      <c r="D1629" t="inlineStr">
        <is>
          <t>€/MWh</t>
        </is>
      </c>
      <c r="E1629" s="54" t="n">
        <v>0.03486</v>
      </c>
      <c r="F1629" s="54" t="n"/>
      <c r="G1629" t="inlineStr">
        <is>
          <t>no aplica (precio mayorista)</t>
        </is>
      </c>
      <c r="J1629" t="inlineStr">
        <is>
          <t>2024-06-12</t>
        </is>
      </c>
      <c r="K1629" t="inlineStr">
        <is>
          <t>MIBGAS_Data_2024.xlsx</t>
        </is>
      </c>
    </row>
    <row r="1630">
      <c r="A1630" s="53" t="n">
        <v>45456</v>
      </c>
      <c r="B1630" t="inlineStr">
        <is>
          <t>2024-06-13</t>
        </is>
      </c>
      <c r="C1630" s="45" t="n">
        <v>35.48</v>
      </c>
      <c r="D1630" t="inlineStr">
        <is>
          <t>€/MWh</t>
        </is>
      </c>
      <c r="E1630" s="54" t="n">
        <v>0.03548</v>
      </c>
      <c r="F1630" s="54" t="n"/>
      <c r="G1630" t="inlineStr">
        <is>
          <t>no aplica (precio mayorista)</t>
        </is>
      </c>
      <c r="J1630" t="inlineStr">
        <is>
          <t>2024-06-13</t>
        </is>
      </c>
      <c r="K1630" t="inlineStr">
        <is>
          <t>MIBGAS_Data_2024.xlsx</t>
        </is>
      </c>
    </row>
    <row r="1631">
      <c r="A1631" s="53" t="n">
        <v>45457</v>
      </c>
      <c r="B1631" t="inlineStr">
        <is>
          <t>2024-06-14</t>
        </is>
      </c>
      <c r="C1631" s="45" t="n">
        <v>35.91</v>
      </c>
      <c r="D1631" t="inlineStr">
        <is>
          <t>€/MWh</t>
        </is>
      </c>
      <c r="E1631" s="54" t="n">
        <v>0.03591</v>
      </c>
      <c r="F1631" s="54" t="n"/>
      <c r="G1631" t="inlineStr">
        <is>
          <t>no aplica (precio mayorista)</t>
        </is>
      </c>
      <c r="J1631" t="inlineStr">
        <is>
          <t>2024-06-14</t>
        </is>
      </c>
      <c r="K1631" t="inlineStr">
        <is>
          <t>MIBGAS_Data_2024.xlsx</t>
        </is>
      </c>
    </row>
    <row r="1632">
      <c r="A1632" s="53" t="n">
        <v>45458</v>
      </c>
      <c r="B1632" t="inlineStr">
        <is>
          <t>2024-06-15</t>
        </is>
      </c>
      <c r="C1632" s="45" t="n">
        <v>34.72</v>
      </c>
      <c r="D1632" t="inlineStr">
        <is>
          <t>€/MWh</t>
        </is>
      </c>
      <c r="E1632" s="54" t="n">
        <v>0.03472</v>
      </c>
      <c r="F1632" s="54" t="n"/>
      <c r="G1632" t="inlineStr">
        <is>
          <t>no aplica (precio mayorista)</t>
        </is>
      </c>
      <c r="J1632" t="inlineStr">
        <is>
          <t>2024-06-15</t>
        </is>
      </c>
      <c r="K1632" t="inlineStr">
        <is>
          <t>MIBGAS_Data_2024.xlsx</t>
        </is>
      </c>
    </row>
    <row r="1633">
      <c r="A1633" s="53" t="n">
        <v>45459</v>
      </c>
      <c r="B1633" t="inlineStr">
        <is>
          <t>2024-06-16</t>
        </is>
      </c>
      <c r="C1633" s="45" t="n">
        <v>34.66</v>
      </c>
      <c r="D1633" t="inlineStr">
        <is>
          <t>€/MWh</t>
        </is>
      </c>
      <c r="E1633" s="54" t="n">
        <v>0.03466</v>
      </c>
      <c r="F1633" s="54" t="n"/>
      <c r="G1633" t="inlineStr">
        <is>
          <t>no aplica (precio mayorista)</t>
        </is>
      </c>
      <c r="J1633" t="inlineStr">
        <is>
          <t>2024-06-16</t>
        </is>
      </c>
      <c r="K1633" t="inlineStr">
        <is>
          <t>MIBGAS_Data_2024.xlsx</t>
        </is>
      </c>
    </row>
    <row r="1634">
      <c r="A1634" s="53" t="n">
        <v>45460</v>
      </c>
      <c r="B1634" t="inlineStr">
        <is>
          <t>2024-06-17</t>
        </is>
      </c>
      <c r="C1634" s="45" t="n">
        <v>34.94</v>
      </c>
      <c r="D1634" t="inlineStr">
        <is>
          <t>€/MWh</t>
        </is>
      </c>
      <c r="E1634" s="54" t="n">
        <v>0.03494</v>
      </c>
      <c r="F1634" s="54" t="n"/>
      <c r="G1634" t="inlineStr">
        <is>
          <t>no aplica (precio mayorista)</t>
        </is>
      </c>
      <c r="J1634" t="inlineStr">
        <is>
          <t>2024-06-17</t>
        </is>
      </c>
      <c r="K1634" t="inlineStr">
        <is>
          <t>MIBGAS_Data_2024.xlsx</t>
        </is>
      </c>
    </row>
    <row r="1635">
      <c r="A1635" s="53" t="n">
        <v>45461</v>
      </c>
      <c r="B1635" t="inlineStr">
        <is>
          <t>2024-06-18</t>
        </is>
      </c>
      <c r="C1635" s="45" t="n">
        <v>34.44</v>
      </c>
      <c r="D1635" t="inlineStr">
        <is>
          <t>€/MWh</t>
        </is>
      </c>
      <c r="E1635" s="54" t="n">
        <v>0.03444</v>
      </c>
      <c r="F1635" s="54" t="n"/>
      <c r="G1635" t="inlineStr">
        <is>
          <t>no aplica (precio mayorista)</t>
        </is>
      </c>
      <c r="J1635" t="inlineStr">
        <is>
          <t>2024-06-18</t>
        </is>
      </c>
      <c r="K1635" t="inlineStr">
        <is>
          <t>MIBGAS_Data_2024.xlsx</t>
        </is>
      </c>
    </row>
    <row r="1636">
      <c r="A1636" s="53" t="n">
        <v>45462</v>
      </c>
      <c r="B1636" t="inlineStr">
        <is>
          <t>2024-06-19</t>
        </is>
      </c>
      <c r="C1636" s="45" t="n">
        <v>34.69</v>
      </c>
      <c r="D1636" t="inlineStr">
        <is>
          <t>€/MWh</t>
        </is>
      </c>
      <c r="E1636" s="54" t="n">
        <v>0.03469</v>
      </c>
      <c r="F1636" s="54" t="n"/>
      <c r="G1636" t="inlineStr">
        <is>
          <t>no aplica (precio mayorista)</t>
        </is>
      </c>
      <c r="J1636" t="inlineStr">
        <is>
          <t>2024-06-19</t>
        </is>
      </c>
      <c r="K1636" t="inlineStr">
        <is>
          <t>MIBGAS_Data_2024.xlsx</t>
        </is>
      </c>
    </row>
    <row r="1637">
      <c r="A1637" s="53" t="n">
        <v>45463</v>
      </c>
      <c r="B1637" t="inlineStr">
        <is>
          <t>2024-06-20</t>
        </is>
      </c>
      <c r="C1637" s="45" t="n">
        <v>35.59</v>
      </c>
      <c r="D1637" t="inlineStr">
        <is>
          <t>€/MWh</t>
        </is>
      </c>
      <c r="E1637" s="54" t="n">
        <v>0.03559</v>
      </c>
      <c r="F1637" s="54" t="n"/>
      <c r="G1637" t="inlineStr">
        <is>
          <t>no aplica (precio mayorista)</t>
        </is>
      </c>
      <c r="J1637" t="inlineStr">
        <is>
          <t>2024-06-20</t>
        </is>
      </c>
      <c r="K1637" t="inlineStr">
        <is>
          <t>MIBGAS_Data_2024.xlsx</t>
        </is>
      </c>
    </row>
    <row r="1638">
      <c r="A1638" s="53" t="n">
        <v>45464</v>
      </c>
      <c r="B1638" t="inlineStr">
        <is>
          <t>2024-06-21</t>
        </is>
      </c>
      <c r="C1638" s="45" t="n">
        <v>34.85</v>
      </c>
      <c r="D1638" t="inlineStr">
        <is>
          <t>€/MWh</t>
        </is>
      </c>
      <c r="E1638" s="54" t="n">
        <v>0.03485</v>
      </c>
      <c r="F1638" s="54" t="n"/>
      <c r="G1638" t="inlineStr">
        <is>
          <t>no aplica (precio mayorista)</t>
        </is>
      </c>
      <c r="J1638" t="inlineStr">
        <is>
          <t>2024-06-21</t>
        </is>
      </c>
      <c r="K1638" t="inlineStr">
        <is>
          <t>MIBGAS_Data_2024.xlsx</t>
        </is>
      </c>
    </row>
    <row r="1639">
      <c r="A1639" s="53" t="n">
        <v>45465</v>
      </c>
      <c r="B1639" t="inlineStr">
        <is>
          <t>2024-06-22</t>
        </is>
      </c>
      <c r="C1639" s="45" t="n">
        <v>34.06</v>
      </c>
      <c r="D1639" t="inlineStr">
        <is>
          <t>€/MWh</t>
        </is>
      </c>
      <c r="E1639" s="54" t="n">
        <v>0.03406</v>
      </c>
      <c r="F1639" s="54" t="n"/>
      <c r="G1639" t="inlineStr">
        <is>
          <t>no aplica (precio mayorista)</t>
        </is>
      </c>
      <c r="J1639" t="inlineStr">
        <is>
          <t>2024-06-22</t>
        </is>
      </c>
      <c r="K1639" t="inlineStr">
        <is>
          <t>MIBGAS_Data_2024.xlsx</t>
        </is>
      </c>
    </row>
    <row r="1640">
      <c r="A1640" s="53" t="n">
        <v>45466</v>
      </c>
      <c r="B1640" t="inlineStr">
        <is>
          <t>2024-06-23</t>
        </is>
      </c>
      <c r="C1640" s="45" t="n">
        <v>34.02</v>
      </c>
      <c r="D1640" t="inlineStr">
        <is>
          <t>€/MWh</t>
        </is>
      </c>
      <c r="E1640" s="54" t="n">
        <v>0.03402</v>
      </c>
      <c r="F1640" s="54" t="n"/>
      <c r="G1640" t="inlineStr">
        <is>
          <t>no aplica (precio mayorista)</t>
        </is>
      </c>
      <c r="J1640" t="inlineStr">
        <is>
          <t>2024-06-23</t>
        </is>
      </c>
      <c r="K1640" t="inlineStr">
        <is>
          <t>MIBGAS_Data_2024.xlsx</t>
        </is>
      </c>
    </row>
    <row r="1641">
      <c r="A1641" s="53" t="n">
        <v>45467</v>
      </c>
      <c r="B1641" t="inlineStr">
        <is>
          <t>2024-06-24</t>
        </is>
      </c>
      <c r="C1641" s="45" t="n">
        <v>34.07</v>
      </c>
      <c r="D1641" t="inlineStr">
        <is>
          <t>€/MWh</t>
        </is>
      </c>
      <c r="E1641" s="54" t="n">
        <v>0.03407</v>
      </c>
      <c r="F1641" s="54" t="n"/>
      <c r="G1641" t="inlineStr">
        <is>
          <t>no aplica (precio mayorista)</t>
        </is>
      </c>
      <c r="J1641" t="inlineStr">
        <is>
          <t>2024-06-24</t>
        </is>
      </c>
      <c r="K1641" t="inlineStr">
        <is>
          <t>MIBGAS_Data_2024.xlsx</t>
        </is>
      </c>
    </row>
    <row r="1642">
      <c r="A1642" s="53" t="n">
        <v>45468</v>
      </c>
      <c r="B1642" t="inlineStr">
        <is>
          <t>2024-06-25</t>
        </is>
      </c>
      <c r="C1642" s="45" t="n">
        <v>34.48</v>
      </c>
      <c r="D1642" t="inlineStr">
        <is>
          <t>€/MWh</t>
        </is>
      </c>
      <c r="E1642" s="54" t="n">
        <v>0.03448</v>
      </c>
      <c r="F1642" s="54" t="n"/>
      <c r="G1642" t="inlineStr">
        <is>
          <t>no aplica (precio mayorista)</t>
        </is>
      </c>
      <c r="J1642" t="inlineStr">
        <is>
          <t>2024-06-25</t>
        </is>
      </c>
      <c r="K1642" t="inlineStr">
        <is>
          <t>MIBGAS_Data_2024.xlsx</t>
        </is>
      </c>
    </row>
    <row r="1643">
      <c r="A1643" s="53" t="n">
        <v>45469</v>
      </c>
      <c r="B1643" t="inlineStr">
        <is>
          <t>2024-06-26</t>
        </is>
      </c>
      <c r="C1643" s="45" t="n">
        <v>35.13</v>
      </c>
      <c r="D1643" t="inlineStr">
        <is>
          <t>€/MWh</t>
        </is>
      </c>
      <c r="E1643" s="54" t="n">
        <v>0.03513</v>
      </c>
      <c r="F1643" s="54" t="n"/>
      <c r="G1643" t="inlineStr">
        <is>
          <t>no aplica (precio mayorista)</t>
        </is>
      </c>
      <c r="J1643" t="inlineStr">
        <is>
          <t>2024-06-26</t>
        </is>
      </c>
      <c r="K1643" t="inlineStr">
        <is>
          <t>MIBGAS_Data_2024.xlsx</t>
        </is>
      </c>
    </row>
    <row r="1644">
      <c r="A1644" s="53" t="n">
        <v>45470</v>
      </c>
      <c r="B1644" t="inlineStr">
        <is>
          <t>2024-06-27</t>
        </is>
      </c>
      <c r="C1644" s="45" t="n">
        <v>34.68</v>
      </c>
      <c r="D1644" t="inlineStr">
        <is>
          <t>€/MWh</t>
        </is>
      </c>
      <c r="E1644" s="54" t="n">
        <v>0.03468</v>
      </c>
      <c r="F1644" s="54" t="n"/>
      <c r="G1644" t="inlineStr">
        <is>
          <t>no aplica (precio mayorista)</t>
        </is>
      </c>
      <c r="J1644" t="inlineStr">
        <is>
          <t>2024-06-27</t>
        </is>
      </c>
      <c r="K1644" t="inlineStr">
        <is>
          <t>MIBGAS_Data_2024.xlsx</t>
        </is>
      </c>
    </row>
    <row r="1645">
      <c r="A1645" s="53" t="n">
        <v>45471</v>
      </c>
      <c r="B1645" t="inlineStr">
        <is>
          <t>2024-06-28</t>
        </is>
      </c>
      <c r="C1645" s="45" t="n">
        <v>34.4</v>
      </c>
      <c r="D1645" t="inlineStr">
        <is>
          <t>€/MWh</t>
        </is>
      </c>
      <c r="E1645" s="54" t="n">
        <v>0.0344</v>
      </c>
      <c r="F1645" s="54" t="n"/>
      <c r="G1645" t="inlineStr">
        <is>
          <t>no aplica (precio mayorista)</t>
        </is>
      </c>
      <c r="J1645" t="inlineStr">
        <is>
          <t>2024-06-28</t>
        </is>
      </c>
      <c r="K1645" t="inlineStr">
        <is>
          <t>MIBGAS_Data_2024.xlsx</t>
        </is>
      </c>
    </row>
    <row r="1646">
      <c r="A1646" s="53" t="n">
        <v>45472</v>
      </c>
      <c r="B1646" t="inlineStr">
        <is>
          <t>2024-06-29</t>
        </is>
      </c>
      <c r="C1646" s="45" t="n">
        <v>34.11</v>
      </c>
      <c r="D1646" t="inlineStr">
        <is>
          <t>€/MWh</t>
        </is>
      </c>
      <c r="E1646" s="54" t="n">
        <v>0.03411</v>
      </c>
      <c r="F1646" s="54" t="n"/>
      <c r="G1646" t="inlineStr">
        <is>
          <t>no aplica (precio mayorista)</t>
        </is>
      </c>
      <c r="J1646" t="inlineStr">
        <is>
          <t>2024-06-29</t>
        </is>
      </c>
      <c r="K1646" t="inlineStr">
        <is>
          <t>MIBGAS_Data_2024.xlsx</t>
        </is>
      </c>
    </row>
    <row r="1647">
      <c r="A1647" s="53" t="n">
        <v>45473</v>
      </c>
      <c r="B1647" t="inlineStr">
        <is>
          <t>2024-06-30</t>
        </is>
      </c>
      <c r="C1647" s="45" t="n">
        <v>34.36</v>
      </c>
      <c r="D1647" t="inlineStr">
        <is>
          <t>€/MWh</t>
        </is>
      </c>
      <c r="E1647" s="54" t="n">
        <v>0.03436</v>
      </c>
      <c r="F1647" s="54" t="n"/>
      <c r="G1647" t="inlineStr">
        <is>
          <t>no aplica (precio mayorista)</t>
        </is>
      </c>
      <c r="J1647" t="inlineStr">
        <is>
          <t>2024-06-30</t>
        </is>
      </c>
      <c r="K1647" t="inlineStr">
        <is>
          <t>MIBGAS_Data_2024.xlsx</t>
        </is>
      </c>
    </row>
    <row r="1648">
      <c r="A1648" s="53" t="n">
        <v>45474</v>
      </c>
      <c r="B1648" t="inlineStr">
        <is>
          <t>2024-07-01</t>
        </is>
      </c>
      <c r="C1648" s="45" t="n">
        <v>34.15</v>
      </c>
      <c r="D1648" t="inlineStr">
        <is>
          <t>€/MWh</t>
        </is>
      </c>
      <c r="E1648" s="54" t="n">
        <v>0.03415</v>
      </c>
      <c r="F1648" s="54" t="n"/>
      <c r="G1648" t="inlineStr">
        <is>
          <t>no aplica (precio mayorista)</t>
        </is>
      </c>
      <c r="J1648" t="inlineStr">
        <is>
          <t>2024-07-01</t>
        </is>
      </c>
      <c r="K1648" t="inlineStr">
        <is>
          <t>MIBGAS_Data_2024.xlsx</t>
        </is>
      </c>
    </row>
    <row r="1649">
      <c r="A1649" s="53" t="n">
        <v>45475</v>
      </c>
      <c r="B1649" t="inlineStr">
        <is>
          <t>2024-07-02</t>
        </is>
      </c>
      <c r="C1649" s="45" t="n">
        <v>33.78</v>
      </c>
      <c r="D1649" t="inlineStr">
        <is>
          <t>€/MWh</t>
        </is>
      </c>
      <c r="E1649" s="54" t="n">
        <v>0.03378</v>
      </c>
      <c r="F1649" s="54" t="n"/>
      <c r="G1649" t="inlineStr">
        <is>
          <t>no aplica (precio mayorista)</t>
        </is>
      </c>
      <c r="J1649" t="inlineStr">
        <is>
          <t>2024-07-02</t>
        </is>
      </c>
      <c r="K1649" t="inlineStr">
        <is>
          <t>MIBGAS_Data_2024.xlsx</t>
        </is>
      </c>
    </row>
    <row r="1650">
      <c r="A1650" s="53" t="n">
        <v>45476</v>
      </c>
      <c r="B1650" t="inlineStr">
        <is>
          <t>2024-07-03</t>
        </is>
      </c>
      <c r="C1650" s="45" t="n">
        <v>33.29</v>
      </c>
      <c r="D1650" t="inlineStr">
        <is>
          <t>€/MWh</t>
        </is>
      </c>
      <c r="E1650" s="54" t="n">
        <v>0.03329</v>
      </c>
      <c r="F1650" s="54" t="n"/>
      <c r="G1650" t="inlineStr">
        <is>
          <t>no aplica (precio mayorista)</t>
        </is>
      </c>
      <c r="J1650" t="inlineStr">
        <is>
          <t>2024-07-03</t>
        </is>
      </c>
      <c r="K1650" t="inlineStr">
        <is>
          <t>MIBGAS_Data_2024.xlsx</t>
        </is>
      </c>
    </row>
    <row r="1651">
      <c r="A1651" s="53" t="n">
        <v>45477</v>
      </c>
      <c r="B1651" t="inlineStr">
        <is>
          <t>2024-07-04</t>
        </is>
      </c>
      <c r="C1651" s="45" t="n">
        <v>32.81</v>
      </c>
      <c r="D1651" t="inlineStr">
        <is>
          <t>€/MWh</t>
        </is>
      </c>
      <c r="E1651" s="54" t="n">
        <v>0.03281</v>
      </c>
      <c r="F1651" s="54" t="n"/>
      <c r="G1651" t="inlineStr">
        <is>
          <t>no aplica (precio mayorista)</t>
        </is>
      </c>
      <c r="J1651" t="inlineStr">
        <is>
          <t>2024-07-04</t>
        </is>
      </c>
      <c r="K1651" t="inlineStr">
        <is>
          <t>MIBGAS_Data_2024.xlsx</t>
        </is>
      </c>
    </row>
    <row r="1652">
      <c r="A1652" s="53" t="n">
        <v>45478</v>
      </c>
      <c r="B1652" t="inlineStr">
        <is>
          <t>2024-07-05</t>
        </is>
      </c>
      <c r="C1652" s="45" t="n">
        <v>32.91</v>
      </c>
      <c r="D1652" t="inlineStr">
        <is>
          <t>€/MWh</t>
        </is>
      </c>
      <c r="E1652" s="54" t="n">
        <v>0.03291</v>
      </c>
      <c r="F1652" s="54" t="n"/>
      <c r="G1652" t="inlineStr">
        <is>
          <t>no aplica (precio mayorista)</t>
        </is>
      </c>
      <c r="J1652" t="inlineStr">
        <is>
          <t>2024-07-05</t>
        </is>
      </c>
      <c r="K1652" t="inlineStr">
        <is>
          <t>MIBGAS_Data_2024.xlsx</t>
        </is>
      </c>
    </row>
    <row r="1653">
      <c r="A1653" s="53" t="n">
        <v>45479</v>
      </c>
      <c r="B1653" t="inlineStr">
        <is>
          <t>2024-07-06</t>
        </is>
      </c>
      <c r="C1653" s="45" t="n">
        <v>32.71</v>
      </c>
      <c r="D1653" t="inlineStr">
        <is>
          <t>€/MWh</t>
        </is>
      </c>
      <c r="E1653" s="54" t="n">
        <v>0.03271</v>
      </c>
      <c r="F1653" s="54" t="n"/>
      <c r="G1653" t="inlineStr">
        <is>
          <t>no aplica (precio mayorista)</t>
        </is>
      </c>
      <c r="J1653" t="inlineStr">
        <is>
          <t>2024-07-06</t>
        </is>
      </c>
      <c r="K1653" t="inlineStr">
        <is>
          <t>MIBGAS_Data_2024.xlsx</t>
        </is>
      </c>
    </row>
    <row r="1654">
      <c r="A1654" s="53" t="n">
        <v>45480</v>
      </c>
      <c r="B1654" t="inlineStr">
        <is>
          <t>2024-07-07</t>
        </is>
      </c>
      <c r="C1654" s="45" t="n">
        <v>32.64</v>
      </c>
      <c r="D1654" t="inlineStr">
        <is>
          <t>€/MWh</t>
        </is>
      </c>
      <c r="E1654" s="54" t="n">
        <v>0.03264</v>
      </c>
      <c r="F1654" s="54" t="n"/>
      <c r="G1654" t="inlineStr">
        <is>
          <t>no aplica (precio mayorista)</t>
        </is>
      </c>
      <c r="J1654" t="inlineStr">
        <is>
          <t>2024-07-07</t>
        </is>
      </c>
      <c r="K1654" t="inlineStr">
        <is>
          <t>MIBGAS_Data_2024.xlsx</t>
        </is>
      </c>
    </row>
    <row r="1655">
      <c r="A1655" s="53" t="n">
        <v>45481</v>
      </c>
      <c r="B1655" t="inlineStr">
        <is>
          <t>2024-07-08</t>
        </is>
      </c>
      <c r="C1655" s="45" t="n">
        <v>32.59</v>
      </c>
      <c r="D1655" t="inlineStr">
        <is>
          <t>€/MWh</t>
        </is>
      </c>
      <c r="E1655" s="54" t="n">
        <v>0.03259</v>
      </c>
      <c r="F1655" s="54" t="n"/>
      <c r="G1655" t="inlineStr">
        <is>
          <t>no aplica (precio mayorista)</t>
        </is>
      </c>
      <c r="J1655" t="inlineStr">
        <is>
          <t>2024-07-08</t>
        </is>
      </c>
      <c r="K1655" t="inlineStr">
        <is>
          <t>MIBGAS_Data_2024.xlsx</t>
        </is>
      </c>
    </row>
    <row r="1656">
      <c r="A1656" s="53" t="n">
        <v>45482</v>
      </c>
      <c r="B1656" t="inlineStr">
        <is>
          <t>2024-07-09</t>
        </is>
      </c>
      <c r="C1656" s="45" t="n">
        <v>32</v>
      </c>
      <c r="D1656" t="inlineStr">
        <is>
          <t>€/MWh</t>
        </is>
      </c>
      <c r="E1656" s="54" t="n">
        <v>0.032</v>
      </c>
      <c r="F1656" s="54" t="n"/>
      <c r="G1656" t="inlineStr">
        <is>
          <t>no aplica (precio mayorista)</t>
        </is>
      </c>
      <c r="J1656" t="inlineStr">
        <is>
          <t>2024-07-09</t>
        </is>
      </c>
      <c r="K1656" t="inlineStr">
        <is>
          <t>MIBGAS_Data_2024.xlsx</t>
        </is>
      </c>
    </row>
    <row r="1657">
      <c r="A1657" s="53" t="n">
        <v>45483</v>
      </c>
      <c r="B1657" t="inlineStr">
        <is>
          <t>2024-07-10</t>
        </is>
      </c>
      <c r="C1657" s="45" t="n">
        <v>31.22</v>
      </c>
      <c r="D1657" t="inlineStr">
        <is>
          <t>€/MWh</t>
        </is>
      </c>
      <c r="E1657" s="54" t="n">
        <v>0.03122</v>
      </c>
      <c r="F1657" s="54" t="n"/>
      <c r="G1657" t="inlineStr">
        <is>
          <t>no aplica (precio mayorista)</t>
        </is>
      </c>
      <c r="J1657" t="inlineStr">
        <is>
          <t>2024-07-10</t>
        </is>
      </c>
      <c r="K1657" t="inlineStr">
        <is>
          <t>MIBGAS_Data_2024.xlsx</t>
        </is>
      </c>
    </row>
    <row r="1658">
      <c r="A1658" s="53" t="n">
        <v>45484</v>
      </c>
      <c r="B1658" t="inlineStr">
        <is>
          <t>2024-07-11</t>
        </is>
      </c>
      <c r="C1658" s="45" t="n">
        <v>30.83</v>
      </c>
      <c r="D1658" t="inlineStr">
        <is>
          <t>€/MWh</t>
        </is>
      </c>
      <c r="E1658" s="54" t="n">
        <v>0.03083</v>
      </c>
      <c r="F1658" s="54" t="n"/>
      <c r="G1658" t="inlineStr">
        <is>
          <t>no aplica (precio mayorista)</t>
        </is>
      </c>
      <c r="J1658" t="inlineStr">
        <is>
          <t>2024-07-11</t>
        </is>
      </c>
      <c r="K1658" t="inlineStr">
        <is>
          <t>MIBGAS_Data_2024.xlsx</t>
        </is>
      </c>
    </row>
    <row r="1659">
      <c r="A1659" s="53" t="n">
        <v>45485</v>
      </c>
      <c r="B1659" t="inlineStr">
        <is>
          <t>2024-07-12</t>
        </is>
      </c>
      <c r="C1659" s="45" t="n">
        <v>30.76</v>
      </c>
      <c r="D1659" t="inlineStr">
        <is>
          <t>€/MWh</t>
        </is>
      </c>
      <c r="E1659" s="54" t="n">
        <v>0.03076</v>
      </c>
      <c r="F1659" s="54" t="n"/>
      <c r="G1659" t="inlineStr">
        <is>
          <t>no aplica (precio mayorista)</t>
        </is>
      </c>
      <c r="J1659" t="inlineStr">
        <is>
          <t>2024-07-12</t>
        </is>
      </c>
      <c r="K1659" t="inlineStr">
        <is>
          <t>MIBGAS_Data_2024.xlsx</t>
        </is>
      </c>
    </row>
    <row r="1660">
      <c r="A1660" s="53" t="n">
        <v>45486</v>
      </c>
      <c r="B1660" t="inlineStr">
        <is>
          <t>2024-07-13</t>
        </is>
      </c>
      <c r="C1660" s="45" t="n">
        <v>31.15</v>
      </c>
      <c r="D1660" t="inlineStr">
        <is>
          <t>€/MWh</t>
        </is>
      </c>
      <c r="E1660" s="54" t="n">
        <v>0.03115</v>
      </c>
      <c r="F1660" s="54" t="n"/>
      <c r="G1660" t="inlineStr">
        <is>
          <t>no aplica (precio mayorista)</t>
        </is>
      </c>
      <c r="J1660" t="inlineStr">
        <is>
          <t>2024-07-13</t>
        </is>
      </c>
      <c r="K1660" t="inlineStr">
        <is>
          <t>MIBGAS_Data_2024.xlsx</t>
        </is>
      </c>
    </row>
    <row r="1661">
      <c r="A1661" s="53" t="n">
        <v>45487</v>
      </c>
      <c r="B1661" t="inlineStr">
        <is>
          <t>2024-07-14</t>
        </is>
      </c>
      <c r="C1661" s="45" t="n">
        <v>31.23</v>
      </c>
      <c r="D1661" t="inlineStr">
        <is>
          <t>€/MWh</t>
        </is>
      </c>
      <c r="E1661" s="54" t="n">
        <v>0.03123</v>
      </c>
      <c r="F1661" s="54" t="n"/>
      <c r="G1661" t="inlineStr">
        <is>
          <t>no aplica (precio mayorista)</t>
        </is>
      </c>
      <c r="J1661" t="inlineStr">
        <is>
          <t>2024-07-14</t>
        </is>
      </c>
      <c r="K1661" t="inlineStr">
        <is>
          <t>MIBGAS_Data_2024.xlsx</t>
        </is>
      </c>
    </row>
    <row r="1662">
      <c r="A1662" s="53" t="n">
        <v>45488</v>
      </c>
      <c r="B1662" t="inlineStr">
        <is>
          <t>2024-07-15</t>
        </is>
      </c>
      <c r="C1662" s="45" t="n">
        <v>31.11</v>
      </c>
      <c r="D1662" t="inlineStr">
        <is>
          <t>€/MWh</t>
        </is>
      </c>
      <c r="E1662" s="54" t="n">
        <v>0.03111</v>
      </c>
      <c r="F1662" s="54" t="n"/>
      <c r="G1662" t="inlineStr">
        <is>
          <t>no aplica (precio mayorista)</t>
        </is>
      </c>
      <c r="J1662" t="inlineStr">
        <is>
          <t>2024-07-15</t>
        </is>
      </c>
      <c r="K1662" t="inlineStr">
        <is>
          <t>MIBGAS_Data_2024.xlsx</t>
        </is>
      </c>
    </row>
    <row r="1663">
      <c r="A1663" s="53" t="n">
        <v>45489</v>
      </c>
      <c r="B1663" t="inlineStr">
        <is>
          <t>2024-07-16</t>
        </is>
      </c>
      <c r="C1663" s="45" t="n">
        <v>31.63</v>
      </c>
      <c r="D1663" t="inlineStr">
        <is>
          <t>€/MWh</t>
        </is>
      </c>
      <c r="E1663" s="54" t="n">
        <v>0.03163</v>
      </c>
      <c r="F1663" s="54" t="n"/>
      <c r="G1663" t="inlineStr">
        <is>
          <t>no aplica (precio mayorista)</t>
        </is>
      </c>
      <c r="J1663" t="inlineStr">
        <is>
          <t>2024-07-16</t>
        </is>
      </c>
      <c r="K1663" t="inlineStr">
        <is>
          <t>MIBGAS_Data_2024.xlsx</t>
        </is>
      </c>
    </row>
    <row r="1664">
      <c r="A1664" s="53" t="n">
        <v>45490</v>
      </c>
      <c r="B1664" t="inlineStr">
        <is>
          <t>2024-07-17</t>
        </is>
      </c>
      <c r="C1664" s="45" t="n">
        <v>32.52</v>
      </c>
      <c r="D1664" t="inlineStr">
        <is>
          <t>€/MWh</t>
        </is>
      </c>
      <c r="E1664" s="54" t="n">
        <v>0.03252</v>
      </c>
      <c r="F1664" s="54" t="n"/>
      <c r="G1664" t="inlineStr">
        <is>
          <t>no aplica (precio mayorista)</t>
        </is>
      </c>
      <c r="J1664" t="inlineStr">
        <is>
          <t>2024-07-17</t>
        </is>
      </c>
      <c r="K1664" t="inlineStr">
        <is>
          <t>MIBGAS_Data_2024.xlsx</t>
        </is>
      </c>
    </row>
    <row r="1665">
      <c r="A1665" s="53" t="n">
        <v>45491</v>
      </c>
      <c r="B1665" t="inlineStr">
        <is>
          <t>2024-07-18</t>
        </is>
      </c>
      <c r="C1665" s="45" t="n">
        <v>32.38</v>
      </c>
      <c r="D1665" t="inlineStr">
        <is>
          <t>€/MWh</t>
        </is>
      </c>
      <c r="E1665" s="54" t="n">
        <v>0.03238</v>
      </c>
      <c r="F1665" s="54" t="n"/>
      <c r="G1665" t="inlineStr">
        <is>
          <t>no aplica (precio mayorista)</t>
        </is>
      </c>
      <c r="J1665" t="inlineStr">
        <is>
          <t>2024-07-18</t>
        </is>
      </c>
      <c r="K1665" t="inlineStr">
        <is>
          <t>MIBGAS_Data_2024.xlsx</t>
        </is>
      </c>
    </row>
    <row r="1666">
      <c r="A1666" s="53" t="n">
        <v>45492</v>
      </c>
      <c r="B1666" t="inlineStr">
        <is>
          <t>2024-07-19</t>
        </is>
      </c>
      <c r="C1666" s="45" t="n">
        <v>32.42</v>
      </c>
      <c r="D1666" t="inlineStr">
        <is>
          <t>€/MWh</t>
        </is>
      </c>
      <c r="E1666" s="54" t="n">
        <v>0.03242</v>
      </c>
      <c r="F1666" s="54" t="n"/>
      <c r="G1666" t="inlineStr">
        <is>
          <t>no aplica (precio mayorista)</t>
        </is>
      </c>
      <c r="J1666" t="inlineStr">
        <is>
          <t>2024-07-19</t>
        </is>
      </c>
      <c r="K1666" t="inlineStr">
        <is>
          <t>MIBGAS_Data_2024.xlsx</t>
        </is>
      </c>
    </row>
    <row r="1667">
      <c r="A1667" s="53" t="n">
        <v>45493</v>
      </c>
      <c r="B1667" t="inlineStr">
        <is>
          <t>2024-07-20</t>
        </is>
      </c>
      <c r="C1667" s="45" t="n">
        <v>31.76</v>
      </c>
      <c r="D1667" t="inlineStr">
        <is>
          <t>€/MWh</t>
        </is>
      </c>
      <c r="E1667" s="54" t="n">
        <v>0.03176</v>
      </c>
      <c r="F1667" s="54" t="n"/>
      <c r="G1667" t="inlineStr">
        <is>
          <t>no aplica (precio mayorista)</t>
        </is>
      </c>
      <c r="J1667" t="inlineStr">
        <is>
          <t>2024-07-20</t>
        </is>
      </c>
      <c r="K1667" t="inlineStr">
        <is>
          <t>MIBGAS_Data_2024.xlsx</t>
        </is>
      </c>
    </row>
    <row r="1668">
      <c r="A1668" s="53" t="n">
        <v>45494</v>
      </c>
      <c r="B1668" t="inlineStr">
        <is>
          <t>2024-07-21</t>
        </is>
      </c>
      <c r="C1668" s="45" t="n">
        <v>31.71</v>
      </c>
      <c r="D1668" t="inlineStr">
        <is>
          <t>€/MWh</t>
        </is>
      </c>
      <c r="E1668" s="54" t="n">
        <v>0.03171</v>
      </c>
      <c r="F1668" s="54" t="n"/>
      <c r="G1668" t="inlineStr">
        <is>
          <t>no aplica (precio mayorista)</t>
        </is>
      </c>
      <c r="J1668" t="inlineStr">
        <is>
          <t>2024-07-21</t>
        </is>
      </c>
      <c r="K1668" t="inlineStr">
        <is>
          <t>MIBGAS_Data_2024.xlsx</t>
        </is>
      </c>
    </row>
    <row r="1669">
      <c r="A1669" s="53" t="n">
        <v>45495</v>
      </c>
      <c r="B1669" t="inlineStr">
        <is>
          <t>2024-07-22</t>
        </is>
      </c>
      <c r="C1669" s="45" t="n">
        <v>31.85</v>
      </c>
      <c r="D1669" t="inlineStr">
        <is>
          <t>€/MWh</t>
        </is>
      </c>
      <c r="E1669" s="54" t="n">
        <v>0.03185</v>
      </c>
      <c r="F1669" s="54" t="n"/>
      <c r="G1669" t="inlineStr">
        <is>
          <t>no aplica (precio mayorista)</t>
        </is>
      </c>
      <c r="J1669" t="inlineStr">
        <is>
          <t>2024-07-22</t>
        </is>
      </c>
      <c r="K1669" t="inlineStr">
        <is>
          <t>MIBGAS_Data_2024.xlsx</t>
        </is>
      </c>
    </row>
    <row r="1670">
      <c r="A1670" s="53" t="n">
        <v>45496</v>
      </c>
      <c r="B1670" t="inlineStr">
        <is>
          <t>2024-07-23</t>
        </is>
      </c>
      <c r="C1670" s="45" t="n">
        <v>31.91</v>
      </c>
      <c r="D1670" t="inlineStr">
        <is>
          <t>€/MWh</t>
        </is>
      </c>
      <c r="E1670" s="54" t="n">
        <v>0.03191</v>
      </c>
      <c r="F1670" s="54" t="n"/>
      <c r="G1670" t="inlineStr">
        <is>
          <t>no aplica (precio mayorista)</t>
        </is>
      </c>
      <c r="J1670" t="inlineStr">
        <is>
          <t>2024-07-23</t>
        </is>
      </c>
      <c r="K1670" t="inlineStr">
        <is>
          <t>MIBGAS_Data_2024.xlsx</t>
        </is>
      </c>
    </row>
    <row r="1671">
      <c r="A1671" s="53" t="n">
        <v>45497</v>
      </c>
      <c r="B1671" t="inlineStr">
        <is>
          <t>2024-07-24</t>
        </is>
      </c>
      <c r="C1671" s="45" t="n">
        <v>32.17</v>
      </c>
      <c r="D1671" t="inlineStr">
        <is>
          <t>€/MWh</t>
        </is>
      </c>
      <c r="E1671" s="54" t="n">
        <v>0.03217</v>
      </c>
      <c r="F1671" s="54" t="n"/>
      <c r="G1671" t="inlineStr">
        <is>
          <t>no aplica (precio mayorista)</t>
        </is>
      </c>
      <c r="J1671" t="inlineStr">
        <is>
          <t>2024-07-24</t>
        </is>
      </c>
      <c r="K1671" t="inlineStr">
        <is>
          <t>MIBGAS_Data_2024.xlsx</t>
        </is>
      </c>
    </row>
    <row r="1672">
      <c r="A1672" s="53" t="n">
        <v>45498</v>
      </c>
      <c r="B1672" t="inlineStr">
        <is>
          <t>2024-07-25</t>
        </is>
      </c>
      <c r="C1672" s="45" t="n">
        <v>32.69</v>
      </c>
      <c r="D1672" t="inlineStr">
        <is>
          <t>€/MWh</t>
        </is>
      </c>
      <c r="E1672" s="54" t="n">
        <v>0.03269</v>
      </c>
      <c r="F1672" s="54" t="n"/>
      <c r="G1672" t="inlineStr">
        <is>
          <t>no aplica (precio mayorista)</t>
        </is>
      </c>
      <c r="J1672" t="inlineStr">
        <is>
          <t>2024-07-25</t>
        </is>
      </c>
      <c r="K1672" t="inlineStr">
        <is>
          <t>MIBGAS_Data_2024.xlsx</t>
        </is>
      </c>
    </row>
    <row r="1673">
      <c r="A1673" s="53" t="n">
        <v>45499</v>
      </c>
      <c r="B1673" t="inlineStr">
        <is>
          <t>2024-07-26</t>
        </is>
      </c>
      <c r="C1673" s="45" t="n">
        <v>33.01</v>
      </c>
      <c r="D1673" t="inlineStr">
        <is>
          <t>€/MWh</t>
        </is>
      </c>
      <c r="E1673" s="54" t="n">
        <v>0.03301</v>
      </c>
      <c r="F1673" s="54" t="n"/>
      <c r="G1673" t="inlineStr">
        <is>
          <t>no aplica (precio mayorista)</t>
        </is>
      </c>
      <c r="J1673" t="inlineStr">
        <is>
          <t>2024-07-26</t>
        </is>
      </c>
      <c r="K1673" t="inlineStr">
        <is>
          <t>MIBGAS_Data_2024.xlsx</t>
        </is>
      </c>
    </row>
    <row r="1674">
      <c r="A1674" s="53" t="n">
        <v>45500</v>
      </c>
      <c r="B1674" t="inlineStr">
        <is>
          <t>2024-07-27</t>
        </is>
      </c>
      <c r="C1674" s="45" t="n">
        <v>32.95</v>
      </c>
      <c r="D1674" t="inlineStr">
        <is>
          <t>€/MWh</t>
        </is>
      </c>
      <c r="E1674" s="54" t="n">
        <v>0.03295</v>
      </c>
      <c r="F1674" s="54" t="n"/>
      <c r="G1674" t="inlineStr">
        <is>
          <t>no aplica (precio mayorista)</t>
        </is>
      </c>
      <c r="J1674" t="inlineStr">
        <is>
          <t>2024-07-27</t>
        </is>
      </c>
      <c r="K1674" t="inlineStr">
        <is>
          <t>MIBGAS_Data_2024.xlsx</t>
        </is>
      </c>
    </row>
    <row r="1675">
      <c r="A1675" s="53" t="n">
        <v>45501</v>
      </c>
      <c r="B1675" t="inlineStr">
        <is>
          <t>2024-07-28</t>
        </is>
      </c>
      <c r="C1675" s="45" t="n">
        <v>33.07</v>
      </c>
      <c r="D1675" t="inlineStr">
        <is>
          <t>€/MWh</t>
        </is>
      </c>
      <c r="E1675" s="54" t="n">
        <v>0.03307</v>
      </c>
      <c r="F1675" s="54" t="n"/>
      <c r="G1675" t="inlineStr">
        <is>
          <t>no aplica (precio mayorista)</t>
        </is>
      </c>
      <c r="J1675" t="inlineStr">
        <is>
          <t>2024-07-28</t>
        </is>
      </c>
      <c r="K1675" t="inlineStr">
        <is>
          <t>MIBGAS_Data_2024.xlsx</t>
        </is>
      </c>
    </row>
    <row r="1676">
      <c r="A1676" s="53" t="n">
        <v>45502</v>
      </c>
      <c r="B1676" t="inlineStr">
        <is>
          <t>2024-07-29</t>
        </is>
      </c>
      <c r="C1676" s="45" t="n">
        <v>35.01</v>
      </c>
      <c r="D1676" t="inlineStr">
        <is>
          <t>€/MWh</t>
        </is>
      </c>
      <c r="E1676" s="54" t="n">
        <v>0.03501</v>
      </c>
      <c r="F1676" s="54" t="n"/>
      <c r="G1676" t="inlineStr">
        <is>
          <t>no aplica (precio mayorista)</t>
        </is>
      </c>
      <c r="J1676" t="inlineStr">
        <is>
          <t>2024-07-29</t>
        </is>
      </c>
      <c r="K1676" t="inlineStr">
        <is>
          <t>MIBGAS_Data_2024.xlsx</t>
        </is>
      </c>
    </row>
    <row r="1677">
      <c r="A1677" s="53" t="n">
        <v>45503</v>
      </c>
      <c r="B1677" t="inlineStr">
        <is>
          <t>2024-07-30</t>
        </is>
      </c>
      <c r="C1677" s="45" t="n">
        <v>34.72</v>
      </c>
      <c r="D1677" t="inlineStr">
        <is>
          <t>€/MWh</t>
        </is>
      </c>
      <c r="E1677" s="54" t="n">
        <v>0.03472</v>
      </c>
      <c r="F1677" s="54" t="n"/>
      <c r="G1677" t="inlineStr">
        <is>
          <t>no aplica (precio mayorista)</t>
        </is>
      </c>
      <c r="J1677" t="inlineStr">
        <is>
          <t>2024-07-30</t>
        </is>
      </c>
      <c r="K1677" t="inlineStr">
        <is>
          <t>MIBGAS_Data_2024.xlsx</t>
        </is>
      </c>
    </row>
    <row r="1678">
      <c r="A1678" s="53" t="n">
        <v>45504</v>
      </c>
      <c r="B1678" t="inlineStr">
        <is>
          <t>2024-07-31</t>
        </is>
      </c>
      <c r="C1678" s="45" t="n">
        <v>35.48</v>
      </c>
      <c r="D1678" t="inlineStr">
        <is>
          <t>€/MWh</t>
        </is>
      </c>
      <c r="E1678" s="54" t="n">
        <v>0.03548</v>
      </c>
      <c r="F1678" s="54" t="n"/>
      <c r="G1678" t="inlineStr">
        <is>
          <t>no aplica (precio mayorista)</t>
        </is>
      </c>
      <c r="J1678" t="inlineStr">
        <is>
          <t>2024-07-31</t>
        </is>
      </c>
      <c r="K1678" t="inlineStr">
        <is>
          <t>MIBGAS_Data_2024.xlsx</t>
        </is>
      </c>
    </row>
    <row r="1679">
      <c r="A1679" s="53" t="n">
        <v>45505</v>
      </c>
      <c r="B1679" t="inlineStr">
        <is>
          <t>2024-08-01</t>
        </is>
      </c>
      <c r="C1679" s="45" t="n">
        <v>36.87</v>
      </c>
      <c r="D1679" t="inlineStr">
        <is>
          <t>€/MWh</t>
        </is>
      </c>
      <c r="E1679" s="54" t="n">
        <v>0.03687</v>
      </c>
      <c r="F1679" s="54" t="n"/>
      <c r="G1679" t="inlineStr">
        <is>
          <t>no aplica (precio mayorista)</t>
        </is>
      </c>
      <c r="J1679" t="inlineStr">
        <is>
          <t>2024-08-01</t>
        </is>
      </c>
      <c r="K1679" t="inlineStr">
        <is>
          <t>MIBGAS_Data_2024.xlsx</t>
        </is>
      </c>
    </row>
    <row r="1680">
      <c r="A1680" s="53" t="n">
        <v>45506</v>
      </c>
      <c r="B1680" t="inlineStr">
        <is>
          <t>2024-08-02</t>
        </is>
      </c>
      <c r="C1680" s="45" t="n">
        <v>37.33</v>
      </c>
      <c r="D1680" t="inlineStr">
        <is>
          <t>€/MWh</t>
        </is>
      </c>
      <c r="E1680" s="54" t="n">
        <v>0.03733</v>
      </c>
      <c r="F1680" s="54" t="n"/>
      <c r="G1680" t="inlineStr">
        <is>
          <t>no aplica (precio mayorista)</t>
        </is>
      </c>
      <c r="J1680" t="inlineStr">
        <is>
          <t>2024-08-02</t>
        </is>
      </c>
      <c r="K1680" t="inlineStr">
        <is>
          <t>MIBGAS_Data_2024.xlsx</t>
        </is>
      </c>
    </row>
    <row r="1681">
      <c r="A1681" s="53" t="n">
        <v>45507</v>
      </c>
      <c r="B1681" t="inlineStr">
        <is>
          <t>2024-08-03</t>
        </is>
      </c>
      <c r="C1681" s="45" t="n">
        <v>36.9</v>
      </c>
      <c r="D1681" t="inlineStr">
        <is>
          <t>€/MWh</t>
        </is>
      </c>
      <c r="E1681" s="54" t="n">
        <v>0.0369</v>
      </c>
      <c r="F1681" s="54" t="n"/>
      <c r="G1681" t="inlineStr">
        <is>
          <t>no aplica (precio mayorista)</t>
        </is>
      </c>
      <c r="J1681" t="inlineStr">
        <is>
          <t>2024-08-03</t>
        </is>
      </c>
      <c r="K1681" t="inlineStr">
        <is>
          <t>MIBGAS_Data_2024.xlsx</t>
        </is>
      </c>
    </row>
    <row r="1682">
      <c r="A1682" s="53" t="n">
        <v>45508</v>
      </c>
      <c r="B1682" t="inlineStr">
        <is>
          <t>2024-08-04</t>
        </is>
      </c>
      <c r="C1682" s="45" t="n">
        <v>36.93</v>
      </c>
      <c r="D1682" t="inlineStr">
        <is>
          <t>€/MWh</t>
        </is>
      </c>
      <c r="E1682" s="54" t="n">
        <v>0.03693</v>
      </c>
      <c r="F1682" s="54" t="n"/>
      <c r="G1682" t="inlineStr">
        <is>
          <t>no aplica (precio mayorista)</t>
        </is>
      </c>
      <c r="J1682" t="inlineStr">
        <is>
          <t>2024-08-04</t>
        </is>
      </c>
      <c r="K1682" t="inlineStr">
        <is>
          <t>MIBGAS_Data_2024.xlsx</t>
        </is>
      </c>
    </row>
    <row r="1683">
      <c r="A1683" s="53" t="n">
        <v>45509</v>
      </c>
      <c r="B1683" t="inlineStr">
        <is>
          <t>2024-08-05</t>
        </is>
      </c>
      <c r="C1683" s="45" t="n">
        <v>37.29</v>
      </c>
      <c r="D1683" t="inlineStr">
        <is>
          <t>€/MWh</t>
        </is>
      </c>
      <c r="E1683" s="54" t="n">
        <v>0.03729</v>
      </c>
      <c r="F1683" s="54" t="n"/>
      <c r="G1683" t="inlineStr">
        <is>
          <t>no aplica (precio mayorista)</t>
        </is>
      </c>
      <c r="J1683" t="inlineStr">
        <is>
          <t>2024-08-05</t>
        </is>
      </c>
      <c r="K1683" t="inlineStr">
        <is>
          <t>MIBGAS_Data_2024.xlsx</t>
        </is>
      </c>
    </row>
    <row r="1684">
      <c r="A1684" s="53" t="n">
        <v>45510</v>
      </c>
      <c r="B1684" t="inlineStr">
        <is>
          <t>2024-08-06</t>
        </is>
      </c>
      <c r="C1684" s="45" t="n">
        <v>36.17</v>
      </c>
      <c r="D1684" t="inlineStr">
        <is>
          <t>€/MWh</t>
        </is>
      </c>
      <c r="E1684" s="54" t="n">
        <v>0.03617</v>
      </c>
      <c r="F1684" s="54" t="n"/>
      <c r="G1684" t="inlineStr">
        <is>
          <t>no aplica (precio mayorista)</t>
        </is>
      </c>
      <c r="J1684" t="inlineStr">
        <is>
          <t>2024-08-06</t>
        </is>
      </c>
      <c r="K1684" t="inlineStr">
        <is>
          <t>MIBGAS_Data_2024.xlsx</t>
        </is>
      </c>
    </row>
    <row r="1685">
      <c r="A1685" s="53" t="n">
        <v>45511</v>
      </c>
      <c r="B1685" t="inlineStr">
        <is>
          <t>2024-08-07</t>
        </is>
      </c>
      <c r="C1685" s="45" t="n">
        <v>36.46</v>
      </c>
      <c r="D1685" t="inlineStr">
        <is>
          <t>€/MWh</t>
        </is>
      </c>
      <c r="E1685" s="54" t="n">
        <v>0.03646</v>
      </c>
      <c r="F1685" s="54" t="n"/>
      <c r="G1685" t="inlineStr">
        <is>
          <t>no aplica (precio mayorista)</t>
        </is>
      </c>
      <c r="J1685" t="inlineStr">
        <is>
          <t>2024-08-07</t>
        </is>
      </c>
      <c r="K1685" t="inlineStr">
        <is>
          <t>MIBGAS_Data_2024.xlsx</t>
        </is>
      </c>
    </row>
    <row r="1686">
      <c r="A1686" s="53" t="n">
        <v>45512</v>
      </c>
      <c r="B1686" t="inlineStr">
        <is>
          <t>2024-08-08</t>
        </is>
      </c>
      <c r="C1686" s="45" t="n">
        <v>38.05</v>
      </c>
      <c r="D1686" t="inlineStr">
        <is>
          <t>€/MWh</t>
        </is>
      </c>
      <c r="E1686" s="54" t="n">
        <v>0.03805</v>
      </c>
      <c r="F1686" s="54" t="n"/>
      <c r="G1686" t="inlineStr">
        <is>
          <t>no aplica (precio mayorista)</t>
        </is>
      </c>
      <c r="J1686" t="inlineStr">
        <is>
          <t>2024-08-08</t>
        </is>
      </c>
      <c r="K1686" t="inlineStr">
        <is>
          <t>MIBGAS_Data_2024.xlsx</t>
        </is>
      </c>
    </row>
    <row r="1687">
      <c r="A1687" s="53" t="n">
        <v>45513</v>
      </c>
      <c r="B1687" t="inlineStr">
        <is>
          <t>2024-08-09</t>
        </is>
      </c>
      <c r="C1687" s="45" t="n">
        <v>39.32</v>
      </c>
      <c r="D1687" t="inlineStr">
        <is>
          <t>€/MWh</t>
        </is>
      </c>
      <c r="E1687" s="54" t="n">
        <v>0.03932</v>
      </c>
      <c r="F1687" s="54" t="n"/>
      <c r="G1687" t="inlineStr">
        <is>
          <t>no aplica (precio mayorista)</t>
        </is>
      </c>
      <c r="J1687" t="inlineStr">
        <is>
          <t>2024-08-09</t>
        </is>
      </c>
      <c r="K1687" t="inlineStr">
        <is>
          <t>MIBGAS_Data_2024.xlsx</t>
        </is>
      </c>
    </row>
    <row r="1688">
      <c r="A1688" s="53" t="n">
        <v>45514</v>
      </c>
      <c r="B1688" t="inlineStr">
        <is>
          <t>2024-08-10</t>
        </is>
      </c>
      <c r="C1688" s="45" t="n">
        <v>39.42</v>
      </c>
      <c r="D1688" t="inlineStr">
        <is>
          <t>€/MWh</t>
        </is>
      </c>
      <c r="E1688" s="54" t="n">
        <v>0.03942</v>
      </c>
      <c r="F1688" s="54" t="n"/>
      <c r="G1688" t="inlineStr">
        <is>
          <t>no aplica (precio mayorista)</t>
        </is>
      </c>
      <c r="J1688" t="inlineStr">
        <is>
          <t>2024-08-10</t>
        </is>
      </c>
      <c r="K1688" t="inlineStr">
        <is>
          <t>MIBGAS_Data_2024.xlsx</t>
        </is>
      </c>
    </row>
    <row r="1689">
      <c r="A1689" s="53" t="n">
        <v>45515</v>
      </c>
      <c r="B1689" t="inlineStr">
        <is>
          <t>2024-08-11</t>
        </is>
      </c>
      <c r="C1689" s="45" t="n">
        <v>39.56</v>
      </c>
      <c r="D1689" t="inlineStr">
        <is>
          <t>€/MWh</t>
        </is>
      </c>
      <c r="E1689" s="54" t="n">
        <v>0.03956</v>
      </c>
      <c r="F1689" s="54" t="n"/>
      <c r="G1689" t="inlineStr">
        <is>
          <t>no aplica (precio mayorista)</t>
        </is>
      </c>
      <c r="J1689" t="inlineStr">
        <is>
          <t>2024-08-11</t>
        </is>
      </c>
      <c r="K1689" t="inlineStr">
        <is>
          <t>MIBGAS_Data_2024.xlsx</t>
        </is>
      </c>
    </row>
    <row r="1690">
      <c r="A1690" s="53" t="n">
        <v>45516</v>
      </c>
      <c r="B1690" t="inlineStr">
        <is>
          <t>2024-08-12</t>
        </is>
      </c>
      <c r="C1690" s="45" t="n">
        <v>40.23</v>
      </c>
      <c r="D1690" t="inlineStr">
        <is>
          <t>€/MWh</t>
        </is>
      </c>
      <c r="E1690" s="54" t="n">
        <v>0.04023</v>
      </c>
      <c r="F1690" s="54" t="n"/>
      <c r="G1690" t="inlineStr">
        <is>
          <t>no aplica (precio mayorista)</t>
        </is>
      </c>
      <c r="J1690" t="inlineStr">
        <is>
          <t>2024-08-12</t>
        </is>
      </c>
      <c r="K1690" t="inlineStr">
        <is>
          <t>MIBGAS_Data_2024.xlsx</t>
        </is>
      </c>
    </row>
    <row r="1691">
      <c r="A1691" s="53" t="n">
        <v>45517</v>
      </c>
      <c r="B1691" t="inlineStr">
        <is>
          <t>2024-08-13</t>
        </is>
      </c>
      <c r="C1691" s="45" t="n">
        <v>40.2</v>
      </c>
      <c r="D1691" t="inlineStr">
        <is>
          <t>€/MWh</t>
        </is>
      </c>
      <c r="E1691" s="54" t="n">
        <v>0.0402</v>
      </c>
      <c r="F1691" s="54" t="n"/>
      <c r="G1691" t="inlineStr">
        <is>
          <t>no aplica (precio mayorista)</t>
        </is>
      </c>
      <c r="J1691" t="inlineStr">
        <is>
          <t>2024-08-13</t>
        </is>
      </c>
      <c r="K1691" t="inlineStr">
        <is>
          <t>MIBGAS_Data_2024.xlsx</t>
        </is>
      </c>
    </row>
    <row r="1692">
      <c r="A1692" s="53" t="n">
        <v>45518</v>
      </c>
      <c r="B1692" t="inlineStr">
        <is>
          <t>2024-08-14</t>
        </is>
      </c>
      <c r="C1692" s="45" t="n">
        <v>39.52</v>
      </c>
      <c r="D1692" t="inlineStr">
        <is>
          <t>€/MWh</t>
        </is>
      </c>
      <c r="E1692" s="54" t="n">
        <v>0.03952</v>
      </c>
      <c r="F1692" s="54" t="n"/>
      <c r="G1692" t="inlineStr">
        <is>
          <t>no aplica (precio mayorista)</t>
        </is>
      </c>
      <c r="J1692" t="inlineStr">
        <is>
          <t>2024-08-14</t>
        </is>
      </c>
      <c r="K1692" t="inlineStr">
        <is>
          <t>MIBGAS_Data_2024.xlsx</t>
        </is>
      </c>
    </row>
    <row r="1693">
      <c r="A1693" s="53" t="n">
        <v>45519</v>
      </c>
      <c r="B1693" t="inlineStr">
        <is>
          <t>2024-08-15</t>
        </is>
      </c>
      <c r="C1693" s="45" t="n">
        <v>39.18</v>
      </c>
      <c r="D1693" t="inlineStr">
        <is>
          <t>€/MWh</t>
        </is>
      </c>
      <c r="E1693" s="54" t="n">
        <v>0.03918</v>
      </c>
      <c r="F1693" s="54" t="n"/>
      <c r="G1693" t="inlineStr">
        <is>
          <t>no aplica (precio mayorista)</t>
        </is>
      </c>
      <c r="J1693" t="inlineStr">
        <is>
          <t>2024-08-15</t>
        </is>
      </c>
      <c r="K1693" t="inlineStr">
        <is>
          <t>MIBGAS_Data_2024.xlsx</t>
        </is>
      </c>
    </row>
    <row r="1694">
      <c r="A1694" s="53" t="n">
        <v>45520</v>
      </c>
      <c r="B1694" t="inlineStr">
        <is>
          <t>2024-08-16</t>
        </is>
      </c>
      <c r="C1694" s="45" t="n">
        <v>38.96</v>
      </c>
      <c r="D1694" t="inlineStr">
        <is>
          <t>€/MWh</t>
        </is>
      </c>
      <c r="E1694" s="54" t="n">
        <v>0.03896</v>
      </c>
      <c r="F1694" s="54" t="n"/>
      <c r="G1694" t="inlineStr">
        <is>
          <t>no aplica (precio mayorista)</t>
        </is>
      </c>
      <c r="J1694" t="inlineStr">
        <is>
          <t>2024-08-16</t>
        </is>
      </c>
      <c r="K1694" t="inlineStr">
        <is>
          <t>MIBGAS_Data_2024.xlsx</t>
        </is>
      </c>
    </row>
    <row r="1695">
      <c r="A1695" s="53" t="n">
        <v>45521</v>
      </c>
      <c r="B1695" t="inlineStr">
        <is>
          <t>2024-08-17</t>
        </is>
      </c>
      <c r="C1695" s="45" t="n">
        <v>39.14</v>
      </c>
      <c r="D1695" t="inlineStr">
        <is>
          <t>€/MWh</t>
        </is>
      </c>
      <c r="E1695" s="54" t="n">
        <v>0.03914</v>
      </c>
      <c r="F1695" s="54" t="n"/>
      <c r="G1695" t="inlineStr">
        <is>
          <t>no aplica (precio mayorista)</t>
        </is>
      </c>
      <c r="J1695" t="inlineStr">
        <is>
          <t>2024-08-17</t>
        </is>
      </c>
      <c r="K1695" t="inlineStr">
        <is>
          <t>MIBGAS_Data_2024.xlsx</t>
        </is>
      </c>
    </row>
    <row r="1696">
      <c r="A1696" s="53" t="n">
        <v>45522</v>
      </c>
      <c r="B1696" t="inlineStr">
        <is>
          <t>2024-08-18</t>
        </is>
      </c>
      <c r="C1696" s="45" t="n">
        <v>39.23</v>
      </c>
      <c r="D1696" t="inlineStr">
        <is>
          <t>€/MWh</t>
        </is>
      </c>
      <c r="E1696" s="54" t="n">
        <v>0.03923</v>
      </c>
      <c r="F1696" s="54" t="n"/>
      <c r="G1696" t="inlineStr">
        <is>
          <t>no aplica (precio mayorista)</t>
        </is>
      </c>
      <c r="J1696" t="inlineStr">
        <is>
          <t>2024-08-18</t>
        </is>
      </c>
      <c r="K1696" t="inlineStr">
        <is>
          <t>MIBGAS_Data_2024.xlsx</t>
        </is>
      </c>
    </row>
    <row r="1697">
      <c r="A1697" s="53" t="n">
        <v>45523</v>
      </c>
      <c r="B1697" t="inlineStr">
        <is>
          <t>2024-08-19</t>
        </is>
      </c>
      <c r="C1697" s="45" t="n">
        <v>39.62</v>
      </c>
      <c r="D1697" t="inlineStr">
        <is>
          <t>€/MWh</t>
        </is>
      </c>
      <c r="E1697" s="54" t="n">
        <v>0.03962</v>
      </c>
      <c r="F1697" s="54" t="n"/>
      <c r="G1697" t="inlineStr">
        <is>
          <t>no aplica (precio mayorista)</t>
        </is>
      </c>
      <c r="J1697" t="inlineStr">
        <is>
          <t>2024-08-19</t>
        </is>
      </c>
      <c r="K1697" t="inlineStr">
        <is>
          <t>MIBGAS_Data_2024.xlsx</t>
        </is>
      </c>
    </row>
    <row r="1698">
      <c r="A1698" s="53" t="n">
        <v>45524</v>
      </c>
      <c r="B1698" t="inlineStr">
        <is>
          <t>2024-08-20</t>
        </is>
      </c>
      <c r="C1698" s="45" t="n">
        <v>39.7</v>
      </c>
      <c r="D1698" t="inlineStr">
        <is>
          <t>€/MWh</t>
        </is>
      </c>
      <c r="E1698" s="54" t="n">
        <v>0.0397</v>
      </c>
      <c r="F1698" s="54" t="n"/>
      <c r="G1698" t="inlineStr">
        <is>
          <t>no aplica (precio mayorista)</t>
        </is>
      </c>
      <c r="J1698" t="inlineStr">
        <is>
          <t>2024-08-20</t>
        </is>
      </c>
      <c r="K1698" t="inlineStr">
        <is>
          <t>MIBGAS_Data_2024.xlsx</t>
        </is>
      </c>
    </row>
    <row r="1699">
      <c r="A1699" s="53" t="n">
        <v>45525</v>
      </c>
      <c r="B1699" t="inlineStr">
        <is>
          <t>2024-08-21</t>
        </is>
      </c>
      <c r="C1699" s="45" t="n">
        <v>38.71</v>
      </c>
      <c r="D1699" t="inlineStr">
        <is>
          <t>€/MWh</t>
        </is>
      </c>
      <c r="E1699" s="54" t="n">
        <v>0.03871</v>
      </c>
      <c r="F1699" s="54" t="n"/>
      <c r="G1699" t="inlineStr">
        <is>
          <t>no aplica (precio mayorista)</t>
        </is>
      </c>
      <c r="J1699" t="inlineStr">
        <is>
          <t>2024-08-21</t>
        </is>
      </c>
      <c r="K1699" t="inlineStr">
        <is>
          <t>MIBGAS_Data_2024.xlsx</t>
        </is>
      </c>
    </row>
    <row r="1700">
      <c r="A1700" s="53" t="n">
        <v>45526</v>
      </c>
      <c r="B1700" t="inlineStr">
        <is>
          <t>2024-08-22</t>
        </is>
      </c>
      <c r="C1700" s="45" t="n">
        <v>38.15</v>
      </c>
      <c r="D1700" t="inlineStr">
        <is>
          <t>€/MWh</t>
        </is>
      </c>
      <c r="E1700" s="54" t="n">
        <v>0.03815</v>
      </c>
      <c r="F1700" s="54" t="n"/>
      <c r="G1700" t="inlineStr">
        <is>
          <t>no aplica (precio mayorista)</t>
        </is>
      </c>
      <c r="J1700" t="inlineStr">
        <is>
          <t>2024-08-22</t>
        </is>
      </c>
      <c r="K1700" t="inlineStr">
        <is>
          <t>MIBGAS_Data_2024.xlsx</t>
        </is>
      </c>
    </row>
    <row r="1701">
      <c r="A1701" s="53" t="n">
        <v>45527</v>
      </c>
      <c r="B1701" t="inlineStr">
        <is>
          <t>2024-08-23</t>
        </is>
      </c>
      <c r="C1701" s="45" t="n">
        <v>37.17</v>
      </c>
      <c r="D1701" t="inlineStr">
        <is>
          <t>€/MWh</t>
        </is>
      </c>
      <c r="E1701" s="54" t="n">
        <v>0.03717</v>
      </c>
      <c r="F1701" s="54" t="n"/>
      <c r="G1701" t="inlineStr">
        <is>
          <t>no aplica (precio mayorista)</t>
        </is>
      </c>
      <c r="J1701" t="inlineStr">
        <is>
          <t>2024-08-23</t>
        </is>
      </c>
      <c r="K1701" t="inlineStr">
        <is>
          <t>MIBGAS_Data_2024.xlsx</t>
        </is>
      </c>
    </row>
    <row r="1702">
      <c r="A1702" s="53" t="n">
        <v>45528</v>
      </c>
      <c r="B1702" t="inlineStr">
        <is>
          <t>2024-08-24</t>
        </is>
      </c>
      <c r="C1702" s="45" t="n">
        <v>36.92</v>
      </c>
      <c r="D1702" t="inlineStr">
        <is>
          <t>€/MWh</t>
        </is>
      </c>
      <c r="E1702" s="54" t="n">
        <v>0.03692</v>
      </c>
      <c r="F1702" s="54" t="n"/>
      <c r="G1702" t="inlineStr">
        <is>
          <t>no aplica (precio mayorista)</t>
        </is>
      </c>
      <c r="J1702" t="inlineStr">
        <is>
          <t>2024-08-24</t>
        </is>
      </c>
      <c r="K1702" t="inlineStr">
        <is>
          <t>MIBGAS_Data_2024.xlsx</t>
        </is>
      </c>
    </row>
    <row r="1703">
      <c r="A1703" s="53" t="n">
        <v>45529</v>
      </c>
      <c r="B1703" t="inlineStr">
        <is>
          <t>2024-08-25</t>
        </is>
      </c>
      <c r="C1703" s="45" t="n">
        <v>36.87</v>
      </c>
      <c r="D1703" t="inlineStr">
        <is>
          <t>€/MWh</t>
        </is>
      </c>
      <c r="E1703" s="54" t="n">
        <v>0.03687</v>
      </c>
      <c r="F1703" s="54" t="n"/>
      <c r="G1703" t="inlineStr">
        <is>
          <t>no aplica (precio mayorista)</t>
        </is>
      </c>
      <c r="J1703" t="inlineStr">
        <is>
          <t>2024-08-25</t>
        </is>
      </c>
      <c r="K1703" t="inlineStr">
        <is>
          <t>MIBGAS_Data_2024.xlsx</t>
        </is>
      </c>
    </row>
    <row r="1704">
      <c r="A1704" s="53" t="n">
        <v>45530</v>
      </c>
      <c r="B1704" t="inlineStr">
        <is>
          <t>2024-08-26</t>
        </is>
      </c>
      <c r="C1704" s="45" t="n">
        <v>37.48</v>
      </c>
      <c r="D1704" t="inlineStr">
        <is>
          <t>€/MWh</t>
        </is>
      </c>
      <c r="E1704" s="54" t="n">
        <v>0.03748</v>
      </c>
      <c r="F1704" s="54" t="n"/>
      <c r="G1704" t="inlineStr">
        <is>
          <t>no aplica (precio mayorista)</t>
        </is>
      </c>
      <c r="J1704" t="inlineStr">
        <is>
          <t>2024-08-26</t>
        </is>
      </c>
      <c r="K1704" t="inlineStr">
        <is>
          <t>MIBGAS_Data_2024.xlsx</t>
        </is>
      </c>
    </row>
    <row r="1705">
      <c r="A1705" s="53" t="n">
        <v>45531</v>
      </c>
      <c r="B1705" t="inlineStr">
        <is>
          <t>2024-08-27</t>
        </is>
      </c>
      <c r="C1705" s="45" t="n">
        <v>38.81</v>
      </c>
      <c r="D1705" t="inlineStr">
        <is>
          <t>€/MWh</t>
        </is>
      </c>
      <c r="E1705" s="54" t="n">
        <v>0.03881</v>
      </c>
      <c r="F1705" s="54" t="n"/>
      <c r="G1705" t="inlineStr">
        <is>
          <t>no aplica (precio mayorista)</t>
        </is>
      </c>
      <c r="J1705" t="inlineStr">
        <is>
          <t>2024-08-27</t>
        </is>
      </c>
      <c r="K1705" t="inlineStr">
        <is>
          <t>MIBGAS_Data_2024.xlsx</t>
        </is>
      </c>
    </row>
    <row r="1706">
      <c r="A1706" s="53" t="n">
        <v>45532</v>
      </c>
      <c r="B1706" t="inlineStr">
        <is>
          <t>2024-08-28</t>
        </is>
      </c>
      <c r="C1706" s="45" t="n">
        <v>38.87</v>
      </c>
      <c r="D1706" t="inlineStr">
        <is>
          <t>€/MWh</t>
        </is>
      </c>
      <c r="E1706" s="54" t="n">
        <v>0.03887</v>
      </c>
      <c r="F1706" s="54" t="n"/>
      <c r="G1706" t="inlineStr">
        <is>
          <t>no aplica (precio mayorista)</t>
        </is>
      </c>
      <c r="J1706" t="inlineStr">
        <is>
          <t>2024-08-28</t>
        </is>
      </c>
      <c r="K1706" t="inlineStr">
        <is>
          <t>MIBGAS_Data_2024.xlsx</t>
        </is>
      </c>
    </row>
    <row r="1707">
      <c r="A1707" s="53" t="n">
        <v>45533</v>
      </c>
      <c r="B1707" t="inlineStr">
        <is>
          <t>2024-08-29</t>
        </is>
      </c>
      <c r="C1707" s="45" t="n">
        <v>39.1</v>
      </c>
      <c r="D1707" t="inlineStr">
        <is>
          <t>€/MWh</t>
        </is>
      </c>
      <c r="E1707" s="54" t="n">
        <v>0.0391</v>
      </c>
      <c r="F1707" s="54" t="n"/>
      <c r="G1707" t="inlineStr">
        <is>
          <t>no aplica (precio mayorista)</t>
        </is>
      </c>
      <c r="J1707" t="inlineStr">
        <is>
          <t>2024-08-29</t>
        </is>
      </c>
      <c r="K1707" t="inlineStr">
        <is>
          <t>MIBGAS_Data_2024.xlsx</t>
        </is>
      </c>
    </row>
    <row r="1708">
      <c r="A1708" s="53" t="n">
        <v>45534</v>
      </c>
      <c r="B1708" t="inlineStr">
        <is>
          <t>2024-08-30</t>
        </is>
      </c>
      <c r="C1708" s="45" t="n">
        <v>39.85</v>
      </c>
      <c r="D1708" t="inlineStr">
        <is>
          <t>€/MWh</t>
        </is>
      </c>
      <c r="E1708" s="54" t="n">
        <v>0.03985</v>
      </c>
      <c r="F1708" s="54" t="n"/>
      <c r="G1708" t="inlineStr">
        <is>
          <t>no aplica (precio mayorista)</t>
        </is>
      </c>
      <c r="J1708" t="inlineStr">
        <is>
          <t>2024-08-30</t>
        </is>
      </c>
      <c r="K1708" t="inlineStr">
        <is>
          <t>MIBGAS_Data_2024.xlsx</t>
        </is>
      </c>
    </row>
    <row r="1709">
      <c r="A1709" s="53" t="n">
        <v>45535</v>
      </c>
      <c r="B1709" t="inlineStr">
        <is>
          <t>2024-08-31</t>
        </is>
      </c>
      <c r="C1709" s="45" t="n">
        <v>40.22</v>
      </c>
      <c r="D1709" t="inlineStr">
        <is>
          <t>€/MWh</t>
        </is>
      </c>
      <c r="E1709" s="54" t="n">
        <v>0.04022</v>
      </c>
      <c r="F1709" s="54" t="n"/>
      <c r="G1709" t="inlineStr">
        <is>
          <t>no aplica (precio mayorista)</t>
        </is>
      </c>
      <c r="J1709" t="inlineStr">
        <is>
          <t>2024-08-31</t>
        </is>
      </c>
      <c r="K1709" t="inlineStr">
        <is>
          <t>MIBGAS_Data_2024.xlsx</t>
        </is>
      </c>
    </row>
    <row r="1710">
      <c r="A1710" s="53" t="n">
        <v>45536</v>
      </c>
      <c r="B1710" t="inlineStr">
        <is>
          <t>2024-09-01</t>
        </is>
      </c>
      <c r="C1710" s="45" t="n">
        <v>41.09</v>
      </c>
      <c r="D1710" t="inlineStr">
        <is>
          <t>€/MWh</t>
        </is>
      </c>
      <c r="E1710" s="54" t="n">
        <v>0.04109</v>
      </c>
      <c r="F1710" s="54" t="n"/>
      <c r="G1710" t="inlineStr">
        <is>
          <t>no aplica (precio mayorista)</t>
        </is>
      </c>
      <c r="J1710" t="inlineStr">
        <is>
          <t>2024-09-01</t>
        </is>
      </c>
      <c r="K1710" t="inlineStr">
        <is>
          <t>MIBGAS_Data_2024.xlsx</t>
        </is>
      </c>
    </row>
    <row r="1711">
      <c r="A1711" s="53" t="n">
        <v>45537</v>
      </c>
      <c r="B1711" t="inlineStr">
        <is>
          <t>2024-09-02</t>
        </is>
      </c>
      <c r="C1711" s="45" t="n">
        <v>40.91</v>
      </c>
      <c r="D1711" t="inlineStr">
        <is>
          <t>€/MWh</t>
        </is>
      </c>
      <c r="E1711" s="54" t="n">
        <v>0.04091</v>
      </c>
      <c r="F1711" s="54" t="n"/>
      <c r="G1711" t="inlineStr">
        <is>
          <t>no aplica (precio mayorista)</t>
        </is>
      </c>
      <c r="J1711" t="inlineStr">
        <is>
          <t>2024-09-02</t>
        </is>
      </c>
      <c r="K1711" t="inlineStr">
        <is>
          <t>MIBGAS_Data_2024.xlsx</t>
        </is>
      </c>
    </row>
    <row r="1712">
      <c r="A1712" s="53" t="n">
        <v>45538</v>
      </c>
      <c r="B1712" t="inlineStr">
        <is>
          <t>2024-09-03</t>
        </is>
      </c>
      <c r="C1712" s="45" t="n">
        <v>39.28</v>
      </c>
      <c r="D1712" t="inlineStr">
        <is>
          <t>€/MWh</t>
        </is>
      </c>
      <c r="E1712" s="54" t="n">
        <v>0.03928</v>
      </c>
      <c r="F1712" s="54" t="n"/>
      <c r="G1712" t="inlineStr">
        <is>
          <t>no aplica (precio mayorista)</t>
        </is>
      </c>
      <c r="J1712" t="inlineStr">
        <is>
          <t>2024-09-03</t>
        </is>
      </c>
      <c r="K1712" t="inlineStr">
        <is>
          <t>MIBGAS_Data_2024.xlsx</t>
        </is>
      </c>
    </row>
    <row r="1713">
      <c r="A1713" s="53" t="n">
        <v>45539</v>
      </c>
      <c r="B1713" t="inlineStr">
        <is>
          <t>2024-09-04</t>
        </is>
      </c>
      <c r="C1713" s="45" t="n">
        <v>37.84</v>
      </c>
      <c r="D1713" t="inlineStr">
        <is>
          <t>€/MWh</t>
        </is>
      </c>
      <c r="E1713" s="54" t="n">
        <v>0.03784</v>
      </c>
      <c r="F1713" s="54" t="n"/>
      <c r="G1713" t="inlineStr">
        <is>
          <t>no aplica (precio mayorista)</t>
        </is>
      </c>
      <c r="J1713" t="inlineStr">
        <is>
          <t>2024-09-04</t>
        </is>
      </c>
      <c r="K1713" t="inlineStr">
        <is>
          <t>MIBGAS_Data_2024.xlsx</t>
        </is>
      </c>
    </row>
    <row r="1714">
      <c r="A1714" s="53" t="n">
        <v>45540</v>
      </c>
      <c r="B1714" t="inlineStr">
        <is>
          <t>2024-09-05</t>
        </is>
      </c>
      <c r="C1714" s="45" t="n">
        <v>36.79</v>
      </c>
      <c r="D1714" t="inlineStr">
        <is>
          <t>€/MWh</t>
        </is>
      </c>
      <c r="E1714" s="54" t="n">
        <v>0.03679</v>
      </c>
      <c r="F1714" s="54" t="n"/>
      <c r="G1714" t="inlineStr">
        <is>
          <t>no aplica (precio mayorista)</t>
        </is>
      </c>
      <c r="J1714" t="inlineStr">
        <is>
          <t>2024-09-05</t>
        </is>
      </c>
      <c r="K1714" t="inlineStr">
        <is>
          <t>MIBGAS_Data_2024.xlsx</t>
        </is>
      </c>
    </row>
    <row r="1715">
      <c r="A1715" s="53" t="n">
        <v>45541</v>
      </c>
      <c r="B1715" t="inlineStr">
        <is>
          <t>2024-09-06</t>
        </is>
      </c>
      <c r="C1715" s="45" t="n">
        <v>36.63</v>
      </c>
      <c r="D1715" t="inlineStr">
        <is>
          <t>€/MWh</t>
        </is>
      </c>
      <c r="E1715" s="54" t="n">
        <v>0.03663</v>
      </c>
      <c r="F1715" s="54" t="n"/>
      <c r="G1715" t="inlineStr">
        <is>
          <t>no aplica (precio mayorista)</t>
        </is>
      </c>
      <c r="J1715" t="inlineStr">
        <is>
          <t>2024-09-06</t>
        </is>
      </c>
      <c r="K1715" t="inlineStr">
        <is>
          <t>MIBGAS_Data_2024.xlsx</t>
        </is>
      </c>
    </row>
    <row r="1716">
      <c r="A1716" s="53" t="n">
        <v>45542</v>
      </c>
      <c r="B1716" t="inlineStr">
        <is>
          <t>2024-09-07</t>
        </is>
      </c>
      <c r="C1716" s="45" t="n">
        <v>36.21</v>
      </c>
      <c r="D1716" t="inlineStr">
        <is>
          <t>€/MWh</t>
        </is>
      </c>
      <c r="E1716" s="54" t="n">
        <v>0.03621</v>
      </c>
      <c r="F1716" s="54" t="n"/>
      <c r="G1716" t="inlineStr">
        <is>
          <t>no aplica (precio mayorista)</t>
        </is>
      </c>
      <c r="J1716" t="inlineStr">
        <is>
          <t>2024-09-07</t>
        </is>
      </c>
      <c r="K1716" t="inlineStr">
        <is>
          <t>MIBGAS_Data_2024.xlsx</t>
        </is>
      </c>
    </row>
    <row r="1717">
      <c r="A1717" s="53" t="n">
        <v>45543</v>
      </c>
      <c r="B1717" t="inlineStr">
        <is>
          <t>2024-09-08</t>
        </is>
      </c>
      <c r="C1717" s="45" t="n">
        <v>36.12</v>
      </c>
      <c r="D1717" t="inlineStr">
        <is>
          <t>€/MWh</t>
        </is>
      </c>
      <c r="E1717" s="54" t="n">
        <v>0.03612</v>
      </c>
      <c r="F1717" s="54" t="n"/>
      <c r="G1717" t="inlineStr">
        <is>
          <t>no aplica (precio mayorista)</t>
        </is>
      </c>
      <c r="J1717" t="inlineStr">
        <is>
          <t>2024-09-08</t>
        </is>
      </c>
      <c r="K1717" t="inlineStr">
        <is>
          <t>MIBGAS_Data_2024.xlsx</t>
        </is>
      </c>
    </row>
    <row r="1718">
      <c r="A1718" s="53" t="n">
        <v>45544</v>
      </c>
      <c r="B1718" t="inlineStr">
        <is>
          <t>2024-09-09</t>
        </is>
      </c>
      <c r="C1718" s="45" t="n">
        <v>36.5</v>
      </c>
      <c r="D1718" t="inlineStr">
        <is>
          <t>€/MWh</t>
        </is>
      </c>
      <c r="E1718" s="54" t="n">
        <v>0.0365</v>
      </c>
      <c r="F1718" s="54" t="n"/>
      <c r="G1718" t="inlineStr">
        <is>
          <t>no aplica (precio mayorista)</t>
        </is>
      </c>
      <c r="J1718" t="inlineStr">
        <is>
          <t>2024-09-09</t>
        </is>
      </c>
      <c r="K1718" t="inlineStr">
        <is>
          <t>MIBGAS_Data_2024.xlsx</t>
        </is>
      </c>
    </row>
    <row r="1719">
      <c r="A1719" s="53" t="n">
        <v>45545</v>
      </c>
      <c r="B1719" t="inlineStr">
        <is>
          <t>2024-09-10</t>
        </is>
      </c>
      <c r="C1719" s="45" t="n">
        <v>36.16</v>
      </c>
      <c r="D1719" t="inlineStr">
        <is>
          <t>€/MWh</t>
        </is>
      </c>
      <c r="E1719" s="54" t="n">
        <v>0.03616</v>
      </c>
      <c r="F1719" s="54" t="n"/>
      <c r="G1719" t="inlineStr">
        <is>
          <t>no aplica (precio mayorista)</t>
        </is>
      </c>
      <c r="J1719" t="inlineStr">
        <is>
          <t>2024-09-10</t>
        </is>
      </c>
      <c r="K1719" t="inlineStr">
        <is>
          <t>MIBGAS_Data_2024.xlsx</t>
        </is>
      </c>
    </row>
    <row r="1720">
      <c r="A1720" s="53" t="n">
        <v>45546</v>
      </c>
      <c r="B1720" t="inlineStr">
        <is>
          <t>2024-09-11</t>
        </is>
      </c>
      <c r="C1720" s="45" t="n">
        <v>35.53</v>
      </c>
      <c r="D1720" t="inlineStr">
        <is>
          <t>€/MWh</t>
        </is>
      </c>
      <c r="E1720" s="54" t="n">
        <v>0.03553</v>
      </c>
      <c r="F1720" s="54" t="n"/>
      <c r="G1720" t="inlineStr">
        <is>
          <t>no aplica (precio mayorista)</t>
        </is>
      </c>
      <c r="J1720" t="inlineStr">
        <is>
          <t>2024-09-11</t>
        </is>
      </c>
      <c r="K1720" t="inlineStr">
        <is>
          <t>MIBGAS_Data_2024.xlsx</t>
        </is>
      </c>
    </row>
    <row r="1721">
      <c r="A1721" s="53" t="n">
        <v>45547</v>
      </c>
      <c r="B1721" t="inlineStr">
        <is>
          <t>2024-09-12</t>
        </is>
      </c>
      <c r="C1721" s="45" t="n">
        <v>35.62</v>
      </c>
      <c r="D1721" t="inlineStr">
        <is>
          <t>€/MWh</t>
        </is>
      </c>
      <c r="E1721" s="54" t="n">
        <v>0.03562</v>
      </c>
      <c r="F1721" s="54" t="n"/>
      <c r="G1721" t="inlineStr">
        <is>
          <t>no aplica (precio mayorista)</t>
        </is>
      </c>
      <c r="J1721" t="inlineStr">
        <is>
          <t>2024-09-12</t>
        </is>
      </c>
      <c r="K1721" t="inlineStr">
        <is>
          <t>MIBGAS_Data_2024.xlsx</t>
        </is>
      </c>
    </row>
    <row r="1722">
      <c r="A1722" s="53" t="n">
        <v>45548</v>
      </c>
      <c r="B1722" t="inlineStr">
        <is>
          <t>2024-09-13</t>
        </is>
      </c>
      <c r="C1722" s="45" t="n">
        <v>35.36</v>
      </c>
      <c r="D1722" t="inlineStr">
        <is>
          <t>€/MWh</t>
        </is>
      </c>
      <c r="E1722" s="54" t="n">
        <v>0.03536</v>
      </c>
      <c r="F1722" s="54" t="n"/>
      <c r="G1722" t="inlineStr">
        <is>
          <t>no aplica (precio mayorista)</t>
        </is>
      </c>
      <c r="J1722" t="inlineStr">
        <is>
          <t>2024-09-13</t>
        </is>
      </c>
      <c r="K1722" t="inlineStr">
        <is>
          <t>MIBGAS_Data_2024.xlsx</t>
        </is>
      </c>
    </row>
    <row r="1723">
      <c r="A1723" s="53" t="n">
        <v>45549</v>
      </c>
      <c r="B1723" t="inlineStr">
        <is>
          <t>2024-09-14</t>
        </is>
      </c>
      <c r="C1723" s="45" t="n">
        <v>35.74</v>
      </c>
      <c r="D1723" t="inlineStr">
        <is>
          <t>€/MWh</t>
        </is>
      </c>
      <c r="E1723" s="54" t="n">
        <v>0.03574</v>
      </c>
      <c r="F1723" s="54" t="n"/>
      <c r="G1723" t="inlineStr">
        <is>
          <t>no aplica (precio mayorista)</t>
        </is>
      </c>
      <c r="J1723" t="inlineStr">
        <is>
          <t>2024-09-14</t>
        </is>
      </c>
      <c r="K1723" t="inlineStr">
        <is>
          <t>MIBGAS_Data_2024.xlsx</t>
        </is>
      </c>
    </row>
    <row r="1724">
      <c r="A1724" s="53" t="n">
        <v>45550</v>
      </c>
      <c r="B1724" t="inlineStr">
        <is>
          <t>2024-09-15</t>
        </is>
      </c>
      <c r="C1724" s="45" t="n">
        <v>35.8</v>
      </c>
      <c r="D1724" t="inlineStr">
        <is>
          <t>€/MWh</t>
        </is>
      </c>
      <c r="E1724" s="54" t="n">
        <v>0.0358</v>
      </c>
      <c r="F1724" s="54" t="n"/>
      <c r="G1724" t="inlineStr">
        <is>
          <t>no aplica (precio mayorista)</t>
        </is>
      </c>
      <c r="J1724" t="inlineStr">
        <is>
          <t>2024-09-15</t>
        </is>
      </c>
      <c r="K1724" t="inlineStr">
        <is>
          <t>MIBGAS_Data_2024.xlsx</t>
        </is>
      </c>
    </row>
    <row r="1725">
      <c r="A1725" s="53" t="n">
        <v>45551</v>
      </c>
      <c r="B1725" t="inlineStr">
        <is>
          <t>2024-09-16</t>
        </is>
      </c>
      <c r="C1725" s="45" t="n">
        <v>35.51</v>
      </c>
      <c r="D1725" t="inlineStr">
        <is>
          <t>€/MWh</t>
        </is>
      </c>
      <c r="E1725" s="54" t="n">
        <v>0.03551</v>
      </c>
      <c r="F1725" s="54" t="n"/>
      <c r="G1725" t="inlineStr">
        <is>
          <t>no aplica (precio mayorista)</t>
        </is>
      </c>
      <c r="J1725" t="inlineStr">
        <is>
          <t>2024-09-16</t>
        </is>
      </c>
      <c r="K1725" t="inlineStr">
        <is>
          <t>MIBGAS_Data_2024.xlsx</t>
        </is>
      </c>
    </row>
    <row r="1726">
      <c r="A1726" s="53" t="n">
        <v>45552</v>
      </c>
      <c r="B1726" t="inlineStr">
        <is>
          <t>2024-09-17</t>
        </is>
      </c>
      <c r="C1726" s="45" t="n">
        <v>34.6</v>
      </c>
      <c r="D1726" t="inlineStr">
        <is>
          <t>€/MWh</t>
        </is>
      </c>
      <c r="E1726" s="54" t="n">
        <v>0.0346</v>
      </c>
      <c r="F1726" s="54" t="n"/>
      <c r="G1726" t="inlineStr">
        <is>
          <t>no aplica (precio mayorista)</t>
        </is>
      </c>
      <c r="J1726" t="inlineStr">
        <is>
          <t>2024-09-17</t>
        </is>
      </c>
      <c r="K1726" t="inlineStr">
        <is>
          <t>MIBGAS_Data_2024.xlsx</t>
        </is>
      </c>
    </row>
    <row r="1727">
      <c r="A1727" s="53" t="n">
        <v>45553</v>
      </c>
      <c r="B1727" t="inlineStr">
        <is>
          <t>2024-09-18</t>
        </is>
      </c>
      <c r="C1727" s="45" t="n">
        <v>35.87</v>
      </c>
      <c r="D1727" t="inlineStr">
        <is>
          <t>€/MWh</t>
        </is>
      </c>
      <c r="E1727" s="54" t="n">
        <v>0.03587</v>
      </c>
      <c r="F1727" s="54" t="n"/>
      <c r="G1727" t="inlineStr">
        <is>
          <t>no aplica (precio mayorista)</t>
        </is>
      </c>
      <c r="J1727" t="inlineStr">
        <is>
          <t>2024-09-18</t>
        </is>
      </c>
      <c r="K1727" t="inlineStr">
        <is>
          <t>MIBGAS_Data_2024.xlsx</t>
        </is>
      </c>
    </row>
    <row r="1728">
      <c r="A1728" s="53" t="n">
        <v>45554</v>
      </c>
      <c r="B1728" t="inlineStr">
        <is>
          <t>2024-09-19</t>
        </is>
      </c>
      <c r="C1728" s="45" t="n">
        <v>35.79</v>
      </c>
      <c r="D1728" t="inlineStr">
        <is>
          <t>€/MWh</t>
        </is>
      </c>
      <c r="E1728" s="54" t="n">
        <v>0.03579</v>
      </c>
      <c r="F1728" s="54" t="n"/>
      <c r="G1728" t="inlineStr">
        <is>
          <t>no aplica (precio mayorista)</t>
        </is>
      </c>
      <c r="J1728" t="inlineStr">
        <is>
          <t>2024-09-19</t>
        </is>
      </c>
      <c r="K1728" t="inlineStr">
        <is>
          <t>MIBGAS_Data_2024.xlsx</t>
        </is>
      </c>
    </row>
    <row r="1729">
      <c r="A1729" s="53" t="n">
        <v>45555</v>
      </c>
      <c r="B1729" t="inlineStr">
        <is>
          <t>2024-09-20</t>
        </is>
      </c>
      <c r="C1729" s="45" t="n">
        <v>35.17</v>
      </c>
      <c r="D1729" t="inlineStr">
        <is>
          <t>€/MWh</t>
        </is>
      </c>
      <c r="E1729" s="54" t="n">
        <v>0.03517</v>
      </c>
      <c r="F1729" s="54" t="n"/>
      <c r="G1729" t="inlineStr">
        <is>
          <t>no aplica (precio mayorista)</t>
        </is>
      </c>
      <c r="J1729" t="inlineStr">
        <is>
          <t>2024-09-20</t>
        </is>
      </c>
      <c r="K1729" t="inlineStr">
        <is>
          <t>MIBGAS_Data_2024.xlsx</t>
        </is>
      </c>
    </row>
    <row r="1730">
      <c r="A1730" s="53" t="n">
        <v>45556</v>
      </c>
      <c r="B1730" t="inlineStr">
        <is>
          <t>2024-09-21</t>
        </is>
      </c>
      <c r="C1730" s="45" t="n">
        <v>35.05</v>
      </c>
      <c r="D1730" t="inlineStr">
        <is>
          <t>€/MWh</t>
        </is>
      </c>
      <c r="E1730" s="54" t="n">
        <v>0.03505</v>
      </c>
      <c r="F1730" s="54" t="n"/>
      <c r="G1730" t="inlineStr">
        <is>
          <t>no aplica (precio mayorista)</t>
        </is>
      </c>
      <c r="J1730" t="inlineStr">
        <is>
          <t>2024-09-21</t>
        </is>
      </c>
      <c r="K1730" t="inlineStr">
        <is>
          <t>MIBGAS_Data_2024.xlsx</t>
        </is>
      </c>
    </row>
    <row r="1731">
      <c r="A1731" s="53" t="n">
        <v>45557</v>
      </c>
      <c r="B1731" t="inlineStr">
        <is>
          <t>2024-09-22</t>
        </is>
      </c>
      <c r="C1731" s="45" t="n">
        <v>35.34</v>
      </c>
      <c r="D1731" t="inlineStr">
        <is>
          <t>€/MWh</t>
        </is>
      </c>
      <c r="E1731" s="54" t="n">
        <v>0.03534</v>
      </c>
      <c r="F1731" s="54" t="n"/>
      <c r="G1731" t="inlineStr">
        <is>
          <t>no aplica (precio mayorista)</t>
        </is>
      </c>
      <c r="J1731" t="inlineStr">
        <is>
          <t>2024-09-22</t>
        </is>
      </c>
      <c r="K1731" t="inlineStr">
        <is>
          <t>MIBGAS_Data_2024.xlsx</t>
        </is>
      </c>
    </row>
    <row r="1732">
      <c r="A1732" s="53" t="n">
        <v>45558</v>
      </c>
      <c r="B1732" t="inlineStr">
        <is>
          <t>2024-09-23</t>
        </is>
      </c>
      <c r="C1732" s="45" t="n">
        <v>35.57</v>
      </c>
      <c r="D1732" t="inlineStr">
        <is>
          <t>€/MWh</t>
        </is>
      </c>
      <c r="E1732" s="54" t="n">
        <v>0.03557</v>
      </c>
      <c r="F1732" s="54" t="n"/>
      <c r="G1732" t="inlineStr">
        <is>
          <t>no aplica (precio mayorista)</t>
        </is>
      </c>
      <c r="J1732" t="inlineStr">
        <is>
          <t>2024-09-23</t>
        </is>
      </c>
      <c r="K1732" t="inlineStr">
        <is>
          <t>MIBGAS_Data_2024.xlsx</t>
        </is>
      </c>
    </row>
    <row r="1733">
      <c r="A1733" s="53" t="n">
        <v>45559</v>
      </c>
      <c r="B1733" t="inlineStr">
        <is>
          <t>2024-09-24</t>
        </is>
      </c>
      <c r="C1733" s="45" t="n">
        <v>36.16</v>
      </c>
      <c r="D1733" t="inlineStr">
        <is>
          <t>€/MWh</t>
        </is>
      </c>
      <c r="E1733" s="54" t="n">
        <v>0.03616</v>
      </c>
      <c r="F1733" s="54" t="n"/>
      <c r="G1733" t="inlineStr">
        <is>
          <t>no aplica (precio mayorista)</t>
        </is>
      </c>
      <c r="J1733" t="inlineStr">
        <is>
          <t>2024-09-24</t>
        </is>
      </c>
      <c r="K1733" t="inlineStr">
        <is>
          <t>MIBGAS_Data_2024.xlsx</t>
        </is>
      </c>
    </row>
    <row r="1734">
      <c r="A1734" s="53" t="n">
        <v>45560</v>
      </c>
      <c r="B1734" t="inlineStr">
        <is>
          <t>2024-09-25</t>
        </is>
      </c>
      <c r="C1734" s="45" t="n">
        <v>36.11</v>
      </c>
      <c r="D1734" t="inlineStr">
        <is>
          <t>€/MWh</t>
        </is>
      </c>
      <c r="E1734" s="54" t="n">
        <v>0.03611</v>
      </c>
      <c r="F1734" s="54" t="n"/>
      <c r="G1734" t="inlineStr">
        <is>
          <t>no aplica (precio mayorista)</t>
        </is>
      </c>
      <c r="J1734" t="inlineStr">
        <is>
          <t>2024-09-25</t>
        </is>
      </c>
      <c r="K1734" t="inlineStr">
        <is>
          <t>MIBGAS_Data_2024.xlsx</t>
        </is>
      </c>
    </row>
    <row r="1735">
      <c r="A1735" s="53" t="n">
        <v>45561</v>
      </c>
      <c r="B1735" t="inlineStr">
        <is>
          <t>2024-09-26</t>
        </is>
      </c>
      <c r="C1735" s="45" t="n">
        <v>36.77</v>
      </c>
      <c r="D1735" t="inlineStr">
        <is>
          <t>€/MWh</t>
        </is>
      </c>
      <c r="E1735" s="54" t="n">
        <v>0.03677</v>
      </c>
      <c r="F1735" s="54" t="n"/>
      <c r="G1735" t="inlineStr">
        <is>
          <t>no aplica (precio mayorista)</t>
        </is>
      </c>
      <c r="J1735" t="inlineStr">
        <is>
          <t>2024-09-26</t>
        </is>
      </c>
      <c r="K1735" t="inlineStr">
        <is>
          <t>MIBGAS_Data_2024.xlsx</t>
        </is>
      </c>
    </row>
    <row r="1736">
      <c r="A1736" s="53" t="n">
        <v>45562</v>
      </c>
      <c r="B1736" t="inlineStr">
        <is>
          <t>2024-09-27</t>
        </is>
      </c>
      <c r="C1736" s="45" t="n">
        <v>37.44</v>
      </c>
      <c r="D1736" t="inlineStr">
        <is>
          <t>€/MWh</t>
        </is>
      </c>
      <c r="E1736" s="54" t="n">
        <v>0.03744</v>
      </c>
      <c r="F1736" s="54" t="n"/>
      <c r="G1736" t="inlineStr">
        <is>
          <t>no aplica (precio mayorista)</t>
        </is>
      </c>
      <c r="J1736" t="inlineStr">
        <is>
          <t>2024-09-27</t>
        </is>
      </c>
      <c r="K1736" t="inlineStr">
        <is>
          <t>MIBGAS_Data_2024.xlsx</t>
        </is>
      </c>
    </row>
    <row r="1737">
      <c r="A1737" s="53" t="n">
        <v>45563</v>
      </c>
      <c r="B1737" t="inlineStr">
        <is>
          <t>2024-09-28</t>
        </is>
      </c>
      <c r="C1737" s="45" t="n">
        <v>37.71</v>
      </c>
      <c r="D1737" t="inlineStr">
        <is>
          <t>€/MWh</t>
        </is>
      </c>
      <c r="E1737" s="54" t="n">
        <v>0.03771</v>
      </c>
      <c r="F1737" s="54" t="n"/>
      <c r="G1737" t="inlineStr">
        <is>
          <t>no aplica (precio mayorista)</t>
        </is>
      </c>
      <c r="J1737" t="inlineStr">
        <is>
          <t>2024-09-28</t>
        </is>
      </c>
      <c r="K1737" t="inlineStr">
        <is>
          <t>MIBGAS_Data_2024.xlsx</t>
        </is>
      </c>
    </row>
    <row r="1738">
      <c r="A1738" s="53" t="n">
        <v>45564</v>
      </c>
      <c r="B1738" t="inlineStr">
        <is>
          <t>2024-09-29</t>
        </is>
      </c>
      <c r="C1738" s="45" t="n">
        <v>37.77</v>
      </c>
      <c r="D1738" t="inlineStr">
        <is>
          <t>€/MWh</t>
        </is>
      </c>
      <c r="E1738" s="54" t="n">
        <v>0.03777</v>
      </c>
      <c r="F1738" s="54" t="n"/>
      <c r="G1738" t="inlineStr">
        <is>
          <t>no aplica (precio mayorista)</t>
        </is>
      </c>
      <c r="J1738" t="inlineStr">
        <is>
          <t>2024-09-29</t>
        </is>
      </c>
      <c r="K1738" t="inlineStr">
        <is>
          <t>MIBGAS_Data_2024.xlsx</t>
        </is>
      </c>
    </row>
    <row r="1739">
      <c r="A1739" s="53" t="n">
        <v>45565</v>
      </c>
      <c r="B1739" t="inlineStr">
        <is>
          <t>2024-09-30</t>
        </is>
      </c>
      <c r="C1739" s="45" t="n">
        <v>38.69</v>
      </c>
      <c r="D1739" t="inlineStr">
        <is>
          <t>€/MWh</t>
        </is>
      </c>
      <c r="E1739" s="54" t="n">
        <v>0.03869</v>
      </c>
      <c r="F1739" s="54" t="n"/>
      <c r="G1739" t="inlineStr">
        <is>
          <t>no aplica (precio mayorista)</t>
        </is>
      </c>
      <c r="J1739" t="inlineStr">
        <is>
          <t>2024-09-30</t>
        </is>
      </c>
      <c r="K1739" t="inlineStr">
        <is>
          <t>MIBGAS_Data_2024.xlsx</t>
        </is>
      </c>
    </row>
    <row r="1740">
      <c r="A1740" s="53" t="n">
        <v>45566</v>
      </c>
      <c r="B1740" t="inlineStr">
        <is>
          <t>2024-10-01</t>
        </is>
      </c>
      <c r="C1740" s="45" t="n">
        <v>38.9</v>
      </c>
      <c r="D1740" t="inlineStr">
        <is>
          <t>€/MWh</t>
        </is>
      </c>
      <c r="E1740" s="54" t="n">
        <v>0.0389</v>
      </c>
      <c r="F1740" s="54" t="n"/>
      <c r="G1740" t="inlineStr">
        <is>
          <t>no aplica (precio mayorista)</t>
        </is>
      </c>
      <c r="J1740" t="inlineStr">
        <is>
          <t>2024-10-01</t>
        </is>
      </c>
      <c r="K1740" t="inlineStr">
        <is>
          <t>MIBGAS_Data_2024.xlsx</t>
        </is>
      </c>
    </row>
    <row r="1741">
      <c r="A1741" s="53" t="n">
        <v>45567</v>
      </c>
      <c r="B1741" t="inlineStr">
        <is>
          <t>2024-10-02</t>
        </is>
      </c>
      <c r="C1741" s="45" t="n">
        <v>39.12</v>
      </c>
      <c r="D1741" t="inlineStr">
        <is>
          <t>€/MWh</t>
        </is>
      </c>
      <c r="E1741" s="54" t="n">
        <v>0.03912</v>
      </c>
      <c r="F1741" s="54" t="n"/>
      <c r="G1741" t="inlineStr">
        <is>
          <t>no aplica (precio mayorista)</t>
        </is>
      </c>
      <c r="J1741" t="inlineStr">
        <is>
          <t>2024-10-02</t>
        </is>
      </c>
      <c r="K1741" t="inlineStr">
        <is>
          <t>MIBGAS_Data_2024.xlsx</t>
        </is>
      </c>
    </row>
    <row r="1742">
      <c r="A1742" s="53" t="n">
        <v>45568</v>
      </c>
      <c r="B1742" t="inlineStr">
        <is>
          <t>2024-10-03</t>
        </is>
      </c>
      <c r="C1742" s="45" t="n">
        <v>38.93</v>
      </c>
      <c r="D1742" t="inlineStr">
        <is>
          <t>€/MWh</t>
        </is>
      </c>
      <c r="E1742" s="54" t="n">
        <v>0.03893</v>
      </c>
      <c r="F1742" s="54" t="n"/>
      <c r="G1742" t="inlineStr">
        <is>
          <t>no aplica (precio mayorista)</t>
        </is>
      </c>
      <c r="J1742" t="inlineStr">
        <is>
          <t>2024-10-03</t>
        </is>
      </c>
      <c r="K1742" t="inlineStr">
        <is>
          <t>MIBGAS_Data_2024.xlsx</t>
        </is>
      </c>
    </row>
    <row r="1743">
      <c r="A1743" s="53" t="n">
        <v>45569</v>
      </c>
      <c r="B1743" t="inlineStr">
        <is>
          <t>2024-10-04</t>
        </is>
      </c>
      <c r="C1743" s="45" t="n">
        <v>39.21</v>
      </c>
      <c r="D1743" t="inlineStr">
        <is>
          <t>€/MWh</t>
        </is>
      </c>
      <c r="E1743" s="54" t="n">
        <v>0.03921</v>
      </c>
      <c r="F1743" s="54" t="n"/>
      <c r="G1743" t="inlineStr">
        <is>
          <t>no aplica (precio mayorista)</t>
        </is>
      </c>
      <c r="J1743" t="inlineStr">
        <is>
          <t>2024-10-04</t>
        </is>
      </c>
      <c r="K1743" t="inlineStr">
        <is>
          <t>MIBGAS_Data_2024.xlsx</t>
        </is>
      </c>
    </row>
    <row r="1744">
      <c r="A1744" s="53" t="n">
        <v>45570</v>
      </c>
      <c r="B1744" t="inlineStr">
        <is>
          <t>2024-10-05</t>
        </is>
      </c>
      <c r="C1744" s="45" t="n">
        <v>40.04</v>
      </c>
      <c r="D1744" t="inlineStr">
        <is>
          <t>€/MWh</t>
        </is>
      </c>
      <c r="E1744" s="54" t="n">
        <v>0.04004</v>
      </c>
      <c r="F1744" s="54" t="n"/>
      <c r="G1744" t="inlineStr">
        <is>
          <t>no aplica (precio mayorista)</t>
        </is>
      </c>
      <c r="J1744" t="inlineStr">
        <is>
          <t>2024-10-05</t>
        </is>
      </c>
      <c r="K1744" t="inlineStr">
        <is>
          <t>MIBGAS_Data_2024.xlsx</t>
        </is>
      </c>
    </row>
    <row r="1745">
      <c r="A1745" s="53" t="n">
        <v>45571</v>
      </c>
      <c r="B1745" t="inlineStr">
        <is>
          <t>2024-10-06</t>
        </is>
      </c>
      <c r="C1745" s="45" t="n">
        <v>40</v>
      </c>
      <c r="D1745" t="inlineStr">
        <is>
          <t>€/MWh</t>
        </is>
      </c>
      <c r="E1745" s="54" t="n">
        <v>0.04</v>
      </c>
      <c r="F1745" s="54" t="n"/>
      <c r="G1745" t="inlineStr">
        <is>
          <t>no aplica (precio mayorista)</t>
        </is>
      </c>
      <c r="J1745" t="inlineStr">
        <is>
          <t>2024-10-06</t>
        </is>
      </c>
      <c r="K1745" t="inlineStr">
        <is>
          <t>MIBGAS_Data_2024.xlsx</t>
        </is>
      </c>
    </row>
    <row r="1746">
      <c r="A1746" s="53" t="n">
        <v>45572</v>
      </c>
      <c r="B1746" t="inlineStr">
        <is>
          <t>2024-10-07</t>
        </is>
      </c>
      <c r="C1746" s="45" t="n">
        <v>40.32</v>
      </c>
      <c r="D1746" t="inlineStr">
        <is>
          <t>€/MWh</t>
        </is>
      </c>
      <c r="E1746" s="54" t="n">
        <v>0.04032</v>
      </c>
      <c r="F1746" s="54" t="n"/>
      <c r="G1746" t="inlineStr">
        <is>
          <t>no aplica (precio mayorista)</t>
        </is>
      </c>
      <c r="J1746" t="inlineStr">
        <is>
          <t>2024-10-07</t>
        </is>
      </c>
      <c r="K1746" t="inlineStr">
        <is>
          <t>MIBGAS_Data_2024.xlsx</t>
        </is>
      </c>
    </row>
    <row r="1747">
      <c r="A1747" s="53" t="n">
        <v>45573</v>
      </c>
      <c r="B1747" t="inlineStr">
        <is>
          <t>2024-10-08</t>
        </is>
      </c>
      <c r="C1747" s="45" t="n">
        <v>40.12</v>
      </c>
      <c r="D1747" t="inlineStr">
        <is>
          <t>€/MWh</t>
        </is>
      </c>
      <c r="E1747" s="54" t="n">
        <v>0.04012</v>
      </c>
      <c r="F1747" s="54" t="n"/>
      <c r="G1747" t="inlineStr">
        <is>
          <t>no aplica (precio mayorista)</t>
        </is>
      </c>
      <c r="J1747" t="inlineStr">
        <is>
          <t>2024-10-08</t>
        </is>
      </c>
      <c r="K1747" t="inlineStr">
        <is>
          <t>MIBGAS_Data_2024.xlsx</t>
        </is>
      </c>
    </row>
    <row r="1748">
      <c r="A1748" s="53" t="n">
        <v>45574</v>
      </c>
      <c r="B1748" t="inlineStr">
        <is>
          <t>2024-10-09</t>
        </is>
      </c>
      <c r="C1748" s="45" t="n">
        <v>38.67</v>
      </c>
      <c r="D1748" t="inlineStr">
        <is>
          <t>€/MWh</t>
        </is>
      </c>
      <c r="E1748" s="54" t="n">
        <v>0.03867</v>
      </c>
      <c r="F1748" s="54" t="n"/>
      <c r="G1748" t="inlineStr">
        <is>
          <t>no aplica (precio mayorista)</t>
        </is>
      </c>
      <c r="J1748" t="inlineStr">
        <is>
          <t>2024-10-09</t>
        </is>
      </c>
      <c r="K1748" t="inlineStr">
        <is>
          <t>MIBGAS_Data_2024.xlsx</t>
        </is>
      </c>
    </row>
    <row r="1749">
      <c r="A1749" s="53" t="n">
        <v>45575</v>
      </c>
      <c r="B1749" t="inlineStr">
        <is>
          <t>2024-10-10</t>
        </is>
      </c>
      <c r="C1749" s="45" t="n">
        <v>38.67</v>
      </c>
      <c r="D1749" t="inlineStr">
        <is>
          <t>€/MWh</t>
        </is>
      </c>
      <c r="E1749" s="54" t="n">
        <v>0.03867</v>
      </c>
      <c r="F1749" s="54" t="n"/>
      <c r="G1749" t="inlineStr">
        <is>
          <t>no aplica (precio mayorista)</t>
        </is>
      </c>
      <c r="J1749" t="inlineStr">
        <is>
          <t>2024-10-10</t>
        </is>
      </c>
      <c r="K1749" t="inlineStr">
        <is>
          <t>MIBGAS_Data_2024.xlsx</t>
        </is>
      </c>
    </row>
    <row r="1750">
      <c r="A1750" s="53" t="n">
        <v>45576</v>
      </c>
      <c r="B1750" t="inlineStr">
        <is>
          <t>2024-10-11</t>
        </is>
      </c>
      <c r="C1750" s="45" t="n">
        <v>39.41</v>
      </c>
      <c r="D1750" t="inlineStr">
        <is>
          <t>€/MWh</t>
        </is>
      </c>
      <c r="E1750" s="54" t="n">
        <v>0.03941</v>
      </c>
      <c r="F1750" s="54" t="n"/>
      <c r="G1750" t="inlineStr">
        <is>
          <t>no aplica (precio mayorista)</t>
        </is>
      </c>
      <c r="J1750" t="inlineStr">
        <is>
          <t>2024-10-11</t>
        </is>
      </c>
      <c r="K1750" t="inlineStr">
        <is>
          <t>MIBGAS_Data_2024.xlsx</t>
        </is>
      </c>
    </row>
    <row r="1751">
      <c r="A1751" s="53" t="n">
        <v>45577</v>
      </c>
      <c r="B1751" t="inlineStr">
        <is>
          <t>2024-10-12</t>
        </is>
      </c>
      <c r="C1751" s="45" t="n">
        <v>39.39</v>
      </c>
      <c r="D1751" t="inlineStr">
        <is>
          <t>€/MWh</t>
        </is>
      </c>
      <c r="E1751" s="54" t="n">
        <v>0.03939</v>
      </c>
      <c r="F1751" s="54" t="n"/>
      <c r="G1751" t="inlineStr">
        <is>
          <t>no aplica (precio mayorista)</t>
        </is>
      </c>
      <c r="J1751" t="inlineStr">
        <is>
          <t>2024-10-12</t>
        </is>
      </c>
      <c r="K1751" t="inlineStr">
        <is>
          <t>MIBGAS_Data_2024.xlsx</t>
        </is>
      </c>
    </row>
    <row r="1752">
      <c r="A1752" s="53" t="n">
        <v>45578</v>
      </c>
      <c r="B1752" t="inlineStr">
        <is>
          <t>2024-10-13</t>
        </is>
      </c>
      <c r="C1752" s="45" t="n">
        <v>39.45</v>
      </c>
      <c r="D1752" t="inlineStr">
        <is>
          <t>€/MWh</t>
        </is>
      </c>
      <c r="E1752" s="54" t="n">
        <v>0.03945</v>
      </c>
      <c r="F1752" s="54" t="n"/>
      <c r="G1752" t="inlineStr">
        <is>
          <t>no aplica (precio mayorista)</t>
        </is>
      </c>
      <c r="J1752" t="inlineStr">
        <is>
          <t>2024-10-13</t>
        </is>
      </c>
      <c r="K1752" t="inlineStr">
        <is>
          <t>MIBGAS_Data_2024.xlsx</t>
        </is>
      </c>
    </row>
    <row r="1753">
      <c r="A1753" s="53" t="n">
        <v>45579</v>
      </c>
      <c r="B1753" t="inlineStr">
        <is>
          <t>2024-10-14</t>
        </is>
      </c>
      <c r="C1753" s="45" t="n">
        <v>40.29</v>
      </c>
      <c r="D1753" t="inlineStr">
        <is>
          <t>€/MWh</t>
        </is>
      </c>
      <c r="E1753" s="54" t="n">
        <v>0.04029</v>
      </c>
      <c r="F1753" s="54" t="n"/>
      <c r="G1753" t="inlineStr">
        <is>
          <t>no aplica (precio mayorista)</t>
        </is>
      </c>
      <c r="J1753" t="inlineStr">
        <is>
          <t>2024-10-14</t>
        </is>
      </c>
      <c r="K1753" t="inlineStr">
        <is>
          <t>MIBGAS_Data_2024.xlsx</t>
        </is>
      </c>
    </row>
    <row r="1754">
      <c r="A1754" s="53" t="n">
        <v>45580</v>
      </c>
      <c r="B1754" t="inlineStr">
        <is>
          <t>2024-10-15</t>
        </is>
      </c>
      <c r="C1754" s="45" t="n">
        <v>39.56</v>
      </c>
      <c r="D1754" t="inlineStr">
        <is>
          <t>€/MWh</t>
        </is>
      </c>
      <c r="E1754" s="54" t="n">
        <v>0.03956</v>
      </c>
      <c r="F1754" s="54" t="n"/>
      <c r="G1754" t="inlineStr">
        <is>
          <t>no aplica (precio mayorista)</t>
        </is>
      </c>
      <c r="J1754" t="inlineStr">
        <is>
          <t>2024-10-15</t>
        </is>
      </c>
      <c r="K1754" t="inlineStr">
        <is>
          <t>MIBGAS_Data_2024.xlsx</t>
        </is>
      </c>
    </row>
    <row r="1755">
      <c r="A1755" s="53" t="n">
        <v>45581</v>
      </c>
      <c r="B1755" t="inlineStr">
        <is>
          <t>2024-10-16</t>
        </is>
      </c>
      <c r="C1755" s="45" t="n">
        <v>39.29</v>
      </c>
      <c r="D1755" t="inlineStr">
        <is>
          <t>€/MWh</t>
        </is>
      </c>
      <c r="E1755" s="54" t="n">
        <v>0.03929</v>
      </c>
      <c r="F1755" s="54" t="n"/>
      <c r="G1755" t="inlineStr">
        <is>
          <t>no aplica (precio mayorista)</t>
        </is>
      </c>
      <c r="J1755" t="inlineStr">
        <is>
          <t>2024-10-16</t>
        </is>
      </c>
      <c r="K1755" t="inlineStr">
        <is>
          <t>MIBGAS_Data_2024.xlsx</t>
        </is>
      </c>
    </row>
    <row r="1756">
      <c r="A1756" s="53" t="n">
        <v>45582</v>
      </c>
      <c r="B1756" t="inlineStr">
        <is>
          <t>2024-10-17</t>
        </is>
      </c>
      <c r="C1756" s="45" t="n">
        <v>39.31</v>
      </c>
      <c r="D1756" t="inlineStr">
        <is>
          <t>€/MWh</t>
        </is>
      </c>
      <c r="E1756" s="54" t="n">
        <v>0.03931</v>
      </c>
      <c r="F1756" s="54" t="n"/>
      <c r="G1756" t="inlineStr">
        <is>
          <t>no aplica (precio mayorista)</t>
        </is>
      </c>
      <c r="J1756" t="inlineStr">
        <is>
          <t>2024-10-17</t>
        </is>
      </c>
      <c r="K1756" t="inlineStr">
        <is>
          <t>MIBGAS_Data_2024.xlsx</t>
        </is>
      </c>
    </row>
    <row r="1757">
      <c r="A1757" s="53" t="n">
        <v>45583</v>
      </c>
      <c r="B1757" t="inlineStr">
        <is>
          <t>2024-10-18</t>
        </is>
      </c>
      <c r="C1757" s="45" t="n">
        <v>39.17</v>
      </c>
      <c r="D1757" t="inlineStr">
        <is>
          <t>€/MWh</t>
        </is>
      </c>
      <c r="E1757" s="54" t="n">
        <v>0.03917</v>
      </c>
      <c r="F1757" s="54" t="n"/>
      <c r="G1757" t="inlineStr">
        <is>
          <t>no aplica (precio mayorista)</t>
        </is>
      </c>
      <c r="J1757" t="inlineStr">
        <is>
          <t>2024-10-18</t>
        </is>
      </c>
      <c r="K1757" t="inlineStr">
        <is>
          <t>MIBGAS_Data_2024.xlsx</t>
        </is>
      </c>
    </row>
    <row r="1758">
      <c r="A1758" s="53" t="n">
        <v>45584</v>
      </c>
      <c r="B1758" t="inlineStr">
        <is>
          <t>2024-10-19</t>
        </is>
      </c>
      <c r="C1758" s="45" t="n">
        <v>38.84</v>
      </c>
      <c r="D1758" t="inlineStr">
        <is>
          <t>€/MWh</t>
        </is>
      </c>
      <c r="E1758" s="54" t="n">
        <v>0.03884</v>
      </c>
      <c r="F1758" s="54" t="n"/>
      <c r="G1758" t="inlineStr">
        <is>
          <t>no aplica (precio mayorista)</t>
        </is>
      </c>
      <c r="J1758" t="inlineStr">
        <is>
          <t>2024-10-19</t>
        </is>
      </c>
      <c r="K1758" t="inlineStr">
        <is>
          <t>MIBGAS_Data_2024.xlsx</t>
        </is>
      </c>
    </row>
    <row r="1759">
      <c r="A1759" s="53" t="n">
        <v>45585</v>
      </c>
      <c r="B1759" t="inlineStr">
        <is>
          <t>2024-10-20</t>
        </is>
      </c>
      <c r="C1759" s="45" t="n">
        <v>38.87</v>
      </c>
      <c r="D1759" t="inlineStr">
        <is>
          <t>€/MWh</t>
        </is>
      </c>
      <c r="E1759" s="54" t="n">
        <v>0.03887</v>
      </c>
      <c r="F1759" s="54" t="n"/>
      <c r="G1759" t="inlineStr">
        <is>
          <t>no aplica (precio mayorista)</t>
        </is>
      </c>
      <c r="J1759" t="inlineStr">
        <is>
          <t>2024-10-20</t>
        </is>
      </c>
      <c r="K1759" t="inlineStr">
        <is>
          <t>MIBGAS_Data_2024.xlsx</t>
        </is>
      </c>
    </row>
    <row r="1760">
      <c r="A1760" s="53" t="n">
        <v>45586</v>
      </c>
      <c r="B1760" t="inlineStr">
        <is>
          <t>2024-10-21</t>
        </is>
      </c>
      <c r="C1760" s="45" t="n">
        <v>39.36</v>
      </c>
      <c r="D1760" t="inlineStr">
        <is>
          <t>€/MWh</t>
        </is>
      </c>
      <c r="E1760" s="54" t="n">
        <v>0.03936</v>
      </c>
      <c r="F1760" s="54" t="n"/>
      <c r="G1760" t="inlineStr">
        <is>
          <t>no aplica (precio mayorista)</t>
        </is>
      </c>
      <c r="J1760" t="inlineStr">
        <is>
          <t>2024-10-21</t>
        </is>
      </c>
      <c r="K1760" t="inlineStr">
        <is>
          <t>MIBGAS_Data_2024.xlsx</t>
        </is>
      </c>
    </row>
    <row r="1761">
      <c r="A1761" s="53" t="n">
        <v>45587</v>
      </c>
      <c r="B1761" t="inlineStr">
        <is>
          <t>2024-10-22</t>
        </is>
      </c>
      <c r="C1761" s="45" t="n">
        <v>39.59</v>
      </c>
      <c r="D1761" t="inlineStr">
        <is>
          <t>€/MWh</t>
        </is>
      </c>
      <c r="E1761" s="54" t="n">
        <v>0.03959</v>
      </c>
      <c r="F1761" s="54" t="n"/>
      <c r="G1761" t="inlineStr">
        <is>
          <t>no aplica (precio mayorista)</t>
        </is>
      </c>
      <c r="J1761" t="inlineStr">
        <is>
          <t>2024-10-22</t>
        </is>
      </c>
      <c r="K1761" t="inlineStr">
        <is>
          <t>MIBGAS_Data_2024.xlsx</t>
        </is>
      </c>
    </row>
    <row r="1762">
      <c r="A1762" s="53" t="n">
        <v>45588</v>
      </c>
      <c r="B1762" t="inlineStr">
        <is>
          <t>2024-10-23</t>
        </is>
      </c>
      <c r="C1762" s="45" t="n">
        <v>40.77</v>
      </c>
      <c r="D1762" t="inlineStr">
        <is>
          <t>€/MWh</t>
        </is>
      </c>
      <c r="E1762" s="54" t="n">
        <v>0.04077</v>
      </c>
      <c r="F1762" s="54" t="n"/>
      <c r="G1762" t="inlineStr">
        <is>
          <t>no aplica (precio mayorista)</t>
        </is>
      </c>
      <c r="J1762" t="inlineStr">
        <is>
          <t>2024-10-23</t>
        </is>
      </c>
      <c r="K1762" t="inlineStr">
        <is>
          <t>MIBGAS_Data_2024.xlsx</t>
        </is>
      </c>
    </row>
    <row r="1763">
      <c r="A1763" s="53" t="n">
        <v>45589</v>
      </c>
      <c r="B1763" t="inlineStr">
        <is>
          <t>2024-10-24</t>
        </is>
      </c>
      <c r="C1763" s="45" t="n">
        <v>41.37</v>
      </c>
      <c r="D1763" t="inlineStr">
        <is>
          <t>€/MWh</t>
        </is>
      </c>
      <c r="E1763" s="54" t="n">
        <v>0.04137</v>
      </c>
      <c r="F1763" s="54" t="n"/>
      <c r="G1763" t="inlineStr">
        <is>
          <t>no aplica (precio mayorista)</t>
        </is>
      </c>
      <c r="J1763" t="inlineStr">
        <is>
          <t>2024-10-24</t>
        </is>
      </c>
      <c r="K1763" t="inlineStr">
        <is>
          <t>MIBGAS_Data_2024.xlsx</t>
        </is>
      </c>
    </row>
    <row r="1764">
      <c r="A1764" s="53" t="n">
        <v>45590</v>
      </c>
      <c r="B1764" t="inlineStr">
        <is>
          <t>2024-10-25</t>
        </is>
      </c>
      <c r="C1764" s="45" t="n">
        <v>42.4</v>
      </c>
      <c r="D1764" t="inlineStr">
        <is>
          <t>€/MWh</t>
        </is>
      </c>
      <c r="E1764" s="54" t="n">
        <v>0.0424</v>
      </c>
      <c r="F1764" s="54" t="n"/>
      <c r="G1764" t="inlineStr">
        <is>
          <t>no aplica (precio mayorista)</t>
        </is>
      </c>
      <c r="J1764" t="inlineStr">
        <is>
          <t>2024-10-25</t>
        </is>
      </c>
      <c r="K1764" t="inlineStr">
        <is>
          <t>MIBGAS_Data_2024.xlsx</t>
        </is>
      </c>
    </row>
    <row r="1765">
      <c r="A1765" s="53" t="n">
        <v>45591</v>
      </c>
      <c r="B1765" t="inlineStr">
        <is>
          <t>2024-10-26</t>
        </is>
      </c>
      <c r="C1765" s="45" t="n">
        <v>44.04</v>
      </c>
      <c r="D1765" t="inlineStr">
        <is>
          <t>€/MWh</t>
        </is>
      </c>
      <c r="E1765" s="54" t="n">
        <v>0.04404</v>
      </c>
      <c r="F1765" s="54" t="n"/>
      <c r="G1765" t="inlineStr">
        <is>
          <t>no aplica (precio mayorista)</t>
        </is>
      </c>
      <c r="J1765" t="inlineStr">
        <is>
          <t>2024-10-26</t>
        </is>
      </c>
      <c r="K1765" t="inlineStr">
        <is>
          <t>MIBGAS_Data_2024.xlsx</t>
        </is>
      </c>
    </row>
    <row r="1766">
      <c r="A1766" s="53" t="n">
        <v>45592</v>
      </c>
      <c r="B1766" t="inlineStr">
        <is>
          <t>2024-10-27</t>
        </is>
      </c>
      <c r="C1766" s="45" t="n">
        <v>44.18</v>
      </c>
      <c r="D1766" t="inlineStr">
        <is>
          <t>€/MWh</t>
        </is>
      </c>
      <c r="E1766" s="54" t="n">
        <v>0.04418</v>
      </c>
      <c r="F1766" s="54" t="n"/>
      <c r="G1766" t="inlineStr">
        <is>
          <t>no aplica (precio mayorista)</t>
        </is>
      </c>
      <c r="J1766" t="inlineStr">
        <is>
          <t>2024-10-27</t>
        </is>
      </c>
      <c r="K1766" t="inlineStr">
        <is>
          <t>MIBGAS_Data_2024.xlsx</t>
        </is>
      </c>
    </row>
    <row r="1767">
      <c r="A1767" s="53" t="n">
        <v>45593</v>
      </c>
      <c r="B1767" t="inlineStr">
        <is>
          <t>2024-10-28</t>
        </is>
      </c>
      <c r="C1767" s="45" t="n">
        <v>43.14</v>
      </c>
      <c r="D1767" t="inlineStr">
        <is>
          <t>€/MWh</t>
        </is>
      </c>
      <c r="E1767" s="54" t="n">
        <v>0.04314</v>
      </c>
      <c r="F1767" s="54" t="n"/>
      <c r="G1767" t="inlineStr">
        <is>
          <t>no aplica (precio mayorista)</t>
        </is>
      </c>
      <c r="J1767" t="inlineStr">
        <is>
          <t>2024-10-28</t>
        </is>
      </c>
      <c r="K1767" t="inlineStr">
        <is>
          <t>MIBGAS_Data_2024.xlsx</t>
        </is>
      </c>
    </row>
    <row r="1768">
      <c r="A1768" s="53" t="n">
        <v>45594</v>
      </c>
      <c r="B1768" t="inlineStr">
        <is>
          <t>2024-10-29</t>
        </is>
      </c>
      <c r="C1768" s="45" t="n">
        <v>42.96</v>
      </c>
      <c r="D1768" t="inlineStr">
        <is>
          <t>€/MWh</t>
        </is>
      </c>
      <c r="E1768" s="54" t="n">
        <v>0.04296</v>
      </c>
      <c r="F1768" s="54" t="n"/>
      <c r="G1768" t="inlineStr">
        <is>
          <t>no aplica (precio mayorista)</t>
        </is>
      </c>
      <c r="J1768" t="inlineStr">
        <is>
          <t>2024-10-29</t>
        </is>
      </c>
      <c r="K1768" t="inlineStr">
        <is>
          <t>MIBGAS_Data_2024.xlsx</t>
        </is>
      </c>
    </row>
    <row r="1769">
      <c r="A1769" s="53" t="n">
        <v>45595</v>
      </c>
      <c r="B1769" t="inlineStr">
        <is>
          <t>2024-10-30</t>
        </is>
      </c>
      <c r="C1769" s="45" t="n">
        <v>43.06</v>
      </c>
      <c r="D1769" t="inlineStr">
        <is>
          <t>€/MWh</t>
        </is>
      </c>
      <c r="E1769" s="54" t="n">
        <v>0.04306</v>
      </c>
      <c r="F1769" s="54" t="n"/>
      <c r="G1769" t="inlineStr">
        <is>
          <t>no aplica (precio mayorista)</t>
        </is>
      </c>
      <c r="J1769" t="inlineStr">
        <is>
          <t>2024-10-30</t>
        </is>
      </c>
      <c r="K1769" t="inlineStr">
        <is>
          <t>MIBGAS_Data_2024.xlsx</t>
        </is>
      </c>
    </row>
    <row r="1770">
      <c r="A1770" s="53" t="n">
        <v>45596</v>
      </c>
      <c r="B1770" t="inlineStr">
        <is>
          <t>2024-10-31</t>
        </is>
      </c>
      <c r="C1770" s="45" t="n">
        <v>41.65</v>
      </c>
      <c r="D1770" t="inlineStr">
        <is>
          <t>€/MWh</t>
        </is>
      </c>
      <c r="E1770" s="54" t="n">
        <v>0.04165</v>
      </c>
      <c r="F1770" s="54" t="n"/>
      <c r="G1770" t="inlineStr">
        <is>
          <t>no aplica (precio mayorista)</t>
        </is>
      </c>
      <c r="J1770" t="inlineStr">
        <is>
          <t>2024-10-31</t>
        </is>
      </c>
      <c r="K1770" t="inlineStr">
        <is>
          <t>MIBGAS_Data_2024.xlsx</t>
        </is>
      </c>
    </row>
    <row r="1771">
      <c r="A1771" s="53" t="n">
        <v>45597</v>
      </c>
      <c r="B1771" t="inlineStr">
        <is>
          <t>2024-11-01</t>
        </is>
      </c>
      <c r="C1771" s="45" t="n">
        <v>40.07</v>
      </c>
      <c r="D1771" t="inlineStr">
        <is>
          <t>€/MWh</t>
        </is>
      </c>
      <c r="E1771" s="54" t="n">
        <v>0.04007</v>
      </c>
      <c r="F1771" s="54" t="n"/>
      <c r="G1771" t="inlineStr">
        <is>
          <t>no aplica (precio mayorista)</t>
        </is>
      </c>
      <c r="J1771" t="inlineStr">
        <is>
          <t>2024-11-01</t>
        </is>
      </c>
      <c r="K1771" t="inlineStr">
        <is>
          <t>MIBGAS_Data_2024.xlsx</t>
        </is>
      </c>
    </row>
    <row r="1772">
      <c r="A1772" s="53" t="n">
        <v>45598</v>
      </c>
      <c r="B1772" t="inlineStr">
        <is>
          <t>2024-11-02</t>
        </is>
      </c>
      <c r="C1772" s="45" t="n">
        <v>39.11</v>
      </c>
      <c r="D1772" t="inlineStr">
        <is>
          <t>€/MWh</t>
        </is>
      </c>
      <c r="E1772" s="54" t="n">
        <v>0.03911</v>
      </c>
      <c r="F1772" s="54" t="n"/>
      <c r="G1772" t="inlineStr">
        <is>
          <t>no aplica (precio mayorista)</t>
        </is>
      </c>
      <c r="J1772" t="inlineStr">
        <is>
          <t>2024-11-02</t>
        </is>
      </c>
      <c r="K1772" t="inlineStr">
        <is>
          <t>MIBGAS_Data_2024.xlsx</t>
        </is>
      </c>
    </row>
    <row r="1773">
      <c r="A1773" s="53" t="n">
        <v>45599</v>
      </c>
      <c r="B1773" t="inlineStr">
        <is>
          <t>2024-11-03</t>
        </is>
      </c>
      <c r="C1773" s="45" t="n">
        <v>39.07</v>
      </c>
      <c r="D1773" t="inlineStr">
        <is>
          <t>€/MWh</t>
        </is>
      </c>
      <c r="E1773" s="54" t="n">
        <v>0.03907</v>
      </c>
      <c r="F1773" s="54" t="n"/>
      <c r="G1773" t="inlineStr">
        <is>
          <t>no aplica (precio mayorista)</t>
        </is>
      </c>
      <c r="J1773" t="inlineStr">
        <is>
          <t>2024-11-03</t>
        </is>
      </c>
      <c r="K1773" t="inlineStr">
        <is>
          <t>MIBGAS_Data_2024.xlsx</t>
        </is>
      </c>
    </row>
    <row r="1774">
      <c r="A1774" s="53" t="n">
        <v>45600</v>
      </c>
      <c r="B1774" t="inlineStr">
        <is>
          <t>2024-11-04</t>
        </is>
      </c>
      <c r="C1774" s="45" t="n">
        <v>39.65</v>
      </c>
      <c r="D1774" t="inlineStr">
        <is>
          <t>€/MWh</t>
        </is>
      </c>
      <c r="E1774" s="54" t="n">
        <v>0.03965</v>
      </c>
      <c r="F1774" s="54" t="n"/>
      <c r="G1774" t="inlineStr">
        <is>
          <t>no aplica (precio mayorista)</t>
        </is>
      </c>
      <c r="J1774" t="inlineStr">
        <is>
          <t>2024-11-04</t>
        </is>
      </c>
      <c r="K1774" t="inlineStr">
        <is>
          <t>MIBGAS_Data_2024.xlsx</t>
        </is>
      </c>
    </row>
    <row r="1775">
      <c r="A1775" s="53" t="n">
        <v>45601</v>
      </c>
      <c r="B1775" t="inlineStr">
        <is>
          <t>2024-11-05</t>
        </is>
      </c>
      <c r="C1775" s="45" t="n">
        <v>40.34</v>
      </c>
      <c r="D1775" t="inlineStr">
        <is>
          <t>€/MWh</t>
        </is>
      </c>
      <c r="E1775" s="54" t="n">
        <v>0.04034</v>
      </c>
      <c r="F1775" s="54" t="n"/>
      <c r="G1775" t="inlineStr">
        <is>
          <t>no aplica (precio mayorista)</t>
        </is>
      </c>
      <c r="J1775" t="inlineStr">
        <is>
          <t>2024-11-05</t>
        </is>
      </c>
      <c r="K1775" t="inlineStr">
        <is>
          <t>MIBGAS_Data_2024.xlsx</t>
        </is>
      </c>
    </row>
    <row r="1776">
      <c r="A1776" s="53" t="n">
        <v>45602</v>
      </c>
      <c r="B1776" t="inlineStr">
        <is>
          <t>2024-11-06</t>
        </is>
      </c>
      <c r="C1776" s="45" t="n">
        <v>40.41</v>
      </c>
      <c r="D1776" t="inlineStr">
        <is>
          <t>€/MWh</t>
        </is>
      </c>
      <c r="E1776" s="54" t="n">
        <v>0.04041</v>
      </c>
      <c r="F1776" s="54" t="n"/>
      <c r="G1776" t="inlineStr">
        <is>
          <t>no aplica (precio mayorista)</t>
        </is>
      </c>
      <c r="J1776" t="inlineStr">
        <is>
          <t>2024-11-06</t>
        </is>
      </c>
      <c r="K1776" t="inlineStr">
        <is>
          <t>MIBGAS_Data_2024.xlsx</t>
        </is>
      </c>
    </row>
    <row r="1777">
      <c r="A1777" s="53" t="n">
        <v>45603</v>
      </c>
      <c r="B1777" t="inlineStr">
        <is>
          <t>2024-11-07</t>
        </is>
      </c>
      <c r="C1777" s="45" t="n">
        <v>40.47</v>
      </c>
      <c r="D1777" t="inlineStr">
        <is>
          <t>€/MWh</t>
        </is>
      </c>
      <c r="E1777" s="54" t="n">
        <v>0.04047</v>
      </c>
      <c r="F1777" s="54" t="n"/>
      <c r="G1777" t="inlineStr">
        <is>
          <t>no aplica (precio mayorista)</t>
        </is>
      </c>
      <c r="J1777" t="inlineStr">
        <is>
          <t>2024-11-07</t>
        </is>
      </c>
      <c r="K1777" t="inlineStr">
        <is>
          <t>MIBGAS_Data_2024.xlsx</t>
        </is>
      </c>
    </row>
    <row r="1778">
      <c r="A1778" s="53" t="n">
        <v>45604</v>
      </c>
      <c r="B1778" t="inlineStr">
        <is>
          <t>2024-11-08</t>
        </is>
      </c>
      <c r="C1778" s="45" t="n">
        <v>41.44</v>
      </c>
      <c r="D1778" t="inlineStr">
        <is>
          <t>€/MWh</t>
        </is>
      </c>
      <c r="E1778" s="54" t="n">
        <v>0.04144</v>
      </c>
      <c r="F1778" s="54" t="n"/>
      <c r="G1778" t="inlineStr">
        <is>
          <t>no aplica (precio mayorista)</t>
        </is>
      </c>
      <c r="J1778" t="inlineStr">
        <is>
          <t>2024-11-08</t>
        </is>
      </c>
      <c r="K1778" t="inlineStr">
        <is>
          <t>MIBGAS_Data_2024.xlsx</t>
        </is>
      </c>
    </row>
    <row r="1779">
      <c r="A1779" s="53" t="n">
        <v>45605</v>
      </c>
      <c r="B1779" t="inlineStr">
        <is>
          <t>2024-11-09</t>
        </is>
      </c>
      <c r="C1779" s="45" t="n">
        <v>42.18</v>
      </c>
      <c r="D1779" t="inlineStr">
        <is>
          <t>€/MWh</t>
        </is>
      </c>
      <c r="E1779" s="54" t="n">
        <v>0.04218</v>
      </c>
      <c r="F1779" s="54" t="n"/>
      <c r="G1779" t="inlineStr">
        <is>
          <t>no aplica (precio mayorista)</t>
        </is>
      </c>
      <c r="J1779" t="inlineStr">
        <is>
          <t>2024-11-09</t>
        </is>
      </c>
      <c r="K1779" t="inlineStr">
        <is>
          <t>MIBGAS_Data_2024.xlsx</t>
        </is>
      </c>
    </row>
    <row r="1780">
      <c r="A1780" s="53" t="n">
        <v>45606</v>
      </c>
      <c r="B1780" t="inlineStr">
        <is>
          <t>2024-11-10</t>
        </is>
      </c>
      <c r="C1780" s="45" t="n">
        <v>42.17</v>
      </c>
      <c r="D1780" t="inlineStr">
        <is>
          <t>€/MWh</t>
        </is>
      </c>
      <c r="E1780" s="54" t="n">
        <v>0.04217</v>
      </c>
      <c r="F1780" s="54" t="n"/>
      <c r="G1780" t="inlineStr">
        <is>
          <t>no aplica (precio mayorista)</t>
        </is>
      </c>
      <c r="J1780" t="inlineStr">
        <is>
          <t>2024-11-10</t>
        </is>
      </c>
      <c r="K1780" t="inlineStr">
        <is>
          <t>MIBGAS_Data_2024.xlsx</t>
        </is>
      </c>
    </row>
    <row r="1781">
      <c r="A1781" s="53" t="n">
        <v>45607</v>
      </c>
      <c r="B1781" t="inlineStr">
        <is>
          <t>2024-11-11</t>
        </is>
      </c>
      <c r="C1781" s="45" t="n">
        <v>42.48</v>
      </c>
      <c r="D1781" t="inlineStr">
        <is>
          <t>€/MWh</t>
        </is>
      </c>
      <c r="E1781" s="54" t="n">
        <v>0.04248</v>
      </c>
      <c r="F1781" s="54" t="n"/>
      <c r="G1781" t="inlineStr">
        <is>
          <t>no aplica (precio mayorista)</t>
        </is>
      </c>
      <c r="J1781" t="inlineStr">
        <is>
          <t>2024-11-11</t>
        </is>
      </c>
      <c r="K1781" t="inlineStr">
        <is>
          <t>MIBGAS_Data_2024.xlsx</t>
        </is>
      </c>
    </row>
    <row r="1782">
      <c r="A1782" s="53" t="n">
        <v>45608</v>
      </c>
      <c r="B1782" t="inlineStr">
        <is>
          <t>2024-11-12</t>
        </is>
      </c>
      <c r="C1782" s="45" t="n">
        <v>43.47</v>
      </c>
      <c r="D1782" t="inlineStr">
        <is>
          <t>€/MWh</t>
        </is>
      </c>
      <c r="E1782" s="54" t="n">
        <v>0.04347</v>
      </c>
      <c r="F1782" s="54" t="n"/>
      <c r="G1782" t="inlineStr">
        <is>
          <t>no aplica (precio mayorista)</t>
        </is>
      </c>
      <c r="J1782" t="inlineStr">
        <is>
          <t>2024-11-12</t>
        </is>
      </c>
      <c r="K1782" t="inlineStr">
        <is>
          <t>MIBGAS_Data_2024.xlsx</t>
        </is>
      </c>
    </row>
    <row r="1783">
      <c r="A1783" s="53" t="n">
        <v>45609</v>
      </c>
      <c r="B1783" t="inlineStr">
        <is>
          <t>2024-11-13</t>
        </is>
      </c>
      <c r="C1783" s="45" t="n">
        <v>43.9</v>
      </c>
      <c r="D1783" t="inlineStr">
        <is>
          <t>€/MWh</t>
        </is>
      </c>
      <c r="E1783" s="54" t="n">
        <v>0.0439</v>
      </c>
      <c r="F1783" s="54" t="n"/>
      <c r="G1783" t="inlineStr">
        <is>
          <t>no aplica (precio mayorista)</t>
        </is>
      </c>
      <c r="J1783" t="inlineStr">
        <is>
          <t>2024-11-13</t>
        </is>
      </c>
      <c r="K1783" t="inlineStr">
        <is>
          <t>MIBGAS_Data_2024.xlsx</t>
        </is>
      </c>
    </row>
    <row r="1784">
      <c r="A1784" s="53" t="n">
        <v>45610</v>
      </c>
      <c r="B1784" t="inlineStr">
        <is>
          <t>2024-11-14</t>
        </is>
      </c>
      <c r="C1784" s="45" t="n">
        <v>44.49</v>
      </c>
      <c r="D1784" t="inlineStr">
        <is>
          <t>€/MWh</t>
        </is>
      </c>
      <c r="E1784" s="54" t="n">
        <v>0.04449</v>
      </c>
      <c r="F1784" s="54" t="n"/>
      <c r="G1784" t="inlineStr">
        <is>
          <t>no aplica (precio mayorista)</t>
        </is>
      </c>
      <c r="J1784" t="inlineStr">
        <is>
          <t>2024-11-14</t>
        </is>
      </c>
      <c r="K1784" t="inlineStr">
        <is>
          <t>MIBGAS_Data_2024.xlsx</t>
        </is>
      </c>
    </row>
    <row r="1785">
      <c r="A1785" s="53" t="n">
        <v>45611</v>
      </c>
      <c r="B1785" t="inlineStr">
        <is>
          <t>2024-11-15</t>
        </is>
      </c>
      <c r="C1785" s="45" t="n">
        <v>45.84</v>
      </c>
      <c r="D1785" t="inlineStr">
        <is>
          <t>€/MWh</t>
        </is>
      </c>
      <c r="E1785" s="54" t="n">
        <v>0.04584</v>
      </c>
      <c r="F1785" s="54" t="n"/>
      <c r="G1785" t="inlineStr">
        <is>
          <t>no aplica (precio mayorista)</t>
        </is>
      </c>
      <c r="J1785" t="inlineStr">
        <is>
          <t>2024-11-15</t>
        </is>
      </c>
      <c r="K1785" t="inlineStr">
        <is>
          <t>MIBGAS_Data_2024.xlsx</t>
        </is>
      </c>
    </row>
    <row r="1786">
      <c r="A1786" s="53" t="n">
        <v>45612</v>
      </c>
      <c r="B1786" t="inlineStr">
        <is>
          <t>2024-11-16</t>
        </is>
      </c>
      <c r="C1786" s="45" t="n">
        <v>45.82</v>
      </c>
      <c r="D1786" t="inlineStr">
        <is>
          <t>€/MWh</t>
        </is>
      </c>
      <c r="E1786" s="54" t="n">
        <v>0.04582</v>
      </c>
      <c r="F1786" s="54" t="n"/>
      <c r="G1786" t="inlineStr">
        <is>
          <t>no aplica (precio mayorista)</t>
        </is>
      </c>
      <c r="J1786" t="inlineStr">
        <is>
          <t>2024-11-16</t>
        </is>
      </c>
      <c r="K1786" t="inlineStr">
        <is>
          <t>MIBGAS_Data_2024.xlsx</t>
        </is>
      </c>
    </row>
    <row r="1787">
      <c r="A1787" s="53" t="n">
        <v>45613</v>
      </c>
      <c r="B1787" t="inlineStr">
        <is>
          <t>2024-11-17</t>
        </is>
      </c>
      <c r="C1787" s="45" t="n">
        <v>46.07</v>
      </c>
      <c r="D1787" t="inlineStr">
        <is>
          <t>€/MWh</t>
        </is>
      </c>
      <c r="E1787" s="54" t="n">
        <v>0.04607</v>
      </c>
      <c r="F1787" s="54" t="n"/>
      <c r="G1787" t="inlineStr">
        <is>
          <t>no aplica (precio mayorista)</t>
        </is>
      </c>
      <c r="J1787" t="inlineStr">
        <is>
          <t>2024-11-17</t>
        </is>
      </c>
      <c r="K1787" t="inlineStr">
        <is>
          <t>MIBGAS_Data_2024.xlsx</t>
        </is>
      </c>
    </row>
    <row r="1788">
      <c r="A1788" s="53" t="n">
        <v>45614</v>
      </c>
      <c r="B1788" t="inlineStr">
        <is>
          <t>2024-11-18</t>
        </is>
      </c>
      <c r="C1788" s="45" t="n">
        <v>46.84</v>
      </c>
      <c r="D1788" t="inlineStr">
        <is>
          <t>€/MWh</t>
        </is>
      </c>
      <c r="E1788" s="54" t="n">
        <v>0.04684</v>
      </c>
      <c r="F1788" s="54" t="n"/>
      <c r="G1788" t="inlineStr">
        <is>
          <t>no aplica (precio mayorista)</t>
        </is>
      </c>
      <c r="J1788" t="inlineStr">
        <is>
          <t>2024-11-18</t>
        </is>
      </c>
      <c r="K1788" t="inlineStr">
        <is>
          <t>MIBGAS_Data_2024.xlsx</t>
        </is>
      </c>
    </row>
    <row r="1789">
      <c r="A1789" s="53" t="n">
        <v>45615</v>
      </c>
      <c r="B1789" t="inlineStr">
        <is>
          <t>2024-11-19</t>
        </is>
      </c>
      <c r="C1789" s="45" t="n">
        <v>46.32</v>
      </c>
      <c r="D1789" t="inlineStr">
        <is>
          <t>€/MWh</t>
        </is>
      </c>
      <c r="E1789" s="54" t="n">
        <v>0.04632</v>
      </c>
      <c r="F1789" s="54" t="n"/>
      <c r="G1789" t="inlineStr">
        <is>
          <t>no aplica (precio mayorista)</t>
        </is>
      </c>
      <c r="J1789" t="inlineStr">
        <is>
          <t>2024-11-19</t>
        </is>
      </c>
      <c r="K1789" t="inlineStr">
        <is>
          <t>MIBGAS_Data_2024.xlsx</t>
        </is>
      </c>
    </row>
    <row r="1790">
      <c r="A1790" s="53" t="n">
        <v>45616</v>
      </c>
      <c r="B1790" t="inlineStr">
        <is>
          <t>2024-11-20</t>
        </is>
      </c>
      <c r="C1790" s="45" t="n">
        <v>46.06</v>
      </c>
      <c r="D1790" t="inlineStr">
        <is>
          <t>€/MWh</t>
        </is>
      </c>
      <c r="E1790" s="54" t="n">
        <v>0.04606</v>
      </c>
      <c r="F1790" s="54" t="n"/>
      <c r="G1790" t="inlineStr">
        <is>
          <t>no aplica (precio mayorista)</t>
        </is>
      </c>
      <c r="J1790" t="inlineStr">
        <is>
          <t>2024-11-20</t>
        </is>
      </c>
      <c r="K1790" t="inlineStr">
        <is>
          <t>MIBGAS_Data_2024.xlsx</t>
        </is>
      </c>
    </row>
    <row r="1791">
      <c r="A1791" s="53" t="n">
        <v>45617</v>
      </c>
      <c r="B1791" t="inlineStr">
        <is>
          <t>2024-11-21</t>
        </is>
      </c>
      <c r="C1791" s="45" t="n">
        <v>46.62</v>
      </c>
      <c r="D1791" t="inlineStr">
        <is>
          <t>€/MWh</t>
        </is>
      </c>
      <c r="E1791" s="54" t="n">
        <v>0.04662</v>
      </c>
      <c r="F1791" s="54" t="n"/>
      <c r="G1791" t="inlineStr">
        <is>
          <t>no aplica (precio mayorista)</t>
        </is>
      </c>
      <c r="J1791" t="inlineStr">
        <is>
          <t>2024-11-21</t>
        </is>
      </c>
      <c r="K1791" t="inlineStr">
        <is>
          <t>MIBGAS_Data_2024.xlsx</t>
        </is>
      </c>
    </row>
    <row r="1792">
      <c r="A1792" s="53" t="n">
        <v>45618</v>
      </c>
      <c r="B1792" t="inlineStr">
        <is>
          <t>2024-11-22</t>
        </is>
      </c>
      <c r="C1792" s="45" t="n">
        <v>48.09</v>
      </c>
      <c r="D1792" t="inlineStr">
        <is>
          <t>€/MWh</t>
        </is>
      </c>
      <c r="E1792" s="54" t="n">
        <v>0.04809</v>
      </c>
      <c r="F1792" s="54" t="n"/>
      <c r="G1792" t="inlineStr">
        <is>
          <t>no aplica (precio mayorista)</t>
        </is>
      </c>
      <c r="J1792" t="inlineStr">
        <is>
          <t>2024-11-22</t>
        </is>
      </c>
      <c r="K1792" t="inlineStr">
        <is>
          <t>MIBGAS_Data_2024.xlsx</t>
        </is>
      </c>
    </row>
    <row r="1793">
      <c r="A1793" s="53" t="n">
        <v>45619</v>
      </c>
      <c r="B1793" t="inlineStr">
        <is>
          <t>2024-11-23</t>
        </is>
      </c>
      <c r="C1793" s="45" t="n">
        <v>47.11</v>
      </c>
      <c r="D1793" t="inlineStr">
        <is>
          <t>€/MWh</t>
        </is>
      </c>
      <c r="E1793" s="54" t="n">
        <v>0.04711</v>
      </c>
      <c r="F1793" s="54" t="n"/>
      <c r="G1793" t="inlineStr">
        <is>
          <t>no aplica (precio mayorista)</t>
        </is>
      </c>
      <c r="J1793" t="inlineStr">
        <is>
          <t>2024-11-23</t>
        </is>
      </c>
      <c r="K1793" t="inlineStr">
        <is>
          <t>MIBGAS_Data_2024.xlsx</t>
        </is>
      </c>
    </row>
    <row r="1794">
      <c r="A1794" s="53" t="n">
        <v>45620</v>
      </c>
      <c r="B1794" t="inlineStr">
        <is>
          <t>2024-11-24</t>
        </is>
      </c>
      <c r="C1794" s="45" t="n">
        <v>46.82</v>
      </c>
      <c r="D1794" t="inlineStr">
        <is>
          <t>€/MWh</t>
        </is>
      </c>
      <c r="E1794" s="54" t="n">
        <v>0.04682</v>
      </c>
      <c r="F1794" s="54" t="n"/>
      <c r="G1794" t="inlineStr">
        <is>
          <t>no aplica (precio mayorista)</t>
        </is>
      </c>
      <c r="J1794" t="inlineStr">
        <is>
          <t>2024-11-24</t>
        </is>
      </c>
      <c r="K1794" t="inlineStr">
        <is>
          <t>MIBGAS_Data_2024.xlsx</t>
        </is>
      </c>
    </row>
    <row r="1795">
      <c r="A1795" s="53" t="n">
        <v>45621</v>
      </c>
      <c r="B1795" t="inlineStr">
        <is>
          <t>2024-11-25</t>
        </is>
      </c>
      <c r="C1795" s="45" t="n">
        <v>47.3</v>
      </c>
      <c r="D1795" t="inlineStr">
        <is>
          <t>€/MWh</t>
        </is>
      </c>
      <c r="E1795" s="54" t="n">
        <v>0.0473</v>
      </c>
      <c r="F1795" s="54" t="n"/>
      <c r="G1795" t="inlineStr">
        <is>
          <t>no aplica (precio mayorista)</t>
        </is>
      </c>
      <c r="J1795" t="inlineStr">
        <is>
          <t>2024-11-25</t>
        </is>
      </c>
      <c r="K1795" t="inlineStr">
        <is>
          <t>MIBGAS_Data_2024.xlsx</t>
        </is>
      </c>
    </row>
    <row r="1796">
      <c r="A1796" s="53" t="n">
        <v>45622</v>
      </c>
      <c r="B1796" t="inlineStr">
        <is>
          <t>2024-11-26</t>
        </is>
      </c>
      <c r="C1796" s="45" t="n">
        <v>48.12</v>
      </c>
      <c r="D1796" t="inlineStr">
        <is>
          <t>€/MWh</t>
        </is>
      </c>
      <c r="E1796" s="54" t="n">
        <v>0.04812</v>
      </c>
      <c r="F1796" s="54" t="n"/>
      <c r="G1796" t="inlineStr">
        <is>
          <t>no aplica (precio mayorista)</t>
        </is>
      </c>
      <c r="J1796" t="inlineStr">
        <is>
          <t>2024-11-26</t>
        </is>
      </c>
      <c r="K1796" t="inlineStr">
        <is>
          <t>MIBGAS_Data_2024.xlsx</t>
        </is>
      </c>
    </row>
    <row r="1797">
      <c r="A1797" s="53" t="n">
        <v>45623</v>
      </c>
      <c r="B1797" t="inlineStr">
        <is>
          <t>2024-11-27</t>
        </is>
      </c>
      <c r="C1797" s="45" t="n">
        <v>47.17</v>
      </c>
      <c r="D1797" t="inlineStr">
        <is>
          <t>€/MWh</t>
        </is>
      </c>
      <c r="E1797" s="54" t="n">
        <v>0.04717</v>
      </c>
      <c r="F1797" s="54" t="n"/>
      <c r="G1797" t="inlineStr">
        <is>
          <t>no aplica (precio mayorista)</t>
        </is>
      </c>
      <c r="J1797" t="inlineStr">
        <is>
          <t>2024-11-27</t>
        </is>
      </c>
      <c r="K1797" t="inlineStr">
        <is>
          <t>MIBGAS_Data_2024.xlsx</t>
        </is>
      </c>
    </row>
    <row r="1798">
      <c r="A1798" s="53" t="n">
        <v>45624</v>
      </c>
      <c r="B1798" t="inlineStr">
        <is>
          <t>2024-11-28</t>
        </is>
      </c>
      <c r="C1798" s="45" t="n">
        <v>46.51</v>
      </c>
      <c r="D1798" t="inlineStr">
        <is>
          <t>€/MWh</t>
        </is>
      </c>
      <c r="E1798" s="54" t="n">
        <v>0.04651</v>
      </c>
      <c r="F1798" s="54" t="n"/>
      <c r="G1798" t="inlineStr">
        <is>
          <t>no aplica (precio mayorista)</t>
        </is>
      </c>
      <c r="J1798" t="inlineStr">
        <is>
          <t>2024-11-28</t>
        </is>
      </c>
      <c r="K1798" t="inlineStr">
        <is>
          <t>MIBGAS_Data_2024.xlsx</t>
        </is>
      </c>
    </row>
    <row r="1799">
      <c r="A1799" s="53" t="n">
        <v>45625</v>
      </c>
      <c r="B1799" t="inlineStr">
        <is>
          <t>2024-11-29</t>
        </is>
      </c>
      <c r="C1799" s="45" t="n">
        <v>46.97</v>
      </c>
      <c r="D1799" t="inlineStr">
        <is>
          <t>€/MWh</t>
        </is>
      </c>
      <c r="E1799" s="54" t="n">
        <v>0.04697</v>
      </c>
      <c r="F1799" s="54" t="n"/>
      <c r="G1799" t="inlineStr">
        <is>
          <t>no aplica (precio mayorista)</t>
        </is>
      </c>
      <c r="J1799" t="inlineStr">
        <is>
          <t>2024-11-29</t>
        </is>
      </c>
      <c r="K1799" t="inlineStr">
        <is>
          <t>MIBGAS_Data_2024.xlsx</t>
        </is>
      </c>
    </row>
    <row r="1800">
      <c r="A1800" s="53" t="n">
        <v>45626</v>
      </c>
      <c r="B1800" t="inlineStr">
        <is>
          <t>2024-11-30</t>
        </is>
      </c>
      <c r="C1800" s="45" t="n">
        <v>47.66</v>
      </c>
      <c r="D1800" t="inlineStr">
        <is>
          <t>€/MWh</t>
        </is>
      </c>
      <c r="E1800" s="54" t="n">
        <v>0.04766</v>
      </c>
      <c r="F1800" s="54" t="n"/>
      <c r="G1800" t="inlineStr">
        <is>
          <t>no aplica (precio mayorista)</t>
        </is>
      </c>
      <c r="J1800" t="inlineStr">
        <is>
          <t>2024-11-30</t>
        </is>
      </c>
      <c r="K1800" t="inlineStr">
        <is>
          <t>MIBGAS_Data_2024.xlsx</t>
        </is>
      </c>
    </row>
    <row r="1801">
      <c r="A1801" s="53" t="n">
        <v>45627</v>
      </c>
      <c r="B1801" t="inlineStr">
        <is>
          <t>2024-12-01</t>
        </is>
      </c>
      <c r="C1801" s="45" t="n">
        <v>48.98</v>
      </c>
      <c r="D1801" t="inlineStr">
        <is>
          <t>€/MWh</t>
        </is>
      </c>
      <c r="E1801" s="54" t="n">
        <v>0.04898</v>
      </c>
      <c r="F1801" s="54" t="n"/>
      <c r="G1801" t="inlineStr">
        <is>
          <t>no aplica (precio mayorista)</t>
        </is>
      </c>
      <c r="J1801" t="inlineStr">
        <is>
          <t>2024-12-01</t>
        </is>
      </c>
      <c r="K1801" t="inlineStr">
        <is>
          <t>MIBGAS_Data_2024.xlsx</t>
        </is>
      </c>
    </row>
    <row r="1802">
      <c r="A1802" s="53" t="n">
        <v>45628</v>
      </c>
      <c r="B1802" t="inlineStr">
        <is>
          <t>2024-12-02</t>
        </is>
      </c>
      <c r="C1802" s="45" t="n">
        <v>49.6</v>
      </c>
      <c r="D1802" t="inlineStr">
        <is>
          <t>€/MWh</t>
        </is>
      </c>
      <c r="E1802" s="54" t="n">
        <v>0.0496</v>
      </c>
      <c r="F1802" s="54" t="n"/>
      <c r="G1802" t="inlineStr">
        <is>
          <t>no aplica (precio mayorista)</t>
        </is>
      </c>
      <c r="J1802" t="inlineStr">
        <is>
          <t>2024-12-02</t>
        </is>
      </c>
      <c r="K1802" t="inlineStr">
        <is>
          <t>MIBGAS_Data_2024.xlsx</t>
        </is>
      </c>
    </row>
    <row r="1803">
      <c r="A1803" s="53" t="n">
        <v>45629</v>
      </c>
      <c r="B1803" t="inlineStr">
        <is>
          <t>2024-12-03</t>
        </is>
      </c>
      <c r="C1803" s="45" t="n">
        <v>48.94</v>
      </c>
      <c r="D1803" t="inlineStr">
        <is>
          <t>€/MWh</t>
        </is>
      </c>
      <c r="E1803" s="54" t="n">
        <v>0.04894</v>
      </c>
      <c r="F1803" s="54" t="n"/>
      <c r="G1803" t="inlineStr">
        <is>
          <t>no aplica (precio mayorista)</t>
        </is>
      </c>
      <c r="J1803" t="inlineStr">
        <is>
          <t>2024-12-03</t>
        </is>
      </c>
      <c r="K1803" t="inlineStr">
        <is>
          <t>MIBGAS_Data_2024.xlsx</t>
        </is>
      </c>
    </row>
    <row r="1804">
      <c r="A1804" s="53" t="n">
        <v>45630</v>
      </c>
      <c r="B1804" t="inlineStr">
        <is>
          <t>2024-12-04</t>
        </is>
      </c>
      <c r="C1804" s="45" t="n">
        <v>48.63</v>
      </c>
      <c r="D1804" t="inlineStr">
        <is>
          <t>€/MWh</t>
        </is>
      </c>
      <c r="E1804" s="54" t="n">
        <v>0.04863</v>
      </c>
      <c r="F1804" s="54" t="n"/>
      <c r="G1804" t="inlineStr">
        <is>
          <t>no aplica (precio mayorista)</t>
        </is>
      </c>
      <c r="J1804" t="inlineStr">
        <is>
          <t>2024-12-04</t>
        </is>
      </c>
      <c r="K1804" t="inlineStr">
        <is>
          <t>MIBGAS_Data_2024.xlsx</t>
        </is>
      </c>
    </row>
    <row r="1805">
      <c r="A1805" s="53" t="n">
        <v>45631</v>
      </c>
      <c r="B1805" t="inlineStr">
        <is>
          <t>2024-12-05</t>
        </is>
      </c>
      <c r="C1805" s="45" t="n">
        <v>47.66</v>
      </c>
      <c r="D1805" t="inlineStr">
        <is>
          <t>€/MWh</t>
        </is>
      </c>
      <c r="E1805" s="54" t="n">
        <v>0.04766</v>
      </c>
      <c r="F1805" s="54" t="n"/>
      <c r="G1805" t="inlineStr">
        <is>
          <t>no aplica (precio mayorista)</t>
        </is>
      </c>
      <c r="J1805" t="inlineStr">
        <is>
          <t>2024-12-05</t>
        </is>
      </c>
      <c r="K1805" t="inlineStr">
        <is>
          <t>MIBGAS_Data_2024.xlsx</t>
        </is>
      </c>
    </row>
    <row r="1806">
      <c r="A1806" s="53" t="n">
        <v>45632</v>
      </c>
      <c r="B1806" t="inlineStr">
        <is>
          <t>2024-12-06</t>
        </is>
      </c>
      <c r="C1806" s="45" t="n">
        <v>46.63</v>
      </c>
      <c r="D1806" t="inlineStr">
        <is>
          <t>€/MWh</t>
        </is>
      </c>
      <c r="E1806" s="54" t="n">
        <v>0.04663</v>
      </c>
      <c r="F1806" s="54" t="n"/>
      <c r="G1806" t="inlineStr">
        <is>
          <t>no aplica (precio mayorista)</t>
        </is>
      </c>
      <c r="J1806" t="inlineStr">
        <is>
          <t>2024-12-06</t>
        </is>
      </c>
      <c r="K1806" t="inlineStr">
        <is>
          <t>MIBGAS_Data_2024.xlsx</t>
        </is>
      </c>
    </row>
    <row r="1807">
      <c r="A1807" s="53" t="n">
        <v>45633</v>
      </c>
      <c r="B1807" t="inlineStr">
        <is>
          <t>2024-12-07</t>
        </is>
      </c>
      <c r="C1807" s="45" t="n">
        <v>46.01</v>
      </c>
      <c r="D1807" t="inlineStr">
        <is>
          <t>€/MWh</t>
        </is>
      </c>
      <c r="E1807" s="54" t="n">
        <v>0.04601</v>
      </c>
      <c r="F1807" s="54" t="n"/>
      <c r="G1807" t="inlineStr">
        <is>
          <t>no aplica (precio mayorista)</t>
        </is>
      </c>
      <c r="J1807" t="inlineStr">
        <is>
          <t>2024-12-07</t>
        </is>
      </c>
      <c r="K1807" t="inlineStr">
        <is>
          <t>MIBGAS_Data_2024.xlsx</t>
        </is>
      </c>
    </row>
    <row r="1808">
      <c r="A1808" s="53" t="n">
        <v>45634</v>
      </c>
      <c r="B1808" t="inlineStr">
        <is>
          <t>2024-12-08</t>
        </is>
      </c>
      <c r="C1808" s="45" t="n">
        <v>46.05</v>
      </c>
      <c r="D1808" t="inlineStr">
        <is>
          <t>€/MWh</t>
        </is>
      </c>
      <c r="E1808" s="54" t="n">
        <v>0.04605</v>
      </c>
      <c r="F1808" s="54" t="n"/>
      <c r="G1808" t="inlineStr">
        <is>
          <t>no aplica (precio mayorista)</t>
        </is>
      </c>
      <c r="J1808" t="inlineStr">
        <is>
          <t>2024-12-08</t>
        </is>
      </c>
      <c r="K1808" t="inlineStr">
        <is>
          <t>MIBGAS_Data_2024.xlsx</t>
        </is>
      </c>
    </row>
    <row r="1809">
      <c r="A1809" s="53" t="n">
        <v>45635</v>
      </c>
      <c r="B1809" t="inlineStr">
        <is>
          <t>2024-12-09</t>
        </is>
      </c>
      <c r="C1809" s="45" t="n">
        <v>46.03</v>
      </c>
      <c r="D1809" t="inlineStr">
        <is>
          <t>€/MWh</t>
        </is>
      </c>
      <c r="E1809" s="54" t="n">
        <v>0.04603</v>
      </c>
      <c r="F1809" s="54" t="n"/>
      <c r="G1809" t="inlineStr">
        <is>
          <t>no aplica (precio mayorista)</t>
        </is>
      </c>
      <c r="J1809" t="inlineStr">
        <is>
          <t>2024-12-09</t>
        </is>
      </c>
      <c r="K1809" t="inlineStr">
        <is>
          <t>MIBGAS_Data_2024.xlsx</t>
        </is>
      </c>
    </row>
    <row r="1810">
      <c r="A1810" s="53" t="n">
        <v>45636</v>
      </c>
      <c r="B1810" t="inlineStr">
        <is>
          <t>2024-12-10</t>
        </is>
      </c>
      <c r="C1810" s="45" t="n">
        <v>45.63</v>
      </c>
      <c r="D1810" t="inlineStr">
        <is>
          <t>€/MWh</t>
        </is>
      </c>
      <c r="E1810" s="54" t="n">
        <v>0.04563</v>
      </c>
      <c r="F1810" s="54" t="n"/>
      <c r="G1810" t="inlineStr">
        <is>
          <t>no aplica (precio mayorista)</t>
        </is>
      </c>
      <c r="J1810" t="inlineStr">
        <is>
          <t>2024-12-10</t>
        </is>
      </c>
      <c r="K1810" t="inlineStr">
        <is>
          <t>MIBGAS_Data_2024.xlsx</t>
        </is>
      </c>
    </row>
    <row r="1811">
      <c r="A1811" s="53" t="n">
        <v>45637</v>
      </c>
      <c r="B1811" t="inlineStr">
        <is>
          <t>2024-12-11</t>
        </is>
      </c>
      <c r="C1811" s="45" t="n">
        <v>45.91</v>
      </c>
      <c r="D1811" t="inlineStr">
        <is>
          <t>€/MWh</t>
        </is>
      </c>
      <c r="E1811" s="54" t="n">
        <v>0.04591</v>
      </c>
      <c r="F1811" s="54" t="n"/>
      <c r="G1811" t="inlineStr">
        <is>
          <t>no aplica (precio mayorista)</t>
        </is>
      </c>
      <c r="J1811" t="inlineStr">
        <is>
          <t>2024-12-11</t>
        </is>
      </c>
      <c r="K1811" t="inlineStr">
        <is>
          <t>MIBGAS_Data_2024.xlsx</t>
        </is>
      </c>
    </row>
    <row r="1812">
      <c r="A1812" s="53" t="n">
        <v>45638</v>
      </c>
      <c r="B1812" t="inlineStr">
        <is>
          <t>2024-12-12</t>
        </is>
      </c>
      <c r="C1812" s="45" t="n">
        <v>45.13</v>
      </c>
      <c r="D1812" t="inlineStr">
        <is>
          <t>€/MWh</t>
        </is>
      </c>
      <c r="E1812" s="54" t="n">
        <v>0.04513</v>
      </c>
      <c r="F1812" s="54" t="n"/>
      <c r="G1812" t="inlineStr">
        <is>
          <t>no aplica (precio mayorista)</t>
        </is>
      </c>
      <c r="J1812" t="inlineStr">
        <is>
          <t>2024-12-12</t>
        </is>
      </c>
      <c r="K1812" t="inlineStr">
        <is>
          <t>MIBGAS_Data_2024.xlsx</t>
        </is>
      </c>
    </row>
    <row r="1813">
      <c r="A1813" s="53" t="n">
        <v>45639</v>
      </c>
      <c r="B1813" t="inlineStr">
        <is>
          <t>2024-12-13</t>
        </is>
      </c>
      <c r="C1813" s="45" t="n">
        <v>43.93</v>
      </c>
      <c r="D1813" t="inlineStr">
        <is>
          <t>€/MWh</t>
        </is>
      </c>
      <c r="E1813" s="54" t="n">
        <v>0.04393</v>
      </c>
      <c r="F1813" s="54" t="n"/>
      <c r="G1813" t="inlineStr">
        <is>
          <t>no aplica (precio mayorista)</t>
        </is>
      </c>
      <c r="J1813" t="inlineStr">
        <is>
          <t>2024-12-13</t>
        </is>
      </c>
      <c r="K1813" t="inlineStr">
        <is>
          <t>MIBGAS_Data_2024.xlsx</t>
        </is>
      </c>
    </row>
    <row r="1814">
      <c r="A1814" s="53" t="n">
        <v>45640</v>
      </c>
      <c r="B1814" t="inlineStr">
        <is>
          <t>2024-12-14</t>
        </is>
      </c>
      <c r="C1814" s="45" t="n">
        <v>42.73</v>
      </c>
      <c r="D1814" t="inlineStr">
        <is>
          <t>€/MWh</t>
        </is>
      </c>
      <c r="E1814" s="54" t="n">
        <v>0.04273</v>
      </c>
      <c r="F1814" s="54" t="n"/>
      <c r="G1814" t="inlineStr">
        <is>
          <t>no aplica (precio mayorista)</t>
        </is>
      </c>
      <c r="J1814" t="inlineStr">
        <is>
          <t>2024-12-14</t>
        </is>
      </c>
      <c r="K1814" t="inlineStr">
        <is>
          <t>MIBGAS_Data_2024.xlsx</t>
        </is>
      </c>
    </row>
    <row r="1815">
      <c r="A1815" s="53" t="n">
        <v>45641</v>
      </c>
      <c r="B1815" t="inlineStr">
        <is>
          <t>2024-12-15</t>
        </is>
      </c>
      <c r="C1815" s="45" t="n">
        <v>42.72</v>
      </c>
      <c r="D1815" t="inlineStr">
        <is>
          <t>€/MWh</t>
        </is>
      </c>
      <c r="E1815" s="54" t="n">
        <v>0.04272</v>
      </c>
      <c r="F1815" s="54" t="n"/>
      <c r="G1815" t="inlineStr">
        <is>
          <t>no aplica (precio mayorista)</t>
        </is>
      </c>
      <c r="J1815" t="inlineStr">
        <is>
          <t>2024-12-15</t>
        </is>
      </c>
      <c r="K1815" t="inlineStr">
        <is>
          <t>MIBGAS_Data_2024.xlsx</t>
        </is>
      </c>
    </row>
    <row r="1816">
      <c r="A1816" s="53" t="n">
        <v>45642</v>
      </c>
      <c r="B1816" t="inlineStr">
        <is>
          <t>2024-12-16</t>
        </is>
      </c>
      <c r="C1816" s="45" t="n">
        <v>42.46</v>
      </c>
      <c r="D1816" t="inlineStr">
        <is>
          <t>€/MWh</t>
        </is>
      </c>
      <c r="E1816" s="54" t="n">
        <v>0.04246</v>
      </c>
      <c r="F1816" s="54" t="n"/>
      <c r="G1816" t="inlineStr">
        <is>
          <t>no aplica (precio mayorista)</t>
        </is>
      </c>
      <c r="J1816" t="inlineStr">
        <is>
          <t>2024-12-16</t>
        </is>
      </c>
      <c r="K1816" t="inlineStr">
        <is>
          <t>MIBGAS_Data_2024.xlsx</t>
        </is>
      </c>
    </row>
    <row r="1817">
      <c r="A1817" s="53" t="n">
        <v>45643</v>
      </c>
      <c r="B1817" t="inlineStr">
        <is>
          <t>2024-12-17</t>
        </is>
      </c>
      <c r="C1817" s="45" t="n">
        <v>41.27</v>
      </c>
      <c r="D1817" t="inlineStr">
        <is>
          <t>€/MWh</t>
        </is>
      </c>
      <c r="E1817" s="54" t="n">
        <v>0.04127</v>
      </c>
      <c r="F1817" s="54" t="n"/>
      <c r="G1817" t="inlineStr">
        <is>
          <t>no aplica (precio mayorista)</t>
        </is>
      </c>
      <c r="J1817" t="inlineStr">
        <is>
          <t>2024-12-17</t>
        </is>
      </c>
      <c r="K1817" t="inlineStr">
        <is>
          <t>MIBGAS_Data_2024.xlsx</t>
        </is>
      </c>
    </row>
    <row r="1818">
      <c r="A1818" s="53" t="n">
        <v>45644</v>
      </c>
      <c r="B1818" t="inlineStr">
        <is>
          <t>2024-12-18</t>
        </is>
      </c>
      <c r="C1818" s="45" t="n">
        <v>42.43</v>
      </c>
      <c r="D1818" t="inlineStr">
        <is>
          <t>€/MWh</t>
        </is>
      </c>
      <c r="E1818" s="54" t="n">
        <v>0.04243</v>
      </c>
      <c r="F1818" s="54" t="n"/>
      <c r="G1818" t="inlineStr">
        <is>
          <t>no aplica (precio mayorista)</t>
        </is>
      </c>
      <c r="J1818" t="inlineStr">
        <is>
          <t>2024-12-18</t>
        </is>
      </c>
      <c r="K1818" t="inlineStr">
        <is>
          <t>MIBGAS_Data_2024.xlsx</t>
        </is>
      </c>
    </row>
    <row r="1819">
      <c r="A1819" s="53" t="n">
        <v>45645</v>
      </c>
      <c r="B1819" t="inlineStr">
        <is>
          <t>2024-12-19</t>
        </is>
      </c>
      <c r="C1819" s="45" t="n">
        <v>41.89</v>
      </c>
      <c r="D1819" t="inlineStr">
        <is>
          <t>€/MWh</t>
        </is>
      </c>
      <c r="E1819" s="54" t="n">
        <v>0.04189</v>
      </c>
      <c r="F1819" s="54" t="n"/>
      <c r="G1819" t="inlineStr">
        <is>
          <t>no aplica (precio mayorista)</t>
        </is>
      </c>
      <c r="J1819" t="inlineStr">
        <is>
          <t>2024-12-19</t>
        </is>
      </c>
      <c r="K1819" t="inlineStr">
        <is>
          <t>MIBGAS_Data_2024.xlsx</t>
        </is>
      </c>
    </row>
    <row r="1820">
      <c r="A1820" s="53" t="n">
        <v>45646</v>
      </c>
      <c r="B1820" t="inlineStr">
        <is>
          <t>2024-12-20</t>
        </is>
      </c>
      <c r="C1820" s="45" t="n">
        <v>44.18</v>
      </c>
      <c r="D1820" t="inlineStr">
        <is>
          <t>€/MWh</t>
        </is>
      </c>
      <c r="E1820" s="54" t="n">
        <v>0.04418</v>
      </c>
      <c r="F1820" s="54" t="n"/>
      <c r="G1820" t="inlineStr">
        <is>
          <t>no aplica (precio mayorista)</t>
        </is>
      </c>
      <c r="J1820" t="inlineStr">
        <is>
          <t>2024-12-20</t>
        </is>
      </c>
      <c r="K1820" t="inlineStr">
        <is>
          <t>MIBGAS_Data_2024.xlsx</t>
        </is>
      </c>
    </row>
    <row r="1821">
      <c r="A1821" s="53" t="n">
        <v>45647</v>
      </c>
      <c r="B1821" t="inlineStr">
        <is>
          <t>2024-12-21</t>
        </is>
      </c>
      <c r="C1821" s="45" t="n">
        <v>45.29</v>
      </c>
      <c r="D1821" t="inlineStr">
        <is>
          <t>€/MWh</t>
        </is>
      </c>
      <c r="E1821" s="54" t="n">
        <v>0.04529</v>
      </c>
      <c r="F1821" s="54" t="n"/>
      <c r="G1821" t="inlineStr">
        <is>
          <t>no aplica (precio mayorista)</t>
        </is>
      </c>
      <c r="J1821" t="inlineStr">
        <is>
          <t>2024-12-21</t>
        </is>
      </c>
      <c r="K1821" t="inlineStr">
        <is>
          <t>MIBGAS_Data_2024.xlsx</t>
        </is>
      </c>
    </row>
    <row r="1822">
      <c r="A1822" s="53" t="n">
        <v>45648</v>
      </c>
      <c r="B1822" t="inlineStr">
        <is>
          <t>2024-12-22</t>
        </is>
      </c>
      <c r="C1822" s="45" t="n">
        <v>44.99</v>
      </c>
      <c r="D1822" t="inlineStr">
        <is>
          <t>€/MWh</t>
        </is>
      </c>
      <c r="E1822" s="54" t="n">
        <v>0.04499</v>
      </c>
      <c r="F1822" s="54" t="n"/>
      <c r="G1822" t="inlineStr">
        <is>
          <t>no aplica (precio mayorista)</t>
        </is>
      </c>
      <c r="J1822" t="inlineStr">
        <is>
          <t>2024-12-22</t>
        </is>
      </c>
      <c r="K1822" t="inlineStr">
        <is>
          <t>MIBGAS_Data_2024.xlsx</t>
        </is>
      </c>
    </row>
    <row r="1823">
      <c r="A1823" s="53" t="n">
        <v>45649</v>
      </c>
      <c r="B1823" t="inlineStr">
        <is>
          <t>2024-12-23</t>
        </is>
      </c>
      <c r="C1823" s="45" t="n">
        <v>45.05</v>
      </c>
      <c r="D1823" t="inlineStr">
        <is>
          <t>€/MWh</t>
        </is>
      </c>
      <c r="E1823" s="54" t="n">
        <v>0.04505</v>
      </c>
      <c r="F1823" s="54" t="n"/>
      <c r="G1823" t="inlineStr">
        <is>
          <t>no aplica (precio mayorista)</t>
        </is>
      </c>
      <c r="J1823" t="inlineStr">
        <is>
          <t>2024-12-23</t>
        </is>
      </c>
      <c r="K1823" t="inlineStr">
        <is>
          <t>MIBGAS_Data_2024.xlsx</t>
        </is>
      </c>
    </row>
    <row r="1824">
      <c r="A1824" s="53" t="n">
        <v>45650</v>
      </c>
      <c r="B1824" t="inlineStr">
        <is>
          <t>2024-12-24</t>
        </is>
      </c>
      <c r="C1824" s="45" t="n">
        <v>45.9</v>
      </c>
      <c r="D1824" t="inlineStr">
        <is>
          <t>€/MWh</t>
        </is>
      </c>
      <c r="E1824" s="54" t="n">
        <v>0.0459</v>
      </c>
      <c r="F1824" s="54" t="n"/>
      <c r="G1824" t="inlineStr">
        <is>
          <t>no aplica (precio mayorista)</t>
        </is>
      </c>
      <c r="J1824" t="inlineStr">
        <is>
          <t>2024-12-24</t>
        </is>
      </c>
      <c r="K1824" t="inlineStr">
        <is>
          <t>MIBGAS_Data_2024.xlsx</t>
        </is>
      </c>
    </row>
    <row r="1825">
      <c r="A1825" s="53" t="n">
        <v>45651</v>
      </c>
      <c r="B1825" t="inlineStr">
        <is>
          <t>2024-12-25</t>
        </is>
      </c>
      <c r="C1825" s="45" t="n">
        <v>46.57</v>
      </c>
      <c r="D1825" t="inlineStr">
        <is>
          <t>€/MWh</t>
        </is>
      </c>
      <c r="E1825" s="54" t="n">
        <v>0.04657</v>
      </c>
      <c r="F1825" s="54" t="n"/>
      <c r="G1825" t="inlineStr">
        <is>
          <t>no aplica (precio mayorista)</t>
        </is>
      </c>
      <c r="J1825" t="inlineStr">
        <is>
          <t>2024-12-25</t>
        </is>
      </c>
      <c r="K1825" t="inlineStr">
        <is>
          <t>MIBGAS_Data_2024.xlsx</t>
        </is>
      </c>
    </row>
    <row r="1826">
      <c r="A1826" s="53" t="n">
        <v>45652</v>
      </c>
      <c r="B1826" t="inlineStr">
        <is>
          <t>2024-12-26</t>
        </is>
      </c>
      <c r="C1826" s="45" t="n">
        <v>48.39</v>
      </c>
      <c r="D1826" t="inlineStr">
        <is>
          <t>€/MWh</t>
        </is>
      </c>
      <c r="E1826" s="54" t="n">
        <v>0.04839</v>
      </c>
      <c r="F1826" s="54" t="n"/>
      <c r="G1826" t="inlineStr">
        <is>
          <t>no aplica (precio mayorista)</t>
        </is>
      </c>
      <c r="J1826" t="inlineStr">
        <is>
          <t>2024-12-26</t>
        </is>
      </c>
      <c r="K1826" t="inlineStr">
        <is>
          <t>MIBGAS_Data_2024.xlsx</t>
        </is>
      </c>
    </row>
    <row r="1827">
      <c r="A1827" s="53" t="n">
        <v>45653</v>
      </c>
      <c r="B1827" t="inlineStr">
        <is>
          <t>2024-12-27</t>
        </is>
      </c>
      <c r="C1827" s="45" t="n">
        <v>48.58</v>
      </c>
      <c r="D1827" t="inlineStr">
        <is>
          <t>€/MWh</t>
        </is>
      </c>
      <c r="E1827" s="54" t="n">
        <v>0.04858</v>
      </c>
      <c r="F1827" s="54" t="n"/>
      <c r="G1827" t="inlineStr">
        <is>
          <t>no aplica (precio mayorista)</t>
        </is>
      </c>
      <c r="J1827" t="inlineStr">
        <is>
          <t>2024-12-27</t>
        </is>
      </c>
      <c r="K1827" t="inlineStr">
        <is>
          <t>MIBGAS_Data_2024.xlsx</t>
        </is>
      </c>
    </row>
    <row r="1828">
      <c r="A1828" s="53" t="n">
        <v>45654</v>
      </c>
      <c r="B1828" t="inlineStr">
        <is>
          <t>2024-12-28</t>
        </is>
      </c>
      <c r="C1828" s="45" t="n">
        <v>48.79</v>
      </c>
      <c r="D1828" t="inlineStr">
        <is>
          <t>€/MWh</t>
        </is>
      </c>
      <c r="E1828" s="54" t="n">
        <v>0.04879</v>
      </c>
      <c r="F1828" s="54" t="n"/>
      <c r="G1828" t="inlineStr">
        <is>
          <t>no aplica (precio mayorista)</t>
        </is>
      </c>
      <c r="J1828" t="inlineStr">
        <is>
          <t>2024-12-28</t>
        </is>
      </c>
      <c r="K1828" t="inlineStr">
        <is>
          <t>MIBGAS_Data_2024.xlsx</t>
        </is>
      </c>
    </row>
    <row r="1829">
      <c r="A1829" s="53" t="n">
        <v>45655</v>
      </c>
      <c r="B1829" t="inlineStr">
        <is>
          <t>2024-12-29</t>
        </is>
      </c>
      <c r="C1829" s="45" t="n">
        <v>49.82</v>
      </c>
      <c r="D1829" t="inlineStr">
        <is>
          <t>€/MWh</t>
        </is>
      </c>
      <c r="E1829" s="54" t="n">
        <v>0.04982</v>
      </c>
      <c r="F1829" s="54" t="n"/>
      <c r="G1829" t="inlineStr">
        <is>
          <t>no aplica (precio mayorista)</t>
        </is>
      </c>
      <c r="J1829" t="inlineStr">
        <is>
          <t>2024-12-29</t>
        </is>
      </c>
      <c r="K1829" t="inlineStr">
        <is>
          <t>MIBGAS_Data_2024.xlsx</t>
        </is>
      </c>
    </row>
    <row r="1830">
      <c r="A1830" s="53" t="n">
        <v>45656</v>
      </c>
      <c r="B1830" t="inlineStr">
        <is>
          <t>2024-12-30</t>
        </is>
      </c>
      <c r="C1830" s="45" t="n">
        <v>50.66</v>
      </c>
      <c r="D1830" t="inlineStr">
        <is>
          <t>€/MWh</t>
        </is>
      </c>
      <c r="E1830" s="54" t="n">
        <v>0.05066</v>
      </c>
      <c r="F1830" s="54" t="n"/>
      <c r="G1830" t="inlineStr">
        <is>
          <t>no aplica (precio mayorista)</t>
        </is>
      </c>
      <c r="J1830" t="inlineStr">
        <is>
          <t>2024-12-30</t>
        </is>
      </c>
      <c r="K1830" t="inlineStr">
        <is>
          <t>MIBGAS_Data_2024.xlsx</t>
        </is>
      </c>
    </row>
    <row r="1831">
      <c r="A1831" s="53" t="n">
        <v>45657</v>
      </c>
      <c r="B1831" t="inlineStr">
        <is>
          <t>2024-12-31</t>
        </is>
      </c>
      <c r="C1831" s="45" t="n">
        <v>48.75</v>
      </c>
      <c r="D1831" t="inlineStr">
        <is>
          <t>€/MWh</t>
        </is>
      </c>
      <c r="E1831" s="54" t="n">
        <v>0.04875</v>
      </c>
      <c r="F1831" s="54" t="n"/>
      <c r="G1831" t="inlineStr">
        <is>
          <t>no aplica (precio mayorista)</t>
        </is>
      </c>
      <c r="J1831" t="inlineStr">
        <is>
          <t>2024-12-31</t>
        </is>
      </c>
      <c r="K1831" t="inlineStr">
        <is>
          <t>MIBGAS_Data_2024.xlsx</t>
        </is>
      </c>
    </row>
    <row r="1832">
      <c r="A1832" s="53" t="n">
        <v>45658</v>
      </c>
      <c r="B1832" t="inlineStr">
        <is>
          <t>2025-01-01</t>
        </is>
      </c>
      <c r="C1832" s="45" t="n">
        <v>50.2</v>
      </c>
      <c r="D1832" t="inlineStr">
        <is>
          <t>€/MWh</t>
        </is>
      </c>
      <c r="E1832" s="54" t="n">
        <v>0.0502</v>
      </c>
      <c r="F1832" s="54" t="n"/>
      <c r="G1832" t="inlineStr">
        <is>
          <t>no aplica (precio mayorista)</t>
        </is>
      </c>
      <c r="J1832" t="inlineStr">
        <is>
          <t>2025-01-01</t>
        </is>
      </c>
      <c r="K1832" t="inlineStr">
        <is>
          <t>MIBGAS_Data_2025.xlsx</t>
        </is>
      </c>
    </row>
    <row r="1833">
      <c r="A1833" s="53" t="n">
        <v>45659</v>
      </c>
      <c r="B1833" t="inlineStr">
        <is>
          <t>2025-01-02</t>
        </is>
      </c>
      <c r="C1833" s="45" t="n">
        <v>51.63</v>
      </c>
      <c r="D1833" t="inlineStr">
        <is>
          <t>€/MWh</t>
        </is>
      </c>
      <c r="E1833" s="54" t="n">
        <v>0.05163</v>
      </c>
      <c r="F1833" s="54" t="n"/>
      <c r="G1833" t="inlineStr">
        <is>
          <t>no aplica (precio mayorista)</t>
        </is>
      </c>
      <c r="J1833" t="inlineStr">
        <is>
          <t>2025-01-02</t>
        </is>
      </c>
      <c r="K1833" t="inlineStr">
        <is>
          <t>MIBGAS_Data_2025.xlsx</t>
        </is>
      </c>
    </row>
    <row r="1834">
      <c r="A1834" s="53" t="n">
        <v>45660</v>
      </c>
      <c r="B1834" t="inlineStr">
        <is>
          <t>2025-01-03</t>
        </is>
      </c>
      <c r="C1834" s="45" t="n">
        <v>50.34</v>
      </c>
      <c r="D1834" t="inlineStr">
        <is>
          <t>€/MWh</t>
        </is>
      </c>
      <c r="E1834" s="54" t="n">
        <v>0.05034</v>
      </c>
      <c r="F1834" s="54" t="n"/>
      <c r="G1834" t="inlineStr">
        <is>
          <t>no aplica (precio mayorista)</t>
        </is>
      </c>
      <c r="J1834" t="inlineStr">
        <is>
          <t>2025-01-03</t>
        </is>
      </c>
      <c r="K1834" t="inlineStr">
        <is>
          <t>MIBGAS_Data_2025.xlsx</t>
        </is>
      </c>
    </row>
    <row r="1835">
      <c r="A1835" s="53" t="n">
        <v>45661</v>
      </c>
      <c r="B1835" t="inlineStr">
        <is>
          <t>2025-01-04</t>
        </is>
      </c>
      <c r="C1835" s="45" t="n">
        <v>50.61</v>
      </c>
      <c r="D1835" t="inlineStr">
        <is>
          <t>€/MWh</t>
        </is>
      </c>
      <c r="E1835" s="54" t="n">
        <v>0.05061</v>
      </c>
      <c r="F1835" s="54" t="n"/>
      <c r="G1835" t="inlineStr">
        <is>
          <t>no aplica (precio mayorista)</t>
        </is>
      </c>
      <c r="J1835" t="inlineStr">
        <is>
          <t>2025-01-04</t>
        </is>
      </c>
      <c r="K1835" t="inlineStr">
        <is>
          <t>MIBGAS_Data_2025.xlsx</t>
        </is>
      </c>
    </row>
    <row r="1836">
      <c r="A1836" s="53" t="n">
        <v>45662</v>
      </c>
      <c r="B1836" t="inlineStr">
        <is>
          <t>2025-01-05</t>
        </is>
      </c>
      <c r="C1836" s="45" t="n">
        <v>50.52</v>
      </c>
      <c r="D1836" t="inlineStr">
        <is>
          <t>€/MWh</t>
        </is>
      </c>
      <c r="E1836" s="54" t="n">
        <v>0.05052</v>
      </c>
      <c r="F1836" s="54" t="n"/>
      <c r="G1836" t="inlineStr">
        <is>
          <t>no aplica (precio mayorista)</t>
        </is>
      </c>
      <c r="J1836" t="inlineStr">
        <is>
          <t>2025-01-05</t>
        </is>
      </c>
      <c r="K1836" t="inlineStr">
        <is>
          <t>MIBGAS_Data_2025.xlsx</t>
        </is>
      </c>
    </row>
    <row r="1837">
      <c r="A1837" s="53" t="n">
        <v>45663</v>
      </c>
      <c r="B1837" t="inlineStr">
        <is>
          <t>2025-01-06</t>
        </is>
      </c>
      <c r="C1837" s="45" t="n">
        <v>49.82</v>
      </c>
      <c r="D1837" t="inlineStr">
        <is>
          <t>€/MWh</t>
        </is>
      </c>
      <c r="E1837" s="54" t="n">
        <v>0.04982</v>
      </c>
      <c r="F1837" s="54" t="n"/>
      <c r="G1837" t="inlineStr">
        <is>
          <t>no aplica (precio mayorista)</t>
        </is>
      </c>
      <c r="J1837" t="inlineStr">
        <is>
          <t>2025-01-06</t>
        </is>
      </c>
      <c r="K1837" t="inlineStr">
        <is>
          <t>MIBGAS_Data_2025.xlsx</t>
        </is>
      </c>
    </row>
    <row r="1838">
      <c r="A1838" s="53" t="n">
        <v>45664</v>
      </c>
      <c r="B1838" t="inlineStr">
        <is>
          <t>2025-01-07</t>
        </is>
      </c>
      <c r="C1838" s="45" t="n">
        <v>48.04</v>
      </c>
      <c r="D1838" t="inlineStr">
        <is>
          <t>€/MWh</t>
        </is>
      </c>
      <c r="E1838" s="54" t="n">
        <v>0.04804</v>
      </c>
      <c r="F1838" s="54" t="n"/>
      <c r="G1838" t="inlineStr">
        <is>
          <t>no aplica (precio mayorista)</t>
        </is>
      </c>
      <c r="J1838" t="inlineStr">
        <is>
          <t>2025-01-07</t>
        </is>
      </c>
      <c r="K1838" t="inlineStr">
        <is>
          <t>MIBGAS_Data_2025.xlsx</t>
        </is>
      </c>
    </row>
    <row r="1839">
      <c r="A1839" s="53" t="n">
        <v>45665</v>
      </c>
      <c r="B1839" t="inlineStr">
        <is>
          <t>2025-01-08</t>
        </is>
      </c>
      <c r="C1839" s="45" t="n">
        <v>47.52</v>
      </c>
      <c r="D1839" t="inlineStr">
        <is>
          <t>€/MWh</t>
        </is>
      </c>
      <c r="E1839" s="54" t="n">
        <v>0.04752</v>
      </c>
      <c r="F1839" s="54" t="n"/>
      <c r="G1839" t="inlineStr">
        <is>
          <t>no aplica (precio mayorista)</t>
        </is>
      </c>
      <c r="J1839" t="inlineStr">
        <is>
          <t>2025-01-08</t>
        </is>
      </c>
      <c r="K1839" t="inlineStr">
        <is>
          <t>MIBGAS_Data_2025.xlsx</t>
        </is>
      </c>
    </row>
    <row r="1840">
      <c r="A1840" s="53" t="n">
        <v>45666</v>
      </c>
      <c r="B1840" t="inlineStr">
        <is>
          <t>2025-01-09</t>
        </is>
      </c>
      <c r="C1840" s="45" t="n">
        <v>46.06</v>
      </c>
      <c r="D1840" t="inlineStr">
        <is>
          <t>€/MWh</t>
        </is>
      </c>
      <c r="E1840" s="54" t="n">
        <v>0.04606</v>
      </c>
      <c r="F1840" s="54" t="n"/>
      <c r="G1840" t="inlineStr">
        <is>
          <t>no aplica (precio mayorista)</t>
        </is>
      </c>
      <c r="J1840" t="inlineStr">
        <is>
          <t>2025-01-09</t>
        </is>
      </c>
      <c r="K1840" t="inlineStr">
        <is>
          <t>MIBGAS_Data_2025.xlsx</t>
        </is>
      </c>
    </row>
    <row r="1841">
      <c r="A1841" s="53" t="n">
        <v>45667</v>
      </c>
      <c r="B1841" t="inlineStr">
        <is>
          <t>2025-01-10</t>
        </is>
      </c>
      <c r="C1841" s="45" t="n">
        <v>45.04</v>
      </c>
      <c r="D1841" t="inlineStr">
        <is>
          <t>€/MWh</t>
        </is>
      </c>
      <c r="E1841" s="54" t="n">
        <v>0.04504</v>
      </c>
      <c r="F1841" s="54" t="n"/>
      <c r="G1841" t="inlineStr">
        <is>
          <t>no aplica (precio mayorista)</t>
        </is>
      </c>
      <c r="J1841" t="inlineStr">
        <is>
          <t>2025-01-10</t>
        </is>
      </c>
      <c r="K1841" t="inlineStr">
        <is>
          <t>MIBGAS_Data_2025.xlsx</t>
        </is>
      </c>
    </row>
    <row r="1842">
      <c r="A1842" s="53" t="n">
        <v>45668</v>
      </c>
      <c r="B1842" t="inlineStr">
        <is>
          <t>2025-01-11</t>
        </is>
      </c>
      <c r="C1842" s="45" t="n">
        <v>45.02</v>
      </c>
      <c r="D1842" t="inlineStr">
        <is>
          <t>€/MWh</t>
        </is>
      </c>
      <c r="E1842" s="54" t="n">
        <v>0.04502</v>
      </c>
      <c r="F1842" s="54" t="n"/>
      <c r="G1842" t="inlineStr">
        <is>
          <t>no aplica (precio mayorista)</t>
        </is>
      </c>
      <c r="J1842" t="inlineStr">
        <is>
          <t>2025-01-11</t>
        </is>
      </c>
      <c r="K1842" t="inlineStr">
        <is>
          <t>MIBGAS_Data_2025.xlsx</t>
        </is>
      </c>
    </row>
    <row r="1843">
      <c r="A1843" s="53" t="n">
        <v>45669</v>
      </c>
      <c r="B1843" t="inlineStr">
        <is>
          <t>2025-01-12</t>
        </is>
      </c>
      <c r="C1843" s="45" t="n">
        <v>45.37</v>
      </c>
      <c r="D1843" t="inlineStr">
        <is>
          <t>€/MWh</t>
        </is>
      </c>
      <c r="E1843" s="54" t="n">
        <v>0.04537</v>
      </c>
      <c r="F1843" s="54" t="n"/>
      <c r="G1843" t="inlineStr">
        <is>
          <t>no aplica (precio mayorista)</t>
        </is>
      </c>
      <c r="J1843" t="inlineStr">
        <is>
          <t>2025-01-12</t>
        </is>
      </c>
      <c r="K1843" t="inlineStr">
        <is>
          <t>MIBGAS_Data_2025.xlsx</t>
        </is>
      </c>
    </row>
    <row r="1844">
      <c r="A1844" s="53" t="n">
        <v>45670</v>
      </c>
      <c r="B1844" t="inlineStr">
        <is>
          <t>2025-01-13</t>
        </is>
      </c>
      <c r="C1844" s="45" t="n">
        <v>46.8</v>
      </c>
      <c r="D1844" t="inlineStr">
        <is>
          <t>€/MWh</t>
        </is>
      </c>
      <c r="E1844" s="54" t="n">
        <v>0.0468</v>
      </c>
      <c r="F1844" s="54" t="n"/>
      <c r="G1844" t="inlineStr">
        <is>
          <t>no aplica (precio mayorista)</t>
        </is>
      </c>
      <c r="J1844" t="inlineStr">
        <is>
          <t>2025-01-13</t>
        </is>
      </c>
      <c r="K1844" t="inlineStr">
        <is>
          <t>MIBGAS_Data_2025.xlsx</t>
        </is>
      </c>
    </row>
    <row r="1845">
      <c r="A1845" s="53" t="n">
        <v>45671</v>
      </c>
      <c r="B1845" t="inlineStr">
        <is>
          <t>2025-01-14</t>
        </is>
      </c>
      <c r="C1845" s="45" t="n">
        <v>48.02</v>
      </c>
      <c r="D1845" t="inlineStr">
        <is>
          <t>€/MWh</t>
        </is>
      </c>
      <c r="E1845" s="54" t="n">
        <v>0.04802</v>
      </c>
      <c r="F1845" s="54" t="n"/>
      <c r="G1845" t="inlineStr">
        <is>
          <t>no aplica (precio mayorista)</t>
        </is>
      </c>
      <c r="J1845" t="inlineStr">
        <is>
          <t>2025-01-14</t>
        </is>
      </c>
      <c r="K1845" t="inlineStr">
        <is>
          <t>MIBGAS_Data_2025.xlsx</t>
        </is>
      </c>
    </row>
    <row r="1846">
      <c r="A1846" s="53" t="n">
        <v>45672</v>
      </c>
      <c r="B1846" t="inlineStr">
        <is>
          <t>2025-01-15</t>
        </is>
      </c>
      <c r="C1846" s="45" t="n">
        <v>47.82</v>
      </c>
      <c r="D1846" t="inlineStr">
        <is>
          <t>€/MWh</t>
        </is>
      </c>
      <c r="E1846" s="54" t="n">
        <v>0.04782</v>
      </c>
      <c r="F1846" s="54" t="n"/>
      <c r="G1846" t="inlineStr">
        <is>
          <t>no aplica (precio mayorista)</t>
        </is>
      </c>
      <c r="J1846" t="inlineStr">
        <is>
          <t>2025-01-15</t>
        </is>
      </c>
      <c r="K1846" t="inlineStr">
        <is>
          <t>MIBGAS_Data_2025.xlsx</t>
        </is>
      </c>
    </row>
    <row r="1847">
      <c r="A1847" s="53" t="n">
        <v>45673</v>
      </c>
      <c r="B1847" t="inlineStr">
        <is>
          <t>2025-01-16</t>
        </is>
      </c>
      <c r="C1847" s="45" t="n">
        <v>46.95</v>
      </c>
      <c r="D1847" t="inlineStr">
        <is>
          <t>€/MWh</t>
        </is>
      </c>
      <c r="E1847" s="54" t="n">
        <v>0.04695</v>
      </c>
      <c r="F1847" s="54" t="n"/>
      <c r="G1847" t="inlineStr">
        <is>
          <t>no aplica (precio mayorista)</t>
        </is>
      </c>
      <c r="J1847" t="inlineStr">
        <is>
          <t>2025-01-16</t>
        </is>
      </c>
      <c r="K1847" t="inlineStr">
        <is>
          <t>MIBGAS_Data_2025.xlsx</t>
        </is>
      </c>
    </row>
    <row r="1848">
      <c r="A1848" s="53" t="n">
        <v>45674</v>
      </c>
      <c r="B1848" t="inlineStr">
        <is>
          <t>2025-01-17</t>
        </is>
      </c>
      <c r="C1848" s="45" t="n">
        <v>46.54</v>
      </c>
      <c r="D1848" t="inlineStr">
        <is>
          <t>€/MWh</t>
        </is>
      </c>
      <c r="E1848" s="54" t="n">
        <v>0.04654</v>
      </c>
      <c r="F1848" s="54" t="n"/>
      <c r="G1848" t="inlineStr">
        <is>
          <t>no aplica (precio mayorista)</t>
        </is>
      </c>
      <c r="J1848" t="inlineStr">
        <is>
          <t>2025-01-17</t>
        </is>
      </c>
      <c r="K1848" t="inlineStr">
        <is>
          <t>MIBGAS_Data_2025.xlsx</t>
        </is>
      </c>
    </row>
    <row r="1849">
      <c r="A1849" s="53" t="n">
        <v>45675</v>
      </c>
      <c r="B1849" t="inlineStr">
        <is>
          <t>2025-01-18</t>
        </is>
      </c>
      <c r="C1849" s="45" t="n">
        <v>47.24</v>
      </c>
      <c r="D1849" t="inlineStr">
        <is>
          <t>€/MWh</t>
        </is>
      </c>
      <c r="E1849" s="54" t="n">
        <v>0.04724</v>
      </c>
      <c r="F1849" s="54" t="n"/>
      <c r="G1849" t="inlineStr">
        <is>
          <t>no aplica (precio mayorista)</t>
        </is>
      </c>
      <c r="J1849" t="inlineStr">
        <is>
          <t>2025-01-18</t>
        </is>
      </c>
      <c r="K1849" t="inlineStr">
        <is>
          <t>MIBGAS_Data_2025.xlsx</t>
        </is>
      </c>
    </row>
    <row r="1850">
      <c r="A1850" s="53" t="n">
        <v>45676</v>
      </c>
      <c r="B1850" t="inlineStr">
        <is>
          <t>2025-01-19</t>
        </is>
      </c>
      <c r="C1850" s="45" t="n">
        <v>47.6</v>
      </c>
      <c r="D1850" t="inlineStr">
        <is>
          <t>€/MWh</t>
        </is>
      </c>
      <c r="E1850" s="54" t="n">
        <v>0.0476</v>
      </c>
      <c r="F1850" s="54" t="n"/>
      <c r="G1850" t="inlineStr">
        <is>
          <t>no aplica (precio mayorista)</t>
        </is>
      </c>
      <c r="J1850" t="inlineStr">
        <is>
          <t>2025-01-19</t>
        </is>
      </c>
      <c r="K1850" t="inlineStr">
        <is>
          <t>MIBGAS_Data_2025.xlsx</t>
        </is>
      </c>
    </row>
    <row r="1851">
      <c r="A1851" s="53" t="n">
        <v>45677</v>
      </c>
      <c r="B1851" t="inlineStr">
        <is>
          <t>2025-01-20</t>
        </is>
      </c>
      <c r="C1851" s="45" t="n">
        <v>48.09</v>
      </c>
      <c r="D1851" t="inlineStr">
        <is>
          <t>€/MWh</t>
        </is>
      </c>
      <c r="E1851" s="54" t="n">
        <v>0.04809</v>
      </c>
      <c r="F1851" s="54" t="n"/>
      <c r="G1851" t="inlineStr">
        <is>
          <t>no aplica (precio mayorista)</t>
        </is>
      </c>
      <c r="J1851" t="inlineStr">
        <is>
          <t>2025-01-20</t>
        </is>
      </c>
      <c r="K1851" t="inlineStr">
        <is>
          <t>MIBGAS_Data_2025.xlsx</t>
        </is>
      </c>
    </row>
    <row r="1852">
      <c r="A1852" s="53" t="n">
        <v>45678</v>
      </c>
      <c r="B1852" t="inlineStr">
        <is>
          <t>2025-01-21</t>
        </is>
      </c>
      <c r="C1852" s="45" t="n">
        <v>48.22</v>
      </c>
      <c r="D1852" t="inlineStr">
        <is>
          <t>€/MWh</t>
        </is>
      </c>
      <c r="E1852" s="54" t="n">
        <v>0.04822</v>
      </c>
      <c r="F1852" s="54" t="n"/>
      <c r="G1852" t="inlineStr">
        <is>
          <t>no aplica (precio mayorista)</t>
        </is>
      </c>
      <c r="J1852" t="inlineStr">
        <is>
          <t>2025-01-21</t>
        </is>
      </c>
      <c r="K1852" t="inlineStr">
        <is>
          <t>MIBGAS_Data_2025.xlsx</t>
        </is>
      </c>
    </row>
    <row r="1853">
      <c r="A1853" s="53" t="n">
        <v>45679</v>
      </c>
      <c r="B1853" t="inlineStr">
        <is>
          <t>2025-01-22</t>
        </is>
      </c>
      <c r="C1853" s="45" t="n">
        <v>48.93</v>
      </c>
      <c r="D1853" t="inlineStr">
        <is>
          <t>€/MWh</t>
        </is>
      </c>
      <c r="E1853" s="54" t="n">
        <v>0.04893</v>
      </c>
      <c r="F1853" s="54" t="n"/>
      <c r="G1853" t="inlineStr">
        <is>
          <t>no aplica (precio mayorista)</t>
        </is>
      </c>
      <c r="J1853" t="inlineStr">
        <is>
          <t>2025-01-22</t>
        </is>
      </c>
      <c r="K1853" t="inlineStr">
        <is>
          <t>MIBGAS_Data_2025.xlsx</t>
        </is>
      </c>
    </row>
    <row r="1854">
      <c r="A1854" s="53" t="n">
        <v>45680</v>
      </c>
      <c r="B1854" t="inlineStr">
        <is>
          <t>2025-01-23</t>
        </is>
      </c>
      <c r="C1854" s="45" t="n">
        <v>48.75</v>
      </c>
      <c r="D1854" t="inlineStr">
        <is>
          <t>€/MWh</t>
        </is>
      </c>
      <c r="E1854" s="54" t="n">
        <v>0.04875</v>
      </c>
      <c r="F1854" s="54" t="n"/>
      <c r="G1854" t="inlineStr">
        <is>
          <t>no aplica (precio mayorista)</t>
        </is>
      </c>
      <c r="J1854" t="inlineStr">
        <is>
          <t>2025-01-23</t>
        </is>
      </c>
      <c r="K1854" t="inlineStr">
        <is>
          <t>MIBGAS_Data_2025.xlsx</t>
        </is>
      </c>
    </row>
    <row r="1855">
      <c r="A1855" s="53" t="n">
        <v>45681</v>
      </c>
      <c r="B1855" t="inlineStr">
        <is>
          <t>2025-01-24</t>
        </is>
      </c>
      <c r="C1855" s="45" t="n">
        <v>48.24</v>
      </c>
      <c r="D1855" t="inlineStr">
        <is>
          <t>€/MWh</t>
        </is>
      </c>
      <c r="E1855" s="54" t="n">
        <v>0.04824</v>
      </c>
      <c r="F1855" s="54" t="n"/>
      <c r="G1855" t="inlineStr">
        <is>
          <t>no aplica (precio mayorista)</t>
        </is>
      </c>
      <c r="J1855" t="inlineStr">
        <is>
          <t>2025-01-24</t>
        </is>
      </c>
      <c r="K1855" t="inlineStr">
        <is>
          <t>MIBGAS_Data_2025.xlsx</t>
        </is>
      </c>
    </row>
    <row r="1856">
      <c r="A1856" s="53" t="n">
        <v>45682</v>
      </c>
      <c r="B1856" t="inlineStr">
        <is>
          <t>2025-01-25</t>
        </is>
      </c>
      <c r="C1856" s="45" t="n">
        <v>48.04</v>
      </c>
      <c r="D1856" t="inlineStr">
        <is>
          <t>€/MWh</t>
        </is>
      </c>
      <c r="E1856" s="54" t="n">
        <v>0.04804</v>
      </c>
      <c r="F1856" s="54" t="n"/>
      <c r="G1856" t="inlineStr">
        <is>
          <t>no aplica (precio mayorista)</t>
        </is>
      </c>
      <c r="J1856" t="inlineStr">
        <is>
          <t>2025-01-25</t>
        </is>
      </c>
      <c r="K1856" t="inlineStr">
        <is>
          <t>MIBGAS_Data_2025.xlsx</t>
        </is>
      </c>
    </row>
    <row r="1857">
      <c r="A1857" s="53" t="n">
        <v>45683</v>
      </c>
      <c r="B1857" t="inlineStr">
        <is>
          <t>2025-01-26</t>
        </is>
      </c>
      <c r="C1857" s="45" t="n">
        <v>48.19</v>
      </c>
      <c r="D1857" t="inlineStr">
        <is>
          <t>€/MWh</t>
        </is>
      </c>
      <c r="E1857" s="54" t="n">
        <v>0.04819</v>
      </c>
      <c r="F1857" s="54" t="n"/>
      <c r="G1857" t="inlineStr">
        <is>
          <t>no aplica (precio mayorista)</t>
        </is>
      </c>
      <c r="J1857" t="inlineStr">
        <is>
          <t>2025-01-26</t>
        </is>
      </c>
      <c r="K1857" t="inlineStr">
        <is>
          <t>MIBGAS_Data_2025.xlsx</t>
        </is>
      </c>
    </row>
    <row r="1858">
      <c r="A1858" s="53" t="n">
        <v>45684</v>
      </c>
      <c r="B1858" t="inlineStr">
        <is>
          <t>2025-01-27</t>
        </is>
      </c>
      <c r="C1858" s="45" t="n">
        <v>47.82</v>
      </c>
      <c r="D1858" t="inlineStr">
        <is>
          <t>€/MWh</t>
        </is>
      </c>
      <c r="E1858" s="54" t="n">
        <v>0.04782</v>
      </c>
      <c r="F1858" s="54" t="n"/>
      <c r="G1858" t="inlineStr">
        <is>
          <t>no aplica (precio mayorista)</t>
        </is>
      </c>
      <c r="J1858" t="inlineStr">
        <is>
          <t>2025-01-27</t>
        </is>
      </c>
      <c r="K1858" t="inlineStr">
        <is>
          <t>MIBGAS_Data_2025.xlsx</t>
        </is>
      </c>
    </row>
    <row r="1859">
      <c r="A1859" s="53" t="n">
        <v>45685</v>
      </c>
      <c r="B1859" t="inlineStr">
        <is>
          <t>2025-01-28</t>
        </is>
      </c>
      <c r="C1859" s="45" t="n">
        <v>47.23</v>
      </c>
      <c r="D1859" t="inlineStr">
        <is>
          <t>€/MWh</t>
        </is>
      </c>
      <c r="E1859" s="54" t="n">
        <v>0.04723</v>
      </c>
      <c r="F1859" s="54" t="n"/>
      <c r="G1859" t="inlineStr">
        <is>
          <t>no aplica (precio mayorista)</t>
        </is>
      </c>
      <c r="J1859" t="inlineStr">
        <is>
          <t>2025-01-28</t>
        </is>
      </c>
      <c r="K1859" t="inlineStr">
        <is>
          <t>MIBGAS_Data_2025.xlsx</t>
        </is>
      </c>
    </row>
    <row r="1860">
      <c r="A1860" s="53" t="n">
        <v>45686</v>
      </c>
      <c r="B1860" t="inlineStr">
        <is>
          <t>2025-01-29</t>
        </is>
      </c>
      <c r="C1860" s="45" t="n">
        <v>48.08</v>
      </c>
      <c r="D1860" t="inlineStr">
        <is>
          <t>€/MWh</t>
        </is>
      </c>
      <c r="E1860" s="54" t="n">
        <v>0.04808</v>
      </c>
      <c r="F1860" s="54" t="n"/>
      <c r="G1860" t="inlineStr">
        <is>
          <t>no aplica (precio mayorista)</t>
        </is>
      </c>
      <c r="J1860" t="inlineStr">
        <is>
          <t>2025-01-29</t>
        </is>
      </c>
      <c r="K1860" t="inlineStr">
        <is>
          <t>MIBGAS_Data_2025.xlsx</t>
        </is>
      </c>
    </row>
    <row r="1861">
      <c r="A1861" s="53" t="n">
        <v>45687</v>
      </c>
      <c r="B1861" t="inlineStr">
        <is>
          <t>2025-01-30</t>
        </is>
      </c>
      <c r="C1861" s="45" t="n">
        <v>50.36</v>
      </c>
      <c r="D1861" t="inlineStr">
        <is>
          <t>€/MWh</t>
        </is>
      </c>
      <c r="E1861" s="54" t="n">
        <v>0.05036</v>
      </c>
      <c r="F1861" s="54" t="n"/>
      <c r="G1861" t="inlineStr">
        <is>
          <t>no aplica (precio mayorista)</t>
        </is>
      </c>
      <c r="J1861" t="inlineStr">
        <is>
          <t>2025-01-30</t>
        </is>
      </c>
      <c r="K1861" t="inlineStr">
        <is>
          <t>MIBGAS_Data_2025.xlsx</t>
        </is>
      </c>
    </row>
    <row r="1862">
      <c r="A1862" s="53" t="n">
        <v>45688</v>
      </c>
      <c r="B1862" t="inlineStr">
        <is>
          <t>2025-01-31</t>
        </is>
      </c>
      <c r="C1862" s="45" t="n">
        <v>51.35</v>
      </c>
      <c r="D1862" t="inlineStr">
        <is>
          <t>€/MWh</t>
        </is>
      </c>
      <c r="E1862" s="54" t="n">
        <v>0.05135</v>
      </c>
      <c r="F1862" s="54" t="n"/>
      <c r="G1862" t="inlineStr">
        <is>
          <t>no aplica (precio mayorista)</t>
        </is>
      </c>
      <c r="J1862" t="inlineStr">
        <is>
          <t>2025-01-31</t>
        </is>
      </c>
      <c r="K1862" t="inlineStr">
        <is>
          <t>MIBGAS_Data_2025.xlsx</t>
        </is>
      </c>
    </row>
    <row r="1863">
      <c r="A1863" s="53" t="n">
        <v>45689</v>
      </c>
      <c r="B1863" t="inlineStr">
        <is>
          <t>2025-02-01</t>
        </is>
      </c>
      <c r="C1863" s="45" t="n">
        <v>52.65</v>
      </c>
      <c r="D1863" t="inlineStr">
        <is>
          <t>€/MWh</t>
        </is>
      </c>
      <c r="E1863" s="54" t="n">
        <v>0.05265</v>
      </c>
      <c r="F1863" s="54" t="n"/>
      <c r="G1863" t="inlineStr">
        <is>
          <t>no aplica (precio mayorista)</t>
        </is>
      </c>
      <c r="J1863" t="inlineStr">
        <is>
          <t>2025-02-01</t>
        </is>
      </c>
      <c r="K1863" t="inlineStr">
        <is>
          <t>MIBGAS_Data_2025.xlsx</t>
        </is>
      </c>
    </row>
    <row r="1864">
      <c r="A1864" s="53" t="n">
        <v>45690</v>
      </c>
      <c r="B1864" t="inlineStr">
        <is>
          <t>2025-02-02</t>
        </is>
      </c>
      <c r="C1864" s="45" t="n">
        <v>52.85</v>
      </c>
      <c r="D1864" t="inlineStr">
        <is>
          <t>€/MWh</t>
        </is>
      </c>
      <c r="E1864" s="54" t="n">
        <v>0.05285</v>
      </c>
      <c r="F1864" s="54" t="n"/>
      <c r="G1864" t="inlineStr">
        <is>
          <t>no aplica (precio mayorista)</t>
        </is>
      </c>
      <c r="J1864" t="inlineStr">
        <is>
          <t>2025-02-02</t>
        </is>
      </c>
      <c r="K1864" t="inlineStr">
        <is>
          <t>MIBGAS_Data_2025.xlsx</t>
        </is>
      </c>
    </row>
    <row r="1865">
      <c r="A1865" s="53" t="n">
        <v>45691</v>
      </c>
      <c r="B1865" t="inlineStr">
        <is>
          <t>2025-02-03</t>
        </is>
      </c>
      <c r="C1865" s="45" t="n">
        <v>53.09</v>
      </c>
      <c r="D1865" t="inlineStr">
        <is>
          <t>€/MWh</t>
        </is>
      </c>
      <c r="E1865" s="54" t="n">
        <v>0.05309</v>
      </c>
      <c r="F1865" s="54" t="n"/>
      <c r="G1865" t="inlineStr">
        <is>
          <t>no aplica (precio mayorista)</t>
        </is>
      </c>
      <c r="J1865" t="inlineStr">
        <is>
          <t>2025-02-03</t>
        </is>
      </c>
      <c r="K1865" t="inlineStr">
        <is>
          <t>MIBGAS_Data_2025.xlsx</t>
        </is>
      </c>
    </row>
    <row r="1866">
      <c r="A1866" s="53" t="n">
        <v>45692</v>
      </c>
      <c r="B1866" t="inlineStr">
        <is>
          <t>2025-02-04</t>
        </is>
      </c>
      <c r="C1866" s="45" t="n">
        <v>52.9</v>
      </c>
      <c r="D1866" t="inlineStr">
        <is>
          <t>€/MWh</t>
        </is>
      </c>
      <c r="E1866" s="54" t="n">
        <v>0.0529</v>
      </c>
      <c r="F1866" s="54" t="n"/>
      <c r="G1866" t="inlineStr">
        <is>
          <t>no aplica (precio mayorista)</t>
        </is>
      </c>
      <c r="J1866" t="inlineStr">
        <is>
          <t>2025-02-04</t>
        </is>
      </c>
      <c r="K1866" t="inlineStr">
        <is>
          <t>MIBGAS_Data_2025.xlsx</t>
        </is>
      </c>
    </row>
    <row r="1867">
      <c r="A1867" s="53" t="n">
        <v>45693</v>
      </c>
      <c r="B1867" t="inlineStr">
        <is>
          <t>2025-02-05</t>
        </is>
      </c>
      <c r="C1867" s="45" t="n">
        <v>52.12</v>
      </c>
      <c r="D1867" t="inlineStr">
        <is>
          <t>€/MWh</t>
        </is>
      </c>
      <c r="E1867" s="54" t="n">
        <v>0.05212</v>
      </c>
      <c r="F1867" s="54" t="n"/>
      <c r="G1867" t="inlineStr">
        <is>
          <t>no aplica (precio mayorista)</t>
        </is>
      </c>
      <c r="J1867" t="inlineStr">
        <is>
          <t>2025-02-05</t>
        </is>
      </c>
      <c r="K1867" t="inlineStr">
        <is>
          <t>MIBGAS_Data_2025.xlsx</t>
        </is>
      </c>
    </row>
    <row r="1868">
      <c r="A1868" s="53" t="n">
        <v>45694</v>
      </c>
      <c r="B1868" t="inlineStr">
        <is>
          <t>2025-02-06</t>
        </is>
      </c>
      <c r="C1868" s="45" t="n">
        <v>53.3</v>
      </c>
      <c r="D1868" t="inlineStr">
        <is>
          <t>€/MWh</t>
        </is>
      </c>
      <c r="E1868" s="54" t="n">
        <v>0.0533</v>
      </c>
      <c r="F1868" s="54" t="n"/>
      <c r="G1868" t="inlineStr">
        <is>
          <t>no aplica (precio mayorista)</t>
        </is>
      </c>
      <c r="J1868" t="inlineStr">
        <is>
          <t>2025-02-06</t>
        </is>
      </c>
      <c r="K1868" t="inlineStr">
        <is>
          <t>MIBGAS_Data_2025.xlsx</t>
        </is>
      </c>
    </row>
    <row r="1869">
      <c r="A1869" s="53" t="n">
        <v>45695</v>
      </c>
      <c r="B1869" t="inlineStr">
        <is>
          <t>2025-02-07</t>
        </is>
      </c>
      <c r="C1869" s="45" t="n">
        <v>53.88</v>
      </c>
      <c r="D1869" t="inlineStr">
        <is>
          <t>€/MWh</t>
        </is>
      </c>
      <c r="E1869" s="54" t="n">
        <v>0.05388</v>
      </c>
      <c r="F1869" s="54" t="n"/>
      <c r="G1869" t="inlineStr">
        <is>
          <t>no aplica (precio mayorista)</t>
        </is>
      </c>
      <c r="J1869" t="inlineStr">
        <is>
          <t>2025-02-07</t>
        </is>
      </c>
      <c r="K1869" t="inlineStr">
        <is>
          <t>MIBGAS_Data_2025.xlsx</t>
        </is>
      </c>
    </row>
    <row r="1870">
      <c r="A1870" s="53" t="n">
        <v>45696</v>
      </c>
      <c r="B1870" t="inlineStr">
        <is>
          <t>2025-02-08</t>
        </is>
      </c>
      <c r="C1870" s="45" t="n">
        <v>54.55</v>
      </c>
      <c r="D1870" t="inlineStr">
        <is>
          <t>€/MWh</t>
        </is>
      </c>
      <c r="E1870" s="54" t="n">
        <v>0.05455</v>
      </c>
      <c r="F1870" s="54" t="n"/>
      <c r="G1870" t="inlineStr">
        <is>
          <t>no aplica (precio mayorista)</t>
        </is>
      </c>
      <c r="J1870" t="inlineStr">
        <is>
          <t>2025-02-08</t>
        </is>
      </c>
      <c r="K1870" t="inlineStr">
        <is>
          <t>MIBGAS_Data_2025.xlsx</t>
        </is>
      </c>
    </row>
    <row r="1871">
      <c r="A1871" s="53" t="n">
        <v>45697</v>
      </c>
      <c r="B1871" t="inlineStr">
        <is>
          <t>2025-02-09</t>
        </is>
      </c>
      <c r="C1871" s="45" t="n">
        <v>54.83</v>
      </c>
      <c r="D1871" t="inlineStr">
        <is>
          <t>€/MWh</t>
        </is>
      </c>
      <c r="E1871" s="54" t="n">
        <v>0.05483</v>
      </c>
      <c r="F1871" s="54" t="n"/>
      <c r="G1871" t="inlineStr">
        <is>
          <t>no aplica (precio mayorista)</t>
        </is>
      </c>
      <c r="J1871" t="inlineStr">
        <is>
          <t>2025-02-09</t>
        </is>
      </c>
      <c r="K1871" t="inlineStr">
        <is>
          <t>MIBGAS_Data_2025.xlsx</t>
        </is>
      </c>
    </row>
    <row r="1872">
      <c r="A1872" s="53" t="n">
        <v>45698</v>
      </c>
      <c r="B1872" t="inlineStr">
        <is>
          <t>2025-02-10</t>
        </is>
      </c>
      <c r="C1872" s="45" t="n">
        <v>55.9</v>
      </c>
      <c r="D1872" t="inlineStr">
        <is>
          <t>€/MWh</t>
        </is>
      </c>
      <c r="E1872" s="54" t="n">
        <v>0.0559</v>
      </c>
      <c r="F1872" s="54" t="n"/>
      <c r="G1872" t="inlineStr">
        <is>
          <t>no aplica (precio mayorista)</t>
        </is>
      </c>
      <c r="J1872" t="inlineStr">
        <is>
          <t>2025-02-10</t>
        </is>
      </c>
      <c r="K1872" t="inlineStr">
        <is>
          <t>MIBGAS_Data_2025.xlsx</t>
        </is>
      </c>
    </row>
    <row r="1873">
      <c r="A1873" s="53" t="n">
        <v>45699</v>
      </c>
      <c r="B1873" t="inlineStr">
        <is>
          <t>2025-02-11</t>
        </is>
      </c>
      <c r="C1873" s="45" t="n">
        <v>57.05</v>
      </c>
      <c r="D1873" t="inlineStr">
        <is>
          <t>€/MWh</t>
        </is>
      </c>
      <c r="E1873" s="54" t="n">
        <v>0.05705</v>
      </c>
      <c r="F1873" s="54" t="n"/>
      <c r="G1873" t="inlineStr">
        <is>
          <t>no aplica (precio mayorista)</t>
        </is>
      </c>
      <c r="J1873" t="inlineStr">
        <is>
          <t>2025-02-11</t>
        </is>
      </c>
      <c r="K1873" t="inlineStr">
        <is>
          <t>MIBGAS_Data_2025.xlsx</t>
        </is>
      </c>
    </row>
    <row r="1874">
      <c r="A1874" s="53" t="n">
        <v>45700</v>
      </c>
      <c r="B1874" t="inlineStr">
        <is>
          <t>2025-02-12</t>
        </is>
      </c>
      <c r="C1874" s="45" t="n">
        <v>56.48</v>
      </c>
      <c r="D1874" t="inlineStr">
        <is>
          <t>€/MWh</t>
        </is>
      </c>
      <c r="E1874" s="54" t="n">
        <v>0.05648</v>
      </c>
      <c r="F1874" s="54" t="n"/>
      <c r="G1874" t="inlineStr">
        <is>
          <t>no aplica (precio mayorista)</t>
        </is>
      </c>
      <c r="J1874" t="inlineStr">
        <is>
          <t>2025-02-12</t>
        </is>
      </c>
      <c r="K1874" t="inlineStr">
        <is>
          <t>MIBGAS_Data_2025.xlsx</t>
        </is>
      </c>
    </row>
    <row r="1875">
      <c r="A1875" s="53" t="n">
        <v>45701</v>
      </c>
      <c r="B1875" t="inlineStr">
        <is>
          <t>2025-02-13</t>
        </is>
      </c>
      <c r="C1875" s="45" t="n">
        <v>54.09</v>
      </c>
      <c r="D1875" t="inlineStr">
        <is>
          <t>€/MWh</t>
        </is>
      </c>
      <c r="E1875" s="54" t="n">
        <v>0.05409</v>
      </c>
      <c r="F1875" s="54" t="n"/>
      <c r="G1875" t="inlineStr">
        <is>
          <t>no aplica (precio mayorista)</t>
        </is>
      </c>
      <c r="J1875" t="inlineStr">
        <is>
          <t>2025-02-13</t>
        </is>
      </c>
      <c r="K1875" t="inlineStr">
        <is>
          <t>MIBGAS_Data_2025.xlsx</t>
        </is>
      </c>
    </row>
    <row r="1876">
      <c r="A1876" s="53" t="n">
        <v>45702</v>
      </c>
      <c r="B1876" t="inlineStr">
        <is>
          <t>2025-02-14</t>
        </is>
      </c>
      <c r="C1876" s="45" t="n">
        <v>50.78</v>
      </c>
      <c r="D1876" t="inlineStr">
        <is>
          <t>€/MWh</t>
        </is>
      </c>
      <c r="E1876" s="54" t="n">
        <v>0.05078</v>
      </c>
      <c r="F1876" s="54" t="n"/>
      <c r="G1876" t="inlineStr">
        <is>
          <t>no aplica (precio mayorista)</t>
        </is>
      </c>
      <c r="J1876" t="inlineStr">
        <is>
          <t>2025-02-14</t>
        </is>
      </c>
      <c r="K1876" t="inlineStr">
        <is>
          <t>MIBGAS_Data_2025.xlsx</t>
        </is>
      </c>
    </row>
    <row r="1877">
      <c r="A1877" s="53" t="n">
        <v>45703</v>
      </c>
      <c r="B1877" t="inlineStr">
        <is>
          <t>2025-02-15</t>
        </is>
      </c>
      <c r="C1877" s="45" t="n">
        <v>49.61</v>
      </c>
      <c r="D1877" t="inlineStr">
        <is>
          <t>€/MWh</t>
        </is>
      </c>
      <c r="E1877" s="54" t="n">
        <v>0.04961</v>
      </c>
      <c r="F1877" s="54" t="n"/>
      <c r="G1877" t="inlineStr">
        <is>
          <t>no aplica (precio mayorista)</t>
        </is>
      </c>
      <c r="J1877" t="inlineStr">
        <is>
          <t>2025-02-15</t>
        </is>
      </c>
      <c r="K1877" t="inlineStr">
        <is>
          <t>MIBGAS_Data_2025.xlsx</t>
        </is>
      </c>
    </row>
    <row r="1878">
      <c r="A1878" s="53" t="n">
        <v>45704</v>
      </c>
      <c r="B1878" t="inlineStr">
        <is>
          <t>2025-02-16</t>
        </is>
      </c>
      <c r="C1878" s="45" t="n">
        <v>49.96</v>
      </c>
      <c r="D1878" t="inlineStr">
        <is>
          <t>€/MWh</t>
        </is>
      </c>
      <c r="E1878" s="54" t="n">
        <v>0.04996</v>
      </c>
      <c r="F1878" s="54" t="n"/>
      <c r="G1878" t="inlineStr">
        <is>
          <t>no aplica (precio mayorista)</t>
        </is>
      </c>
      <c r="J1878" t="inlineStr">
        <is>
          <t>2025-02-16</t>
        </is>
      </c>
      <c r="K1878" t="inlineStr">
        <is>
          <t>MIBGAS_Data_2025.xlsx</t>
        </is>
      </c>
    </row>
    <row r="1879">
      <c r="A1879" s="53" t="n">
        <v>45705</v>
      </c>
      <c r="B1879" t="inlineStr">
        <is>
          <t>2025-02-17</t>
        </is>
      </c>
      <c r="C1879" s="45" t="n">
        <v>50.12</v>
      </c>
      <c r="D1879" t="inlineStr">
        <is>
          <t>€/MWh</t>
        </is>
      </c>
      <c r="E1879" s="54" t="n">
        <v>0.05012</v>
      </c>
      <c r="F1879" s="54" t="n"/>
      <c r="G1879" t="inlineStr">
        <is>
          <t>no aplica (precio mayorista)</t>
        </is>
      </c>
      <c r="J1879" t="inlineStr">
        <is>
          <t>2025-02-17</t>
        </is>
      </c>
      <c r="K1879" t="inlineStr">
        <is>
          <t>MIBGAS_Data_2025.xlsx</t>
        </is>
      </c>
    </row>
    <row r="1880">
      <c r="A1880" s="53" t="n">
        <v>45706</v>
      </c>
      <c r="B1880" t="inlineStr">
        <is>
          <t>2025-02-18</t>
        </is>
      </c>
      <c r="C1880" s="45" t="n">
        <v>48.71</v>
      </c>
      <c r="D1880" t="inlineStr">
        <is>
          <t>€/MWh</t>
        </is>
      </c>
      <c r="E1880" s="54" t="n">
        <v>0.04871</v>
      </c>
      <c r="F1880" s="54" t="n"/>
      <c r="G1880" t="inlineStr">
        <is>
          <t>no aplica (precio mayorista)</t>
        </is>
      </c>
      <c r="J1880" t="inlineStr">
        <is>
          <t>2025-02-18</t>
        </is>
      </c>
      <c r="K1880" t="inlineStr">
        <is>
          <t>MIBGAS_Data_2025.xlsx</t>
        </is>
      </c>
    </row>
    <row r="1881">
      <c r="A1881" s="53" t="n">
        <v>45707</v>
      </c>
      <c r="B1881" t="inlineStr">
        <is>
          <t>2025-02-19</t>
        </is>
      </c>
      <c r="C1881" s="45" t="n">
        <v>47.99</v>
      </c>
      <c r="D1881" t="inlineStr">
        <is>
          <t>€/MWh</t>
        </is>
      </c>
      <c r="E1881" s="54" t="n">
        <v>0.04799</v>
      </c>
      <c r="F1881" s="54" t="n"/>
      <c r="G1881" t="inlineStr">
        <is>
          <t>no aplica (precio mayorista)</t>
        </is>
      </c>
      <c r="J1881" t="inlineStr">
        <is>
          <t>2025-02-19</t>
        </is>
      </c>
      <c r="K1881" t="inlineStr">
        <is>
          <t>MIBGAS_Data_2025.xlsx</t>
        </is>
      </c>
    </row>
    <row r="1882">
      <c r="A1882" s="53" t="n">
        <v>45708</v>
      </c>
      <c r="B1882" t="inlineStr">
        <is>
          <t>2025-02-20</t>
        </is>
      </c>
      <c r="C1882" s="45" t="n">
        <v>47.68</v>
      </c>
      <c r="D1882" t="inlineStr">
        <is>
          <t>€/MWh</t>
        </is>
      </c>
      <c r="E1882" s="54" t="n">
        <v>0.04768</v>
      </c>
      <c r="F1882" s="54" t="n"/>
      <c r="G1882" t="inlineStr">
        <is>
          <t>no aplica (precio mayorista)</t>
        </is>
      </c>
      <c r="J1882" t="inlineStr">
        <is>
          <t>2025-02-20</t>
        </is>
      </c>
      <c r="K1882" t="inlineStr">
        <is>
          <t>MIBGAS_Data_2025.xlsx</t>
        </is>
      </c>
    </row>
    <row r="1883">
      <c r="A1883" s="53" t="n">
        <v>45709</v>
      </c>
      <c r="B1883" t="inlineStr">
        <is>
          <t>2025-02-21</t>
        </is>
      </c>
      <c r="C1883" s="45" t="n">
        <v>46.83</v>
      </c>
      <c r="D1883" t="inlineStr">
        <is>
          <t>€/MWh</t>
        </is>
      </c>
      <c r="E1883" s="54" t="n">
        <v>0.04683</v>
      </c>
      <c r="F1883" s="54" t="n"/>
      <c r="G1883" t="inlineStr">
        <is>
          <t>no aplica (precio mayorista)</t>
        </is>
      </c>
      <c r="J1883" t="inlineStr">
        <is>
          <t>2025-02-21</t>
        </is>
      </c>
      <c r="K1883" t="inlineStr">
        <is>
          <t>MIBGAS_Data_2025.xlsx</t>
        </is>
      </c>
    </row>
    <row r="1884">
      <c r="A1884" s="53" t="n">
        <v>45710</v>
      </c>
      <c r="B1884" t="inlineStr">
        <is>
          <t>2025-02-22</t>
        </is>
      </c>
      <c r="C1884" s="45" t="n">
        <v>46.06</v>
      </c>
      <c r="D1884" t="inlineStr">
        <is>
          <t>€/MWh</t>
        </is>
      </c>
      <c r="E1884" s="54" t="n">
        <v>0.04606</v>
      </c>
      <c r="F1884" s="54" t="n"/>
      <c r="G1884" t="inlineStr">
        <is>
          <t>no aplica (precio mayorista)</t>
        </is>
      </c>
      <c r="J1884" t="inlineStr">
        <is>
          <t>2025-02-22</t>
        </is>
      </c>
      <c r="K1884" t="inlineStr">
        <is>
          <t>MIBGAS_Data_2025.xlsx</t>
        </is>
      </c>
    </row>
    <row r="1885">
      <c r="A1885" s="53" t="n">
        <v>45711</v>
      </c>
      <c r="B1885" t="inlineStr">
        <is>
          <t>2025-02-23</t>
        </is>
      </c>
      <c r="C1885" s="45" t="n">
        <v>46.06</v>
      </c>
      <c r="D1885" t="inlineStr">
        <is>
          <t>€/MWh</t>
        </is>
      </c>
      <c r="E1885" s="54" t="n">
        <v>0.04606</v>
      </c>
      <c r="F1885" s="54" t="n"/>
      <c r="G1885" t="inlineStr">
        <is>
          <t>no aplica (precio mayorista)</t>
        </is>
      </c>
      <c r="J1885" t="inlineStr">
        <is>
          <t>2025-02-23</t>
        </is>
      </c>
      <c r="K1885" t="inlineStr">
        <is>
          <t>MIBGAS_Data_2025.xlsx</t>
        </is>
      </c>
    </row>
    <row r="1886">
      <c r="A1886" s="53" t="n">
        <v>45712</v>
      </c>
      <c r="B1886" t="inlineStr">
        <is>
          <t>2025-02-24</t>
        </is>
      </c>
      <c r="C1886" s="45" t="n">
        <v>45.83</v>
      </c>
      <c r="D1886" t="inlineStr">
        <is>
          <t>€/MWh</t>
        </is>
      </c>
      <c r="E1886" s="54" t="n">
        <v>0.04583</v>
      </c>
      <c r="F1886" s="54" t="n"/>
      <c r="G1886" t="inlineStr">
        <is>
          <t>no aplica (precio mayorista)</t>
        </is>
      </c>
      <c r="J1886" t="inlineStr">
        <is>
          <t>2025-02-24</t>
        </is>
      </c>
      <c r="K1886" t="inlineStr">
        <is>
          <t>MIBGAS_Data_2025.xlsx</t>
        </is>
      </c>
    </row>
    <row r="1887">
      <c r="A1887" s="53" t="n">
        <v>45713</v>
      </c>
      <c r="B1887" t="inlineStr">
        <is>
          <t>2025-02-25</t>
        </is>
      </c>
      <c r="C1887" s="45" t="n">
        <v>45.86</v>
      </c>
      <c r="D1887" t="inlineStr">
        <is>
          <t>€/MWh</t>
        </is>
      </c>
      <c r="E1887" s="54" t="n">
        <v>0.04586</v>
      </c>
      <c r="F1887" s="54" t="n"/>
      <c r="G1887" t="inlineStr">
        <is>
          <t>no aplica (precio mayorista)</t>
        </is>
      </c>
      <c r="J1887" t="inlineStr">
        <is>
          <t>2025-02-25</t>
        </is>
      </c>
      <c r="K1887" t="inlineStr">
        <is>
          <t>MIBGAS_Data_2025.xlsx</t>
        </is>
      </c>
    </row>
    <row r="1888">
      <c r="A1888" s="53" t="n">
        <v>45714</v>
      </c>
      <c r="B1888" t="inlineStr">
        <is>
          <t>2025-02-26</t>
        </is>
      </c>
      <c r="C1888" s="45" t="n">
        <v>44.58</v>
      </c>
      <c r="D1888" t="inlineStr">
        <is>
          <t>€/MWh</t>
        </is>
      </c>
      <c r="E1888" s="54" t="n">
        <v>0.04458</v>
      </c>
      <c r="F1888" s="54" t="n"/>
      <c r="G1888" t="inlineStr">
        <is>
          <t>no aplica (precio mayorista)</t>
        </is>
      </c>
      <c r="J1888" t="inlineStr">
        <is>
          <t>2025-02-26</t>
        </is>
      </c>
      <c r="K1888" t="inlineStr">
        <is>
          <t>MIBGAS_Data_2025.xlsx</t>
        </is>
      </c>
    </row>
    <row r="1889">
      <c r="A1889" s="53" t="n">
        <v>45715</v>
      </c>
      <c r="B1889" t="inlineStr">
        <is>
          <t>2025-02-27</t>
        </is>
      </c>
      <c r="C1889" s="45" t="n">
        <v>42.98</v>
      </c>
      <c r="D1889" t="inlineStr">
        <is>
          <t>€/MWh</t>
        </is>
      </c>
      <c r="E1889" s="54" t="n">
        <v>0.04298</v>
      </c>
      <c r="F1889" s="54" t="n"/>
      <c r="G1889" t="inlineStr">
        <is>
          <t>no aplica (precio mayorista)</t>
        </is>
      </c>
      <c r="J1889" t="inlineStr">
        <is>
          <t>2025-02-27</t>
        </is>
      </c>
      <c r="K1889" t="inlineStr">
        <is>
          <t>MIBGAS_Data_2025.xlsx</t>
        </is>
      </c>
    </row>
    <row r="1890">
      <c r="A1890" s="53" t="n">
        <v>45716</v>
      </c>
      <c r="B1890" t="inlineStr">
        <is>
          <t>2025-02-28</t>
        </is>
      </c>
      <c r="C1890" s="45" t="n">
        <v>44.25</v>
      </c>
      <c r="D1890" t="inlineStr">
        <is>
          <t>€/MWh</t>
        </is>
      </c>
      <c r="E1890" s="54" t="n">
        <v>0.04425</v>
      </c>
      <c r="F1890" s="54" t="n"/>
      <c r="G1890" t="inlineStr">
        <is>
          <t>no aplica (precio mayorista)</t>
        </is>
      </c>
      <c r="J1890" t="inlineStr">
        <is>
          <t>2025-02-28</t>
        </is>
      </c>
      <c r="K1890" t="inlineStr">
        <is>
          <t>MIBGAS_Data_2025.xlsx</t>
        </is>
      </c>
    </row>
    <row r="1891">
      <c r="A1891" s="53" t="n">
        <v>45717</v>
      </c>
      <c r="B1891" t="inlineStr">
        <is>
          <t>2025-03-01</t>
        </is>
      </c>
      <c r="C1891" s="45" t="n">
        <v>44.74</v>
      </c>
      <c r="D1891" t="inlineStr">
        <is>
          <t>€/MWh</t>
        </is>
      </c>
      <c r="E1891" s="54" t="n">
        <v>0.04474</v>
      </c>
      <c r="F1891" s="54" t="n"/>
      <c r="G1891" t="inlineStr">
        <is>
          <t>no aplica (precio mayorista)</t>
        </is>
      </c>
      <c r="J1891" t="inlineStr">
        <is>
          <t>2025-03-01</t>
        </is>
      </c>
      <c r="K1891" t="inlineStr">
        <is>
          <t>MIBGAS_Data_2025.xlsx</t>
        </is>
      </c>
    </row>
    <row r="1892">
      <c r="A1892" s="53" t="n">
        <v>45718</v>
      </c>
      <c r="B1892" t="inlineStr">
        <is>
          <t>2025-03-02</t>
        </is>
      </c>
      <c r="C1892" s="45" t="n">
        <v>45.14</v>
      </c>
      <c r="D1892" t="inlineStr">
        <is>
          <t>€/MWh</t>
        </is>
      </c>
      <c r="E1892" s="54" t="n">
        <v>0.04514</v>
      </c>
      <c r="F1892" s="54" t="n"/>
      <c r="G1892" t="inlineStr">
        <is>
          <t>no aplica (precio mayorista)</t>
        </is>
      </c>
      <c r="J1892" t="inlineStr">
        <is>
          <t>2025-03-02</t>
        </is>
      </c>
      <c r="K1892" t="inlineStr">
        <is>
          <t>MIBGAS_Data_2025.xlsx</t>
        </is>
      </c>
    </row>
    <row r="1893">
      <c r="A1893" s="53" t="n">
        <v>45719</v>
      </c>
      <c r="B1893" t="inlineStr">
        <is>
          <t>2025-03-03</t>
        </is>
      </c>
      <c r="C1893" s="45" t="n">
        <v>46.23</v>
      </c>
      <c r="D1893" t="inlineStr">
        <is>
          <t>€/MWh</t>
        </is>
      </c>
      <c r="E1893" s="54" t="n">
        <v>0.04623</v>
      </c>
      <c r="F1893" s="54" t="n"/>
      <c r="G1893" t="inlineStr">
        <is>
          <t>no aplica (precio mayorista)</t>
        </is>
      </c>
      <c r="J1893" t="inlineStr">
        <is>
          <t>2025-03-03</t>
        </is>
      </c>
      <c r="K1893" t="inlineStr">
        <is>
          <t>MIBGAS_Data_2025.xlsx</t>
        </is>
      </c>
    </row>
    <row r="1894">
      <c r="A1894" s="53" t="n">
        <v>45720</v>
      </c>
      <c r="B1894" t="inlineStr">
        <is>
          <t>2025-03-04</t>
        </is>
      </c>
      <c r="C1894" s="45" t="n">
        <v>44.69</v>
      </c>
      <c r="D1894" t="inlineStr">
        <is>
          <t>€/MWh</t>
        </is>
      </c>
      <c r="E1894" s="54" t="n">
        <v>0.04469</v>
      </c>
      <c r="F1894" s="54" t="n"/>
      <c r="G1894" t="inlineStr">
        <is>
          <t>no aplica (precio mayorista)</t>
        </is>
      </c>
      <c r="J1894" t="inlineStr">
        <is>
          <t>2025-03-04</t>
        </is>
      </c>
      <c r="K1894" t="inlineStr">
        <is>
          <t>MIBGAS_Data_2025.xlsx</t>
        </is>
      </c>
    </row>
    <row r="1895">
      <c r="A1895" s="53" t="n">
        <v>45721</v>
      </c>
      <c r="B1895" t="inlineStr">
        <is>
          <t>2025-03-05</t>
        </is>
      </c>
      <c r="C1895" s="45" t="n">
        <v>43.07</v>
      </c>
      <c r="D1895" t="inlineStr">
        <is>
          <t>€/MWh</t>
        </is>
      </c>
      <c r="E1895" s="54" t="n">
        <v>0.04307</v>
      </c>
      <c r="F1895" s="54" t="n"/>
      <c r="G1895" t="inlineStr">
        <is>
          <t>no aplica (precio mayorista)</t>
        </is>
      </c>
      <c r="J1895" t="inlineStr">
        <is>
          <t>2025-03-05</t>
        </is>
      </c>
      <c r="K1895" t="inlineStr">
        <is>
          <t>MIBGAS_Data_2025.xlsx</t>
        </is>
      </c>
    </row>
    <row r="1896">
      <c r="A1896" s="53" t="n">
        <v>45722</v>
      </c>
      <c r="B1896" t="inlineStr">
        <is>
          <t>2025-03-06</t>
        </is>
      </c>
      <c r="C1896" s="45" t="n">
        <v>41.55</v>
      </c>
      <c r="D1896" t="inlineStr">
        <is>
          <t>€/MWh</t>
        </is>
      </c>
      <c r="E1896" s="54" t="n">
        <v>0.04155</v>
      </c>
      <c r="F1896" s="54" t="n"/>
      <c r="G1896" t="inlineStr">
        <is>
          <t>no aplica (precio mayorista)</t>
        </is>
      </c>
      <c r="J1896" t="inlineStr">
        <is>
          <t>2025-03-06</t>
        </is>
      </c>
      <c r="K1896" t="inlineStr">
        <is>
          <t>MIBGAS_Data_2025.xlsx</t>
        </is>
      </c>
    </row>
    <row r="1897">
      <c r="A1897" s="53" t="n">
        <v>45723</v>
      </c>
      <c r="B1897" t="inlineStr">
        <is>
          <t>2025-03-07</t>
        </is>
      </c>
      <c r="C1897" s="45" t="n">
        <v>39.34</v>
      </c>
      <c r="D1897" t="inlineStr">
        <is>
          <t>€/MWh</t>
        </is>
      </c>
      <c r="E1897" s="54" t="n">
        <v>0.03934</v>
      </c>
      <c r="F1897" s="54" t="n"/>
      <c r="G1897" t="inlineStr">
        <is>
          <t>no aplica (precio mayorista)</t>
        </is>
      </c>
      <c r="J1897" t="inlineStr">
        <is>
          <t>2025-03-07</t>
        </is>
      </c>
      <c r="K1897" t="inlineStr">
        <is>
          <t>MIBGAS_Data_2025.xlsx</t>
        </is>
      </c>
    </row>
    <row r="1898">
      <c r="A1898" s="53" t="n">
        <v>45724</v>
      </c>
      <c r="B1898" t="inlineStr">
        <is>
          <t>2025-03-08</t>
        </is>
      </c>
      <c r="C1898" s="45" t="n">
        <v>38.84</v>
      </c>
      <c r="D1898" t="inlineStr">
        <is>
          <t>€/MWh</t>
        </is>
      </c>
      <c r="E1898" s="54" t="n">
        <v>0.03884</v>
      </c>
      <c r="F1898" s="54" t="n"/>
      <c r="G1898" t="inlineStr">
        <is>
          <t>no aplica (precio mayorista)</t>
        </is>
      </c>
      <c r="J1898" t="inlineStr">
        <is>
          <t>2025-03-08</t>
        </is>
      </c>
      <c r="K1898" t="inlineStr">
        <is>
          <t>MIBGAS_Data_2025.xlsx</t>
        </is>
      </c>
    </row>
    <row r="1899">
      <c r="A1899" s="53" t="n">
        <v>45725</v>
      </c>
      <c r="B1899" t="inlineStr">
        <is>
          <t>2025-03-09</t>
        </is>
      </c>
      <c r="C1899" s="45" t="n">
        <v>39.37</v>
      </c>
      <c r="D1899" t="inlineStr">
        <is>
          <t>€/MWh</t>
        </is>
      </c>
      <c r="E1899" s="54" t="n">
        <v>0.03937</v>
      </c>
      <c r="F1899" s="54" t="n"/>
      <c r="G1899" t="inlineStr">
        <is>
          <t>no aplica (precio mayorista)</t>
        </is>
      </c>
      <c r="J1899" t="inlineStr">
        <is>
          <t>2025-03-09</t>
        </is>
      </c>
      <c r="K1899" t="inlineStr">
        <is>
          <t>MIBGAS_Data_2025.xlsx</t>
        </is>
      </c>
    </row>
    <row r="1900">
      <c r="A1900" s="53" t="n">
        <v>45726</v>
      </c>
      <c r="B1900" t="inlineStr">
        <is>
          <t>2025-03-10</t>
        </is>
      </c>
      <c r="C1900" s="45" t="n">
        <v>39.74</v>
      </c>
      <c r="D1900" t="inlineStr">
        <is>
          <t>€/MWh</t>
        </is>
      </c>
      <c r="E1900" s="54" t="n">
        <v>0.03974</v>
      </c>
      <c r="F1900" s="54" t="n"/>
      <c r="G1900" t="inlineStr">
        <is>
          <t>no aplica (precio mayorista)</t>
        </is>
      </c>
      <c r="J1900" t="inlineStr">
        <is>
          <t>2025-03-10</t>
        </is>
      </c>
      <c r="K1900" t="inlineStr">
        <is>
          <t>MIBGAS_Data_2025.xlsx</t>
        </is>
      </c>
    </row>
    <row r="1901">
      <c r="A1901" s="53" t="n">
        <v>45727</v>
      </c>
      <c r="B1901" t="inlineStr">
        <is>
          <t>2025-03-11</t>
        </is>
      </c>
      <c r="C1901" s="45" t="n">
        <v>41</v>
      </c>
      <c r="D1901" t="inlineStr">
        <is>
          <t>€/MWh</t>
        </is>
      </c>
      <c r="E1901" s="54" t="n">
        <v>0.041</v>
      </c>
      <c r="F1901" s="54" t="n"/>
      <c r="G1901" t="inlineStr">
        <is>
          <t>no aplica (precio mayorista)</t>
        </is>
      </c>
      <c r="J1901" t="inlineStr">
        <is>
          <t>2025-03-11</t>
        </is>
      </c>
      <c r="K1901" t="inlineStr">
        <is>
          <t>MIBGAS_Data_2025.xlsx</t>
        </is>
      </c>
    </row>
    <row r="1902">
      <c r="A1902" s="53" t="n">
        <v>45728</v>
      </c>
      <c r="B1902" t="inlineStr">
        <is>
          <t>2025-03-12</t>
        </is>
      </c>
      <c r="C1902" s="45" t="n">
        <v>41.95</v>
      </c>
      <c r="D1902" t="inlineStr">
        <is>
          <t>€/MWh</t>
        </is>
      </c>
      <c r="E1902" s="54" t="n">
        <v>0.04195</v>
      </c>
      <c r="F1902" s="54" t="n"/>
      <c r="G1902" t="inlineStr">
        <is>
          <t>no aplica (precio mayorista)</t>
        </is>
      </c>
      <c r="J1902" t="inlineStr">
        <is>
          <t>2025-03-12</t>
        </is>
      </c>
      <c r="K1902" t="inlineStr">
        <is>
          <t>MIBGAS_Data_2025.xlsx</t>
        </is>
      </c>
    </row>
    <row r="1903">
      <c r="A1903" s="53" t="n">
        <v>45729</v>
      </c>
      <c r="B1903" t="inlineStr">
        <is>
          <t>2025-03-13</t>
        </is>
      </c>
      <c r="C1903" s="45" t="n">
        <v>42.12</v>
      </c>
      <c r="D1903" t="inlineStr">
        <is>
          <t>€/MWh</t>
        </is>
      </c>
      <c r="E1903" s="54" t="n">
        <v>0.04212</v>
      </c>
      <c r="F1903" s="54" t="n"/>
      <c r="G1903" t="inlineStr">
        <is>
          <t>no aplica (precio mayorista)</t>
        </is>
      </c>
      <c r="J1903" t="inlineStr">
        <is>
          <t>2025-03-13</t>
        </is>
      </c>
      <c r="K1903" t="inlineStr">
        <is>
          <t>MIBGAS_Data_2025.xlsx</t>
        </is>
      </c>
    </row>
    <row r="1904">
      <c r="A1904" s="53" t="n">
        <v>45730</v>
      </c>
      <c r="B1904" t="inlineStr">
        <is>
          <t>2025-03-14</t>
        </is>
      </c>
      <c r="C1904" s="45" t="n">
        <v>42.37</v>
      </c>
      <c r="D1904" t="inlineStr">
        <is>
          <t>€/MWh</t>
        </is>
      </c>
      <c r="E1904" s="54" t="n">
        <v>0.04237</v>
      </c>
      <c r="F1904" s="54" t="n"/>
      <c r="G1904" t="inlineStr">
        <is>
          <t>no aplica (precio mayorista)</t>
        </is>
      </c>
      <c r="J1904" t="inlineStr">
        <is>
          <t>2025-03-14</t>
        </is>
      </c>
      <c r="K1904" t="inlineStr">
        <is>
          <t>MIBGAS_Data_2025.xlsx</t>
        </is>
      </c>
    </row>
    <row r="1905">
      <c r="A1905" s="53" t="n">
        <v>45731</v>
      </c>
      <c r="B1905" t="inlineStr">
        <is>
          <t>2025-03-15</t>
        </is>
      </c>
      <c r="C1905" s="45" t="n">
        <v>41.75</v>
      </c>
      <c r="D1905" t="inlineStr">
        <is>
          <t>€/MWh</t>
        </is>
      </c>
      <c r="E1905" s="54" t="n">
        <v>0.04175</v>
      </c>
      <c r="F1905" s="54" t="n"/>
      <c r="G1905" t="inlineStr">
        <is>
          <t>no aplica (precio mayorista)</t>
        </is>
      </c>
      <c r="J1905" t="inlineStr">
        <is>
          <t>2025-03-15</t>
        </is>
      </c>
      <c r="K1905" t="inlineStr">
        <is>
          <t>MIBGAS_Data_2025.xlsx</t>
        </is>
      </c>
    </row>
    <row r="1906">
      <c r="A1906" s="53" t="n">
        <v>45732</v>
      </c>
      <c r="B1906" t="inlineStr">
        <is>
          <t>2025-03-16</t>
        </is>
      </c>
      <c r="C1906" s="45" t="n">
        <v>41.82</v>
      </c>
      <c r="D1906" t="inlineStr">
        <is>
          <t>€/MWh</t>
        </is>
      </c>
      <c r="E1906" s="54" t="n">
        <v>0.04182</v>
      </c>
      <c r="F1906" s="54" t="n"/>
      <c r="G1906" t="inlineStr">
        <is>
          <t>no aplica (precio mayorista)</t>
        </is>
      </c>
      <c r="J1906" t="inlineStr">
        <is>
          <t>2025-03-16</t>
        </is>
      </c>
      <c r="K1906" t="inlineStr">
        <is>
          <t>MIBGAS_Data_2025.xlsx</t>
        </is>
      </c>
    </row>
    <row r="1907">
      <c r="A1907" s="53" t="n">
        <v>45733</v>
      </c>
      <c r="B1907" t="inlineStr">
        <is>
          <t>2025-03-17</t>
        </is>
      </c>
      <c r="C1907" s="45" t="n">
        <v>41.78</v>
      </c>
      <c r="D1907" t="inlineStr">
        <is>
          <t>€/MWh</t>
        </is>
      </c>
      <c r="E1907" s="54" t="n">
        <v>0.04178</v>
      </c>
      <c r="F1907" s="54" t="n"/>
      <c r="G1907" t="inlineStr">
        <is>
          <t>no aplica (precio mayorista)</t>
        </is>
      </c>
      <c r="J1907" t="inlineStr">
        <is>
          <t>2025-03-17</t>
        </is>
      </c>
      <c r="K1907" t="inlineStr">
        <is>
          <t>MIBGAS_Data_2025.xlsx</t>
        </is>
      </c>
    </row>
    <row r="1908">
      <c r="A1908" s="53" t="n">
        <v>45734</v>
      </c>
      <c r="B1908" t="inlineStr">
        <is>
          <t>2025-03-18</t>
        </is>
      </c>
      <c r="C1908" s="45" t="n">
        <v>40.79</v>
      </c>
      <c r="D1908" t="inlineStr">
        <is>
          <t>€/MWh</t>
        </is>
      </c>
      <c r="E1908" s="54" t="n">
        <v>0.04079</v>
      </c>
      <c r="F1908" s="54" t="n"/>
      <c r="G1908" t="inlineStr">
        <is>
          <t>no aplica (precio mayorista)</t>
        </is>
      </c>
      <c r="J1908" t="inlineStr">
        <is>
          <t>2025-03-18</t>
        </is>
      </c>
      <c r="K1908" t="inlineStr">
        <is>
          <t>MIBGAS_Data_2025.xlsx</t>
        </is>
      </c>
    </row>
    <row r="1909">
      <c r="A1909" s="53" t="n">
        <v>45735</v>
      </c>
      <c r="B1909" t="inlineStr">
        <is>
          <t>2025-03-19</t>
        </is>
      </c>
      <c r="C1909" s="45" t="n">
        <v>40.68</v>
      </c>
      <c r="D1909" t="inlineStr">
        <is>
          <t>€/MWh</t>
        </is>
      </c>
      <c r="E1909" s="54" t="n">
        <v>0.04068</v>
      </c>
      <c r="F1909" s="54" t="n"/>
      <c r="G1909" t="inlineStr">
        <is>
          <t>no aplica (precio mayorista)</t>
        </is>
      </c>
      <c r="J1909" t="inlineStr">
        <is>
          <t>2025-03-19</t>
        </is>
      </c>
      <c r="K1909" t="inlineStr">
        <is>
          <t>MIBGAS_Data_2025.xlsx</t>
        </is>
      </c>
    </row>
    <row r="1910">
      <c r="A1910" s="53" t="n">
        <v>45736</v>
      </c>
      <c r="B1910" t="inlineStr">
        <is>
          <t>2025-03-20</t>
        </is>
      </c>
      <c r="C1910" s="45" t="n">
        <v>41.85</v>
      </c>
      <c r="D1910" t="inlineStr">
        <is>
          <t>€/MWh</t>
        </is>
      </c>
      <c r="E1910" s="54" t="n">
        <v>0.04185</v>
      </c>
      <c r="F1910" s="54" t="n"/>
      <c r="G1910" t="inlineStr">
        <is>
          <t>no aplica (precio mayorista)</t>
        </is>
      </c>
      <c r="J1910" t="inlineStr">
        <is>
          <t>2025-03-20</t>
        </is>
      </c>
      <c r="K1910" t="inlineStr">
        <is>
          <t>MIBGAS_Data_2025.xlsx</t>
        </is>
      </c>
    </row>
    <row r="1911">
      <c r="A1911" s="53" t="n">
        <v>45737</v>
      </c>
      <c r="B1911" t="inlineStr">
        <is>
          <t>2025-03-21</t>
        </is>
      </c>
      <c r="C1911" s="45" t="n">
        <v>42.34</v>
      </c>
      <c r="D1911" t="inlineStr">
        <is>
          <t>€/MWh</t>
        </is>
      </c>
      <c r="E1911" s="54" t="n">
        <v>0.04234</v>
      </c>
      <c r="F1911" s="54" t="n"/>
      <c r="G1911" t="inlineStr">
        <is>
          <t>no aplica (precio mayorista)</t>
        </is>
      </c>
      <c r="J1911" t="inlineStr">
        <is>
          <t>2025-03-21</t>
        </is>
      </c>
      <c r="K1911" t="inlineStr">
        <is>
          <t>MIBGAS_Data_2025.xlsx</t>
        </is>
      </c>
    </row>
    <row r="1912">
      <c r="A1912" s="53" t="n">
        <v>45738</v>
      </c>
      <c r="B1912" t="inlineStr">
        <is>
          <t>2025-03-22</t>
        </is>
      </c>
      <c r="C1912" s="45" t="n">
        <v>42.26</v>
      </c>
      <c r="D1912" t="inlineStr">
        <is>
          <t>€/MWh</t>
        </is>
      </c>
      <c r="E1912" s="54" t="n">
        <v>0.04226</v>
      </c>
      <c r="F1912" s="54" t="n"/>
      <c r="G1912" t="inlineStr">
        <is>
          <t>no aplica (precio mayorista)</t>
        </is>
      </c>
      <c r="J1912" t="inlineStr">
        <is>
          <t>2025-03-22</t>
        </is>
      </c>
      <c r="K1912" t="inlineStr">
        <is>
          <t>MIBGAS_Data_2025.xlsx</t>
        </is>
      </c>
    </row>
    <row r="1913">
      <c r="A1913" s="53" t="n">
        <v>45739</v>
      </c>
      <c r="B1913" t="inlineStr">
        <is>
          <t>2025-03-23</t>
        </is>
      </c>
      <c r="C1913" s="45" t="n">
        <v>42.2</v>
      </c>
      <c r="D1913" t="inlineStr">
        <is>
          <t>€/MWh</t>
        </is>
      </c>
      <c r="E1913" s="54" t="n">
        <v>0.0422</v>
      </c>
      <c r="F1913" s="54" t="n"/>
      <c r="G1913" t="inlineStr">
        <is>
          <t>no aplica (precio mayorista)</t>
        </is>
      </c>
      <c r="J1913" t="inlineStr">
        <is>
          <t>2025-03-23</t>
        </is>
      </c>
      <c r="K1913" t="inlineStr">
        <is>
          <t>MIBGAS_Data_2025.xlsx</t>
        </is>
      </c>
    </row>
    <row r="1914">
      <c r="A1914" s="53" t="n">
        <v>45740</v>
      </c>
      <c r="B1914" t="inlineStr">
        <is>
          <t>2025-03-24</t>
        </is>
      </c>
      <c r="C1914" s="45" t="n">
        <v>41.8</v>
      </c>
      <c r="D1914" t="inlineStr">
        <is>
          <t>€/MWh</t>
        </is>
      </c>
      <c r="E1914" s="54" t="n">
        <v>0.0418</v>
      </c>
      <c r="F1914" s="54" t="n"/>
      <c r="G1914" t="inlineStr">
        <is>
          <t>no aplica (precio mayorista)</t>
        </is>
      </c>
      <c r="J1914" t="inlineStr">
        <is>
          <t>2025-03-24</t>
        </is>
      </c>
      <c r="K1914" t="inlineStr">
        <is>
          <t>MIBGAS_Data_2025.xlsx</t>
        </is>
      </c>
    </row>
    <row r="1915">
      <c r="A1915" s="53" t="n">
        <v>45741</v>
      </c>
      <c r="B1915" t="inlineStr">
        <is>
          <t>2025-03-25</t>
        </is>
      </c>
      <c r="C1915" s="45" t="n">
        <v>41.27</v>
      </c>
      <c r="D1915" t="inlineStr">
        <is>
          <t>€/MWh</t>
        </is>
      </c>
      <c r="E1915" s="54" t="n">
        <v>0.04127</v>
      </c>
      <c r="F1915" s="54" t="n"/>
      <c r="G1915" t="inlineStr">
        <is>
          <t>no aplica (precio mayorista)</t>
        </is>
      </c>
      <c r="J1915" t="inlineStr">
        <is>
          <t>2025-03-25</t>
        </is>
      </c>
      <c r="K1915" t="inlineStr">
        <is>
          <t>MIBGAS_Data_2025.xlsx</t>
        </is>
      </c>
    </row>
    <row r="1916">
      <c r="A1916" s="53" t="n">
        <v>45742</v>
      </c>
      <c r="B1916" t="inlineStr">
        <is>
          <t>2025-03-26</t>
        </is>
      </c>
      <c r="C1916" s="45" t="n">
        <v>40.63</v>
      </c>
      <c r="D1916" t="inlineStr">
        <is>
          <t>€/MWh</t>
        </is>
      </c>
      <c r="E1916" s="54" t="n">
        <v>0.04063</v>
      </c>
      <c r="F1916" s="54" t="n"/>
      <c r="G1916" t="inlineStr">
        <is>
          <t>no aplica (precio mayorista)</t>
        </is>
      </c>
      <c r="J1916" t="inlineStr">
        <is>
          <t>2025-03-26</t>
        </is>
      </c>
      <c r="K1916" t="inlineStr">
        <is>
          <t>MIBGAS_Data_2025.xlsx</t>
        </is>
      </c>
    </row>
    <row r="1917">
      <c r="A1917" s="53" t="n">
        <v>45743</v>
      </c>
      <c r="B1917" t="inlineStr">
        <is>
          <t>2025-03-27</t>
        </is>
      </c>
      <c r="C1917" s="45" t="n">
        <v>39.97</v>
      </c>
      <c r="D1917" t="inlineStr">
        <is>
          <t>€/MWh</t>
        </is>
      </c>
      <c r="E1917" s="54" t="n">
        <v>0.03997</v>
      </c>
      <c r="F1917" s="54" t="n"/>
      <c r="G1917" t="inlineStr">
        <is>
          <t>no aplica (precio mayorista)</t>
        </is>
      </c>
      <c r="J1917" t="inlineStr">
        <is>
          <t>2025-03-27</t>
        </is>
      </c>
      <c r="K1917" t="inlineStr">
        <is>
          <t>MIBGAS_Data_2025.xlsx</t>
        </is>
      </c>
    </row>
    <row r="1918">
      <c r="A1918" s="53" t="n">
        <v>45744</v>
      </c>
      <c r="B1918" t="inlineStr">
        <is>
          <t>2025-03-28</t>
        </is>
      </c>
      <c r="C1918" s="45" t="n">
        <v>40.1</v>
      </c>
      <c r="D1918" t="inlineStr">
        <is>
          <t>€/MWh</t>
        </is>
      </c>
      <c r="E1918" s="54" t="n">
        <v>0.0401</v>
      </c>
      <c r="F1918" s="54" t="n"/>
      <c r="G1918" t="inlineStr">
        <is>
          <t>no aplica (precio mayorista)</t>
        </is>
      </c>
      <c r="J1918" t="inlineStr">
        <is>
          <t>2025-03-28</t>
        </is>
      </c>
      <c r="K1918" t="inlineStr">
        <is>
          <t>MIBGAS_Data_2025.xlsx</t>
        </is>
      </c>
    </row>
    <row r="1919">
      <c r="A1919" s="53" t="n">
        <v>45745</v>
      </c>
      <c r="B1919" t="inlineStr">
        <is>
          <t>2025-03-29</t>
        </is>
      </c>
      <c r="C1919" s="45" t="n">
        <v>38.92</v>
      </c>
      <c r="D1919" t="inlineStr">
        <is>
          <t>€/MWh</t>
        </is>
      </c>
      <c r="E1919" s="54" t="n">
        <v>0.03892</v>
      </c>
      <c r="F1919" s="54" t="n"/>
      <c r="G1919" t="inlineStr">
        <is>
          <t>no aplica (precio mayorista)</t>
        </is>
      </c>
      <c r="J1919" t="inlineStr">
        <is>
          <t>2025-03-29</t>
        </is>
      </c>
      <c r="K1919" t="inlineStr">
        <is>
          <t>MIBGAS_Data_2025.xlsx</t>
        </is>
      </c>
    </row>
    <row r="1920">
      <c r="A1920" s="53" t="n">
        <v>45746</v>
      </c>
      <c r="B1920" t="inlineStr">
        <is>
          <t>2025-03-30</t>
        </is>
      </c>
      <c r="C1920" s="45" t="n">
        <v>38.94</v>
      </c>
      <c r="D1920" t="inlineStr">
        <is>
          <t>€/MWh</t>
        </is>
      </c>
      <c r="E1920" s="54" t="n">
        <v>0.03894</v>
      </c>
      <c r="F1920" s="54" t="n"/>
      <c r="G1920" t="inlineStr">
        <is>
          <t>no aplica (precio mayorista)</t>
        </is>
      </c>
      <c r="J1920" t="inlineStr">
        <is>
          <t>2025-03-30</t>
        </is>
      </c>
      <c r="K1920" t="inlineStr">
        <is>
          <t>MIBGAS_Data_2025.xlsx</t>
        </is>
      </c>
    </row>
    <row r="1921">
      <c r="A1921" s="53" t="n">
        <v>45747</v>
      </c>
      <c r="B1921" t="inlineStr">
        <is>
          <t>2025-03-31</t>
        </is>
      </c>
      <c r="C1921" s="45" t="n">
        <v>39.59</v>
      </c>
      <c r="D1921" t="inlineStr">
        <is>
          <t>€/MWh</t>
        </is>
      </c>
      <c r="E1921" s="54" t="n">
        <v>0.03959</v>
      </c>
      <c r="F1921" s="54" t="n"/>
      <c r="G1921" t="inlineStr">
        <is>
          <t>no aplica (precio mayorista)</t>
        </is>
      </c>
      <c r="J1921" t="inlineStr">
        <is>
          <t>2025-03-31</t>
        </is>
      </c>
      <c r="K1921" t="inlineStr">
        <is>
          <t>MIBGAS_Data_2025.xlsx</t>
        </is>
      </c>
    </row>
    <row r="1922">
      <c r="A1922" s="53" t="n">
        <v>45748</v>
      </c>
      <c r="B1922" t="inlineStr">
        <is>
          <t>2025-04-01</t>
        </is>
      </c>
      <c r="C1922" s="45" t="n">
        <v>39.34</v>
      </c>
      <c r="D1922" t="inlineStr">
        <is>
          <t>€/MWh</t>
        </is>
      </c>
      <c r="E1922" s="54" t="n">
        <v>0.03934</v>
      </c>
      <c r="F1922" s="54" t="n"/>
      <c r="G1922" t="inlineStr">
        <is>
          <t>no aplica (precio mayorista)</t>
        </is>
      </c>
      <c r="J1922" t="inlineStr">
        <is>
          <t>2025-04-01</t>
        </is>
      </c>
      <c r="K1922" t="inlineStr">
        <is>
          <t>MIBGAS_Data_2025.xlsx</t>
        </is>
      </c>
    </row>
    <row r="1923">
      <c r="A1923" s="53" t="n">
        <v>45749</v>
      </c>
      <c r="B1923" t="inlineStr">
        <is>
          <t>2025-04-02</t>
        </is>
      </c>
      <c r="C1923" s="45" t="n">
        <v>40.34</v>
      </c>
      <c r="D1923" t="inlineStr">
        <is>
          <t>€/MWh</t>
        </is>
      </c>
      <c r="E1923" s="54" t="n">
        <v>0.04034</v>
      </c>
      <c r="F1923" s="54" t="n"/>
      <c r="G1923" t="inlineStr">
        <is>
          <t>no aplica (precio mayorista)</t>
        </is>
      </c>
      <c r="J1923" t="inlineStr">
        <is>
          <t>2025-04-02</t>
        </is>
      </c>
      <c r="K1923" t="inlineStr">
        <is>
          <t>MIBGAS_Data_2025.xlsx</t>
        </is>
      </c>
    </row>
    <row r="1924">
      <c r="A1924" s="53" t="n">
        <v>45750</v>
      </c>
      <c r="B1924" t="inlineStr">
        <is>
          <t>2025-04-03</t>
        </is>
      </c>
      <c r="C1924" s="45" t="n">
        <v>39.5</v>
      </c>
      <c r="D1924" t="inlineStr">
        <is>
          <t>€/MWh</t>
        </is>
      </c>
      <c r="E1924" s="54" t="n">
        <v>0.0395</v>
      </c>
      <c r="F1924" s="54" t="n"/>
      <c r="G1924" t="inlineStr">
        <is>
          <t>no aplica (precio mayorista)</t>
        </is>
      </c>
      <c r="J1924" t="inlineStr">
        <is>
          <t>2025-04-03</t>
        </is>
      </c>
      <c r="K1924" t="inlineStr">
        <is>
          <t>MIBGAS_Data_2025.xlsx</t>
        </is>
      </c>
    </row>
    <row r="1925">
      <c r="A1925" s="53" t="n">
        <v>45751</v>
      </c>
      <c r="B1925" t="inlineStr">
        <is>
          <t>2025-04-04</t>
        </is>
      </c>
      <c r="C1925" s="45" t="n">
        <v>38.09</v>
      </c>
      <c r="D1925" t="inlineStr">
        <is>
          <t>€/MWh</t>
        </is>
      </c>
      <c r="E1925" s="54" t="n">
        <v>0.03809</v>
      </c>
      <c r="F1925" s="54" t="n"/>
      <c r="G1925" t="inlineStr">
        <is>
          <t>no aplica (precio mayorista)</t>
        </is>
      </c>
      <c r="J1925" t="inlineStr">
        <is>
          <t>2025-04-04</t>
        </is>
      </c>
      <c r="K1925" t="inlineStr">
        <is>
          <t>MIBGAS_Data_2025.xlsx</t>
        </is>
      </c>
    </row>
    <row r="1926">
      <c r="A1926" s="53" t="n">
        <v>45752</v>
      </c>
      <c r="B1926" t="inlineStr">
        <is>
          <t>2025-04-05</t>
        </is>
      </c>
      <c r="C1926" s="45" t="n">
        <v>36.34</v>
      </c>
      <c r="D1926" t="inlineStr">
        <is>
          <t>€/MWh</t>
        </is>
      </c>
      <c r="E1926" s="54" t="n">
        <v>0.03634</v>
      </c>
      <c r="F1926" s="54" t="n"/>
      <c r="G1926" t="inlineStr">
        <is>
          <t>no aplica (precio mayorista)</t>
        </is>
      </c>
      <c r="J1926" t="inlineStr">
        <is>
          <t>2025-04-05</t>
        </is>
      </c>
      <c r="K1926" t="inlineStr">
        <is>
          <t>MIBGAS_Data_2025.xlsx</t>
        </is>
      </c>
    </row>
    <row r="1927">
      <c r="A1927" s="53" t="n">
        <v>45753</v>
      </c>
      <c r="B1927" t="inlineStr">
        <is>
          <t>2025-04-06</t>
        </is>
      </c>
      <c r="C1927" s="45" t="n">
        <v>36.12</v>
      </c>
      <c r="D1927" t="inlineStr">
        <is>
          <t>€/MWh</t>
        </is>
      </c>
      <c r="E1927" s="54" t="n">
        <v>0.03612</v>
      </c>
      <c r="F1927" s="54" t="n"/>
      <c r="G1927" t="inlineStr">
        <is>
          <t>no aplica (precio mayorista)</t>
        </is>
      </c>
      <c r="J1927" t="inlineStr">
        <is>
          <t>2025-04-06</t>
        </is>
      </c>
      <c r="K1927" t="inlineStr">
        <is>
          <t>MIBGAS_Data_2025.xlsx</t>
        </is>
      </c>
    </row>
    <row r="1928">
      <c r="A1928" s="53" t="n">
        <v>45754</v>
      </c>
      <c r="B1928" t="inlineStr">
        <is>
          <t>2025-04-07</t>
        </is>
      </c>
      <c r="C1928" s="45" t="n">
        <v>34.93</v>
      </c>
      <c r="D1928" t="inlineStr">
        <is>
          <t>€/MWh</t>
        </is>
      </c>
      <c r="E1928" s="54" t="n">
        <v>0.03493</v>
      </c>
      <c r="F1928" s="54" t="n"/>
      <c r="G1928" t="inlineStr">
        <is>
          <t>no aplica (precio mayorista)</t>
        </is>
      </c>
      <c r="J1928" t="inlineStr">
        <is>
          <t>2025-04-07</t>
        </is>
      </c>
      <c r="K1928" t="inlineStr">
        <is>
          <t>MIBGAS_Data_2025.xlsx</t>
        </is>
      </c>
    </row>
    <row r="1929">
      <c r="A1929" s="53" t="n">
        <v>45755</v>
      </c>
      <c r="B1929" t="inlineStr">
        <is>
          <t>2025-04-08</t>
        </is>
      </c>
      <c r="C1929" s="45" t="n">
        <v>35.05</v>
      </c>
      <c r="D1929" t="inlineStr">
        <is>
          <t>€/MWh</t>
        </is>
      </c>
      <c r="E1929" s="54" t="n">
        <v>0.03505</v>
      </c>
      <c r="F1929" s="54" t="n"/>
      <c r="G1929" t="inlineStr">
        <is>
          <t>no aplica (precio mayorista)</t>
        </is>
      </c>
      <c r="J1929" t="inlineStr">
        <is>
          <t>2025-04-08</t>
        </is>
      </c>
      <c r="K1929" t="inlineStr">
        <is>
          <t>MIBGAS_Data_2025.xlsx</t>
        </is>
      </c>
    </row>
    <row r="1930">
      <c r="A1930" s="53" t="n">
        <v>45756</v>
      </c>
      <c r="B1930" t="inlineStr">
        <is>
          <t>2025-04-09</t>
        </is>
      </c>
      <c r="C1930" s="45" t="n">
        <v>34.36</v>
      </c>
      <c r="D1930" t="inlineStr">
        <is>
          <t>€/MWh</t>
        </is>
      </c>
      <c r="E1930" s="54" t="n">
        <v>0.03436</v>
      </c>
      <c r="F1930" s="54" t="n"/>
      <c r="G1930" t="inlineStr">
        <is>
          <t>no aplica (precio mayorista)</t>
        </is>
      </c>
      <c r="J1930" t="inlineStr">
        <is>
          <t>2025-04-09</t>
        </is>
      </c>
      <c r="K1930" t="inlineStr">
        <is>
          <t>MIBGAS_Data_2025.xlsx</t>
        </is>
      </c>
    </row>
    <row r="1931">
      <c r="A1931" s="53" t="n">
        <v>45757</v>
      </c>
      <c r="B1931" t="inlineStr">
        <is>
          <t>2025-04-10</t>
        </is>
      </c>
      <c r="C1931" s="45" t="n">
        <v>32.85</v>
      </c>
      <c r="D1931" t="inlineStr">
        <is>
          <t>€/MWh</t>
        </is>
      </c>
      <c r="E1931" s="54" t="n">
        <v>0.03285</v>
      </c>
      <c r="F1931" s="54" t="n"/>
      <c r="G1931" t="inlineStr">
        <is>
          <t>no aplica (precio mayorista)</t>
        </is>
      </c>
      <c r="J1931" t="inlineStr">
        <is>
          <t>2025-04-10</t>
        </is>
      </c>
      <c r="K1931" t="inlineStr">
        <is>
          <t>MIBGAS_Data_2025.xlsx</t>
        </is>
      </c>
    </row>
    <row r="1932">
      <c r="A1932" s="53" t="n">
        <v>45758</v>
      </c>
      <c r="B1932" t="inlineStr">
        <is>
          <t>2025-04-11</t>
        </is>
      </c>
      <c r="C1932" s="45" t="n">
        <v>32.22</v>
      </c>
      <c r="D1932" t="inlineStr">
        <is>
          <t>€/MWh</t>
        </is>
      </c>
      <c r="E1932" s="54" t="n">
        <v>0.03222</v>
      </c>
      <c r="F1932" s="54" t="n"/>
      <c r="G1932" t="inlineStr">
        <is>
          <t>no aplica (precio mayorista)</t>
        </is>
      </c>
      <c r="J1932" t="inlineStr">
        <is>
          <t>2025-04-11</t>
        </is>
      </c>
      <c r="K1932" t="inlineStr">
        <is>
          <t>MIBGAS_Data_2025.xlsx</t>
        </is>
      </c>
    </row>
    <row r="1933">
      <c r="A1933" s="53" t="n">
        <v>45759</v>
      </c>
      <c r="B1933" t="inlineStr">
        <is>
          <t>2025-04-12</t>
        </is>
      </c>
      <c r="C1933" s="45" t="n">
        <v>31.92</v>
      </c>
      <c r="D1933" t="inlineStr">
        <is>
          <t>€/MWh</t>
        </is>
      </c>
      <c r="E1933" s="54" t="n">
        <v>0.03192</v>
      </c>
      <c r="F1933" s="54" t="n"/>
      <c r="G1933" t="inlineStr">
        <is>
          <t>no aplica (precio mayorista)</t>
        </is>
      </c>
      <c r="J1933" t="inlineStr">
        <is>
          <t>2025-04-12</t>
        </is>
      </c>
      <c r="K1933" t="inlineStr">
        <is>
          <t>MIBGAS_Data_2025.xlsx</t>
        </is>
      </c>
    </row>
    <row r="1934">
      <c r="A1934" s="53" t="n">
        <v>45760</v>
      </c>
      <c r="B1934" t="inlineStr">
        <is>
          <t>2025-04-13</t>
        </is>
      </c>
      <c r="C1934" s="45" t="n">
        <v>31.86</v>
      </c>
      <c r="D1934" t="inlineStr">
        <is>
          <t>€/MWh</t>
        </is>
      </c>
      <c r="E1934" s="54" t="n">
        <v>0.03186</v>
      </c>
      <c r="F1934" s="54" t="n"/>
      <c r="G1934" t="inlineStr">
        <is>
          <t>no aplica (precio mayorista)</t>
        </is>
      </c>
      <c r="J1934" t="inlineStr">
        <is>
          <t>2025-04-13</t>
        </is>
      </c>
      <c r="K1934" t="inlineStr">
        <is>
          <t>MIBGAS_Data_2025.xlsx</t>
        </is>
      </c>
    </row>
    <row r="1935">
      <c r="A1935" s="53" t="n">
        <v>45761</v>
      </c>
      <c r="B1935" t="inlineStr">
        <is>
          <t>2025-04-14</t>
        </is>
      </c>
      <c r="C1935" s="45" t="n">
        <v>32.01</v>
      </c>
      <c r="D1935" t="inlineStr">
        <is>
          <t>€/MWh</t>
        </is>
      </c>
      <c r="E1935" s="54" t="n">
        <v>0.03201</v>
      </c>
      <c r="F1935" s="54" t="n"/>
      <c r="G1935" t="inlineStr">
        <is>
          <t>no aplica (precio mayorista)</t>
        </is>
      </c>
      <c r="J1935" t="inlineStr">
        <is>
          <t>2025-04-14</t>
        </is>
      </c>
      <c r="K1935" t="inlineStr">
        <is>
          <t>MIBGAS_Data_2025.xlsx</t>
        </is>
      </c>
    </row>
    <row r="1936">
      <c r="A1936" s="53" t="n">
        <v>45762</v>
      </c>
      <c r="B1936" t="inlineStr">
        <is>
          <t>2025-04-15</t>
        </is>
      </c>
      <c r="C1936" s="45" t="n">
        <v>32.66</v>
      </c>
      <c r="D1936" t="inlineStr">
        <is>
          <t>€/MWh</t>
        </is>
      </c>
      <c r="E1936" s="54" t="n">
        <v>0.03266</v>
      </c>
      <c r="F1936" s="54" t="n"/>
      <c r="G1936" t="inlineStr">
        <is>
          <t>no aplica (precio mayorista)</t>
        </is>
      </c>
      <c r="J1936" t="inlineStr">
        <is>
          <t>2025-04-15</t>
        </is>
      </c>
      <c r="K1936" t="inlineStr">
        <is>
          <t>MIBGAS_Data_2025.xlsx</t>
        </is>
      </c>
    </row>
    <row r="1937">
      <c r="A1937" s="53" t="n">
        <v>45763</v>
      </c>
      <c r="B1937" t="inlineStr">
        <is>
          <t>2025-04-16</t>
        </is>
      </c>
      <c r="C1937" s="45" t="n">
        <v>32.78</v>
      </c>
      <c r="D1937" t="inlineStr">
        <is>
          <t>€/MWh</t>
        </is>
      </c>
      <c r="E1937" s="54" t="n">
        <v>0.03278</v>
      </c>
      <c r="F1937" s="54" t="n"/>
      <c r="G1937" t="inlineStr">
        <is>
          <t>no aplica (precio mayorista)</t>
        </is>
      </c>
      <c r="J1937" t="inlineStr">
        <is>
          <t>2025-04-16</t>
        </is>
      </c>
      <c r="K1937" t="inlineStr">
        <is>
          <t>MIBGAS_Data_2025.xlsx</t>
        </is>
      </c>
    </row>
    <row r="1938">
      <c r="A1938" s="53" t="n">
        <v>45764</v>
      </c>
      <c r="B1938" t="inlineStr">
        <is>
          <t>2025-04-17</t>
        </is>
      </c>
      <c r="C1938" s="45" t="n">
        <v>33.47</v>
      </c>
      <c r="D1938" t="inlineStr">
        <is>
          <t>€/MWh</t>
        </is>
      </c>
      <c r="E1938" s="54" t="n">
        <v>0.03347</v>
      </c>
      <c r="F1938" s="54" t="n"/>
      <c r="G1938" t="inlineStr">
        <is>
          <t>no aplica (precio mayorista)</t>
        </is>
      </c>
      <c r="J1938" t="inlineStr">
        <is>
          <t>2025-04-17</t>
        </is>
      </c>
      <c r="K1938" t="inlineStr">
        <is>
          <t>MIBGAS_Data_2025.xlsx</t>
        </is>
      </c>
    </row>
    <row r="1939">
      <c r="A1939" s="53" t="n">
        <v>45765</v>
      </c>
      <c r="B1939" t="inlineStr">
        <is>
          <t>2025-04-18</t>
        </is>
      </c>
      <c r="C1939" s="45" t="n">
        <v>33.5</v>
      </c>
      <c r="D1939" t="inlineStr">
        <is>
          <t>€/MWh</t>
        </is>
      </c>
      <c r="E1939" s="54" t="n">
        <v>0.0335</v>
      </c>
      <c r="F1939" s="54" t="n"/>
      <c r="G1939" t="inlineStr">
        <is>
          <t>no aplica (precio mayorista)</t>
        </is>
      </c>
      <c r="J1939" t="inlineStr">
        <is>
          <t>2025-04-18</t>
        </is>
      </c>
      <c r="K1939" t="inlineStr">
        <is>
          <t>MIBGAS_Data_2025.xlsx</t>
        </is>
      </c>
    </row>
    <row r="1940">
      <c r="A1940" s="53" t="n">
        <v>45766</v>
      </c>
      <c r="B1940" t="inlineStr">
        <is>
          <t>2025-04-19</t>
        </is>
      </c>
      <c r="C1940" s="45" t="n">
        <v>33.56</v>
      </c>
      <c r="D1940" t="inlineStr">
        <is>
          <t>€/MWh</t>
        </is>
      </c>
      <c r="E1940" s="54" t="n">
        <v>0.03356</v>
      </c>
      <c r="F1940" s="54" t="n"/>
      <c r="G1940" t="inlineStr">
        <is>
          <t>no aplica (precio mayorista)</t>
        </is>
      </c>
      <c r="J1940" t="inlineStr">
        <is>
          <t>2025-04-19</t>
        </is>
      </c>
      <c r="K1940" t="inlineStr">
        <is>
          <t>MIBGAS_Data_2025.xlsx</t>
        </is>
      </c>
    </row>
    <row r="1941">
      <c r="A1941" s="53" t="n">
        <v>45767</v>
      </c>
      <c r="B1941" t="inlineStr">
        <is>
          <t>2025-04-20</t>
        </is>
      </c>
      <c r="C1941" s="45" t="n">
        <v>33.88</v>
      </c>
      <c r="D1941" t="inlineStr">
        <is>
          <t>€/MWh</t>
        </is>
      </c>
      <c r="E1941" s="54" t="n">
        <v>0.03388</v>
      </c>
      <c r="F1941" s="54" t="n"/>
      <c r="G1941" t="inlineStr">
        <is>
          <t>no aplica (precio mayorista)</t>
        </is>
      </c>
      <c r="J1941" t="inlineStr">
        <is>
          <t>2025-04-20</t>
        </is>
      </c>
      <c r="K1941" t="inlineStr">
        <is>
          <t>MIBGAS_Data_2025.xlsx</t>
        </is>
      </c>
    </row>
    <row r="1942">
      <c r="A1942" s="53" t="n">
        <v>45768</v>
      </c>
      <c r="B1942" t="inlineStr">
        <is>
          <t>2025-04-21</t>
        </is>
      </c>
      <c r="C1942" s="45" t="n">
        <v>34.1</v>
      </c>
      <c r="D1942" t="inlineStr">
        <is>
          <t>€/MWh</t>
        </is>
      </c>
      <c r="E1942" s="54" t="n">
        <v>0.0341</v>
      </c>
      <c r="F1942" s="54" t="n"/>
      <c r="G1942" t="inlineStr">
        <is>
          <t>no aplica (precio mayorista)</t>
        </is>
      </c>
      <c r="J1942" t="inlineStr">
        <is>
          <t>2025-04-21</t>
        </is>
      </c>
      <c r="K1942" t="inlineStr">
        <is>
          <t>MIBGAS_Data_2025.xlsx</t>
        </is>
      </c>
    </row>
    <row r="1943">
      <c r="A1943" s="53" t="n">
        <v>45769</v>
      </c>
      <c r="B1943" t="inlineStr">
        <is>
          <t>2025-04-22</t>
        </is>
      </c>
      <c r="C1943" s="45" t="n">
        <v>34.25</v>
      </c>
      <c r="D1943" t="inlineStr">
        <is>
          <t>€/MWh</t>
        </is>
      </c>
      <c r="E1943" s="54" t="n">
        <v>0.03425</v>
      </c>
      <c r="F1943" s="54" t="n"/>
      <c r="G1943" t="inlineStr">
        <is>
          <t>no aplica (precio mayorista)</t>
        </is>
      </c>
      <c r="J1943" t="inlineStr">
        <is>
          <t>2025-04-22</t>
        </is>
      </c>
      <c r="K1943" t="inlineStr">
        <is>
          <t>MIBGAS_Data_2025.xlsx</t>
        </is>
      </c>
    </row>
    <row r="1944">
      <c r="A1944" s="53" t="n">
        <v>45770</v>
      </c>
      <c r="B1944" t="inlineStr">
        <is>
          <t>2025-04-23</t>
        </is>
      </c>
      <c r="C1944" s="45" t="n">
        <v>33.14</v>
      </c>
      <c r="D1944" t="inlineStr">
        <is>
          <t>€/MWh</t>
        </is>
      </c>
      <c r="E1944" s="54" t="n">
        <v>0.03314</v>
      </c>
      <c r="F1944" s="54" t="n"/>
      <c r="G1944" t="inlineStr">
        <is>
          <t>no aplica (precio mayorista)</t>
        </is>
      </c>
      <c r="J1944" t="inlineStr">
        <is>
          <t>2025-04-23</t>
        </is>
      </c>
      <c r="K1944" t="inlineStr">
        <is>
          <t>MIBGAS_Data_2025.xlsx</t>
        </is>
      </c>
    </row>
    <row r="1945">
      <c r="A1945" s="53" t="n">
        <v>45771</v>
      </c>
      <c r="B1945" t="inlineStr">
        <is>
          <t>2025-04-24</t>
        </is>
      </c>
      <c r="C1945" s="45" t="n">
        <v>32.91</v>
      </c>
      <c r="D1945" t="inlineStr">
        <is>
          <t>€/MWh</t>
        </is>
      </c>
      <c r="E1945" s="54" t="n">
        <v>0.03291</v>
      </c>
      <c r="F1945" s="54" t="n"/>
      <c r="G1945" t="inlineStr">
        <is>
          <t>no aplica (precio mayorista)</t>
        </is>
      </c>
      <c r="J1945" t="inlineStr">
        <is>
          <t>2025-04-24</t>
        </is>
      </c>
      <c r="K1945" t="inlineStr">
        <is>
          <t>MIBGAS_Data_2025.xlsx</t>
        </is>
      </c>
    </row>
    <row r="1946">
      <c r="A1946" s="53" t="n">
        <v>45772</v>
      </c>
      <c r="B1946" t="inlineStr">
        <is>
          <t>2025-04-25</t>
        </is>
      </c>
      <c r="C1946" s="45" t="n">
        <v>32.06</v>
      </c>
      <c r="D1946" t="inlineStr">
        <is>
          <t>€/MWh</t>
        </is>
      </c>
      <c r="E1946" s="54" t="n">
        <v>0.03206</v>
      </c>
      <c r="F1946" s="54" t="n"/>
      <c r="G1946" t="inlineStr">
        <is>
          <t>no aplica (precio mayorista)</t>
        </is>
      </c>
      <c r="J1946" t="inlineStr">
        <is>
          <t>2025-04-25</t>
        </is>
      </c>
      <c r="K1946" t="inlineStr">
        <is>
          <t>MIBGAS_Data_2025.xlsx</t>
        </is>
      </c>
    </row>
    <row r="1947">
      <c r="A1947" s="53" t="n">
        <v>45773</v>
      </c>
      <c r="B1947" t="inlineStr">
        <is>
          <t>2025-04-26</t>
        </is>
      </c>
      <c r="C1947" s="45" t="n">
        <v>31.36</v>
      </c>
      <c r="D1947" t="inlineStr">
        <is>
          <t>€/MWh</t>
        </is>
      </c>
      <c r="E1947" s="54" t="n">
        <v>0.03136</v>
      </c>
      <c r="F1947" s="54" t="n"/>
      <c r="G1947" t="inlineStr">
        <is>
          <t>no aplica (precio mayorista)</t>
        </is>
      </c>
      <c r="J1947" t="inlineStr">
        <is>
          <t>2025-04-26</t>
        </is>
      </c>
      <c r="K1947" t="inlineStr">
        <is>
          <t>MIBGAS_Data_2025.xlsx</t>
        </is>
      </c>
    </row>
    <row r="1948">
      <c r="A1948" s="53" t="n">
        <v>45774</v>
      </c>
      <c r="B1948" t="inlineStr">
        <is>
          <t>2025-04-27</t>
        </is>
      </c>
      <c r="C1948" s="45" t="n">
        <v>30.74</v>
      </c>
      <c r="D1948" t="inlineStr">
        <is>
          <t>€/MWh</t>
        </is>
      </c>
      <c r="E1948" s="54" t="n">
        <v>0.03074</v>
      </c>
      <c r="F1948" s="54" t="n"/>
      <c r="G1948" t="inlineStr">
        <is>
          <t>no aplica (precio mayorista)</t>
        </is>
      </c>
      <c r="J1948" t="inlineStr">
        <is>
          <t>2025-04-27</t>
        </is>
      </c>
      <c r="K1948" t="inlineStr">
        <is>
          <t>MIBGAS_Data_2025.xlsx</t>
        </is>
      </c>
    </row>
    <row r="1949">
      <c r="A1949" s="53" t="n">
        <v>45775</v>
      </c>
      <c r="B1949" t="inlineStr">
        <is>
          <t>2025-04-28</t>
        </is>
      </c>
      <c r="C1949" s="45" t="n">
        <v>30.87</v>
      </c>
      <c r="D1949" t="inlineStr">
        <is>
          <t>€/MWh</t>
        </is>
      </c>
      <c r="E1949" s="54" t="n">
        <v>0.03087</v>
      </c>
      <c r="F1949" s="54" t="n"/>
      <c r="G1949" t="inlineStr">
        <is>
          <t>no aplica (precio mayorista)</t>
        </is>
      </c>
      <c r="J1949" t="inlineStr">
        <is>
          <t>2025-04-28</t>
        </is>
      </c>
      <c r="K1949" t="inlineStr">
        <is>
          <t>MIBGAS_Data_2025.xlsx</t>
        </is>
      </c>
    </row>
    <row r="1950">
      <c r="A1950" s="53" t="n">
        <v>45776</v>
      </c>
      <c r="B1950" t="inlineStr">
        <is>
          <t>2025-04-29</t>
        </is>
      </c>
      <c r="C1950" s="45" t="n">
        <v>30.84</v>
      </c>
      <c r="D1950" t="inlineStr">
        <is>
          <t>€/MWh</t>
        </is>
      </c>
      <c r="E1950" s="54" t="n">
        <v>0.03084</v>
      </c>
      <c r="F1950" s="54" t="n"/>
      <c r="G1950" t="inlineStr">
        <is>
          <t>no aplica (precio mayorista)</t>
        </is>
      </c>
      <c r="J1950" t="inlineStr">
        <is>
          <t>2025-04-29</t>
        </is>
      </c>
      <c r="K1950" t="inlineStr">
        <is>
          <t>MIBGAS_Data_2025.xlsx</t>
        </is>
      </c>
    </row>
    <row r="1951">
      <c r="A1951" s="53" t="n">
        <v>45777</v>
      </c>
      <c r="B1951" t="inlineStr">
        <is>
          <t>2025-04-30</t>
        </is>
      </c>
      <c r="C1951" s="45" t="n">
        <v>30.34</v>
      </c>
      <c r="D1951" t="inlineStr">
        <is>
          <t>€/MWh</t>
        </is>
      </c>
      <c r="E1951" s="54" t="n">
        <v>0.03034</v>
      </c>
      <c r="F1951" s="54" t="n"/>
      <c r="G1951" t="inlineStr">
        <is>
          <t>no aplica (precio mayorista)</t>
        </is>
      </c>
      <c r="J1951" t="inlineStr">
        <is>
          <t>2025-04-30</t>
        </is>
      </c>
      <c r="K1951" t="inlineStr">
        <is>
          <t>MIBGAS_Data_2025.xlsx</t>
        </is>
      </c>
    </row>
    <row r="1952">
      <c r="A1952" s="53" t="n">
        <v>45778</v>
      </c>
      <c r="B1952" t="inlineStr">
        <is>
          <t>2025-05-01</t>
        </is>
      </c>
      <c r="C1952" s="45" t="n">
        <v>30.55</v>
      </c>
      <c r="D1952" t="inlineStr">
        <is>
          <t>€/MWh</t>
        </is>
      </c>
      <c r="E1952" s="54" t="n">
        <v>0.03055</v>
      </c>
      <c r="F1952" s="54" t="n"/>
      <c r="G1952" t="inlineStr">
        <is>
          <t>no aplica (precio mayorista)</t>
        </is>
      </c>
      <c r="J1952" t="inlineStr">
        <is>
          <t>2025-05-01</t>
        </is>
      </c>
      <c r="K1952" t="inlineStr">
        <is>
          <t>MIBGAS_Data_2025.xlsx</t>
        </is>
      </c>
    </row>
    <row r="1953">
      <c r="A1953" s="53" t="n">
        <v>45779</v>
      </c>
      <c r="B1953" t="inlineStr">
        <is>
          <t>2025-05-02</t>
        </is>
      </c>
      <c r="C1953" s="45" t="n">
        <v>31.32</v>
      </c>
      <c r="D1953" t="inlineStr">
        <is>
          <t>€/MWh</t>
        </is>
      </c>
      <c r="E1953" s="54" t="n">
        <v>0.03132</v>
      </c>
      <c r="F1953" s="54" t="n"/>
      <c r="G1953" t="inlineStr">
        <is>
          <t>no aplica (precio mayorista)</t>
        </is>
      </c>
      <c r="J1953" t="inlineStr">
        <is>
          <t>2025-05-02</t>
        </is>
      </c>
      <c r="K1953" t="inlineStr">
        <is>
          <t>MIBGAS_Data_2025.xlsx</t>
        </is>
      </c>
    </row>
    <row r="1954">
      <c r="A1954" s="53" t="n">
        <v>45780</v>
      </c>
      <c r="B1954" t="inlineStr">
        <is>
          <t>2025-05-03</t>
        </is>
      </c>
      <c r="C1954" s="45" t="n">
        <v>31.63</v>
      </c>
      <c r="D1954" t="inlineStr">
        <is>
          <t>€/MWh</t>
        </is>
      </c>
      <c r="E1954" s="54" t="n">
        <v>0.03163</v>
      </c>
      <c r="F1954" s="54" t="n"/>
      <c r="G1954" t="inlineStr">
        <is>
          <t>no aplica (precio mayorista)</t>
        </is>
      </c>
      <c r="J1954" t="inlineStr">
        <is>
          <t>2025-05-03</t>
        </is>
      </c>
      <c r="K1954" t="inlineStr">
        <is>
          <t>MIBGAS_Data_2025.xlsx</t>
        </is>
      </c>
    </row>
    <row r="1955">
      <c r="A1955" s="53" t="n">
        <v>45781</v>
      </c>
      <c r="B1955" t="inlineStr">
        <is>
          <t>2025-05-04</t>
        </is>
      </c>
      <c r="C1955" s="45" t="n">
        <v>31.79</v>
      </c>
      <c r="D1955" t="inlineStr">
        <is>
          <t>€/MWh</t>
        </is>
      </c>
      <c r="E1955" s="54" t="n">
        <v>0.03179</v>
      </c>
      <c r="F1955" s="54" t="n"/>
      <c r="G1955" t="inlineStr">
        <is>
          <t>no aplica (precio mayorista)</t>
        </is>
      </c>
      <c r="J1955" t="inlineStr">
        <is>
          <t>2025-05-04</t>
        </is>
      </c>
      <c r="K1955" t="inlineStr">
        <is>
          <t>MIBGAS_Data_2025.xlsx</t>
        </is>
      </c>
    </row>
    <row r="1956">
      <c r="A1956" s="53" t="n">
        <v>45782</v>
      </c>
      <c r="B1956" t="inlineStr">
        <is>
          <t>2025-05-05</t>
        </is>
      </c>
      <c r="C1956" s="45" t="n">
        <v>31.78</v>
      </c>
      <c r="D1956" t="inlineStr">
        <is>
          <t>€/MWh</t>
        </is>
      </c>
      <c r="E1956" s="54" t="n">
        <v>0.03178</v>
      </c>
      <c r="F1956" s="54" t="n"/>
      <c r="G1956" t="inlineStr">
        <is>
          <t>no aplica (precio mayorista)</t>
        </is>
      </c>
      <c r="J1956" t="inlineStr">
        <is>
          <t>2025-05-05</t>
        </is>
      </c>
      <c r="K1956" t="inlineStr">
        <is>
          <t>MIBGAS_Data_2025.xlsx</t>
        </is>
      </c>
    </row>
    <row r="1957">
      <c r="A1957" s="53" t="n">
        <v>45783</v>
      </c>
      <c r="B1957" t="inlineStr">
        <is>
          <t>2025-05-06</t>
        </is>
      </c>
      <c r="C1957" s="45" t="n">
        <v>32.14</v>
      </c>
      <c r="D1957" t="inlineStr">
        <is>
          <t>€/MWh</t>
        </is>
      </c>
      <c r="E1957" s="54" t="n">
        <v>0.03214</v>
      </c>
      <c r="F1957" s="54" t="n"/>
      <c r="G1957" t="inlineStr">
        <is>
          <t>no aplica (precio mayorista)</t>
        </is>
      </c>
      <c r="J1957" t="inlineStr">
        <is>
          <t>2025-05-06</t>
        </is>
      </c>
      <c r="K1957" t="inlineStr">
        <is>
          <t>MIBGAS_Data_2025.xlsx</t>
        </is>
      </c>
    </row>
    <row r="1958">
      <c r="A1958" s="53" t="n">
        <v>45784</v>
      </c>
      <c r="B1958" t="inlineStr">
        <is>
          <t>2025-05-07</t>
        </is>
      </c>
      <c r="C1958" s="45" t="n">
        <v>33.43</v>
      </c>
      <c r="D1958" t="inlineStr">
        <is>
          <t>€/MWh</t>
        </is>
      </c>
      <c r="E1958" s="54" t="n">
        <v>0.03343</v>
      </c>
      <c r="F1958" s="54" t="n"/>
      <c r="G1958" t="inlineStr">
        <is>
          <t>no aplica (precio mayorista)</t>
        </is>
      </c>
      <c r="J1958" t="inlineStr">
        <is>
          <t>2025-05-07</t>
        </is>
      </c>
      <c r="K1958" t="inlineStr">
        <is>
          <t>MIBGAS_Data_2025.xlsx</t>
        </is>
      </c>
    </row>
    <row r="1959">
      <c r="A1959" s="53" t="n">
        <v>45785</v>
      </c>
      <c r="B1959" t="inlineStr">
        <is>
          <t>2025-05-08</t>
        </is>
      </c>
      <c r="C1959" s="45" t="n">
        <v>33.55</v>
      </c>
      <c r="D1959" t="inlineStr">
        <is>
          <t>€/MWh</t>
        </is>
      </c>
      <c r="E1959" s="54" t="n">
        <v>0.03355</v>
      </c>
      <c r="F1959" s="54" t="n"/>
      <c r="G1959" t="inlineStr">
        <is>
          <t>no aplica (precio mayorista)</t>
        </is>
      </c>
      <c r="J1959" t="inlineStr">
        <is>
          <t>2025-05-08</t>
        </is>
      </c>
      <c r="K1959" t="inlineStr">
        <is>
          <t>MIBGAS_Data_2025.xlsx</t>
        </is>
      </c>
    </row>
    <row r="1960">
      <c r="A1960" s="53" t="n">
        <v>45786</v>
      </c>
      <c r="B1960" t="inlineStr">
        <is>
          <t>2025-05-09</t>
        </is>
      </c>
      <c r="C1960" s="45" t="n">
        <v>34.07</v>
      </c>
      <c r="D1960" t="inlineStr">
        <is>
          <t>€/MWh</t>
        </is>
      </c>
      <c r="E1960" s="54" t="n">
        <v>0.03407</v>
      </c>
      <c r="F1960" s="54" t="n"/>
      <c r="G1960" t="inlineStr">
        <is>
          <t>no aplica (precio mayorista)</t>
        </is>
      </c>
      <c r="J1960" t="inlineStr">
        <is>
          <t>2025-05-09</t>
        </is>
      </c>
      <c r="K1960" t="inlineStr">
        <is>
          <t>MIBGAS_Data_2025.xlsx</t>
        </is>
      </c>
    </row>
    <row r="1961">
      <c r="A1961" s="53" t="n">
        <v>45787</v>
      </c>
      <c r="B1961" t="inlineStr">
        <is>
          <t>2025-05-10</t>
        </is>
      </c>
      <c r="C1961" s="45" t="n">
        <v>33.74</v>
      </c>
      <c r="D1961" t="inlineStr">
        <is>
          <t>€/MWh</t>
        </is>
      </c>
      <c r="E1961" s="54" t="n">
        <v>0.03374</v>
      </c>
      <c r="F1961" s="54" t="n"/>
      <c r="G1961" t="inlineStr">
        <is>
          <t>no aplica (precio mayorista)</t>
        </is>
      </c>
      <c r="J1961" t="inlineStr">
        <is>
          <t>2025-05-10</t>
        </is>
      </c>
      <c r="K1961" t="inlineStr">
        <is>
          <t>MIBGAS_Data_2025.xlsx</t>
        </is>
      </c>
    </row>
    <row r="1962">
      <c r="A1962" s="53" t="n">
        <v>45788</v>
      </c>
      <c r="B1962" t="inlineStr">
        <is>
          <t>2025-05-11</t>
        </is>
      </c>
      <c r="C1962" s="45" t="n">
        <v>33.74</v>
      </c>
      <c r="D1962" t="inlineStr">
        <is>
          <t>€/MWh</t>
        </is>
      </c>
      <c r="E1962" s="54" t="n">
        <v>0.03374</v>
      </c>
      <c r="F1962" s="54" t="n"/>
      <c r="G1962" t="inlineStr">
        <is>
          <t>no aplica (precio mayorista)</t>
        </is>
      </c>
      <c r="J1962" t="inlineStr">
        <is>
          <t>2025-05-11</t>
        </is>
      </c>
      <c r="K1962" t="inlineStr">
        <is>
          <t>MIBGAS_Data_2025.xlsx</t>
        </is>
      </c>
    </row>
    <row r="1963">
      <c r="A1963" s="53" t="n">
        <v>45789</v>
      </c>
      <c r="B1963" t="inlineStr">
        <is>
          <t>2025-05-12</t>
        </is>
      </c>
      <c r="C1963" s="45" t="n">
        <v>34</v>
      </c>
      <c r="D1963" t="inlineStr">
        <is>
          <t>€/MWh</t>
        </is>
      </c>
      <c r="E1963" s="54" t="n">
        <v>0.034</v>
      </c>
      <c r="F1963" s="54" t="n"/>
      <c r="G1963" t="inlineStr">
        <is>
          <t>no aplica (precio mayorista)</t>
        </is>
      </c>
      <c r="J1963" t="inlineStr">
        <is>
          <t>2025-05-12</t>
        </is>
      </c>
      <c r="K1963" t="inlineStr">
        <is>
          <t>MIBGAS_Data_2025.xlsx</t>
        </is>
      </c>
    </row>
    <row r="1964">
      <c r="A1964" s="53" t="n">
        <v>45790</v>
      </c>
      <c r="B1964" t="inlineStr">
        <is>
          <t>2025-05-13</t>
        </is>
      </c>
      <c r="C1964" s="45" t="n">
        <v>34.42</v>
      </c>
      <c r="D1964" t="inlineStr">
        <is>
          <t>€/MWh</t>
        </is>
      </c>
      <c r="E1964" s="54" t="n">
        <v>0.03442</v>
      </c>
      <c r="F1964" s="54" t="n"/>
      <c r="G1964" t="inlineStr">
        <is>
          <t>no aplica (precio mayorista)</t>
        </is>
      </c>
      <c r="J1964" t="inlineStr">
        <is>
          <t>2025-05-13</t>
        </is>
      </c>
      <c r="K1964" t="inlineStr">
        <is>
          <t>MIBGAS_Data_2025.xlsx</t>
        </is>
      </c>
    </row>
    <row r="1965">
      <c r="A1965" s="53" t="n">
        <v>45791</v>
      </c>
      <c r="B1965" t="inlineStr">
        <is>
          <t>2025-05-14</t>
        </is>
      </c>
      <c r="C1965" s="45" t="n">
        <v>34.4</v>
      </c>
      <c r="D1965" t="inlineStr">
        <is>
          <t>€/MWh</t>
        </is>
      </c>
      <c r="E1965" s="54" t="n">
        <v>0.0344</v>
      </c>
      <c r="F1965" s="54" t="n"/>
      <c r="G1965" t="inlineStr">
        <is>
          <t>no aplica (precio mayorista)</t>
        </is>
      </c>
      <c r="J1965" t="inlineStr">
        <is>
          <t>2025-05-14</t>
        </is>
      </c>
      <c r="K1965" t="inlineStr">
        <is>
          <t>MIBGAS_Data_2025.xlsx</t>
        </is>
      </c>
    </row>
    <row r="1966">
      <c r="A1966" s="53" t="n">
        <v>45792</v>
      </c>
      <c r="B1966" t="inlineStr">
        <is>
          <t>2025-05-15</t>
        </is>
      </c>
      <c r="C1966" s="45" t="n">
        <v>33.96</v>
      </c>
      <c r="D1966" t="inlineStr">
        <is>
          <t>€/MWh</t>
        </is>
      </c>
      <c r="E1966" s="54" t="n">
        <v>0.03396</v>
      </c>
      <c r="F1966" s="54" t="n"/>
      <c r="G1966" t="inlineStr">
        <is>
          <t>no aplica (precio mayorista)</t>
        </is>
      </c>
      <c r="J1966" t="inlineStr">
        <is>
          <t>2025-05-15</t>
        </is>
      </c>
      <c r="K1966" t="inlineStr">
        <is>
          <t>MIBGAS_Data_2025.xlsx</t>
        </is>
      </c>
    </row>
    <row r="1967">
      <c r="A1967" s="53" t="n">
        <v>45793</v>
      </c>
      <c r="B1967" t="inlineStr">
        <is>
          <t>2025-05-16</t>
        </is>
      </c>
      <c r="C1967" s="45" t="n">
        <v>34.14</v>
      </c>
      <c r="D1967" t="inlineStr">
        <is>
          <t>€/MWh</t>
        </is>
      </c>
      <c r="E1967" s="54" t="n">
        <v>0.03414</v>
      </c>
      <c r="F1967" s="54" t="n"/>
      <c r="G1967" t="inlineStr">
        <is>
          <t>no aplica (precio mayorista)</t>
        </is>
      </c>
      <c r="J1967" t="inlineStr">
        <is>
          <t>2025-05-16</t>
        </is>
      </c>
      <c r="K1967" t="inlineStr">
        <is>
          <t>MIBGAS_Data_2025.xlsx</t>
        </is>
      </c>
    </row>
    <row r="1968">
      <c r="A1968" s="53" t="n">
        <v>45794</v>
      </c>
      <c r="B1968" t="inlineStr">
        <is>
          <t>2025-05-17</t>
        </is>
      </c>
      <c r="C1968" s="45" t="n">
        <v>34.02</v>
      </c>
      <c r="D1968" t="inlineStr">
        <is>
          <t>€/MWh</t>
        </is>
      </c>
      <c r="E1968" s="54" t="n">
        <v>0.03402</v>
      </c>
      <c r="F1968" s="54" t="n"/>
      <c r="G1968" t="inlineStr">
        <is>
          <t>no aplica (precio mayorista)</t>
        </is>
      </c>
      <c r="J1968" t="inlineStr">
        <is>
          <t>2025-05-17</t>
        </is>
      </c>
      <c r="K1968" t="inlineStr">
        <is>
          <t>MIBGAS_Data_2025.xlsx</t>
        </is>
      </c>
    </row>
    <row r="1969">
      <c r="A1969" s="53" t="n">
        <v>45795</v>
      </c>
      <c r="B1969" t="inlineStr">
        <is>
          <t>2025-05-18</t>
        </is>
      </c>
      <c r="C1969" s="45" t="n">
        <v>34.04</v>
      </c>
      <c r="D1969" t="inlineStr">
        <is>
          <t>€/MWh</t>
        </is>
      </c>
      <c r="E1969" s="54" t="n">
        <v>0.03404</v>
      </c>
      <c r="F1969" s="54" t="n"/>
      <c r="G1969" t="inlineStr">
        <is>
          <t>no aplica (precio mayorista)</t>
        </is>
      </c>
      <c r="J1969" t="inlineStr">
        <is>
          <t>2025-05-18</t>
        </is>
      </c>
      <c r="K1969" t="inlineStr">
        <is>
          <t>MIBGAS_Data_2025.xlsx</t>
        </is>
      </c>
    </row>
    <row r="1970">
      <c r="A1970" s="53" t="n">
        <v>45796</v>
      </c>
      <c r="B1970" t="inlineStr">
        <is>
          <t>2025-05-19</t>
        </is>
      </c>
      <c r="C1970" s="45" t="n">
        <v>34.3</v>
      </c>
      <c r="D1970" t="inlineStr">
        <is>
          <t>€/MWh</t>
        </is>
      </c>
      <c r="E1970" s="54" t="n">
        <v>0.0343</v>
      </c>
      <c r="F1970" s="54" t="n"/>
      <c r="G1970" t="inlineStr">
        <is>
          <t>no aplica (precio mayorista)</t>
        </is>
      </c>
      <c r="J1970" t="inlineStr">
        <is>
          <t>2025-05-19</t>
        </is>
      </c>
      <c r="K1970" t="inlineStr">
        <is>
          <t>MIBGAS_Data_2025.xlsx</t>
        </is>
      </c>
    </row>
    <row r="1971">
      <c r="A1971" s="53" t="n">
        <v>45797</v>
      </c>
      <c r="B1971" t="inlineStr">
        <is>
          <t>2025-05-20</t>
        </is>
      </c>
      <c r="C1971" s="45" t="n">
        <v>34.41</v>
      </c>
      <c r="D1971" t="inlineStr">
        <is>
          <t>€/MWh</t>
        </is>
      </c>
      <c r="E1971" s="54" t="n">
        <v>0.03441</v>
      </c>
      <c r="F1971" s="54" t="n"/>
      <c r="G1971" t="inlineStr">
        <is>
          <t>no aplica (precio mayorista)</t>
        </is>
      </c>
      <c r="J1971" t="inlineStr">
        <is>
          <t>2025-05-20</t>
        </is>
      </c>
      <c r="K1971" t="inlineStr">
        <is>
          <t>MIBGAS_Data_2025.xlsx</t>
        </is>
      </c>
    </row>
    <row r="1972">
      <c r="A1972" s="53" t="n">
        <v>45798</v>
      </c>
      <c r="B1972" t="inlineStr">
        <is>
          <t>2025-05-21</t>
        </is>
      </c>
      <c r="C1972" s="45" t="n">
        <v>35.7</v>
      </c>
      <c r="D1972" t="inlineStr">
        <is>
          <t>€/MWh</t>
        </is>
      </c>
      <c r="E1972" s="54" t="n">
        <v>0.0357</v>
      </c>
      <c r="F1972" s="54" t="n"/>
      <c r="G1972" t="inlineStr">
        <is>
          <t>no aplica (precio mayorista)</t>
        </is>
      </c>
      <c r="J1972" t="inlineStr">
        <is>
          <t>2025-05-21</t>
        </is>
      </c>
      <c r="K1972" t="inlineStr">
        <is>
          <t>MIBGAS_Data_2025.xlsx</t>
        </is>
      </c>
    </row>
    <row r="1973">
      <c r="A1973" s="53" t="n">
        <v>45799</v>
      </c>
      <c r="B1973" t="inlineStr">
        <is>
          <t>2025-05-22</t>
        </is>
      </c>
      <c r="C1973" s="45" t="n">
        <v>36.09</v>
      </c>
      <c r="D1973" t="inlineStr">
        <is>
          <t>€/MWh</t>
        </is>
      </c>
      <c r="E1973" s="54" t="n">
        <v>0.03609</v>
      </c>
      <c r="F1973" s="54" t="n"/>
      <c r="G1973" t="inlineStr">
        <is>
          <t>no aplica (precio mayorista)</t>
        </is>
      </c>
      <c r="J1973" t="inlineStr">
        <is>
          <t>2025-05-22</t>
        </is>
      </c>
      <c r="K1973" t="inlineStr">
        <is>
          <t>MIBGAS_Data_2025.xlsx</t>
        </is>
      </c>
    </row>
    <row r="1974">
      <c r="A1974" s="53" t="n">
        <v>45800</v>
      </c>
      <c r="B1974" t="inlineStr">
        <is>
          <t>2025-05-23</t>
        </is>
      </c>
      <c r="C1974" s="45" t="n">
        <v>35.34</v>
      </c>
      <c r="D1974" t="inlineStr">
        <is>
          <t>€/MWh</t>
        </is>
      </c>
      <c r="E1974" s="54" t="n">
        <v>0.03534</v>
      </c>
      <c r="F1974" s="54" t="n"/>
      <c r="G1974" t="inlineStr">
        <is>
          <t>no aplica (precio mayorista)</t>
        </is>
      </c>
      <c r="J1974" t="inlineStr">
        <is>
          <t>2025-05-23</t>
        </is>
      </c>
      <c r="K1974" t="inlineStr">
        <is>
          <t>MIBGAS_Data_2025.xlsx</t>
        </is>
      </c>
    </row>
    <row r="1975">
      <c r="A1975" s="53" t="n">
        <v>45801</v>
      </c>
      <c r="B1975" t="inlineStr">
        <is>
          <t>2025-05-24</t>
        </is>
      </c>
      <c r="C1975" s="45" t="n">
        <v>35.26</v>
      </c>
      <c r="D1975" t="inlineStr">
        <is>
          <t>€/MWh</t>
        </is>
      </c>
      <c r="E1975" s="54" t="n">
        <v>0.03526</v>
      </c>
      <c r="F1975" s="54" t="n"/>
      <c r="G1975" t="inlineStr">
        <is>
          <t>no aplica (precio mayorista)</t>
        </is>
      </c>
      <c r="J1975" t="inlineStr">
        <is>
          <t>2025-05-24</t>
        </is>
      </c>
      <c r="K1975" t="inlineStr">
        <is>
          <t>MIBGAS_Data_2025.xlsx</t>
        </is>
      </c>
    </row>
    <row r="1976">
      <c r="A1976" s="53" t="n">
        <v>45802</v>
      </c>
      <c r="B1976" t="inlineStr">
        <is>
          <t>2025-05-25</t>
        </is>
      </c>
      <c r="C1976" s="45" t="n">
        <v>35.35</v>
      </c>
      <c r="D1976" t="inlineStr">
        <is>
          <t>€/MWh</t>
        </is>
      </c>
      <c r="E1976" s="54" t="n">
        <v>0.03535</v>
      </c>
      <c r="F1976" s="54" t="n"/>
      <c r="G1976" t="inlineStr">
        <is>
          <t>no aplica (precio mayorista)</t>
        </is>
      </c>
      <c r="J1976" t="inlineStr">
        <is>
          <t>2025-05-25</t>
        </is>
      </c>
      <c r="K1976" t="inlineStr">
        <is>
          <t>MIBGAS_Data_2025.xlsx</t>
        </is>
      </c>
    </row>
    <row r="1977">
      <c r="A1977" s="53" t="n">
        <v>45803</v>
      </c>
      <c r="B1977" t="inlineStr">
        <is>
          <t>2025-05-26</t>
        </is>
      </c>
      <c r="C1977" s="45" t="n">
        <v>35.47</v>
      </c>
      <c r="D1977" t="inlineStr">
        <is>
          <t>€/MWh</t>
        </is>
      </c>
      <c r="E1977" s="54" t="n">
        <v>0.03547</v>
      </c>
      <c r="F1977" s="54" t="n"/>
      <c r="G1977" t="inlineStr">
        <is>
          <t>no aplica (precio mayorista)</t>
        </is>
      </c>
      <c r="J1977" t="inlineStr">
        <is>
          <t>2025-05-26</t>
        </is>
      </c>
      <c r="K1977" t="inlineStr">
        <is>
          <t>MIBGAS_Data_2025.xlsx</t>
        </is>
      </c>
    </row>
    <row r="1978">
      <c r="A1978" s="53" t="n">
        <v>45804</v>
      </c>
      <c r="B1978" t="inlineStr">
        <is>
          <t>2025-05-27</t>
        </is>
      </c>
      <c r="C1978" s="45" t="n">
        <v>35.76</v>
      </c>
      <c r="D1978" t="inlineStr">
        <is>
          <t>€/MWh</t>
        </is>
      </c>
      <c r="E1978" s="54" t="n">
        <v>0.03576</v>
      </c>
      <c r="F1978" s="54" t="n"/>
      <c r="G1978" t="inlineStr">
        <is>
          <t>no aplica (precio mayorista)</t>
        </is>
      </c>
      <c r="J1978" t="inlineStr">
        <is>
          <t>2025-05-27</t>
        </is>
      </c>
      <c r="K1978" t="inlineStr">
        <is>
          <t>MIBGAS_Data_2025.xlsx</t>
        </is>
      </c>
    </row>
    <row r="1979">
      <c r="A1979" s="53" t="n">
        <v>45805</v>
      </c>
      <c r="B1979" t="inlineStr">
        <is>
          <t>2025-05-28</t>
        </is>
      </c>
      <c r="C1979" s="45" t="n">
        <v>35.88</v>
      </c>
      <c r="D1979" t="inlineStr">
        <is>
          <t>€/MWh</t>
        </is>
      </c>
      <c r="E1979" s="54" t="n">
        <v>0.03588</v>
      </c>
      <c r="F1979" s="54" t="n"/>
      <c r="G1979" t="inlineStr">
        <is>
          <t>no aplica (precio mayorista)</t>
        </is>
      </c>
      <c r="J1979" t="inlineStr">
        <is>
          <t>2025-05-28</t>
        </is>
      </c>
      <c r="K1979" t="inlineStr">
        <is>
          <t>MIBGAS_Data_2025.xlsx</t>
        </is>
      </c>
    </row>
    <row r="1980">
      <c r="A1980" s="53" t="n">
        <v>45806</v>
      </c>
      <c r="B1980" t="inlineStr">
        <is>
          <t>2025-05-29</t>
        </is>
      </c>
      <c r="C1980" s="45" t="n">
        <v>35.62</v>
      </c>
      <c r="D1980" t="inlineStr">
        <is>
          <t>€/MWh</t>
        </is>
      </c>
      <c r="E1980" s="54" t="n">
        <v>0.03562</v>
      </c>
      <c r="F1980" s="54" t="n"/>
      <c r="G1980" t="inlineStr">
        <is>
          <t>no aplica (precio mayorista)</t>
        </is>
      </c>
      <c r="J1980" t="inlineStr">
        <is>
          <t>2025-05-29</t>
        </is>
      </c>
      <c r="K1980" t="inlineStr">
        <is>
          <t>MIBGAS_Data_2025.xlsx</t>
        </is>
      </c>
    </row>
    <row r="1981">
      <c r="A1981" s="53" t="n">
        <v>45807</v>
      </c>
      <c r="B1981" t="inlineStr">
        <is>
          <t>2025-05-30</t>
        </is>
      </c>
      <c r="C1981" s="45" t="n">
        <v>34.68</v>
      </c>
      <c r="D1981" t="inlineStr">
        <is>
          <t>€/MWh</t>
        </is>
      </c>
      <c r="E1981" s="54" t="n">
        <v>0.03468</v>
      </c>
      <c r="F1981" s="54" t="n"/>
      <c r="G1981" t="inlineStr">
        <is>
          <t>no aplica (precio mayorista)</t>
        </is>
      </c>
      <c r="J1981" t="inlineStr">
        <is>
          <t>2025-05-30</t>
        </is>
      </c>
      <c r="K1981" t="inlineStr">
        <is>
          <t>MIBGAS_Data_2025.xlsx</t>
        </is>
      </c>
    </row>
    <row r="1982">
      <c r="A1982" s="53" t="n">
        <v>45808</v>
      </c>
      <c r="B1982" t="inlineStr">
        <is>
          <t>2025-05-31</t>
        </is>
      </c>
      <c r="C1982" s="45" t="n">
        <v>33.61</v>
      </c>
      <c r="D1982" t="inlineStr">
        <is>
          <t>€/MWh</t>
        </is>
      </c>
      <c r="E1982" s="54" t="n">
        <v>0.03361</v>
      </c>
      <c r="F1982" s="54" t="n"/>
      <c r="G1982" t="inlineStr">
        <is>
          <t>no aplica (precio mayorista)</t>
        </is>
      </c>
      <c r="J1982" t="inlineStr">
        <is>
          <t>2025-05-31</t>
        </is>
      </c>
      <c r="K1982" t="inlineStr">
        <is>
          <t>MIBGAS_Data_2025.xlsx</t>
        </is>
      </c>
    </row>
    <row r="1983">
      <c r="A1983" s="53" t="n">
        <v>45809</v>
      </c>
      <c r="B1983" t="inlineStr">
        <is>
          <t>2025-06-01</t>
        </is>
      </c>
      <c r="C1983" s="45" t="n">
        <v>33.62</v>
      </c>
      <c r="D1983" t="inlineStr">
        <is>
          <t>€/MWh</t>
        </is>
      </c>
      <c r="E1983" s="54" t="n">
        <v>0.03362</v>
      </c>
      <c r="F1983" s="54" t="n"/>
      <c r="G1983" t="inlineStr">
        <is>
          <t>no aplica (precio mayorista)</t>
        </is>
      </c>
      <c r="J1983" t="inlineStr">
        <is>
          <t>2025-06-01</t>
        </is>
      </c>
      <c r="K1983" t="inlineStr">
        <is>
          <t>MIBGAS_Data_2025.xlsx</t>
        </is>
      </c>
    </row>
    <row r="1984">
      <c r="A1984" s="53" t="n">
        <v>45810</v>
      </c>
      <c r="B1984" t="inlineStr">
        <is>
          <t>2025-06-02</t>
        </is>
      </c>
      <c r="C1984" s="45" t="n">
        <v>34.1</v>
      </c>
      <c r="D1984" t="inlineStr">
        <is>
          <t>€/MWh</t>
        </is>
      </c>
      <c r="E1984" s="54" t="n">
        <v>0.0341</v>
      </c>
      <c r="F1984" s="54" t="n"/>
      <c r="G1984" t="inlineStr">
        <is>
          <t>no aplica (precio mayorista)</t>
        </is>
      </c>
      <c r="J1984" t="inlineStr">
        <is>
          <t>2025-06-02</t>
        </is>
      </c>
      <c r="K1984" t="inlineStr">
        <is>
          <t>MIBGAS_Data_2025.xlsx</t>
        </is>
      </c>
    </row>
    <row r="1985">
      <c r="A1985" s="53" t="n">
        <v>45811</v>
      </c>
      <c r="B1985" t="inlineStr">
        <is>
          <t>2025-06-03</t>
        </is>
      </c>
      <c r="C1985" s="45" t="n">
        <v>34.53</v>
      </c>
      <c r="D1985" t="inlineStr">
        <is>
          <t>€/MWh</t>
        </is>
      </c>
      <c r="E1985" s="54" t="n">
        <v>0.03453</v>
      </c>
      <c r="F1985" s="54" t="n"/>
      <c r="G1985" t="inlineStr">
        <is>
          <t>no aplica (precio mayorista)</t>
        </is>
      </c>
      <c r="J1985" t="inlineStr">
        <is>
          <t>2025-06-03</t>
        </is>
      </c>
      <c r="K1985" t="inlineStr">
        <is>
          <t>MIBGAS_Data_2025.xlsx</t>
        </is>
      </c>
    </row>
    <row r="1986">
      <c r="A1986" s="53" t="n">
        <v>45812</v>
      </c>
      <c r="B1986" t="inlineStr">
        <is>
          <t>2025-06-04</t>
        </is>
      </c>
      <c r="C1986" s="45" t="n">
        <v>35.22</v>
      </c>
      <c r="D1986" t="inlineStr">
        <is>
          <t>€/MWh</t>
        </is>
      </c>
      <c r="E1986" s="54" t="n">
        <v>0.03522</v>
      </c>
      <c r="F1986" s="54" t="n"/>
      <c r="G1986" t="inlineStr">
        <is>
          <t>no aplica (precio mayorista)</t>
        </is>
      </c>
      <c r="J1986" t="inlineStr">
        <is>
          <t>2025-06-04</t>
        </is>
      </c>
      <c r="K1986" t="inlineStr">
        <is>
          <t>MIBGAS_Data_2025.xlsx</t>
        </is>
      </c>
    </row>
    <row r="1987">
      <c r="A1987" s="53" t="n">
        <v>45813</v>
      </c>
      <c r="B1987" t="inlineStr">
        <is>
          <t>2025-06-05</t>
        </is>
      </c>
      <c r="C1987" s="45" t="n">
        <v>35.34</v>
      </c>
      <c r="D1987" t="inlineStr">
        <is>
          <t>€/MWh</t>
        </is>
      </c>
      <c r="E1987" s="54" t="n">
        <v>0.03534</v>
      </c>
      <c r="F1987" s="54" t="n"/>
      <c r="G1987" t="inlineStr">
        <is>
          <t>no aplica (precio mayorista)</t>
        </is>
      </c>
      <c r="J1987" t="inlineStr">
        <is>
          <t>2025-06-05</t>
        </is>
      </c>
      <c r="K1987" t="inlineStr">
        <is>
          <t>MIBGAS_Data_2025.xlsx</t>
        </is>
      </c>
    </row>
    <row r="1988">
      <c r="A1988" s="53" t="n">
        <v>45814</v>
      </c>
      <c r="B1988" t="inlineStr">
        <is>
          <t>2025-06-06</t>
        </is>
      </c>
      <c r="C1988" s="45" t="n">
        <v>35.62</v>
      </c>
      <c r="D1988" t="inlineStr">
        <is>
          <t>€/MWh</t>
        </is>
      </c>
      <c r="E1988" s="54" t="n">
        <v>0.03562</v>
      </c>
      <c r="F1988" s="54" t="n"/>
      <c r="G1988" t="inlineStr">
        <is>
          <t>no aplica (precio mayorista)</t>
        </is>
      </c>
      <c r="J1988" t="inlineStr">
        <is>
          <t>2025-06-06</t>
        </is>
      </c>
      <c r="K1988" t="inlineStr">
        <is>
          <t>MIBGAS_Data_2025.xlsx</t>
        </is>
      </c>
    </row>
    <row r="1989">
      <c r="A1989" s="53" t="n">
        <v>45815</v>
      </c>
      <c r="B1989" t="inlineStr">
        <is>
          <t>2025-06-07</t>
        </is>
      </c>
      <c r="C1989" s="45" t="n">
        <v>35.61</v>
      </c>
      <c r="D1989" t="inlineStr">
        <is>
          <t>€/MWh</t>
        </is>
      </c>
      <c r="E1989" s="54" t="n">
        <v>0.03561</v>
      </c>
      <c r="F1989" s="54" t="n"/>
      <c r="G1989" t="inlineStr">
        <is>
          <t>no aplica (precio mayorista)</t>
        </is>
      </c>
      <c r="J1989" t="inlineStr">
        <is>
          <t>2025-06-07</t>
        </is>
      </c>
      <c r="K1989" t="inlineStr">
        <is>
          <t>MIBGAS_Data_2025.xlsx</t>
        </is>
      </c>
    </row>
    <row r="1990">
      <c r="A1990" s="53" t="n">
        <v>45816</v>
      </c>
      <c r="B1990" t="inlineStr">
        <is>
          <t>2025-06-08</t>
        </is>
      </c>
      <c r="C1990" s="45" t="n">
        <v>35.69</v>
      </c>
      <c r="D1990" t="inlineStr">
        <is>
          <t>€/MWh</t>
        </is>
      </c>
      <c r="E1990" s="54" t="n">
        <v>0.03569</v>
      </c>
      <c r="F1990" s="54" t="n"/>
      <c r="G1990" t="inlineStr">
        <is>
          <t>no aplica (precio mayorista)</t>
        </is>
      </c>
      <c r="J1990" t="inlineStr">
        <is>
          <t>2025-06-08</t>
        </is>
      </c>
      <c r="K1990" t="inlineStr">
        <is>
          <t>MIBGAS_Data_2025.xlsx</t>
        </is>
      </c>
    </row>
    <row r="1991">
      <c r="A1991" s="53" t="n">
        <v>45817</v>
      </c>
      <c r="B1991" t="inlineStr">
        <is>
          <t>2025-06-09</t>
        </is>
      </c>
      <c r="C1991" s="45" t="n">
        <v>35.92</v>
      </c>
      <c r="D1991" t="inlineStr">
        <is>
          <t>€/MWh</t>
        </is>
      </c>
      <c r="E1991" s="54" t="n">
        <v>0.03592</v>
      </c>
      <c r="F1991" s="54" t="n"/>
      <c r="G1991" t="inlineStr">
        <is>
          <t>no aplica (precio mayorista)</t>
        </is>
      </c>
      <c r="J1991" t="inlineStr">
        <is>
          <t>2025-06-09</t>
        </is>
      </c>
      <c r="K1991" t="inlineStr">
        <is>
          <t>MIBGAS_Data_2025.xlsx</t>
        </is>
      </c>
    </row>
    <row r="1992">
      <c r="A1992" s="53" t="n">
        <v>45818</v>
      </c>
      <c r="B1992" t="inlineStr">
        <is>
          <t>2025-06-10</t>
        </is>
      </c>
      <c r="C1992" s="45" t="n">
        <v>35.14</v>
      </c>
      <c r="D1992" t="inlineStr">
        <is>
          <t>€/MWh</t>
        </is>
      </c>
      <c r="E1992" s="54" t="n">
        <v>0.03514</v>
      </c>
      <c r="F1992" s="54" t="n"/>
      <c r="G1992" t="inlineStr">
        <is>
          <t>no aplica (precio mayorista)</t>
        </is>
      </c>
      <c r="J1992" t="inlineStr">
        <is>
          <t>2025-06-10</t>
        </is>
      </c>
      <c r="K1992" t="inlineStr">
        <is>
          <t>MIBGAS_Data_2025.xlsx</t>
        </is>
      </c>
    </row>
    <row r="1993">
      <c r="A1993" s="53" t="n">
        <v>45819</v>
      </c>
      <c r="B1993" t="inlineStr">
        <is>
          <t>2025-06-11</t>
        </is>
      </c>
      <c r="C1993" s="45" t="n">
        <v>34.75</v>
      </c>
      <c r="D1993" t="inlineStr">
        <is>
          <t>€/MWh</t>
        </is>
      </c>
      <c r="E1993" s="54" t="n">
        <v>0.03475</v>
      </c>
      <c r="F1993" s="54" t="n"/>
      <c r="G1993" t="inlineStr">
        <is>
          <t>no aplica (precio mayorista)</t>
        </is>
      </c>
      <c r="J1993" t="inlineStr">
        <is>
          <t>2025-06-11</t>
        </is>
      </c>
      <c r="K1993" t="inlineStr">
        <is>
          <t>MIBGAS_Data_2025.xlsx</t>
        </is>
      </c>
    </row>
    <row r="1994">
      <c r="A1994" s="53" t="n">
        <v>45820</v>
      </c>
      <c r="B1994" t="inlineStr">
        <is>
          <t>2025-06-12</t>
        </is>
      </c>
      <c r="C1994" s="45" t="n">
        <v>35.76</v>
      </c>
      <c r="D1994" t="inlineStr">
        <is>
          <t>€/MWh</t>
        </is>
      </c>
      <c r="E1994" s="54" t="n">
        <v>0.03576</v>
      </c>
      <c r="F1994" s="54" t="n"/>
      <c r="G1994" t="inlineStr">
        <is>
          <t>no aplica (precio mayorista)</t>
        </is>
      </c>
      <c r="J1994" t="inlineStr">
        <is>
          <t>2025-06-12</t>
        </is>
      </c>
      <c r="K1994" t="inlineStr">
        <is>
          <t>MIBGAS_Data_2025.xlsx</t>
        </is>
      </c>
    </row>
    <row r="1995">
      <c r="A1995" s="53" t="n">
        <v>45821</v>
      </c>
      <c r="B1995" t="inlineStr">
        <is>
          <t>2025-06-13</t>
        </is>
      </c>
      <c r="C1995" s="45" t="n">
        <v>36.13</v>
      </c>
      <c r="D1995" t="inlineStr">
        <is>
          <t>€/MWh</t>
        </is>
      </c>
      <c r="E1995" s="54" t="n">
        <v>0.03613</v>
      </c>
      <c r="F1995" s="54" t="n"/>
      <c r="G1995" t="inlineStr">
        <is>
          <t>no aplica (precio mayorista)</t>
        </is>
      </c>
      <c r="J1995" t="inlineStr">
        <is>
          <t>2025-06-13</t>
        </is>
      </c>
      <c r="K1995" t="inlineStr">
        <is>
          <t>MIBGAS_Data_2025.xlsx</t>
        </is>
      </c>
    </row>
    <row r="1996">
      <c r="A1996" s="53" t="n">
        <v>45822</v>
      </c>
      <c r="B1996" t="inlineStr">
        <is>
          <t>2025-06-14</t>
        </is>
      </c>
      <c r="C1996" s="45" t="n">
        <v>37.41</v>
      </c>
      <c r="D1996" t="inlineStr">
        <is>
          <t>€/MWh</t>
        </is>
      </c>
      <c r="E1996" s="54" t="n">
        <v>0.03741</v>
      </c>
      <c r="F1996" s="54" t="n"/>
      <c r="G1996" t="inlineStr">
        <is>
          <t>no aplica (precio mayorista)</t>
        </is>
      </c>
      <c r="J1996" t="inlineStr">
        <is>
          <t>2025-06-14</t>
        </is>
      </c>
      <c r="K1996" t="inlineStr">
        <is>
          <t>MIBGAS_Data_2025.xlsx</t>
        </is>
      </c>
    </row>
    <row r="1997">
      <c r="A1997" s="53" t="n">
        <v>45823</v>
      </c>
      <c r="B1997" t="inlineStr">
        <is>
          <t>2025-06-15</t>
        </is>
      </c>
      <c r="C1997" s="45" t="n">
        <v>37.36</v>
      </c>
      <c r="D1997" t="inlineStr">
        <is>
          <t>€/MWh</t>
        </is>
      </c>
      <c r="E1997" s="54" t="n">
        <v>0.03736</v>
      </c>
      <c r="F1997" s="54" t="n"/>
      <c r="G1997" t="inlineStr">
        <is>
          <t>no aplica (precio mayorista)</t>
        </is>
      </c>
      <c r="J1997" t="inlineStr">
        <is>
          <t>2025-06-15</t>
        </is>
      </c>
      <c r="K1997" t="inlineStr">
        <is>
          <t>MIBGAS_Data_2025.xlsx</t>
        </is>
      </c>
    </row>
    <row r="1998">
      <c r="A1998" s="53" t="n">
        <v>45824</v>
      </c>
      <c r="B1998" t="inlineStr">
        <is>
          <t>2025-06-16</t>
        </is>
      </c>
      <c r="C1998" s="45" t="n">
        <v>37.78</v>
      </c>
      <c r="D1998" t="inlineStr">
        <is>
          <t>€/MWh</t>
        </is>
      </c>
      <c r="E1998" s="54" t="n">
        <v>0.03778</v>
      </c>
      <c r="F1998" s="54" t="n"/>
      <c r="G1998" t="inlineStr">
        <is>
          <t>no aplica (precio mayorista)</t>
        </is>
      </c>
      <c r="J1998" t="inlineStr">
        <is>
          <t>2025-06-16</t>
        </is>
      </c>
      <c r="K1998" t="inlineStr">
        <is>
          <t>MIBGAS_Data_2025.xlsx</t>
        </is>
      </c>
    </row>
    <row r="1999">
      <c r="A1999" s="53" t="n">
        <v>45825</v>
      </c>
      <c r="B1999" t="inlineStr">
        <is>
          <t>2025-06-17</t>
        </is>
      </c>
      <c r="C1999" s="45" t="n">
        <v>38.24</v>
      </c>
      <c r="D1999" t="inlineStr">
        <is>
          <t>€/MWh</t>
        </is>
      </c>
      <c r="E1999" s="54" t="n">
        <v>0.03824</v>
      </c>
      <c r="F1999" s="54" t="n"/>
      <c r="G1999" t="inlineStr">
        <is>
          <t>no aplica (precio mayorista)</t>
        </is>
      </c>
      <c r="J1999" t="inlineStr">
        <is>
          <t>2025-06-17</t>
        </is>
      </c>
      <c r="K1999" t="inlineStr">
        <is>
          <t>MIBGAS_Data_2025.xlsx</t>
        </is>
      </c>
    </row>
    <row r="2000">
      <c r="A2000" s="53" t="n">
        <v>45826</v>
      </c>
      <c r="B2000" t="inlineStr">
        <is>
          <t>2025-06-18</t>
        </is>
      </c>
      <c r="C2000" s="45" t="n">
        <v>39.37</v>
      </c>
      <c r="D2000" t="inlineStr">
        <is>
          <t>€/MWh</t>
        </is>
      </c>
      <c r="E2000" s="54" t="n">
        <v>0.03937</v>
      </c>
      <c r="F2000" s="54" t="n"/>
      <c r="G2000" t="inlineStr">
        <is>
          <t>no aplica (precio mayorista)</t>
        </is>
      </c>
      <c r="J2000" t="inlineStr">
        <is>
          <t>2025-06-18</t>
        </is>
      </c>
      <c r="K2000" t="inlineStr">
        <is>
          <t>MIBGAS_Data_2025.xlsx</t>
        </is>
      </c>
    </row>
    <row r="2001">
      <c r="A2001" s="53" t="n">
        <v>45827</v>
      </c>
      <c r="B2001" t="inlineStr">
        <is>
          <t>2025-06-19</t>
        </is>
      </c>
      <c r="C2001" s="45" t="n">
        <v>39.39</v>
      </c>
      <c r="D2001" t="inlineStr">
        <is>
          <t>€/MWh</t>
        </is>
      </c>
      <c r="E2001" s="54" t="n">
        <v>0.03939</v>
      </c>
      <c r="F2001" s="54" t="n"/>
      <c r="G2001" t="inlineStr">
        <is>
          <t>no aplica (precio mayorista)</t>
        </is>
      </c>
      <c r="J2001" t="inlineStr">
        <is>
          <t>2025-06-19</t>
        </is>
      </c>
      <c r="K2001" t="inlineStr">
        <is>
          <t>MIBGAS_Data_2025.xlsx</t>
        </is>
      </c>
    </row>
    <row r="2002">
      <c r="A2002" s="53" t="n">
        <v>45828</v>
      </c>
      <c r="B2002" t="inlineStr">
        <is>
          <t>2025-06-20</t>
        </is>
      </c>
      <c r="C2002" s="45" t="n">
        <v>40.48</v>
      </c>
      <c r="D2002" t="inlineStr">
        <is>
          <t>€/MWh</t>
        </is>
      </c>
      <c r="E2002" s="54" t="n">
        <v>0.04048</v>
      </c>
      <c r="F2002" s="54" t="n"/>
      <c r="G2002" t="inlineStr">
        <is>
          <t>no aplica (precio mayorista)</t>
        </is>
      </c>
      <c r="J2002" t="inlineStr">
        <is>
          <t>2025-06-20</t>
        </is>
      </c>
      <c r="K2002" t="inlineStr">
        <is>
          <t>MIBGAS_Data_2025.xlsx</t>
        </is>
      </c>
    </row>
    <row r="2003">
      <c r="A2003" s="53" t="n">
        <v>45829</v>
      </c>
      <c r="B2003" t="inlineStr">
        <is>
          <t>2025-06-21</t>
        </is>
      </c>
      <c r="C2003" s="45" t="n">
        <v>40.48</v>
      </c>
      <c r="D2003" t="inlineStr">
        <is>
          <t>€/MWh</t>
        </is>
      </c>
      <c r="E2003" s="54" t="n">
        <v>0.04048</v>
      </c>
      <c r="F2003" s="54" t="n"/>
      <c r="G2003" t="inlineStr">
        <is>
          <t>no aplica (precio mayorista)</t>
        </is>
      </c>
      <c r="J2003" t="inlineStr">
        <is>
          <t>2025-06-21</t>
        </is>
      </c>
      <c r="K2003" t="inlineStr">
        <is>
          <t>MIBGAS_Data_2025.xlsx</t>
        </is>
      </c>
    </row>
    <row r="2004">
      <c r="A2004" s="53" t="n">
        <v>45830</v>
      </c>
      <c r="B2004" t="inlineStr">
        <is>
          <t>2025-06-22</t>
        </is>
      </c>
      <c r="C2004" s="45" t="n">
        <v>40.92</v>
      </c>
      <c r="D2004" t="inlineStr">
        <is>
          <t>€/MWh</t>
        </is>
      </c>
      <c r="E2004" s="54" t="n">
        <v>0.04092</v>
      </c>
      <c r="F2004" s="54" t="n"/>
      <c r="G2004" t="inlineStr">
        <is>
          <t>no aplica (precio mayorista)</t>
        </is>
      </c>
      <c r="J2004" t="inlineStr">
        <is>
          <t>2025-06-22</t>
        </is>
      </c>
      <c r="K2004" t="inlineStr">
        <is>
          <t>MIBGAS_Data_2025.xlsx</t>
        </is>
      </c>
    </row>
    <row r="2005">
      <c r="A2005" s="53" t="n">
        <v>45831</v>
      </c>
      <c r="B2005" t="inlineStr">
        <is>
          <t>2025-06-23</t>
        </is>
      </c>
      <c r="C2005" s="45" t="n">
        <v>41.66</v>
      </c>
      <c r="D2005" t="inlineStr">
        <is>
          <t>€/MWh</t>
        </is>
      </c>
      <c r="E2005" s="54" t="n">
        <v>0.04166</v>
      </c>
      <c r="F2005" s="54" t="n"/>
      <c r="G2005" t="inlineStr">
        <is>
          <t>no aplica (precio mayorista)</t>
        </is>
      </c>
      <c r="J2005" t="inlineStr">
        <is>
          <t>2025-06-23</t>
        </is>
      </c>
      <c r="K2005" t="inlineStr">
        <is>
          <t>MIBGAS_Data_2025.xlsx</t>
        </is>
      </c>
    </row>
    <row r="2006">
      <c r="A2006" s="53" t="n">
        <v>45832</v>
      </c>
      <c r="B2006" t="inlineStr">
        <is>
          <t>2025-06-24</t>
        </is>
      </c>
      <c r="C2006" s="45" t="n">
        <v>39.97</v>
      </c>
      <c r="D2006" t="inlineStr">
        <is>
          <t>€/MWh</t>
        </is>
      </c>
      <c r="E2006" s="54" t="n">
        <v>0.03997</v>
      </c>
      <c r="F2006" s="54" t="n"/>
      <c r="G2006" t="inlineStr">
        <is>
          <t>no aplica (precio mayorista)</t>
        </is>
      </c>
      <c r="J2006" t="inlineStr">
        <is>
          <t>2025-06-24</t>
        </is>
      </c>
      <c r="K2006" t="inlineStr">
        <is>
          <t>MIBGAS_Data_2025.xlsx</t>
        </is>
      </c>
    </row>
    <row r="2007">
      <c r="A2007" s="53" t="n">
        <v>45833</v>
      </c>
      <c r="B2007" t="inlineStr">
        <is>
          <t>2025-06-25</t>
        </is>
      </c>
      <c r="C2007" s="45" t="n">
        <v>36.11</v>
      </c>
      <c r="D2007" t="inlineStr">
        <is>
          <t>€/MWh</t>
        </is>
      </c>
      <c r="E2007" s="54" t="n">
        <v>0.03611</v>
      </c>
      <c r="F2007" s="54" t="n"/>
      <c r="G2007" t="inlineStr">
        <is>
          <t>no aplica (precio mayorista)</t>
        </is>
      </c>
      <c r="J2007" t="inlineStr">
        <is>
          <t>2025-06-25</t>
        </is>
      </c>
      <c r="K2007" t="inlineStr">
        <is>
          <t>MIBGAS_Data_2025.xlsx</t>
        </is>
      </c>
    </row>
    <row r="2008">
      <c r="A2008" s="53" t="n">
        <v>45834</v>
      </c>
      <c r="B2008" t="inlineStr">
        <is>
          <t>2025-06-26</t>
        </is>
      </c>
      <c r="C2008" s="45" t="n">
        <v>35.63</v>
      </c>
      <c r="D2008" t="inlineStr">
        <is>
          <t>€/MWh</t>
        </is>
      </c>
      <c r="E2008" s="54" t="n">
        <v>0.03563</v>
      </c>
      <c r="F2008" s="54" t="n"/>
      <c r="G2008" t="inlineStr">
        <is>
          <t>no aplica (precio mayorista)</t>
        </is>
      </c>
      <c r="J2008" t="inlineStr">
        <is>
          <t>2025-06-26</t>
        </is>
      </c>
      <c r="K2008" t="inlineStr">
        <is>
          <t>MIBGAS_Data_2025.xlsx</t>
        </is>
      </c>
    </row>
    <row r="2009">
      <c r="A2009" s="53" t="n">
        <v>45835</v>
      </c>
      <c r="B2009" t="inlineStr">
        <is>
          <t>2025-06-27</t>
        </is>
      </c>
      <c r="C2009" s="45" t="n">
        <v>34.3</v>
      </c>
      <c r="D2009" t="inlineStr">
        <is>
          <t>€/MWh</t>
        </is>
      </c>
      <c r="E2009" s="54" t="n">
        <v>0.0343</v>
      </c>
      <c r="F2009" s="54" t="n"/>
      <c r="G2009" t="inlineStr">
        <is>
          <t>no aplica (precio mayorista)</t>
        </is>
      </c>
      <c r="J2009" t="inlineStr">
        <is>
          <t>2025-06-27</t>
        </is>
      </c>
      <c r="K2009" t="inlineStr">
        <is>
          <t>MIBGAS_Data_2025.xlsx</t>
        </is>
      </c>
    </row>
    <row r="2010">
      <c r="A2010" s="53" t="n">
        <v>45836</v>
      </c>
      <c r="B2010" t="inlineStr">
        <is>
          <t>2025-06-28</t>
        </is>
      </c>
      <c r="C2010" s="45" t="n">
        <v>33.49</v>
      </c>
      <c r="D2010" t="inlineStr">
        <is>
          <t>€/MWh</t>
        </is>
      </c>
      <c r="E2010" s="54" t="n">
        <v>0.03349</v>
      </c>
      <c r="F2010" s="54" t="n"/>
      <c r="G2010" t="inlineStr">
        <is>
          <t>no aplica (precio mayorista)</t>
        </is>
      </c>
      <c r="J2010" t="inlineStr">
        <is>
          <t>2025-06-28</t>
        </is>
      </c>
      <c r="K2010" t="inlineStr">
        <is>
          <t>MIBGAS_Data_2025.xlsx</t>
        </is>
      </c>
    </row>
    <row r="2011">
      <c r="A2011" s="53" t="n">
        <v>45837</v>
      </c>
      <c r="B2011" t="inlineStr">
        <is>
          <t>2025-06-29</t>
        </is>
      </c>
      <c r="C2011" s="45" t="n">
        <v>33.57</v>
      </c>
      <c r="D2011" t="inlineStr">
        <is>
          <t>€/MWh</t>
        </is>
      </c>
      <c r="E2011" s="54" t="n">
        <v>0.03357</v>
      </c>
      <c r="F2011" s="54" t="n"/>
      <c r="G2011" t="inlineStr">
        <is>
          <t>no aplica (precio mayorista)</t>
        </is>
      </c>
      <c r="J2011" t="inlineStr">
        <is>
          <t>2025-06-29</t>
        </is>
      </c>
      <c r="K2011" t="inlineStr">
        <is>
          <t>MIBGAS_Data_2025.xlsx</t>
        </is>
      </c>
    </row>
    <row r="2012">
      <c r="A2012" s="53" t="n">
        <v>45838</v>
      </c>
      <c r="B2012" t="inlineStr">
        <is>
          <t>2025-06-30</t>
        </is>
      </c>
      <c r="C2012" s="45" t="n">
        <v>33.87</v>
      </c>
      <c r="D2012" t="inlineStr">
        <is>
          <t>€/MWh</t>
        </is>
      </c>
      <c r="E2012" s="54" t="n">
        <v>0.03387</v>
      </c>
      <c r="F2012" s="54" t="n"/>
      <c r="G2012" t="inlineStr">
        <is>
          <t>no aplica (precio mayorista)</t>
        </is>
      </c>
      <c r="J2012" t="inlineStr">
        <is>
          <t>2025-06-30</t>
        </is>
      </c>
      <c r="K2012" t="inlineStr">
        <is>
          <t>MIBGAS_Data_2025.xlsx</t>
        </is>
      </c>
    </row>
    <row r="2013">
      <c r="A2013" s="53" t="n">
        <v>45839</v>
      </c>
      <c r="B2013" t="inlineStr">
        <is>
          <t>2025-07-01</t>
        </is>
      </c>
      <c r="C2013" s="45" t="n">
        <v>33.19</v>
      </c>
      <c r="D2013" t="inlineStr">
        <is>
          <t>€/MWh</t>
        </is>
      </c>
      <c r="E2013" s="54" t="n">
        <v>0.03319</v>
      </c>
      <c r="F2013" s="54" t="n"/>
      <c r="G2013" t="inlineStr">
        <is>
          <t>no aplica (precio mayorista)</t>
        </is>
      </c>
      <c r="J2013" t="inlineStr">
        <is>
          <t>2025-07-01</t>
        </is>
      </c>
      <c r="K2013" t="inlineStr">
        <is>
          <t>MIBGAS_Data_2025.xlsx</t>
        </is>
      </c>
    </row>
    <row r="2014">
      <c r="A2014" s="53" t="n">
        <v>45840</v>
      </c>
      <c r="B2014" t="inlineStr">
        <is>
          <t>2025-07-02</t>
        </is>
      </c>
      <c r="C2014" s="45" t="n">
        <v>33.88</v>
      </c>
      <c r="D2014" t="inlineStr">
        <is>
          <t>€/MWh</t>
        </is>
      </c>
      <c r="E2014" s="54" t="n">
        <v>0.03388</v>
      </c>
      <c r="F2014" s="54" t="n"/>
      <c r="G2014" t="inlineStr">
        <is>
          <t>no aplica (precio mayorista)</t>
        </is>
      </c>
      <c r="J2014" t="inlineStr">
        <is>
          <t>2025-07-02</t>
        </is>
      </c>
      <c r="K2014" t="inlineStr">
        <is>
          <t>MIBGAS_Data_2025.xlsx</t>
        </is>
      </c>
    </row>
    <row r="2015">
      <c r="A2015" s="53" t="n">
        <v>45841</v>
      </c>
      <c r="B2015" t="inlineStr">
        <is>
          <t>2025-07-03</t>
        </is>
      </c>
      <c r="C2015" s="45" t="n">
        <v>33.67</v>
      </c>
      <c r="D2015" t="inlineStr">
        <is>
          <t>€/MWh</t>
        </is>
      </c>
      <c r="E2015" s="54" t="n">
        <v>0.03367</v>
      </c>
      <c r="F2015" s="54" t="n"/>
      <c r="G2015" t="inlineStr">
        <is>
          <t>no aplica (precio mayorista)</t>
        </is>
      </c>
      <c r="J2015" t="inlineStr">
        <is>
          <t>2025-07-03</t>
        </is>
      </c>
      <c r="K2015" t="inlineStr">
        <is>
          <t>MIBGAS_Data_2025.xlsx</t>
        </is>
      </c>
    </row>
    <row r="2016">
      <c r="A2016" s="53" t="n">
        <v>45842</v>
      </c>
      <c r="B2016" t="inlineStr">
        <is>
          <t>2025-07-04</t>
        </is>
      </c>
      <c r="C2016" s="45" t="n">
        <v>33.81</v>
      </c>
      <c r="D2016" t="inlineStr">
        <is>
          <t>€/MWh</t>
        </is>
      </c>
      <c r="E2016" s="54" t="n">
        <v>0.03381</v>
      </c>
      <c r="F2016" s="54" t="n"/>
      <c r="G2016" t="inlineStr">
        <is>
          <t>no aplica (precio mayorista)</t>
        </is>
      </c>
      <c r="J2016" t="inlineStr">
        <is>
          <t>2025-07-04</t>
        </is>
      </c>
      <c r="K2016" t="inlineStr">
        <is>
          <t>MIBGAS_Data_2025.xlsx</t>
        </is>
      </c>
    </row>
    <row r="2017">
      <c r="A2017" s="53" t="n">
        <v>45843</v>
      </c>
      <c r="B2017" t="inlineStr">
        <is>
          <t>2025-07-05</t>
        </is>
      </c>
      <c r="C2017" s="45" t="n">
        <v>33.39</v>
      </c>
      <c r="D2017" t="inlineStr">
        <is>
          <t>€/MWh</t>
        </is>
      </c>
      <c r="E2017" s="54" t="n">
        <v>0.03339</v>
      </c>
      <c r="F2017" s="54" t="n"/>
      <c r="G2017" t="inlineStr">
        <is>
          <t>no aplica (precio mayorista)</t>
        </is>
      </c>
      <c r="J2017" t="inlineStr">
        <is>
          <t>2025-07-05</t>
        </is>
      </c>
      <c r="K2017" t="inlineStr">
        <is>
          <t>MIBGAS_Data_2025.xlsx</t>
        </is>
      </c>
    </row>
    <row r="2018">
      <c r="A2018" s="53" t="n">
        <v>45844</v>
      </c>
      <c r="B2018" t="inlineStr">
        <is>
          <t>2025-07-06</t>
        </is>
      </c>
      <c r="C2018" s="45" t="n">
        <v>33.42</v>
      </c>
      <c r="D2018" t="inlineStr">
        <is>
          <t>€/MWh</t>
        </is>
      </c>
      <c r="E2018" s="54" t="n">
        <v>0.03342</v>
      </c>
      <c r="F2018" s="54" t="n"/>
      <c r="G2018" t="inlineStr">
        <is>
          <t>no aplica (precio mayorista)</t>
        </is>
      </c>
      <c r="J2018" t="inlineStr">
        <is>
          <t>2025-07-06</t>
        </is>
      </c>
      <c r="K2018" t="inlineStr">
        <is>
          <t>MIBGAS_Data_2025.xlsx</t>
        </is>
      </c>
    </row>
    <row r="2019">
      <c r="A2019" s="53" t="n">
        <v>45845</v>
      </c>
      <c r="B2019" t="inlineStr">
        <is>
          <t>2025-07-07</t>
        </is>
      </c>
      <c r="C2019" s="45" t="n">
        <v>33.37</v>
      </c>
      <c r="D2019" t="inlineStr">
        <is>
          <t>€/MWh</t>
        </is>
      </c>
      <c r="E2019" s="54" t="n">
        <v>0.03337</v>
      </c>
      <c r="F2019" s="54" t="n"/>
      <c r="G2019" t="inlineStr">
        <is>
          <t>no aplica (precio mayorista)</t>
        </is>
      </c>
      <c r="J2019" t="inlineStr">
        <is>
          <t>2025-07-07</t>
        </is>
      </c>
      <c r="K2019" t="inlineStr">
        <is>
          <t>MIBGAS_Data_2025.xlsx</t>
        </is>
      </c>
    </row>
    <row r="2020">
      <c r="A2020" s="53" t="n">
        <v>45846</v>
      </c>
      <c r="B2020" t="inlineStr">
        <is>
          <t>2025-07-08</t>
        </is>
      </c>
      <c r="C2020" s="45" t="n">
        <v>33.75</v>
      </c>
      <c r="D2020" t="inlineStr">
        <is>
          <t>€/MWh</t>
        </is>
      </c>
      <c r="E2020" s="54" t="n">
        <v>0.03375</v>
      </c>
      <c r="F2020" s="54" t="n"/>
      <c r="G2020" t="inlineStr">
        <is>
          <t>no aplica (precio mayorista)</t>
        </is>
      </c>
      <c r="J2020" t="inlineStr">
        <is>
          <t>2025-07-08</t>
        </is>
      </c>
      <c r="K2020" t="inlineStr">
        <is>
          <t>MIBGAS_Data_2025.xlsx</t>
        </is>
      </c>
    </row>
    <row r="2021">
      <c r="A2021" s="53" t="n">
        <v>45847</v>
      </c>
      <c r="B2021" t="inlineStr">
        <is>
          <t>2025-07-09</t>
        </is>
      </c>
      <c r="C2021" s="45" t="n">
        <v>34.27</v>
      </c>
      <c r="D2021" t="inlineStr">
        <is>
          <t>€/MWh</t>
        </is>
      </c>
      <c r="E2021" s="54" t="n">
        <v>0.03427</v>
      </c>
      <c r="F2021" s="54" t="n"/>
      <c r="G2021" t="inlineStr">
        <is>
          <t>no aplica (precio mayorista)</t>
        </is>
      </c>
      <c r="J2021" t="inlineStr">
        <is>
          <t>2025-07-09</t>
        </is>
      </c>
      <c r="K2021" t="inlineStr">
        <is>
          <t>MIBGAS_Data_2025.xlsx</t>
        </is>
      </c>
    </row>
    <row r="2022">
      <c r="A2022" s="53" t="n">
        <v>45848</v>
      </c>
      <c r="B2022" t="inlineStr">
        <is>
          <t>2025-07-10</t>
        </is>
      </c>
      <c r="C2022" s="45" t="n">
        <v>34.82</v>
      </c>
      <c r="D2022" t="inlineStr">
        <is>
          <t>€/MWh</t>
        </is>
      </c>
      <c r="E2022" s="54" t="n">
        <v>0.03482</v>
      </c>
      <c r="F2022" s="54" t="n"/>
      <c r="G2022" t="inlineStr">
        <is>
          <t>no aplica (precio mayorista)</t>
        </is>
      </c>
      <c r="J2022" t="inlineStr">
        <is>
          <t>2025-07-10</t>
        </is>
      </c>
      <c r="K2022" t="inlineStr">
        <is>
          <t>MIBGAS_Data_2025.xlsx</t>
        </is>
      </c>
    </row>
    <row r="2023">
      <c r="A2023" s="53" t="n">
        <v>45849</v>
      </c>
      <c r="B2023" t="inlineStr">
        <is>
          <t>2025-07-11</t>
        </is>
      </c>
      <c r="C2023" s="45" t="n">
        <v>35.06</v>
      </c>
      <c r="D2023" t="inlineStr">
        <is>
          <t>€/MWh</t>
        </is>
      </c>
      <c r="E2023" s="54" t="n">
        <v>0.03506</v>
      </c>
      <c r="F2023" s="54" t="n"/>
      <c r="G2023" t="inlineStr">
        <is>
          <t>no aplica (precio mayorista)</t>
        </is>
      </c>
      <c r="J2023" t="inlineStr">
        <is>
          <t>2025-07-11</t>
        </is>
      </c>
      <c r="K2023" t="inlineStr">
        <is>
          <t>MIBGAS_Data_2025.xlsx</t>
        </is>
      </c>
    </row>
    <row r="2024">
      <c r="A2024" s="53" t="n">
        <v>45850</v>
      </c>
      <c r="B2024" t="inlineStr">
        <is>
          <t>2025-07-12</t>
        </is>
      </c>
      <c r="C2024" s="45" t="n">
        <v>35.49</v>
      </c>
      <c r="D2024" t="inlineStr">
        <is>
          <t>€/MWh</t>
        </is>
      </c>
      <c r="E2024" s="54" t="n">
        <v>0.03549</v>
      </c>
      <c r="F2024" s="54" t="n"/>
      <c r="G2024" t="inlineStr">
        <is>
          <t>no aplica (precio mayorista)</t>
        </is>
      </c>
      <c r="J2024" t="inlineStr">
        <is>
          <t>2025-07-12</t>
        </is>
      </c>
      <c r="K2024" t="inlineStr">
        <is>
          <t>MIBGAS_Data_2025.xlsx</t>
        </is>
      </c>
    </row>
    <row r="2025">
      <c r="A2025" s="53" t="n">
        <v>45851</v>
      </c>
      <c r="B2025" t="inlineStr">
        <is>
          <t>2025-07-13</t>
        </is>
      </c>
      <c r="C2025" s="45" t="n">
        <v>35.58</v>
      </c>
      <c r="D2025" t="inlineStr">
        <is>
          <t>€/MWh</t>
        </is>
      </c>
      <c r="E2025" s="54" t="n">
        <v>0.03558</v>
      </c>
      <c r="F2025" s="54" t="n"/>
      <c r="G2025" t="inlineStr">
        <is>
          <t>no aplica (precio mayorista)</t>
        </is>
      </c>
      <c r="J2025" t="inlineStr">
        <is>
          <t>2025-07-13</t>
        </is>
      </c>
      <c r="K2025" t="inlineStr">
        <is>
          <t>MIBGAS_Data_2025.xlsx</t>
        </is>
      </c>
    </row>
    <row r="2026">
      <c r="A2026" s="53" t="n">
        <v>45852</v>
      </c>
      <c r="B2026" t="inlineStr">
        <is>
          <t>2025-07-14</t>
        </is>
      </c>
      <c r="C2026" s="45" t="n">
        <v>35.64</v>
      </c>
      <c r="D2026" t="inlineStr">
        <is>
          <t>€/MWh</t>
        </is>
      </c>
      <c r="E2026" s="54" t="n">
        <v>0.03564</v>
      </c>
      <c r="F2026" s="54" t="n"/>
      <c r="G2026" t="inlineStr">
        <is>
          <t>no aplica (precio mayorista)</t>
        </is>
      </c>
      <c r="J2026" t="inlineStr">
        <is>
          <t>2025-07-14</t>
        </is>
      </c>
      <c r="K2026" t="inlineStr">
        <is>
          <t>MIBGAS_Data_2025.xlsx</t>
        </is>
      </c>
    </row>
    <row r="2027">
      <c r="A2027" s="53" t="n">
        <v>45853</v>
      </c>
      <c r="B2027" t="inlineStr">
        <is>
          <t>2025-07-15</t>
        </is>
      </c>
      <c r="C2027" s="45" t="n">
        <v>35.44</v>
      </c>
      <c r="D2027" t="inlineStr">
        <is>
          <t>€/MWh</t>
        </is>
      </c>
      <c r="E2027" s="54" t="n">
        <v>0.03544</v>
      </c>
      <c r="F2027" s="54" t="n"/>
      <c r="G2027" t="inlineStr">
        <is>
          <t>no aplica (precio mayorista)</t>
        </is>
      </c>
      <c r="J2027" t="inlineStr">
        <is>
          <t>2025-07-15</t>
        </is>
      </c>
      <c r="K2027" t="inlineStr">
        <is>
          <t>MIBGAS_Data_2025.xlsx</t>
        </is>
      </c>
    </row>
    <row r="2028">
      <c r="A2028" s="53" t="n">
        <v>45854</v>
      </c>
      <c r="B2028" t="inlineStr">
        <is>
          <t>2025-07-16</t>
        </is>
      </c>
      <c r="C2028" s="45" t="n">
        <v>34.93</v>
      </c>
      <c r="D2028" t="inlineStr">
        <is>
          <t>€/MWh</t>
        </is>
      </c>
      <c r="E2028" s="54" t="n">
        <v>0.03493</v>
      </c>
      <c r="F2028" s="54" t="n"/>
      <c r="G2028" t="inlineStr">
        <is>
          <t>no aplica (precio mayorista)</t>
        </is>
      </c>
      <c r="J2028" t="inlineStr">
        <is>
          <t>2025-07-16</t>
        </is>
      </c>
      <c r="K2028" t="inlineStr">
        <is>
          <t>MIBGAS_Data_2025.xlsx</t>
        </is>
      </c>
    </row>
    <row r="2029">
      <c r="A2029" s="53" t="n">
        <v>45855</v>
      </c>
      <c r="B2029" t="inlineStr">
        <is>
          <t>2025-07-17</t>
        </is>
      </c>
      <c r="C2029" s="45" t="n">
        <v>34.85</v>
      </c>
      <c r="D2029" t="inlineStr">
        <is>
          <t>€/MWh</t>
        </is>
      </c>
      <c r="E2029" s="54" t="n">
        <v>0.03485</v>
      </c>
      <c r="F2029" s="54" t="n"/>
      <c r="G2029" t="inlineStr">
        <is>
          <t>no aplica (precio mayorista)</t>
        </is>
      </c>
      <c r="J2029" t="inlineStr">
        <is>
          <t>2025-07-17</t>
        </is>
      </c>
      <c r="K2029" t="inlineStr">
        <is>
          <t>MIBGAS_Data_2025.xlsx</t>
        </is>
      </c>
    </row>
    <row r="2030">
      <c r="A2030" s="53" t="n">
        <v>45856</v>
      </c>
      <c r="B2030" t="inlineStr">
        <is>
          <t>2025-07-18</t>
        </is>
      </c>
      <c r="C2030" s="45" t="n">
        <v>34.67</v>
      </c>
      <c r="D2030" t="inlineStr">
        <is>
          <t>€/MWh</t>
        </is>
      </c>
      <c r="E2030" s="54" t="n">
        <v>0.03467</v>
      </c>
      <c r="F2030" s="54" t="n"/>
      <c r="G2030" t="inlineStr">
        <is>
          <t>no aplica (precio mayorista)</t>
        </is>
      </c>
      <c r="J2030" t="inlineStr">
        <is>
          <t>2025-07-18</t>
        </is>
      </c>
      <c r="K2030" t="inlineStr">
        <is>
          <t>MIBGAS_Data_2025.xlsx</t>
        </is>
      </c>
    </row>
    <row r="2031">
      <c r="A2031" s="53" t="n">
        <v>45857</v>
      </c>
      <c r="B2031" t="inlineStr">
        <is>
          <t>2025-07-19</t>
        </is>
      </c>
      <c r="C2031" s="45" t="n">
        <v>34.14</v>
      </c>
      <c r="D2031" t="inlineStr">
        <is>
          <t>€/MWh</t>
        </is>
      </c>
      <c r="E2031" s="54" t="n">
        <v>0.03414</v>
      </c>
      <c r="F2031" s="54" t="n"/>
      <c r="G2031" t="inlineStr">
        <is>
          <t>no aplica (precio mayorista)</t>
        </is>
      </c>
      <c r="J2031" t="inlineStr">
        <is>
          <t>2025-07-19</t>
        </is>
      </c>
      <c r="K2031" t="inlineStr">
        <is>
          <t>MIBGAS_Data_2025.xlsx</t>
        </is>
      </c>
    </row>
    <row r="2032">
      <c r="A2032" s="53" t="n">
        <v>45858</v>
      </c>
      <c r="B2032" t="inlineStr">
        <is>
          <t>2025-07-20</t>
        </is>
      </c>
      <c r="C2032" s="45" t="n">
        <v>33.74</v>
      </c>
      <c r="D2032" t="inlineStr">
        <is>
          <t>€/MWh</t>
        </is>
      </c>
      <c r="E2032" s="54" t="n">
        <v>0.03374</v>
      </c>
      <c r="F2032" s="54" t="n"/>
      <c r="G2032" t="inlineStr">
        <is>
          <t>no aplica (precio mayorista)</t>
        </is>
      </c>
      <c r="J2032" t="inlineStr">
        <is>
          <t>2025-07-20</t>
        </is>
      </c>
      <c r="K2032" t="inlineStr">
        <is>
          <t>MIBGAS_Data_2025.xlsx</t>
        </is>
      </c>
    </row>
    <row r="2033">
      <c r="A2033" s="53" t="n">
        <v>45859</v>
      </c>
      <c r="B2033" t="inlineStr">
        <is>
          <t>2025-07-21</t>
        </is>
      </c>
      <c r="C2033" s="45" t="n">
        <v>33.92</v>
      </c>
      <c r="D2033" t="inlineStr">
        <is>
          <t>€/MWh</t>
        </is>
      </c>
      <c r="E2033" s="54" t="n">
        <v>0.03392</v>
      </c>
      <c r="F2033" s="54" t="n"/>
      <c r="G2033" t="inlineStr">
        <is>
          <t>no aplica (precio mayorista)</t>
        </is>
      </c>
      <c r="J2033" t="inlineStr">
        <is>
          <t>2025-07-21</t>
        </is>
      </c>
      <c r="K2033" t="inlineStr">
        <is>
          <t>MIBGAS_Data_2025.xlsx</t>
        </is>
      </c>
    </row>
    <row r="2034">
      <c r="A2034" s="53" t="n">
        <v>45860</v>
      </c>
      <c r="B2034" t="inlineStr">
        <is>
          <t>2025-07-22</t>
        </is>
      </c>
      <c r="C2034" s="45" t="n">
        <v>33.36</v>
      </c>
      <c r="D2034" t="inlineStr">
        <is>
          <t>€/MWh</t>
        </is>
      </c>
      <c r="E2034" s="54" t="n">
        <v>0.03336</v>
      </c>
      <c r="F2034" s="54" t="n"/>
      <c r="G2034" t="inlineStr">
        <is>
          <t>no aplica (precio mayorista)</t>
        </is>
      </c>
      <c r="J2034" t="inlineStr">
        <is>
          <t>2025-07-22</t>
        </is>
      </c>
      <c r="K2034" t="inlineStr">
        <is>
          <t>MIBGAS_Data_2025.xlsx</t>
        </is>
      </c>
    </row>
    <row r="2035">
      <c r="A2035" s="53" t="n">
        <v>45861</v>
      </c>
      <c r="B2035" t="inlineStr">
        <is>
          <t>2025-07-23</t>
        </is>
      </c>
      <c r="C2035" s="45" t="n">
        <v>33.15</v>
      </c>
      <c r="D2035" t="inlineStr">
        <is>
          <t>€/MWh</t>
        </is>
      </c>
      <c r="E2035" s="54" t="n">
        <v>0.03315</v>
      </c>
      <c r="F2035" s="54" t="n"/>
      <c r="G2035" t="inlineStr">
        <is>
          <t>no aplica (precio mayorista)</t>
        </is>
      </c>
      <c r="J2035" t="inlineStr">
        <is>
          <t>2025-07-23</t>
        </is>
      </c>
      <c r="K2035" t="inlineStr">
        <is>
          <t>MIBGAS_Data_2025.xlsx</t>
        </is>
      </c>
    </row>
    <row r="2036">
      <c r="A2036" s="53" t="n">
        <v>45862</v>
      </c>
      <c r="B2036" t="inlineStr">
        <is>
          <t>2025-07-24</t>
        </is>
      </c>
      <c r="C2036" s="45" t="n">
        <v>32.94</v>
      </c>
      <c r="D2036" t="inlineStr">
        <is>
          <t>€/MWh</t>
        </is>
      </c>
      <c r="E2036" s="54" t="n">
        <v>0.03294</v>
      </c>
      <c r="F2036" s="54" t="n"/>
      <c r="G2036" t="inlineStr">
        <is>
          <t>no aplica (precio mayorista)</t>
        </is>
      </c>
      <c r="J2036" t="inlineStr">
        <is>
          <t>2025-07-24</t>
        </is>
      </c>
      <c r="K2036" t="inlineStr">
        <is>
          <t>MIBGAS_Data_2025.xlsx</t>
        </is>
      </c>
    </row>
    <row r="2037">
      <c r="A2037" s="53" t="n">
        <v>45863</v>
      </c>
      <c r="B2037" t="inlineStr">
        <is>
          <t>2025-07-25</t>
        </is>
      </c>
      <c r="C2037" s="45" t="n">
        <v>32.43</v>
      </c>
      <c r="D2037" t="inlineStr">
        <is>
          <t>€/MWh</t>
        </is>
      </c>
      <c r="E2037" s="54" t="n">
        <v>0.03243</v>
      </c>
      <c r="F2037" s="54" t="n"/>
      <c r="G2037" t="inlineStr">
        <is>
          <t>no aplica (precio mayorista)</t>
        </is>
      </c>
      <c r="J2037" t="inlineStr">
        <is>
          <t>2025-07-25</t>
        </is>
      </c>
      <c r="K2037" t="inlineStr">
        <is>
          <t>MIBGAS_Data_2025.xlsx</t>
        </is>
      </c>
    </row>
    <row r="2038">
      <c r="A2038" s="53" t="n">
        <v>45864</v>
      </c>
      <c r="B2038" t="inlineStr">
        <is>
          <t>2025-07-26</t>
        </is>
      </c>
      <c r="C2038" s="45" t="n">
        <v>32.4</v>
      </c>
      <c r="D2038" t="inlineStr">
        <is>
          <t>€/MWh</t>
        </is>
      </c>
      <c r="E2038" s="54" t="n">
        <v>0.0324</v>
      </c>
      <c r="F2038" s="54" t="n"/>
      <c r="G2038" t="inlineStr">
        <is>
          <t>no aplica (precio mayorista)</t>
        </is>
      </c>
      <c r="J2038" t="inlineStr">
        <is>
          <t>2025-07-26</t>
        </is>
      </c>
      <c r="K2038" t="inlineStr">
        <is>
          <t>MIBGAS_Data_2025.xlsx</t>
        </is>
      </c>
    </row>
    <row r="2039">
      <c r="A2039" s="53" t="n">
        <v>45865</v>
      </c>
      <c r="B2039" t="inlineStr">
        <is>
          <t>2025-07-27</t>
        </is>
      </c>
      <c r="C2039" s="45" t="n">
        <v>32.41</v>
      </c>
      <c r="D2039" t="inlineStr">
        <is>
          <t>€/MWh</t>
        </is>
      </c>
      <c r="E2039" s="54" t="n">
        <v>0.03241</v>
      </c>
      <c r="F2039" s="54" t="n"/>
      <c r="G2039" t="inlineStr">
        <is>
          <t>no aplica (precio mayorista)</t>
        </is>
      </c>
      <c r="J2039" t="inlineStr">
        <is>
          <t>2025-07-27</t>
        </is>
      </c>
      <c r="K2039" t="inlineStr">
        <is>
          <t>MIBGAS_Data_2025.xlsx</t>
        </is>
      </c>
    </row>
    <row r="2040">
      <c r="A2040" s="53" t="n">
        <v>45866</v>
      </c>
      <c r="B2040" t="inlineStr">
        <is>
          <t>2025-07-28</t>
        </is>
      </c>
      <c r="C2040" s="45" t="n">
        <v>32.47</v>
      </c>
      <c r="D2040" t="inlineStr">
        <is>
          <t>€/MWh</t>
        </is>
      </c>
      <c r="E2040" s="54" t="n">
        <v>0.03247</v>
      </c>
      <c r="F2040" s="54" t="n"/>
      <c r="G2040" t="inlineStr">
        <is>
          <t>no aplica (precio mayorista)</t>
        </is>
      </c>
      <c r="J2040" t="inlineStr">
        <is>
          <t>2025-07-28</t>
        </is>
      </c>
      <c r="K2040" t="inlineStr">
        <is>
          <t>MIBGAS_Data_2025.xlsx</t>
        </is>
      </c>
    </row>
    <row r="2041">
      <c r="A2041" s="53" t="n">
        <v>45867</v>
      </c>
      <c r="B2041" t="inlineStr">
        <is>
          <t>2025-07-29</t>
        </is>
      </c>
      <c r="C2041" s="45" t="n">
        <v>32.74</v>
      </c>
      <c r="D2041" t="inlineStr">
        <is>
          <t>€/MWh</t>
        </is>
      </c>
      <c r="E2041" s="54" t="n">
        <v>0.03274</v>
      </c>
      <c r="F2041" s="54" t="n"/>
      <c r="G2041" t="inlineStr">
        <is>
          <t>no aplica (precio mayorista)</t>
        </is>
      </c>
      <c r="J2041" t="inlineStr">
        <is>
          <t>2025-07-29</t>
        </is>
      </c>
      <c r="K2041" t="inlineStr">
        <is>
          <t>MIBGAS_Data_2025.xlsx</t>
        </is>
      </c>
    </row>
    <row r="2042">
      <c r="A2042" s="53" t="n">
        <v>45868</v>
      </c>
      <c r="B2042" t="inlineStr">
        <is>
          <t>2025-07-30</t>
        </is>
      </c>
      <c r="C2042" s="45" t="n">
        <v>33.95</v>
      </c>
      <c r="D2042" t="inlineStr">
        <is>
          <t>€/MWh</t>
        </is>
      </c>
      <c r="E2042" s="54" t="n">
        <v>0.03395</v>
      </c>
      <c r="F2042" s="54" t="n"/>
      <c r="G2042" t="inlineStr">
        <is>
          <t>no aplica (precio mayorista)</t>
        </is>
      </c>
      <c r="J2042" t="inlineStr">
        <is>
          <t>2025-07-30</t>
        </is>
      </c>
      <c r="K2042" t="inlineStr">
        <is>
          <t>MIBGAS_Data_2025.xlsx</t>
        </is>
      </c>
    </row>
    <row r="2043">
      <c r="A2043" s="53" t="n">
        <v>45869</v>
      </c>
      <c r="B2043" t="inlineStr">
        <is>
          <t>2025-07-31</t>
        </is>
      </c>
      <c r="C2043" s="45" t="n">
        <v>34.45</v>
      </c>
      <c r="D2043" t="inlineStr">
        <is>
          <t>€/MWh</t>
        </is>
      </c>
      <c r="E2043" s="54" t="n">
        <v>0.03445</v>
      </c>
      <c r="F2043" s="54" t="n"/>
      <c r="G2043" t="inlineStr">
        <is>
          <t>no aplica (precio mayorista)</t>
        </is>
      </c>
      <c r="J2043" t="inlineStr">
        <is>
          <t>2025-07-31</t>
        </is>
      </c>
      <c r="K2043" t="inlineStr">
        <is>
          <t>MIBGAS_Data_2025.xlsx</t>
        </is>
      </c>
    </row>
    <row r="2044">
      <c r="A2044" s="53" t="n">
        <v>45870</v>
      </c>
      <c r="B2044" t="inlineStr">
        <is>
          <t>2025-08-01</t>
        </is>
      </c>
      <c r="C2044" s="45" t="n">
        <v>34.81</v>
      </c>
      <c r="D2044" t="inlineStr">
        <is>
          <t>€/MWh</t>
        </is>
      </c>
      <c r="E2044" s="54" t="n">
        <v>0.03481</v>
      </c>
      <c r="F2044" s="54" t="n"/>
      <c r="G2044" t="inlineStr">
        <is>
          <t>no aplica (precio mayorista)</t>
        </is>
      </c>
      <c r="J2044" t="inlineStr">
        <is>
          <t>2025-08-01</t>
        </is>
      </c>
      <c r="K2044" t="inlineStr">
        <is>
          <t>MIBGAS_Data_2025.xlsx</t>
        </is>
      </c>
    </row>
    <row r="2045">
      <c r="A2045" s="53" t="n">
        <v>45871</v>
      </c>
      <c r="B2045" t="inlineStr">
        <is>
          <t>2025-08-02</t>
        </is>
      </c>
      <c r="C2045" s="45" t="n">
        <v>34.29</v>
      </c>
      <c r="D2045" t="inlineStr">
        <is>
          <t>€/MWh</t>
        </is>
      </c>
      <c r="E2045" s="54" t="n">
        <v>0.03429</v>
      </c>
      <c r="F2045" s="54" t="n"/>
      <c r="G2045" t="inlineStr">
        <is>
          <t>no aplica (precio mayorista)</t>
        </is>
      </c>
      <c r="J2045" t="inlineStr">
        <is>
          <t>2025-08-02</t>
        </is>
      </c>
      <c r="K2045" t="inlineStr">
        <is>
          <t>MIBGAS_Data_2025.xlsx</t>
        </is>
      </c>
    </row>
    <row r="2046">
      <c r="A2046" s="53" t="n">
        <v>45872</v>
      </c>
      <c r="B2046" t="inlineStr">
        <is>
          <t>2025-08-03</t>
        </is>
      </c>
      <c r="C2046" s="45" t="n">
        <v>34.16</v>
      </c>
      <c r="D2046" t="inlineStr">
        <is>
          <t>€/MWh</t>
        </is>
      </c>
      <c r="E2046" s="54" t="n">
        <v>0.03416</v>
      </c>
      <c r="F2046" s="54" t="n"/>
      <c r="G2046" t="inlineStr">
        <is>
          <t>no aplica (precio mayorista)</t>
        </is>
      </c>
      <c r="J2046" t="inlineStr">
        <is>
          <t>2025-08-03</t>
        </is>
      </c>
      <c r="K2046" t="inlineStr">
        <is>
          <t>MIBGAS_Data_2025.xlsx</t>
        </is>
      </c>
    </row>
    <row r="2047">
      <c r="A2047" s="53" t="n">
        <v>45873</v>
      </c>
      <c r="B2047" t="inlineStr">
        <is>
          <t>2025-08-04</t>
        </is>
      </c>
      <c r="C2047" s="45" t="n">
        <v>34.16</v>
      </c>
      <c r="D2047" t="inlineStr">
        <is>
          <t>€/MWh</t>
        </is>
      </c>
      <c r="E2047" s="54" t="n">
        <v>0.03416</v>
      </c>
      <c r="F2047" s="54" t="n"/>
      <c r="G2047" t="inlineStr">
        <is>
          <t>no aplica (precio mayorista)</t>
        </is>
      </c>
      <c r="J2047" t="inlineStr">
        <is>
          <t>2025-08-04</t>
        </is>
      </c>
      <c r="K2047" t="inlineStr">
        <is>
          <t>MIBGAS_Data_2025.xlsx</t>
        </is>
      </c>
    </row>
    <row r="2048">
      <c r="A2048" s="53" t="n">
        <v>45874</v>
      </c>
      <c r="B2048" t="inlineStr">
        <is>
          <t>2025-08-05</t>
        </is>
      </c>
      <c r="C2048" s="45" t="n">
        <v>33.92</v>
      </c>
      <c r="D2048" t="inlineStr">
        <is>
          <t>€/MWh</t>
        </is>
      </c>
      <c r="E2048" s="54" t="n">
        <v>0.03392</v>
      </c>
      <c r="F2048" s="54" t="n"/>
      <c r="G2048" t="inlineStr">
        <is>
          <t>no aplica (precio mayorista)</t>
        </is>
      </c>
      <c r="J2048" t="inlineStr">
        <is>
          <t>2025-08-05</t>
        </is>
      </c>
      <c r="K2048" t="inlineStr">
        <is>
          <t>MIBGAS_Data_2025.xlsx</t>
        </is>
      </c>
    </row>
    <row r="2049">
      <c r="A2049" s="53" t="n">
        <v>45875</v>
      </c>
      <c r="B2049" t="inlineStr">
        <is>
          <t>2025-08-06</t>
        </is>
      </c>
      <c r="C2049" s="45" t="n">
        <v>34.17</v>
      </c>
      <c r="D2049" t="inlineStr">
        <is>
          <t>€/MWh</t>
        </is>
      </c>
      <c r="E2049" s="54" t="n">
        <v>0.03417</v>
      </c>
      <c r="F2049" s="54" t="n"/>
      <c r="G2049" t="inlineStr">
        <is>
          <t>no aplica (precio mayorista)</t>
        </is>
      </c>
      <c r="J2049" t="inlineStr">
        <is>
          <t>2025-08-06</t>
        </is>
      </c>
      <c r="K2049" t="inlineStr">
        <is>
          <t>MIBGAS_Data_2025.xlsx</t>
        </is>
      </c>
    </row>
    <row r="2050">
      <c r="A2050" s="53" t="n">
        <v>45876</v>
      </c>
      <c r="B2050" t="inlineStr">
        <is>
          <t>2025-08-07</t>
        </is>
      </c>
      <c r="C2050" s="45" t="n">
        <v>33.5</v>
      </c>
      <c r="D2050" t="inlineStr">
        <is>
          <t>€/MWh</t>
        </is>
      </c>
      <c r="E2050" s="54" t="n">
        <v>0.0335</v>
      </c>
      <c r="F2050" s="54" t="n"/>
      <c r="G2050" t="inlineStr">
        <is>
          <t>no aplica (precio mayorista)</t>
        </is>
      </c>
      <c r="J2050" t="inlineStr">
        <is>
          <t>2025-08-07</t>
        </is>
      </c>
      <c r="K2050" t="inlineStr">
        <is>
          <t>MIBGAS_Data_2025.xlsx</t>
        </is>
      </c>
    </row>
    <row r="2051">
      <c r="A2051" s="53" t="n">
        <v>45877</v>
      </c>
      <c r="B2051" t="inlineStr">
        <is>
          <t>2025-08-08</t>
        </is>
      </c>
      <c r="C2051" s="45" t="n">
        <v>32.92</v>
      </c>
      <c r="D2051" t="inlineStr">
        <is>
          <t>€/MWh</t>
        </is>
      </c>
      <c r="E2051" s="54" t="n">
        <v>0.03292</v>
      </c>
      <c r="F2051" s="54" t="n"/>
      <c r="G2051" t="inlineStr">
        <is>
          <t>no aplica (precio mayorista)</t>
        </is>
      </c>
      <c r="J2051" t="inlineStr">
        <is>
          <t>2025-08-08</t>
        </is>
      </c>
      <c r="K2051" t="inlineStr">
        <is>
          <t>MIBGAS_Data_2025.xlsx</t>
        </is>
      </c>
    </row>
    <row r="2052">
      <c r="A2052" s="53" t="n">
        <v>45878</v>
      </c>
      <c r="B2052" t="inlineStr">
        <is>
          <t>2025-08-09</t>
        </is>
      </c>
      <c r="C2052" s="45" t="n">
        <v>32.7</v>
      </c>
      <c r="D2052" t="inlineStr">
        <is>
          <t>€/MWh</t>
        </is>
      </c>
      <c r="E2052" s="54" t="n">
        <v>0.0327</v>
      </c>
      <c r="F2052" s="54" t="n"/>
      <c r="G2052" t="inlineStr">
        <is>
          <t>no aplica (precio mayorista)</t>
        </is>
      </c>
      <c r="J2052" t="inlineStr">
        <is>
          <t>2025-08-09</t>
        </is>
      </c>
      <c r="K2052" t="inlineStr">
        <is>
          <t>MIBGAS_Data_2025.xlsx</t>
        </is>
      </c>
    </row>
    <row r="2053">
      <c r="A2053" s="53" t="n">
        <v>45879</v>
      </c>
      <c r="B2053" t="inlineStr">
        <is>
          <t>2025-08-10</t>
        </is>
      </c>
      <c r="C2053" s="45" t="n">
        <v>32.66</v>
      </c>
      <c r="D2053" t="inlineStr">
        <is>
          <t>€/MWh</t>
        </is>
      </c>
      <c r="E2053" s="54" t="n">
        <v>0.03266</v>
      </c>
      <c r="F2053" s="54" t="n"/>
      <c r="G2053" t="inlineStr">
        <is>
          <t>no aplica (precio mayorista)</t>
        </is>
      </c>
      <c r="J2053" t="inlineStr">
        <is>
          <t>2025-08-10</t>
        </is>
      </c>
      <c r="K2053" t="inlineStr">
        <is>
          <t>MIBGAS_Data_2025.xlsx</t>
        </is>
      </c>
    </row>
    <row r="2054">
      <c r="A2054" s="53" t="n">
        <v>45880</v>
      </c>
      <c r="B2054" t="inlineStr">
        <is>
          <t>2025-08-11</t>
        </is>
      </c>
      <c r="C2054" s="45" t="n">
        <v>32.73</v>
      </c>
      <c r="D2054" t="inlineStr">
        <is>
          <t>€/MWh</t>
        </is>
      </c>
      <c r="E2054" s="54" t="n">
        <v>0.03273</v>
      </c>
      <c r="F2054" s="54" t="n"/>
      <c r="G2054" t="inlineStr">
        <is>
          <t>no aplica (precio mayorista)</t>
        </is>
      </c>
      <c r="J2054" t="inlineStr">
        <is>
          <t>2025-08-11</t>
        </is>
      </c>
      <c r="K2054" t="inlineStr">
        <is>
          <t>MIBGAS_Data_2025.xlsx</t>
        </is>
      </c>
    </row>
    <row r="2055">
      <c r="A2055" s="53" t="n">
        <v>45881</v>
      </c>
      <c r="B2055" t="inlineStr">
        <is>
          <t>2025-08-12</t>
        </is>
      </c>
      <c r="C2055" s="45" t="n">
        <v>32.72</v>
      </c>
      <c r="D2055" t="inlineStr">
        <is>
          <t>€/MWh</t>
        </is>
      </c>
      <c r="E2055" s="54" t="n">
        <v>0.03272</v>
      </c>
      <c r="F2055" s="54" t="n"/>
      <c r="G2055" t="inlineStr">
        <is>
          <t>no aplica (precio mayorista)</t>
        </is>
      </c>
      <c r="J2055" t="inlineStr">
        <is>
          <t>2025-08-12</t>
        </is>
      </c>
      <c r="K2055" t="inlineStr">
        <is>
          <t>MIBGAS_Data_2025.xlsx</t>
        </is>
      </c>
    </row>
    <row r="2056">
      <c r="A2056" s="53" t="n">
        <v>45882</v>
      </c>
      <c r="B2056" t="inlineStr">
        <is>
          <t>2025-08-13</t>
        </is>
      </c>
      <c r="C2056" s="45" t="n">
        <v>32.5</v>
      </c>
      <c r="D2056" t="inlineStr">
        <is>
          <t>€/MWh</t>
        </is>
      </c>
      <c r="E2056" s="54" t="n">
        <v>0.0325</v>
      </c>
      <c r="F2056" s="54" t="n"/>
      <c r="G2056" t="inlineStr">
        <is>
          <t>no aplica (precio mayorista)</t>
        </is>
      </c>
      <c r="J2056" t="inlineStr">
        <is>
          <t>2025-08-13</t>
        </is>
      </c>
      <c r="K2056" t="inlineStr">
        <is>
          <t>MIBGAS_Data_2025.xlsx</t>
        </is>
      </c>
    </row>
    <row r="2057">
      <c r="A2057" s="53" t="n">
        <v>45883</v>
      </c>
      <c r="B2057" t="inlineStr">
        <is>
          <t>2025-08-14</t>
        </is>
      </c>
      <c r="C2057" s="45" t="n">
        <v>32.52</v>
      </c>
      <c r="D2057" t="inlineStr">
        <is>
          <t>€/MWh</t>
        </is>
      </c>
      <c r="E2057" s="54" t="n">
        <v>0.03252</v>
      </c>
      <c r="F2057" s="54" t="n"/>
      <c r="G2057" t="inlineStr">
        <is>
          <t>no aplica (precio mayorista)</t>
        </is>
      </c>
      <c r="J2057" t="inlineStr">
        <is>
          <t>2025-08-14</t>
        </is>
      </c>
      <c r="K2057" t="inlineStr">
        <is>
          <t>MIBGAS_Data_2025.xlsx</t>
        </is>
      </c>
    </row>
    <row r="2058">
      <c r="A2058" s="53" t="n">
        <v>45884</v>
      </c>
      <c r="B2058" t="inlineStr">
        <is>
          <t>2025-08-15</t>
        </is>
      </c>
      <c r="C2058" s="45" t="n">
        <v>31.92</v>
      </c>
      <c r="D2058" t="inlineStr">
        <is>
          <t>€/MWh</t>
        </is>
      </c>
      <c r="E2058" s="54" t="n">
        <v>0.03192</v>
      </c>
      <c r="F2058" s="54" t="n"/>
      <c r="G2058" t="inlineStr">
        <is>
          <t>no aplica (precio mayorista)</t>
        </is>
      </c>
      <c r="J2058" t="inlineStr">
        <is>
          <t>2025-08-15</t>
        </is>
      </c>
      <c r="K2058" t="inlineStr">
        <is>
          <t>MIBGAS_Data_2025.xlsx</t>
        </is>
      </c>
    </row>
    <row r="2059">
      <c r="A2059" s="53" t="n">
        <v>45885</v>
      </c>
      <c r="B2059" t="inlineStr">
        <is>
          <t>2025-08-16</t>
        </is>
      </c>
      <c r="C2059" s="45" t="n">
        <v>31.66</v>
      </c>
      <c r="D2059" t="inlineStr">
        <is>
          <t>€/MWh</t>
        </is>
      </c>
      <c r="E2059" s="54" t="n">
        <v>0.03166</v>
      </c>
      <c r="F2059" s="54" t="n"/>
      <c r="G2059" t="inlineStr">
        <is>
          <t>no aplica (precio mayorista)</t>
        </is>
      </c>
      <c r="J2059" t="inlineStr">
        <is>
          <t>2025-08-16</t>
        </is>
      </c>
      <c r="K2059" t="inlineStr">
        <is>
          <t>MIBGAS_Data_2025.xlsx</t>
        </is>
      </c>
    </row>
    <row r="2060">
      <c r="A2060" s="53" t="n">
        <v>45886</v>
      </c>
      <c r="B2060" t="inlineStr">
        <is>
          <t>2025-08-17</t>
        </is>
      </c>
      <c r="C2060" s="45" t="n">
        <v>31.71</v>
      </c>
      <c r="D2060" t="inlineStr">
        <is>
          <t>€/MWh</t>
        </is>
      </c>
      <c r="E2060" s="54" t="n">
        <v>0.03171</v>
      </c>
      <c r="F2060" s="54" t="n"/>
      <c r="G2060" t="inlineStr">
        <is>
          <t>no aplica (precio mayorista)</t>
        </is>
      </c>
      <c r="J2060" t="inlineStr">
        <is>
          <t>2025-08-17</t>
        </is>
      </c>
      <c r="K2060" t="inlineStr">
        <is>
          <t>MIBGAS_Data_2025.xlsx</t>
        </is>
      </c>
    </row>
    <row r="2061">
      <c r="A2061" s="53" t="n">
        <v>45887</v>
      </c>
      <c r="B2061" t="inlineStr">
        <is>
          <t>2025-08-18</t>
        </is>
      </c>
      <c r="C2061" s="45" t="n">
        <v>31.42</v>
      </c>
      <c r="D2061" t="inlineStr">
        <is>
          <t>€/MWh</t>
        </is>
      </c>
      <c r="E2061" s="54" t="n">
        <v>0.03142</v>
      </c>
      <c r="F2061" s="54" t="n"/>
      <c r="G2061" t="inlineStr">
        <is>
          <t>no aplica (precio mayorista)</t>
        </is>
      </c>
      <c r="J2061" t="inlineStr">
        <is>
          <t>2025-08-18</t>
        </is>
      </c>
      <c r="K2061" t="inlineStr">
        <is>
          <t>MIBGAS_Data_2025.xlsx</t>
        </is>
      </c>
    </row>
    <row r="2062">
      <c r="A2062" s="53" t="n">
        <v>45888</v>
      </c>
      <c r="B2062" t="inlineStr">
        <is>
          <t>2025-08-19</t>
        </is>
      </c>
      <c r="C2062" s="45" t="n">
        <v>30.91</v>
      </c>
      <c r="D2062" t="inlineStr">
        <is>
          <t>€/MWh</t>
        </is>
      </c>
      <c r="E2062" s="54" t="n">
        <v>0.03091</v>
      </c>
      <c r="F2062" s="54" t="n"/>
      <c r="G2062" t="inlineStr">
        <is>
          <t>no aplica (precio mayorista)</t>
        </is>
      </c>
      <c r="J2062" t="inlineStr">
        <is>
          <t>2025-08-19</t>
        </is>
      </c>
      <c r="K2062" t="inlineStr">
        <is>
          <t>MIBGAS_Data_2025.xlsx</t>
        </is>
      </c>
    </row>
    <row r="2063">
      <c r="A2063" s="53" t="n">
        <v>45889</v>
      </c>
      <c r="B2063" t="inlineStr">
        <is>
          <t>2025-08-20</t>
        </is>
      </c>
      <c r="C2063" s="45" t="n">
        <v>31.08</v>
      </c>
      <c r="D2063" t="inlineStr">
        <is>
          <t>€/MWh</t>
        </is>
      </c>
      <c r="E2063" s="54" t="n">
        <v>0.03108</v>
      </c>
      <c r="F2063" s="54" t="n"/>
      <c r="G2063" t="inlineStr">
        <is>
          <t>no aplica (precio mayorista)</t>
        </is>
      </c>
      <c r="J2063" t="inlineStr">
        <is>
          <t>2025-08-20</t>
        </is>
      </c>
      <c r="K2063" t="inlineStr">
        <is>
          <t>MIBGAS_Data_2025.xlsx</t>
        </is>
      </c>
    </row>
    <row r="2064">
      <c r="A2064" s="53" t="n">
        <v>45890</v>
      </c>
      <c r="B2064" t="inlineStr">
        <is>
          <t>2025-08-21</t>
        </is>
      </c>
      <c r="C2064" s="45" t="n">
        <v>31.32</v>
      </c>
      <c r="D2064" t="inlineStr">
        <is>
          <t>€/MWh</t>
        </is>
      </c>
      <c r="E2064" s="54" t="n">
        <v>0.03132</v>
      </c>
      <c r="F2064" s="54" t="n"/>
      <c r="G2064" t="inlineStr">
        <is>
          <t>no aplica (precio mayorista)</t>
        </is>
      </c>
      <c r="J2064" t="inlineStr">
        <is>
          <t>2025-08-21</t>
        </is>
      </c>
      <c r="K2064" t="inlineStr">
        <is>
          <t>MIBGAS_Data_2025.xlsx</t>
        </is>
      </c>
    </row>
    <row r="2065">
      <c r="A2065" s="53" t="n">
        <v>45891</v>
      </c>
      <c r="B2065" t="inlineStr">
        <is>
          <t>2025-08-22</t>
        </is>
      </c>
      <c r="C2065" s="45" t="n">
        <v>32.15</v>
      </c>
      <c r="D2065" t="inlineStr">
        <is>
          <t>€/MWh</t>
        </is>
      </c>
      <c r="E2065" s="54" t="n">
        <v>0.03215</v>
      </c>
      <c r="F2065" s="54" t="n"/>
      <c r="G2065" t="inlineStr">
        <is>
          <t>no aplica (precio mayorista)</t>
        </is>
      </c>
      <c r="J2065" t="inlineStr">
        <is>
          <t>2025-08-22</t>
        </is>
      </c>
      <c r="K2065" t="inlineStr">
        <is>
          <t>MIBGAS_Data_2025.xlsx</t>
        </is>
      </c>
    </row>
    <row r="2066">
      <c r="A2066" s="53" t="n">
        <v>45892</v>
      </c>
      <c r="B2066" t="inlineStr">
        <is>
          <t>2025-08-23</t>
        </is>
      </c>
      <c r="C2066" s="45" t="n">
        <v>32.52</v>
      </c>
      <c r="D2066" t="inlineStr">
        <is>
          <t>€/MWh</t>
        </is>
      </c>
      <c r="E2066" s="54" t="n">
        <v>0.03252</v>
      </c>
      <c r="F2066" s="54" t="n"/>
      <c r="G2066" t="inlineStr">
        <is>
          <t>no aplica (precio mayorista)</t>
        </is>
      </c>
      <c r="J2066" t="inlineStr">
        <is>
          <t>2025-08-23</t>
        </is>
      </c>
      <c r="K2066" t="inlineStr">
        <is>
          <t>MIBGAS_Data_2025.xlsx</t>
        </is>
      </c>
    </row>
    <row r="2067">
      <c r="A2067" s="53" t="n">
        <v>45893</v>
      </c>
      <c r="B2067" t="inlineStr">
        <is>
          <t>2025-08-24</t>
        </is>
      </c>
      <c r="C2067" s="45" t="n">
        <v>32.7</v>
      </c>
      <c r="D2067" t="inlineStr">
        <is>
          <t>€/MWh</t>
        </is>
      </c>
      <c r="E2067" s="54" t="n">
        <v>0.0327</v>
      </c>
      <c r="F2067" s="54" t="n"/>
      <c r="G2067" t="inlineStr">
        <is>
          <t>no aplica (precio mayorista)</t>
        </is>
      </c>
      <c r="J2067" t="inlineStr">
        <is>
          <t>2025-08-24</t>
        </is>
      </c>
      <c r="K2067" t="inlineStr">
        <is>
          <t>MIBGAS_Data_2025.xlsx</t>
        </is>
      </c>
    </row>
    <row r="2068">
      <c r="A2068" s="53" t="n">
        <v>45894</v>
      </c>
      <c r="B2068" t="inlineStr">
        <is>
          <t>2025-08-25</t>
        </is>
      </c>
      <c r="C2068" s="45" t="n">
        <v>33.26</v>
      </c>
      <c r="D2068" t="inlineStr">
        <is>
          <t>€/MWh</t>
        </is>
      </c>
      <c r="E2068" s="54" t="n">
        <v>0.03326</v>
      </c>
      <c r="F2068" s="54" t="n"/>
      <c r="G2068" t="inlineStr">
        <is>
          <t>no aplica (precio mayorista)</t>
        </is>
      </c>
      <c r="J2068" t="inlineStr">
        <is>
          <t>2025-08-25</t>
        </is>
      </c>
      <c r="K2068" t="inlineStr">
        <is>
          <t>MIBGAS_Data_2025.xlsx</t>
        </is>
      </c>
    </row>
    <row r="2069">
      <c r="A2069" s="53" t="n">
        <v>45895</v>
      </c>
      <c r="B2069" t="inlineStr">
        <is>
          <t>2025-08-26</t>
        </is>
      </c>
      <c r="C2069" s="45" t="n">
        <v>32.91</v>
      </c>
      <c r="D2069" t="inlineStr">
        <is>
          <t>€/MWh</t>
        </is>
      </c>
      <c r="E2069" s="54" t="n">
        <v>0.03291</v>
      </c>
      <c r="F2069" s="54" t="n"/>
      <c r="G2069" t="inlineStr">
        <is>
          <t>no aplica (precio mayorista)</t>
        </is>
      </c>
      <c r="J2069" t="inlineStr">
        <is>
          <t>2025-08-26</t>
        </is>
      </c>
      <c r="K2069" t="inlineStr">
        <is>
          <t>MIBGAS_Data_2025.xlsx</t>
        </is>
      </c>
    </row>
    <row r="2070">
      <c r="A2070" s="53" t="n">
        <v>45896</v>
      </c>
      <c r="B2070" t="inlineStr">
        <is>
          <t>2025-08-27</t>
        </is>
      </c>
      <c r="C2070" s="45" t="n">
        <v>33.04</v>
      </c>
      <c r="D2070" t="inlineStr">
        <is>
          <t>€/MWh</t>
        </is>
      </c>
      <c r="E2070" s="54" t="n">
        <v>0.03304</v>
      </c>
      <c r="F2070" s="54" t="n"/>
      <c r="G2070" t="inlineStr">
        <is>
          <t>no aplica (precio mayorista)</t>
        </is>
      </c>
      <c r="J2070" t="inlineStr">
        <is>
          <t>2025-08-27</t>
        </is>
      </c>
      <c r="K2070" t="inlineStr">
        <is>
          <t>MIBGAS_Data_2025.xlsx</t>
        </is>
      </c>
    </row>
    <row r="2071">
      <c r="A2071" s="53" t="n">
        <v>45897</v>
      </c>
      <c r="B2071" t="inlineStr">
        <is>
          <t>2025-08-28</t>
        </is>
      </c>
      <c r="C2071" s="45" t="n">
        <v>31.91</v>
      </c>
      <c r="D2071" t="inlineStr">
        <is>
          <t>€/MWh</t>
        </is>
      </c>
      <c r="E2071" s="54" t="n">
        <v>0.03191</v>
      </c>
      <c r="F2071" s="54" t="n"/>
      <c r="G2071" t="inlineStr">
        <is>
          <t>no aplica (precio mayorista)</t>
        </is>
      </c>
      <c r="J2071" t="inlineStr">
        <is>
          <t>2025-08-28</t>
        </is>
      </c>
      <c r="K2071" t="inlineStr">
        <is>
          <t>MIBGAS_Data_2025.xlsx</t>
        </is>
      </c>
    </row>
    <row r="2072">
      <c r="A2072" s="53" t="n">
        <v>45898</v>
      </c>
      <c r="B2072" t="inlineStr">
        <is>
          <t>2025-08-29</t>
        </is>
      </c>
      <c r="C2072" s="45" t="n">
        <v>30.94</v>
      </c>
      <c r="D2072" t="inlineStr">
        <is>
          <t>€/MWh</t>
        </is>
      </c>
      <c r="E2072" s="54" t="n">
        <v>0.03094</v>
      </c>
      <c r="F2072" s="54" t="n"/>
      <c r="G2072" t="inlineStr">
        <is>
          <t>no aplica (precio mayorista)</t>
        </is>
      </c>
      <c r="J2072" t="inlineStr">
        <is>
          <t>2025-08-29</t>
        </is>
      </c>
      <c r="K2072" t="inlineStr">
        <is>
          <t>MIBGAS_Data_2025.xlsx</t>
        </is>
      </c>
    </row>
    <row r="2073">
      <c r="A2073" s="53" t="n">
        <v>45899</v>
      </c>
      <c r="B2073" t="inlineStr">
        <is>
          <t>2025-08-30</t>
        </is>
      </c>
      <c r="C2073" s="45" t="n">
        <v>31.08</v>
      </c>
      <c r="D2073" t="inlineStr">
        <is>
          <t>€/MWh</t>
        </is>
      </c>
      <c r="E2073" s="54" t="n">
        <v>0.03108</v>
      </c>
      <c r="F2073" s="54" t="n"/>
      <c r="G2073" t="inlineStr">
        <is>
          <t>no aplica (precio mayorista)</t>
        </is>
      </c>
      <c r="J2073" t="inlineStr">
        <is>
          <t>2025-08-30</t>
        </is>
      </c>
      <c r="K2073" t="inlineStr">
        <is>
          <t>MIBGAS_Data_2025.xlsx</t>
        </is>
      </c>
    </row>
    <row r="2074">
      <c r="A2074" s="53" t="n">
        <v>45900</v>
      </c>
      <c r="B2074" t="inlineStr">
        <is>
          <t>2025-08-31</t>
        </is>
      </c>
      <c r="C2074" s="45" t="n">
        <v>31.12</v>
      </c>
      <c r="D2074" t="inlineStr">
        <is>
          <t>€/MWh</t>
        </is>
      </c>
      <c r="E2074" s="54" t="n">
        <v>0.03112</v>
      </c>
      <c r="F2074" s="54" t="n"/>
      <c r="G2074" t="inlineStr">
        <is>
          <t>no aplica (precio mayorista)</t>
        </is>
      </c>
      <c r="J2074" t="inlineStr">
        <is>
          <t>2025-08-31</t>
        </is>
      </c>
      <c r="K2074" t="inlineStr">
        <is>
          <t>MIBGAS_Data_2025.xlsx</t>
        </is>
      </c>
    </row>
    <row r="2075">
      <c r="A2075" s="53" t="n">
        <v>45901</v>
      </c>
      <c r="B2075" t="inlineStr">
        <is>
          <t>2025-09-01</t>
        </is>
      </c>
      <c r="C2075" s="45" t="n">
        <v>31.17</v>
      </c>
      <c r="D2075" t="inlineStr">
        <is>
          <t>€/MWh</t>
        </is>
      </c>
      <c r="E2075" s="54" t="n">
        <v>0.03117</v>
      </c>
      <c r="F2075" s="54" t="n"/>
      <c r="G2075" t="inlineStr">
        <is>
          <t>no aplica (precio mayorista)</t>
        </is>
      </c>
      <c r="J2075" t="inlineStr">
        <is>
          <t>2025-09-01</t>
        </is>
      </c>
      <c r="K2075" t="inlineStr">
        <is>
          <t>MIBGAS_Data_2025.xlsx</t>
        </is>
      </c>
    </row>
    <row r="2076">
      <c r="A2076" s="53" t="n">
        <v>45902</v>
      </c>
      <c r="B2076" t="inlineStr">
        <is>
          <t>2025-09-02</t>
        </is>
      </c>
      <c r="C2076" s="45" t="n">
        <v>31.58</v>
      </c>
      <c r="D2076" t="inlineStr">
        <is>
          <t>€/MWh</t>
        </is>
      </c>
      <c r="E2076" s="54" t="n">
        <v>0.03158</v>
      </c>
      <c r="F2076" s="54" t="n"/>
      <c r="G2076" t="inlineStr">
        <is>
          <t>no aplica (precio mayorista)</t>
        </is>
      </c>
      <c r="J2076" t="inlineStr">
        <is>
          <t>2025-09-02</t>
        </is>
      </c>
      <c r="K2076" t="inlineStr">
        <is>
          <t>MIBGAS_Data_2025.xlsx</t>
        </is>
      </c>
    </row>
    <row r="2077">
      <c r="A2077" s="53" t="n">
        <v>45903</v>
      </c>
      <c r="B2077" t="inlineStr">
        <is>
          <t>2025-09-03</t>
        </is>
      </c>
      <c r="C2077" s="45" t="n">
        <v>31.09</v>
      </c>
      <c r="D2077" t="inlineStr">
        <is>
          <t>€/MWh</t>
        </is>
      </c>
      <c r="E2077" s="54" t="n">
        <v>0.03109</v>
      </c>
      <c r="F2077" s="54" t="n"/>
      <c r="G2077" t="inlineStr">
        <is>
          <t>no aplica (precio mayorista)</t>
        </is>
      </c>
      <c r="J2077" t="inlineStr">
        <is>
          <t>2025-09-03</t>
        </is>
      </c>
      <c r="K2077" t="inlineStr">
        <is>
          <t>MIBGAS_Data_2025.xlsx</t>
        </is>
      </c>
    </row>
    <row r="2078">
      <c r="A2078" s="53" t="n">
        <v>45904</v>
      </c>
      <c r="B2078" t="inlineStr">
        <is>
          <t>2025-09-04</t>
        </is>
      </c>
      <c r="C2078" s="45" t="n">
        <v>31.24</v>
      </c>
      <c r="D2078" t="inlineStr">
        <is>
          <t>€/MWh</t>
        </is>
      </c>
      <c r="E2078" s="54" t="n">
        <v>0.03124</v>
      </c>
      <c r="F2078" s="54" t="n"/>
      <c r="G2078" t="inlineStr">
        <is>
          <t>no aplica (precio mayorista)</t>
        </is>
      </c>
      <c r="J2078" t="inlineStr">
        <is>
          <t>2025-09-04</t>
        </is>
      </c>
      <c r="K2078" t="inlineStr">
        <is>
          <t>MIBGAS_Data_2025.xlsx</t>
        </is>
      </c>
    </row>
    <row r="2079">
      <c r="A2079" s="53" t="n">
        <v>45905</v>
      </c>
      <c r="B2079" t="inlineStr">
        <is>
          <t>2025-09-05</t>
        </is>
      </c>
      <c r="C2079" s="45" t="n">
        <v>31.41</v>
      </c>
      <c r="D2079" t="inlineStr">
        <is>
          <t>€/MWh</t>
        </is>
      </c>
      <c r="E2079" s="54" t="n">
        <v>0.03141</v>
      </c>
      <c r="F2079" s="54" t="n"/>
      <c r="G2079" t="inlineStr">
        <is>
          <t>no aplica (precio mayorista)</t>
        </is>
      </c>
      <c r="J2079" t="inlineStr">
        <is>
          <t>2025-09-05</t>
        </is>
      </c>
      <c r="K2079" t="inlineStr">
        <is>
          <t>MIBGAS_Data_2025.xlsx</t>
        </is>
      </c>
    </row>
    <row r="2080">
      <c r="A2080" s="53" t="n">
        <v>45906</v>
      </c>
      <c r="B2080" t="inlineStr">
        <is>
          <t>2025-09-06</t>
        </is>
      </c>
      <c r="C2080" s="45" t="n">
        <v>31.33</v>
      </c>
      <c r="D2080" t="inlineStr">
        <is>
          <t>€/MWh</t>
        </is>
      </c>
      <c r="E2080" s="54" t="n">
        <v>0.03133</v>
      </c>
      <c r="F2080" s="54" t="n"/>
      <c r="G2080" t="inlineStr">
        <is>
          <t>no aplica (precio mayorista)</t>
        </is>
      </c>
      <c r="J2080" t="inlineStr">
        <is>
          <t>2025-09-06</t>
        </is>
      </c>
      <c r="K2080" t="inlineStr">
        <is>
          <t>MIBGAS_Data_2025.xlsx</t>
        </is>
      </c>
    </row>
    <row r="2081">
      <c r="A2081" s="53" t="n">
        <v>45907</v>
      </c>
      <c r="B2081" t="inlineStr">
        <is>
          <t>2025-09-07</t>
        </is>
      </c>
      <c r="C2081" s="45" t="n">
        <v>31.36</v>
      </c>
      <c r="D2081" t="inlineStr">
        <is>
          <t>€/MWh</t>
        </is>
      </c>
      <c r="E2081" s="54" t="n">
        <v>0.03136</v>
      </c>
      <c r="F2081" s="54" t="n"/>
      <c r="G2081" t="inlineStr">
        <is>
          <t>no aplica (precio mayorista)</t>
        </is>
      </c>
      <c r="J2081" t="inlineStr">
        <is>
          <t>2025-09-07</t>
        </is>
      </c>
      <c r="K2081" t="inlineStr">
        <is>
          <t>MIBGAS_Data_2025.xlsx</t>
        </is>
      </c>
    </row>
    <row r="2082">
      <c r="A2082" s="53" t="n">
        <v>45908</v>
      </c>
      <c r="B2082" t="inlineStr">
        <is>
          <t>2025-09-08</t>
        </is>
      </c>
      <c r="C2082" s="45" t="n">
        <v>31.69</v>
      </c>
      <c r="D2082" t="inlineStr">
        <is>
          <t>€/MWh</t>
        </is>
      </c>
      <c r="E2082" s="54" t="n">
        <v>0.03169</v>
      </c>
      <c r="F2082" s="54" t="n"/>
      <c r="G2082" t="inlineStr">
        <is>
          <t>no aplica (precio mayorista)</t>
        </is>
      </c>
      <c r="J2082" t="inlineStr">
        <is>
          <t>2025-09-08</t>
        </is>
      </c>
      <c r="K2082" t="inlineStr">
        <is>
          <t>MIBGAS_Data_2025.xlsx</t>
        </is>
      </c>
    </row>
    <row r="2083">
      <c r="A2083" s="53" t="n">
        <v>45909</v>
      </c>
      <c r="B2083" t="inlineStr">
        <is>
          <t>2025-09-09</t>
        </is>
      </c>
      <c r="C2083" s="45" t="n">
        <v>32.27</v>
      </c>
      <c r="D2083" t="inlineStr">
        <is>
          <t>€/MWh</t>
        </is>
      </c>
      <c r="E2083" s="54" t="n">
        <v>0.03227</v>
      </c>
      <c r="F2083" s="54" t="n"/>
      <c r="G2083" t="inlineStr">
        <is>
          <t>no aplica (precio mayorista)</t>
        </is>
      </c>
      <c r="J2083" t="inlineStr">
        <is>
          <t>2025-09-09</t>
        </is>
      </c>
      <c r="K2083" t="inlineStr">
        <is>
          <t>MIBGAS_Data_2025.xlsx</t>
        </is>
      </c>
    </row>
    <row r="2084">
      <c r="A2084" s="53" t="n">
        <v>45910</v>
      </c>
      <c r="B2084" t="inlineStr">
        <is>
          <t>2025-09-10</t>
        </is>
      </c>
      <c r="C2084" s="45" t="n">
        <v>32.28</v>
      </c>
      <c r="D2084" t="inlineStr">
        <is>
          <t>€/MWh</t>
        </is>
      </c>
      <c r="E2084" s="54" t="n">
        <v>0.03228</v>
      </c>
      <c r="F2084" s="54" t="n"/>
      <c r="G2084" t="inlineStr">
        <is>
          <t>no aplica (precio mayorista)</t>
        </is>
      </c>
      <c r="J2084" t="inlineStr">
        <is>
          <t>2025-09-10</t>
        </is>
      </c>
      <c r="K2084" t="inlineStr">
        <is>
          <t>MIBGAS_Data_2025.xlsx</t>
        </is>
      </c>
    </row>
    <row r="2085">
      <c r="A2085" s="53" t="n">
        <v>45911</v>
      </c>
      <c r="B2085" t="inlineStr">
        <is>
          <t>2025-09-11</t>
        </is>
      </c>
      <c r="C2085" s="45" t="n">
        <v>32.39</v>
      </c>
      <c r="D2085" t="inlineStr">
        <is>
          <t>€/MWh</t>
        </is>
      </c>
      <c r="E2085" s="54" t="n">
        <v>0.03239</v>
      </c>
      <c r="F2085" s="54" t="n"/>
      <c r="G2085" t="inlineStr">
        <is>
          <t>no aplica (precio mayorista)</t>
        </is>
      </c>
      <c r="J2085" t="inlineStr">
        <is>
          <t>2025-09-11</t>
        </is>
      </c>
      <c r="K2085" t="inlineStr">
        <is>
          <t>MIBGAS_Data_2025.xlsx</t>
        </is>
      </c>
    </row>
    <row r="2086">
      <c r="A2086" s="53" t="n">
        <v>45912</v>
      </c>
      <c r="B2086" t="inlineStr">
        <is>
          <t>2025-09-12</t>
        </is>
      </c>
      <c r="C2086" s="45" t="n">
        <v>31.93</v>
      </c>
      <c r="D2086" t="inlineStr">
        <is>
          <t>€/MWh</t>
        </is>
      </c>
      <c r="E2086" s="54" t="n">
        <v>0.03193</v>
      </c>
      <c r="F2086" s="54" t="n"/>
      <c r="G2086" t="inlineStr">
        <is>
          <t>no aplica (precio mayorista)</t>
        </is>
      </c>
      <c r="J2086" t="inlineStr">
        <is>
          <t>2025-09-12</t>
        </is>
      </c>
      <c r="K2086" t="inlineStr">
        <is>
          <t>MIBGAS_Data_2025.xlsx</t>
        </is>
      </c>
    </row>
    <row r="2087">
      <c r="A2087" s="53" t="n">
        <v>45913</v>
      </c>
      <c r="B2087" t="inlineStr">
        <is>
          <t>2025-09-13</t>
        </is>
      </c>
      <c r="C2087" s="45" t="n">
        <v>31.93</v>
      </c>
      <c r="D2087" t="inlineStr">
        <is>
          <t>€/MWh</t>
        </is>
      </c>
      <c r="E2087" s="54" t="n">
        <v>0.03193</v>
      </c>
      <c r="F2087" s="54" t="n"/>
      <c r="G2087" t="inlineStr">
        <is>
          <t>no aplica (precio mayorista)</t>
        </is>
      </c>
      <c r="J2087" t="inlineStr">
        <is>
          <t>2025-09-13</t>
        </is>
      </c>
      <c r="K2087" t="inlineStr">
        <is>
          <t>MIBGAS_Data_2025.xlsx</t>
        </is>
      </c>
    </row>
    <row r="2088">
      <c r="A2088" s="53" t="n">
        <v>45914</v>
      </c>
      <c r="B2088" t="inlineStr">
        <is>
          <t>2025-09-14</t>
        </is>
      </c>
      <c r="C2088" s="45" t="n">
        <v>31.98</v>
      </c>
      <c r="D2088" t="inlineStr">
        <is>
          <t>€/MWh</t>
        </is>
      </c>
      <c r="E2088" s="54" t="n">
        <v>0.03198</v>
      </c>
      <c r="F2088" s="54" t="n"/>
      <c r="G2088" t="inlineStr">
        <is>
          <t>no aplica (precio mayorista)</t>
        </is>
      </c>
      <c r="J2088" t="inlineStr">
        <is>
          <t>2025-09-14</t>
        </is>
      </c>
      <c r="K2088" t="inlineStr">
        <is>
          <t>MIBGAS_Data_2025.xlsx</t>
        </is>
      </c>
    </row>
    <row r="2089">
      <c r="A2089" s="53" t="n">
        <v>45915</v>
      </c>
      <c r="B2089" t="inlineStr">
        <is>
          <t>2025-09-15</t>
        </is>
      </c>
      <c r="C2089" s="45" t="n">
        <v>31.98</v>
      </c>
      <c r="D2089" t="inlineStr">
        <is>
          <t>€/MWh</t>
        </is>
      </c>
      <c r="E2089" s="54" t="n">
        <v>0.03198</v>
      </c>
      <c r="F2089" s="54" t="n"/>
      <c r="G2089" t="inlineStr">
        <is>
          <t>no aplica (precio mayorista)</t>
        </is>
      </c>
      <c r="J2089" t="inlineStr">
        <is>
          <t>2025-09-15</t>
        </is>
      </c>
      <c r="K2089" t="inlineStr">
        <is>
          <t>MIBGAS_Data_2025.xlsx</t>
        </is>
      </c>
    </row>
    <row r="2090">
      <c r="A2090" s="53" t="n">
        <v>45916</v>
      </c>
      <c r="B2090" t="inlineStr">
        <is>
          <t>2025-09-16</t>
        </is>
      </c>
      <c r="C2090" s="45" t="n">
        <v>31.75</v>
      </c>
      <c r="D2090" t="inlineStr">
        <is>
          <t>€/MWh</t>
        </is>
      </c>
      <c r="E2090" s="54" t="n">
        <v>0.03175</v>
      </c>
      <c r="F2090" s="54" t="n"/>
      <c r="G2090" t="inlineStr">
        <is>
          <t>no aplica (precio mayorista)</t>
        </is>
      </c>
      <c r="J2090" t="inlineStr">
        <is>
          <t>2025-09-16</t>
        </is>
      </c>
      <c r="K2090" t="inlineStr">
        <is>
          <t>MIBGAS_Data_2025.xlsx</t>
        </is>
      </c>
    </row>
    <row r="2091">
      <c r="A2091" s="53" t="n">
        <v>45917</v>
      </c>
      <c r="B2091" t="inlineStr">
        <is>
          <t>2025-09-17</t>
        </is>
      </c>
      <c r="C2091" s="45" t="n">
        <v>31.92</v>
      </c>
      <c r="D2091" t="inlineStr">
        <is>
          <t>€/MWh</t>
        </is>
      </c>
      <c r="E2091" s="54" t="n">
        <v>0.03192</v>
      </c>
      <c r="F2091" s="54" t="n"/>
      <c r="G2091" t="inlineStr">
        <is>
          <t>no aplica (precio mayorista)</t>
        </is>
      </c>
      <c r="J2091" t="inlineStr">
        <is>
          <t>2025-09-17</t>
        </is>
      </c>
      <c r="K2091" t="inlineStr">
        <is>
          <t>MIBGAS_Data_2025.xlsx</t>
        </is>
      </c>
    </row>
    <row r="2092">
      <c r="A2092" s="53" t="n">
        <v>45918</v>
      </c>
      <c r="B2092" t="inlineStr">
        <is>
          <t>2025-09-18</t>
        </is>
      </c>
      <c r="C2092" s="45" t="n">
        <v>32.11</v>
      </c>
      <c r="D2092" t="inlineStr">
        <is>
          <t>€/MWh</t>
        </is>
      </c>
      <c r="E2092" s="54" t="n">
        <v>0.03211</v>
      </c>
      <c r="F2092" s="54" t="n"/>
      <c r="G2092" t="inlineStr">
        <is>
          <t>no aplica (precio mayorista)</t>
        </is>
      </c>
      <c r="J2092" t="inlineStr">
        <is>
          <t>2025-09-18</t>
        </is>
      </c>
      <c r="K2092" t="inlineStr">
        <is>
          <t>MIBGAS_Data_2025.xlsx</t>
        </is>
      </c>
    </row>
    <row r="2093">
      <c r="A2093" s="53" t="n">
        <v>45919</v>
      </c>
      <c r="B2093" t="inlineStr">
        <is>
          <t>2025-09-19</t>
        </is>
      </c>
      <c r="C2093" s="45" t="n">
        <v>32.31</v>
      </c>
      <c r="D2093" t="inlineStr">
        <is>
          <t>€/MWh</t>
        </is>
      </c>
      <c r="E2093" s="54" t="n">
        <v>0.03231</v>
      </c>
      <c r="F2093" s="54" t="n"/>
      <c r="G2093" t="inlineStr">
        <is>
          <t>no aplica (precio mayorista)</t>
        </is>
      </c>
      <c r="J2093" t="inlineStr">
        <is>
          <t>2025-09-19</t>
        </is>
      </c>
      <c r="K2093" t="inlineStr">
        <is>
          <t>MIBGAS_Data_2025.xlsx</t>
        </is>
      </c>
    </row>
    <row r="2094">
      <c r="A2094" s="53" t="n">
        <v>45920</v>
      </c>
      <c r="B2094" t="inlineStr">
        <is>
          <t>2025-09-20</t>
        </is>
      </c>
      <c r="C2094" s="45" t="n">
        <v>32.01</v>
      </c>
      <c r="D2094" t="inlineStr">
        <is>
          <t>€/MWh</t>
        </is>
      </c>
      <c r="E2094" s="54" t="n">
        <v>0.03201</v>
      </c>
      <c r="F2094" s="54" t="n"/>
      <c r="G2094" t="inlineStr">
        <is>
          <t>no aplica (precio mayorista)</t>
        </is>
      </c>
      <c r="J2094" t="inlineStr">
        <is>
          <t>2025-09-20</t>
        </is>
      </c>
      <c r="K2094" t="inlineStr">
        <is>
          <t>MIBGAS_Data_2025.xlsx</t>
        </is>
      </c>
    </row>
    <row r="2095">
      <c r="A2095" s="53" t="n">
        <v>45921</v>
      </c>
      <c r="B2095" t="inlineStr">
        <is>
          <t>2025-09-21</t>
        </is>
      </c>
      <c r="C2095" s="45" t="n">
        <v>32.01</v>
      </c>
      <c r="D2095" t="inlineStr">
        <is>
          <t>€/MWh</t>
        </is>
      </c>
      <c r="E2095" s="54" t="n">
        <v>0.03201</v>
      </c>
      <c r="F2095" s="54" t="n"/>
      <c r="G2095" t="inlineStr">
        <is>
          <t>no aplica (precio mayorista)</t>
        </is>
      </c>
      <c r="J2095" t="inlineStr">
        <is>
          <t>2025-09-21</t>
        </is>
      </c>
      <c r="K2095" t="inlineStr">
        <is>
          <t>MIBGAS_Data_2025.xlsx</t>
        </is>
      </c>
    </row>
    <row r="2096">
      <c r="A2096" s="53" t="n">
        <v>45922</v>
      </c>
      <c r="B2096" t="inlineStr">
        <is>
          <t>2025-09-22</t>
        </is>
      </c>
      <c r="C2096" s="45" t="n">
        <v>31.84</v>
      </c>
      <c r="D2096" t="inlineStr">
        <is>
          <t>€/MWh</t>
        </is>
      </c>
      <c r="E2096" s="54" t="n">
        <v>0.03184</v>
      </c>
      <c r="F2096" s="54" t="n"/>
      <c r="G2096" t="inlineStr">
        <is>
          <t>no aplica (precio mayorista)</t>
        </is>
      </c>
      <c r="J2096" t="inlineStr">
        <is>
          <t>2025-09-22</t>
        </is>
      </c>
      <c r="K2096" t="inlineStr">
        <is>
          <t>MIBGAS_Data_2025.xlsx</t>
        </is>
      </c>
    </row>
    <row r="2097">
      <c r="A2097" s="53" t="n">
        <v>45923</v>
      </c>
      <c r="B2097" t="inlineStr">
        <is>
          <t>2025-09-23</t>
        </is>
      </c>
      <c r="C2097" s="45" t="n">
        <v>31.59</v>
      </c>
      <c r="D2097" t="inlineStr">
        <is>
          <t>€/MWh</t>
        </is>
      </c>
      <c r="E2097" s="54" t="n">
        <v>0.03159</v>
      </c>
      <c r="F2097" s="54" t="n"/>
      <c r="G2097" t="inlineStr">
        <is>
          <t>no aplica (precio mayorista)</t>
        </is>
      </c>
      <c r="J2097" t="inlineStr">
        <is>
          <t>2025-09-23</t>
        </is>
      </c>
      <c r="K2097" t="inlineStr">
        <is>
          <t>MIBGAS_Data_2025.xlsx</t>
        </is>
      </c>
    </row>
    <row r="2098">
      <c r="A2098" s="53" t="n">
        <v>45924</v>
      </c>
      <c r="B2098" t="inlineStr">
        <is>
          <t>2025-09-24</t>
        </is>
      </c>
      <c r="C2098" s="45" t="n">
        <v>31.66</v>
      </c>
      <c r="D2098" t="inlineStr">
        <is>
          <t>€/MWh</t>
        </is>
      </c>
      <c r="E2098" s="54" t="n">
        <v>0.03166</v>
      </c>
      <c r="F2098" s="54" t="n"/>
      <c r="G2098" t="inlineStr">
        <is>
          <t>no aplica (precio mayorista)</t>
        </is>
      </c>
      <c r="J2098" t="inlineStr">
        <is>
          <t>2025-09-24</t>
        </is>
      </c>
      <c r="K2098" t="inlineStr">
        <is>
          <t>MIBGAS_Data_2025.xlsx</t>
        </is>
      </c>
    </row>
    <row r="2099">
      <c r="A2099" s="53" t="n">
        <v>45925</v>
      </c>
      <c r="B2099" t="inlineStr">
        <is>
          <t>2025-09-25</t>
        </is>
      </c>
      <c r="C2099" s="45" t="n">
        <v>31.73</v>
      </c>
      <c r="D2099" t="inlineStr">
        <is>
          <t>€/MWh</t>
        </is>
      </c>
      <c r="E2099" s="54" t="n">
        <v>0.03173</v>
      </c>
      <c r="F2099" s="54" t="n"/>
      <c r="G2099" t="inlineStr">
        <is>
          <t>no aplica (precio mayorista)</t>
        </is>
      </c>
      <c r="J2099" t="inlineStr">
        <is>
          <t>2025-09-25</t>
        </is>
      </c>
      <c r="K2099" t="inlineStr">
        <is>
          <t>MIBGAS_Data_2025.xlsx</t>
        </is>
      </c>
    </row>
    <row r="2100">
      <c r="A2100" s="53" t="n">
        <v>45926</v>
      </c>
      <c r="B2100" t="inlineStr">
        <is>
          <t>2025-09-26</t>
        </is>
      </c>
      <c r="C2100" s="45" t="n">
        <v>31.85</v>
      </c>
      <c r="D2100" t="inlineStr">
        <is>
          <t>€/MWh</t>
        </is>
      </c>
      <c r="E2100" s="54" t="n">
        <v>0.03185</v>
      </c>
      <c r="F2100" s="54" t="n"/>
      <c r="G2100" t="inlineStr">
        <is>
          <t>no aplica (precio mayorista)</t>
        </is>
      </c>
      <c r="J2100" t="inlineStr">
        <is>
          <t>2025-09-26</t>
        </is>
      </c>
      <c r="K2100" t="inlineStr">
        <is>
          <t>MIBGAS_Data_2025.xlsx</t>
        </is>
      </c>
    </row>
    <row r="2101">
      <c r="A2101" s="53" t="n">
        <v>45927</v>
      </c>
      <c r="B2101" t="inlineStr">
        <is>
          <t>2025-09-27</t>
        </is>
      </c>
      <c r="C2101" s="45" t="n">
        <v>32.01</v>
      </c>
      <c r="D2101" t="inlineStr">
        <is>
          <t>€/MWh</t>
        </is>
      </c>
      <c r="E2101" s="54" t="n">
        <v>0.03201</v>
      </c>
      <c r="F2101" s="54" t="n"/>
      <c r="G2101" t="inlineStr">
        <is>
          <t>no aplica (precio mayorista)</t>
        </is>
      </c>
      <c r="J2101" t="inlineStr">
        <is>
          <t>2025-09-27</t>
        </is>
      </c>
      <c r="K2101" t="inlineStr">
        <is>
          <t>MIBGAS_Data_2025.xlsx</t>
        </is>
      </c>
    </row>
    <row r="2102">
      <c r="A2102" s="53" t="n">
        <v>45928</v>
      </c>
      <c r="B2102" t="inlineStr">
        <is>
          <t>2025-09-28</t>
        </is>
      </c>
      <c r="C2102" s="45" t="n">
        <v>32.02</v>
      </c>
      <c r="D2102" t="inlineStr">
        <is>
          <t>€/MWh</t>
        </is>
      </c>
      <c r="E2102" s="54" t="n">
        <v>0.03202</v>
      </c>
      <c r="F2102" s="54" t="n"/>
      <c r="G2102" t="inlineStr">
        <is>
          <t>no aplica (precio mayorista)</t>
        </is>
      </c>
      <c r="J2102" t="inlineStr">
        <is>
          <t>2025-09-28</t>
        </is>
      </c>
      <c r="K2102" t="inlineStr">
        <is>
          <t>MIBGAS_Data_2025.xlsx</t>
        </is>
      </c>
    </row>
    <row r="2103">
      <c r="A2103" s="53" t="n">
        <v>45929</v>
      </c>
      <c r="B2103" t="inlineStr">
        <is>
          <t>2025-09-29</t>
        </is>
      </c>
      <c r="C2103" s="45" t="n">
        <v>31.95</v>
      </c>
      <c r="D2103" t="inlineStr">
        <is>
          <t>€/MWh</t>
        </is>
      </c>
      <c r="E2103" s="54" t="n">
        <v>0.03195</v>
      </c>
      <c r="F2103" s="54" t="n"/>
      <c r="G2103" t="inlineStr">
        <is>
          <t>no aplica (precio mayorista)</t>
        </is>
      </c>
      <c r="J2103" t="inlineStr">
        <is>
          <t>2025-09-29</t>
        </is>
      </c>
      <c r="K2103" t="inlineStr">
        <is>
          <t>MIBGAS_Data_2025.xlsx</t>
        </is>
      </c>
    </row>
    <row r="2104">
      <c r="A2104" s="53" t="n">
        <v>45930</v>
      </c>
      <c r="B2104" t="inlineStr">
        <is>
          <t>2025-09-30</t>
        </is>
      </c>
      <c r="C2104" s="45" t="n">
        <v>31.68</v>
      </c>
      <c r="D2104" t="inlineStr">
        <is>
          <t>€/MWh</t>
        </is>
      </c>
      <c r="E2104" s="54" t="n">
        <v>0.03168</v>
      </c>
      <c r="F2104" s="54" t="n"/>
      <c r="G2104" t="inlineStr">
        <is>
          <t>no aplica (precio mayorista)</t>
        </is>
      </c>
      <c r="J2104" t="inlineStr">
        <is>
          <t>2025-09-30</t>
        </is>
      </c>
      <c r="K2104" t="inlineStr">
        <is>
          <t>MIBGAS_Data_2025.xlsx</t>
        </is>
      </c>
    </row>
    <row r="2105">
      <c r="A2105" s="53" t="n">
        <v>45931</v>
      </c>
      <c r="B2105" t="inlineStr">
        <is>
          <t>2025-10-01</t>
        </is>
      </c>
      <c r="C2105" s="45" t="n">
        <v>31.01</v>
      </c>
      <c r="D2105" t="inlineStr">
        <is>
          <t>€/MWh</t>
        </is>
      </c>
      <c r="E2105" s="54" t="n">
        <v>0.03101</v>
      </c>
      <c r="F2105" s="54" t="n"/>
      <c r="G2105" t="inlineStr">
        <is>
          <t>no aplica (precio mayorista)</t>
        </is>
      </c>
      <c r="J2105" t="inlineStr">
        <is>
          <t>2025-10-01</t>
        </is>
      </c>
      <c r="K2105" t="inlineStr">
        <is>
          <t>MIBGAS_Data_2025.xlsx</t>
        </is>
      </c>
    </row>
    <row r="2106">
      <c r="A2106" s="53" t="n">
        <v>45932</v>
      </c>
      <c r="B2106" t="inlineStr">
        <is>
          <t>2025-10-02</t>
        </is>
      </c>
      <c r="C2106" s="45" t="n">
        <v>30.65</v>
      </c>
      <c r="D2106" t="inlineStr">
        <is>
          <t>€/MWh</t>
        </is>
      </c>
      <c r="E2106" s="54" t="n">
        <v>0.03065</v>
      </c>
      <c r="F2106" s="54" t="n"/>
      <c r="G2106" t="inlineStr">
        <is>
          <t>no aplica (precio mayorista)</t>
        </is>
      </c>
      <c r="J2106" t="inlineStr">
        <is>
          <t>2025-10-02</t>
        </is>
      </c>
      <c r="K2106" t="inlineStr">
        <is>
          <t>MIBGAS_Data_2025.xlsx</t>
        </is>
      </c>
    </row>
    <row r="2107">
      <c r="A2107" s="53" t="n">
        <v>45933</v>
      </c>
      <c r="B2107" t="inlineStr">
        <is>
          <t>2025-10-03</t>
        </is>
      </c>
      <c r="C2107" s="45" t="n">
        <v>30.49</v>
      </c>
      <c r="D2107" t="inlineStr">
        <is>
          <t>€/MWh</t>
        </is>
      </c>
      <c r="E2107" s="54" t="n">
        <v>0.03049</v>
      </c>
      <c r="F2107" s="54" t="n"/>
      <c r="G2107" t="inlineStr">
        <is>
          <t>no aplica (precio mayorista)</t>
        </is>
      </c>
      <c r="J2107" t="inlineStr">
        <is>
          <t>2025-10-03</t>
        </is>
      </c>
      <c r="K2107" t="inlineStr">
        <is>
          <t>MIBGAS_Data_2025.xlsx</t>
        </is>
      </c>
    </row>
    <row r="2108">
      <c r="A2108" s="53" t="n">
        <v>45934</v>
      </c>
      <c r="B2108" t="inlineStr">
        <is>
          <t>2025-10-04</t>
        </is>
      </c>
      <c r="C2108" s="45" t="n">
        <v>30.55</v>
      </c>
      <c r="D2108" t="inlineStr">
        <is>
          <t>€/MWh</t>
        </is>
      </c>
      <c r="E2108" s="54" t="n">
        <v>0.03055</v>
      </c>
      <c r="F2108" s="54" t="n"/>
      <c r="G2108" t="inlineStr">
        <is>
          <t>no aplica (precio mayorista)</t>
        </is>
      </c>
      <c r="J2108" t="inlineStr">
        <is>
          <t>2025-10-04</t>
        </is>
      </c>
      <c r="K2108" t="inlineStr">
        <is>
          <t>MIBGAS_Data_2025.xlsx</t>
        </is>
      </c>
    </row>
    <row r="2109">
      <c r="A2109" s="53" t="n">
        <v>45935</v>
      </c>
      <c r="B2109" t="inlineStr">
        <is>
          <t>2025-10-05</t>
        </is>
      </c>
      <c r="C2109" s="45" t="n">
        <v>30.6</v>
      </c>
      <c r="D2109" t="inlineStr">
        <is>
          <t>€/MWh</t>
        </is>
      </c>
      <c r="E2109" s="54" t="n">
        <v>0.0306</v>
      </c>
      <c r="F2109" s="54" t="n"/>
      <c r="G2109" t="inlineStr">
        <is>
          <t>no aplica (precio mayorista)</t>
        </is>
      </c>
      <c r="J2109" t="inlineStr">
        <is>
          <t>2025-10-05</t>
        </is>
      </c>
      <c r="K2109" t="inlineStr">
        <is>
          <t>MIBGAS_Data_2025.xlsx</t>
        </is>
      </c>
    </row>
    <row r="2110">
      <c r="A2110" s="53" t="n">
        <v>45936</v>
      </c>
      <c r="B2110" t="inlineStr">
        <is>
          <t>2025-10-06</t>
        </is>
      </c>
      <c r="C2110" s="45" t="n">
        <v>31.18</v>
      </c>
      <c r="D2110" t="inlineStr">
        <is>
          <t>€/MWh</t>
        </is>
      </c>
      <c r="E2110" s="54" t="n">
        <v>0.03118</v>
      </c>
      <c r="F2110" s="54" t="n"/>
      <c r="G2110" t="inlineStr">
        <is>
          <t>no aplica (precio mayorista)</t>
        </is>
      </c>
      <c r="J2110" t="inlineStr">
        <is>
          <t>2025-10-06</t>
        </is>
      </c>
      <c r="K2110" t="inlineStr">
        <is>
          <t>MIBGAS_Data_2025.xlsx</t>
        </is>
      </c>
    </row>
    <row r="2111">
      <c r="A2111" s="53" t="n">
        <v>45937</v>
      </c>
      <c r="B2111" t="inlineStr">
        <is>
          <t>2025-10-07</t>
        </is>
      </c>
      <c r="C2111" s="45" t="n">
        <v>32.13</v>
      </c>
      <c r="D2111" t="inlineStr">
        <is>
          <t>€/MWh</t>
        </is>
      </c>
      <c r="E2111" s="54" t="n">
        <v>0.03213</v>
      </c>
      <c r="F2111" s="54" t="n"/>
      <c r="G2111" t="inlineStr">
        <is>
          <t>no aplica (precio mayorista)</t>
        </is>
      </c>
      <c r="J2111" t="inlineStr">
        <is>
          <t>2025-10-07</t>
        </is>
      </c>
      <c r="K2111" t="inlineStr">
        <is>
          <t>MIBGAS_Data_2025.xlsx</t>
        </is>
      </c>
    </row>
    <row r="2112">
      <c r="A2112" s="53" t="n">
        <v>45938</v>
      </c>
      <c r="B2112" t="inlineStr">
        <is>
          <t>2025-10-08</t>
        </is>
      </c>
      <c r="C2112" s="45" t="n">
        <v>32.22</v>
      </c>
      <c r="D2112" t="inlineStr">
        <is>
          <t>€/MWh</t>
        </is>
      </c>
      <c r="E2112" s="54" t="n">
        <v>0.03222</v>
      </c>
      <c r="F2112" s="54" t="n"/>
      <c r="G2112" t="inlineStr">
        <is>
          <t>no aplica (precio mayorista)</t>
        </is>
      </c>
      <c r="J2112" t="inlineStr">
        <is>
          <t>2025-10-08</t>
        </is>
      </c>
      <c r="K2112" t="inlineStr">
        <is>
          <t>MIBGAS_Data_2025.xlsx</t>
        </is>
      </c>
    </row>
    <row r="2113">
      <c r="A2113" s="53" t="n">
        <v>45939</v>
      </c>
      <c r="B2113" t="inlineStr">
        <is>
          <t>2025-10-09</t>
        </is>
      </c>
      <c r="C2113" s="45" t="n">
        <v>31.73</v>
      </c>
      <c r="D2113" t="inlineStr">
        <is>
          <t>€/MWh</t>
        </is>
      </c>
      <c r="E2113" s="54" t="n">
        <v>0.03173</v>
      </c>
      <c r="F2113" s="54" t="n"/>
      <c r="G2113" t="inlineStr">
        <is>
          <t>no aplica (precio mayorista)</t>
        </is>
      </c>
      <c r="J2113" t="inlineStr">
        <is>
          <t>2025-10-09</t>
        </is>
      </c>
      <c r="K2113" t="inlineStr">
        <is>
          <t>MIBGAS_Data_2025.xlsx</t>
        </is>
      </c>
    </row>
    <row r="2114">
      <c r="A2114" s="53" t="n">
        <v>45940</v>
      </c>
      <c r="B2114" t="inlineStr">
        <is>
          <t>2025-10-10</t>
        </is>
      </c>
      <c r="C2114" s="45" t="n">
        <v>31.33</v>
      </c>
      <c r="D2114" t="inlineStr">
        <is>
          <t>€/MWh</t>
        </is>
      </c>
      <c r="E2114" s="54" t="n">
        <v>0.03133</v>
      </c>
      <c r="F2114" s="54" t="n"/>
      <c r="G2114" t="inlineStr">
        <is>
          <t>no aplica (precio mayorista)</t>
        </is>
      </c>
      <c r="J2114" t="inlineStr">
        <is>
          <t>2025-10-10</t>
        </is>
      </c>
      <c r="K2114" t="inlineStr">
        <is>
          <t>MIBGAS_Data_2025.xlsx</t>
        </is>
      </c>
    </row>
    <row r="2115">
      <c r="A2115" s="53" t="n">
        <v>45941</v>
      </c>
      <c r="B2115" t="inlineStr">
        <is>
          <t>2025-10-11</t>
        </is>
      </c>
      <c r="C2115" s="45" t="n">
        <v>31.02</v>
      </c>
      <c r="D2115" t="inlineStr">
        <is>
          <t>€/MWh</t>
        </is>
      </c>
      <c r="E2115" s="54" t="n">
        <v>0.03102</v>
      </c>
      <c r="F2115" s="54" t="n"/>
      <c r="G2115" t="inlineStr">
        <is>
          <t>no aplica (precio mayorista)</t>
        </is>
      </c>
      <c r="J2115" t="inlineStr">
        <is>
          <t>2025-10-11</t>
        </is>
      </c>
      <c r="K2115" t="inlineStr">
        <is>
          <t>MIBGAS_Data_2025.xlsx</t>
        </is>
      </c>
    </row>
    <row r="2116">
      <c r="A2116" s="53" t="n">
        <v>45942</v>
      </c>
      <c r="B2116" t="inlineStr">
        <is>
          <t>2025-10-12</t>
        </is>
      </c>
      <c r="C2116" s="45" t="n">
        <v>31.08</v>
      </c>
      <c r="D2116" t="inlineStr">
        <is>
          <t>€/MWh</t>
        </is>
      </c>
      <c r="E2116" s="54" t="n">
        <v>0.03108</v>
      </c>
      <c r="F2116" s="54" t="n"/>
      <c r="G2116" t="inlineStr">
        <is>
          <t>no aplica (precio mayorista)</t>
        </is>
      </c>
      <c r="J2116" t="inlineStr">
        <is>
          <t>2025-10-12</t>
        </is>
      </c>
      <c r="K2116" t="inlineStr">
        <is>
          <t>MIBGAS_Data_2025.xlsx</t>
        </is>
      </c>
    </row>
    <row r="2117">
      <c r="A2117" s="53" t="n">
        <v>45943</v>
      </c>
      <c r="B2117" t="inlineStr">
        <is>
          <t>2025-10-13</t>
        </is>
      </c>
      <c r="C2117" s="45" t="n">
        <v>31.23</v>
      </c>
      <c r="D2117" t="inlineStr">
        <is>
          <t>€/MWh</t>
        </is>
      </c>
      <c r="E2117" s="54" t="n">
        <v>0.03123</v>
      </c>
      <c r="F2117" s="54" t="n"/>
      <c r="G2117" t="inlineStr">
        <is>
          <t>no aplica (precio mayorista)</t>
        </is>
      </c>
      <c r="J2117" t="inlineStr">
        <is>
          <t>2025-10-13</t>
        </is>
      </c>
      <c r="K2117" t="inlineStr">
        <is>
          <t>MIBGAS_Data_2025.xlsx</t>
        </is>
      </c>
    </row>
    <row r="2118">
      <c r="A2118" s="53" t="n">
        <v>45944</v>
      </c>
      <c r="B2118" t="inlineStr">
        <is>
          <t>2025-10-14</t>
        </is>
      </c>
      <c r="C2118" s="45" t="n">
        <v>30.73</v>
      </c>
      <c r="D2118" t="inlineStr">
        <is>
          <t>€/MWh</t>
        </is>
      </c>
      <c r="E2118" s="54" t="n">
        <v>0.03073</v>
      </c>
      <c r="F2118" s="54" t="n"/>
      <c r="G2118" t="inlineStr">
        <is>
          <t>no aplica (precio mayorista)</t>
        </is>
      </c>
      <c r="J2118" t="inlineStr">
        <is>
          <t>2025-10-14</t>
        </is>
      </c>
      <c r="K2118" t="inlineStr">
        <is>
          <t>MIBGAS_Data_2025.xlsx</t>
        </is>
      </c>
    </row>
    <row r="2119">
      <c r="A2119" s="53" t="n">
        <v>45945</v>
      </c>
      <c r="B2119" t="inlineStr">
        <is>
          <t>2025-10-15</t>
        </is>
      </c>
      <c r="C2119" s="45" t="n">
        <v>30.88</v>
      </c>
      <c r="D2119" t="inlineStr">
        <is>
          <t>€/MWh</t>
        </is>
      </c>
      <c r="E2119" s="54" t="n">
        <v>0.03088</v>
      </c>
      <c r="F2119" s="54" t="n"/>
      <c r="G2119" t="inlineStr">
        <is>
          <t>no aplica (precio mayorista)</t>
        </is>
      </c>
      <c r="J2119" t="inlineStr">
        <is>
          <t>2025-10-15</t>
        </is>
      </c>
      <c r="K2119" t="inlineStr">
        <is>
          <t>MIBGAS_Data_2025.xlsx</t>
        </is>
      </c>
    </row>
    <row r="2120">
      <c r="A2120" s="53" t="n">
        <v>45946</v>
      </c>
      <c r="B2120" t="inlineStr">
        <is>
          <t>2025-10-16</t>
        </is>
      </c>
      <c r="C2120" s="45" t="n">
        <v>31.14</v>
      </c>
      <c r="D2120" t="inlineStr">
        <is>
          <t>€/MWh</t>
        </is>
      </c>
      <c r="E2120" s="54" t="n">
        <v>0.03114</v>
      </c>
      <c r="F2120" s="54" t="n"/>
      <c r="G2120" t="inlineStr">
        <is>
          <t>no aplica (precio mayorista)</t>
        </is>
      </c>
      <c r="J2120" t="inlineStr">
        <is>
          <t>2025-10-16</t>
        </is>
      </c>
      <c r="K2120" t="inlineStr">
        <is>
          <t>MIBGAS_Data_2025.xlsx</t>
        </is>
      </c>
    </row>
    <row r="2121">
      <c r="A2121" s="53" t="n">
        <v>45947</v>
      </c>
      <c r="B2121" t="inlineStr">
        <is>
          <t>2025-10-17</t>
        </is>
      </c>
      <c r="C2121" s="45" t="n">
        <v>31.58</v>
      </c>
      <c r="D2121" t="inlineStr">
        <is>
          <t>€/MWh</t>
        </is>
      </c>
      <c r="E2121" s="54" t="n">
        <v>0.03158</v>
      </c>
      <c r="F2121" s="54" t="n"/>
      <c r="G2121" t="inlineStr">
        <is>
          <t>no aplica (precio mayorista)</t>
        </is>
      </c>
      <c r="J2121" t="inlineStr">
        <is>
          <t>2025-10-17</t>
        </is>
      </c>
      <c r="K2121" t="inlineStr">
        <is>
          <t>MIBGAS_Data_2025.xlsx</t>
        </is>
      </c>
    </row>
    <row r="2122">
      <c r="A2122" s="53" t="n">
        <v>45948</v>
      </c>
      <c r="B2122" t="inlineStr">
        <is>
          <t>2025-10-18</t>
        </is>
      </c>
      <c r="C2122" s="45" t="n">
        <v>31.31</v>
      </c>
      <c r="D2122" t="inlineStr">
        <is>
          <t>€/MWh</t>
        </is>
      </c>
      <c r="E2122" s="54" t="n">
        <v>0.03131</v>
      </c>
      <c r="F2122" s="54" t="n"/>
      <c r="G2122" t="inlineStr">
        <is>
          <t>no aplica (precio mayorista)</t>
        </is>
      </c>
      <c r="J2122" t="inlineStr">
        <is>
          <t>2025-10-18</t>
        </is>
      </c>
      <c r="K2122" t="inlineStr">
        <is>
          <t>MIBGAS_Data_2025.xlsx</t>
        </is>
      </c>
    </row>
    <row r="2123">
      <c r="A2123" s="53" t="n">
        <v>45949</v>
      </c>
      <c r="B2123" t="inlineStr">
        <is>
          <t>2025-10-19</t>
        </is>
      </c>
      <c r="C2123" s="45" t="n">
        <v>31.29</v>
      </c>
      <c r="D2123" t="inlineStr">
        <is>
          <t>€/MWh</t>
        </is>
      </c>
      <c r="E2123" s="54" t="n">
        <v>0.03129</v>
      </c>
      <c r="F2123" s="54" t="n"/>
      <c r="G2123" t="inlineStr">
        <is>
          <t>no aplica (precio mayorista)</t>
        </is>
      </c>
      <c r="J2123" t="inlineStr">
        <is>
          <t>2025-10-19</t>
        </is>
      </c>
      <c r="K2123" t="inlineStr">
        <is>
          <t>MIBGAS_Data_2025.xlsx</t>
        </is>
      </c>
    </row>
    <row r="2124">
      <c r="A2124" s="53" t="n">
        <v>45950</v>
      </c>
      <c r="B2124" t="inlineStr">
        <is>
          <t>2025-10-20</t>
        </is>
      </c>
      <c r="C2124" s="45" t="n">
        <v>31.18</v>
      </c>
      <c r="D2124" t="inlineStr">
        <is>
          <t>€/MWh</t>
        </is>
      </c>
      <c r="E2124" s="54" t="n">
        <v>0.03118</v>
      </c>
      <c r="F2124" s="54" t="n"/>
      <c r="G2124" t="inlineStr">
        <is>
          <t>no aplica (precio mayorista)</t>
        </is>
      </c>
      <c r="J2124" t="inlineStr">
        <is>
          <t>2025-10-20</t>
        </is>
      </c>
      <c r="K2124" t="inlineStr">
        <is>
          <t>MIBGAS_Data_2025.xlsx</t>
        </is>
      </c>
    </row>
    <row r="2125">
      <c r="A2125" s="53" t="n">
        <v>45951</v>
      </c>
      <c r="B2125" t="inlineStr">
        <is>
          <t>2025-10-21</t>
        </is>
      </c>
      <c r="C2125" s="45" t="n">
        <v>30.91</v>
      </c>
      <c r="D2125" t="inlineStr">
        <is>
          <t>€/MWh</t>
        </is>
      </c>
      <c r="E2125" s="54" t="n">
        <v>0.03091</v>
      </c>
      <c r="F2125" s="54" t="n"/>
      <c r="G2125" t="inlineStr">
        <is>
          <t>no aplica (precio mayorista)</t>
        </is>
      </c>
      <c r="J2125" t="inlineStr">
        <is>
          <t>2025-10-21</t>
        </is>
      </c>
      <c r="K2125" t="inlineStr">
        <is>
          <t>MIBGAS_Data_2025.xlsx</t>
        </is>
      </c>
    </row>
    <row r="2126">
      <c r="A2126" s="53" t="n">
        <v>45952</v>
      </c>
      <c r="B2126" t="inlineStr">
        <is>
          <t>2025-10-22</t>
        </is>
      </c>
      <c r="C2126" s="45" t="n">
        <v>31.14</v>
      </c>
      <c r="D2126" t="inlineStr">
        <is>
          <t>€/MWh</t>
        </is>
      </c>
      <c r="E2126" s="54" t="n">
        <v>0.03114</v>
      </c>
      <c r="F2126" s="54" t="n"/>
      <c r="G2126" t="inlineStr">
        <is>
          <t>no aplica (precio mayorista)</t>
        </is>
      </c>
      <c r="J2126" t="inlineStr">
        <is>
          <t>2025-10-22</t>
        </is>
      </c>
      <c r="K2126" t="inlineStr">
        <is>
          <t>MIBGAS_Data_2025.xlsx</t>
        </is>
      </c>
    </row>
    <row r="2127">
      <c r="A2127" s="53" t="n">
        <v>45953</v>
      </c>
      <c r="B2127" t="inlineStr">
        <is>
          <t>2025-10-23</t>
        </is>
      </c>
      <c r="C2127" s="45" t="n">
        <v>31.23</v>
      </c>
      <c r="D2127" t="inlineStr">
        <is>
          <t>€/MWh</t>
        </is>
      </c>
      <c r="E2127" s="54" t="n">
        <v>0.03123</v>
      </c>
      <c r="F2127" s="54" t="n"/>
      <c r="G2127" t="inlineStr">
        <is>
          <t>no aplica (precio mayorista)</t>
        </is>
      </c>
      <c r="J2127" t="inlineStr">
        <is>
          <t>2025-10-23</t>
        </is>
      </c>
      <c r="K2127" t="inlineStr">
        <is>
          <t>MIBGAS_Data_2025.xlsx</t>
        </is>
      </c>
    </row>
    <row r="2128">
      <c r="A2128" s="53" t="n">
        <v>45954</v>
      </c>
      <c r="B2128" t="inlineStr">
        <is>
          <t>2025-10-24</t>
        </is>
      </c>
      <c r="C2128" s="45" t="n">
        <v>31.55</v>
      </c>
      <c r="D2128" t="inlineStr">
        <is>
          <t>€/MWh</t>
        </is>
      </c>
      <c r="E2128" s="54" t="n">
        <v>0.03155</v>
      </c>
      <c r="F2128" s="54" t="n"/>
      <c r="G2128" t="inlineStr">
        <is>
          <t>no aplica (precio mayorista)</t>
        </is>
      </c>
      <c r="J2128" t="inlineStr">
        <is>
          <t>2025-10-24</t>
        </is>
      </c>
      <c r="K2128" t="inlineStr">
        <is>
          <t>MIBGAS_Data_2025.xlsx</t>
        </is>
      </c>
    </row>
    <row r="2129">
      <c r="A2129" s="53" t="n">
        <v>45955</v>
      </c>
      <c r="B2129" t="inlineStr">
        <is>
          <t>2025-10-25</t>
        </is>
      </c>
      <c r="C2129" s="45" t="n">
        <v>31.49</v>
      </c>
      <c r="D2129" t="inlineStr">
        <is>
          <t>€/MWh</t>
        </is>
      </c>
      <c r="E2129" s="54" t="n">
        <v>0.03149</v>
      </c>
      <c r="F2129" s="54" t="n"/>
      <c r="G2129" t="inlineStr">
        <is>
          <t>no aplica (precio mayorista)</t>
        </is>
      </c>
      <c r="J2129" t="inlineStr">
        <is>
          <t>2025-10-25</t>
        </is>
      </c>
      <c r="K2129" t="inlineStr">
        <is>
          <t>MIBGAS_Data_2025.xlsx</t>
        </is>
      </c>
    </row>
    <row r="2130">
      <c r="A2130" s="53" t="n">
        <v>45956</v>
      </c>
      <c r="B2130" t="inlineStr">
        <is>
          <t>2025-10-26</t>
        </is>
      </c>
      <c r="C2130" s="45" t="n">
        <v>31.24</v>
      </c>
      <c r="D2130" t="inlineStr">
        <is>
          <t>€/MWh</t>
        </is>
      </c>
      <c r="E2130" s="54" t="n">
        <v>0.03124</v>
      </c>
      <c r="F2130" s="54" t="n"/>
      <c r="G2130" t="inlineStr">
        <is>
          <t>no aplica (precio mayorista)</t>
        </is>
      </c>
      <c r="J2130" t="inlineStr">
        <is>
          <t>2025-10-26</t>
        </is>
      </c>
      <c r="K2130" t="inlineStr">
        <is>
          <t>MIBGAS_Data_2025.xlsx</t>
        </is>
      </c>
    </row>
    <row r="2131">
      <c r="A2131" s="53" t="n">
        <v>45957</v>
      </c>
      <c r="B2131" t="inlineStr">
        <is>
          <t>2025-10-27</t>
        </is>
      </c>
      <c r="C2131" s="45" t="n">
        <v>31.48</v>
      </c>
      <c r="D2131" t="inlineStr">
        <is>
          <t>€/MWh</t>
        </is>
      </c>
      <c r="E2131" s="54" t="n">
        <v>0.03148</v>
      </c>
      <c r="F2131" s="54" t="n"/>
      <c r="G2131" t="inlineStr">
        <is>
          <t>no aplica (precio mayorista)</t>
        </is>
      </c>
      <c r="J2131" t="inlineStr">
        <is>
          <t>2025-10-27</t>
        </is>
      </c>
      <c r="K2131" t="inlineStr">
        <is>
          <t>MIBGAS_Data_2025.xlsx</t>
        </is>
      </c>
    </row>
    <row r="2132">
      <c r="A2132" s="53" t="n">
        <v>45958</v>
      </c>
      <c r="B2132" t="inlineStr">
        <is>
          <t>2025-10-28</t>
        </is>
      </c>
      <c r="C2132" s="45" t="n">
        <v>30.73</v>
      </c>
      <c r="D2132" t="inlineStr">
        <is>
          <t>€/MWh</t>
        </is>
      </c>
      <c r="E2132" s="54" t="n">
        <v>0.03073</v>
      </c>
      <c r="F2132" s="54" t="n"/>
      <c r="G2132" t="inlineStr">
        <is>
          <t>no aplica (precio mayorista)</t>
        </is>
      </c>
      <c r="J2132" t="inlineStr">
        <is>
          <t>2025-10-28</t>
        </is>
      </c>
      <c r="K2132" t="inlineStr">
        <is>
          <t>MIBGAS_Data_2025.xlsx</t>
        </is>
      </c>
    </row>
    <row r="2133">
      <c r="A2133" s="53" t="n">
        <v>45959</v>
      </c>
      <c r="B2133" t="inlineStr">
        <is>
          <t>2025-10-29</t>
        </is>
      </c>
      <c r="C2133" s="45" t="n">
        <v>31.02</v>
      </c>
      <c r="D2133" t="inlineStr">
        <is>
          <t>€/MWh</t>
        </is>
      </c>
      <c r="E2133" s="54" t="n">
        <v>0.03102</v>
      </c>
      <c r="F2133" s="54" t="n"/>
      <c r="G2133" t="inlineStr">
        <is>
          <t>no aplica (precio mayorista)</t>
        </is>
      </c>
      <c r="J2133" t="inlineStr">
        <is>
          <t>2025-10-29</t>
        </is>
      </c>
      <c r="K2133" t="inlineStr">
        <is>
          <t>MIBGAS_Data_2025.xlsx</t>
        </is>
      </c>
    </row>
    <row r="2134">
      <c r="A2134" s="53" t="n">
        <v>45960</v>
      </c>
      <c r="B2134" t="inlineStr">
        <is>
          <t>2025-10-30</t>
        </is>
      </c>
      <c r="C2134" s="45" t="n">
        <v>31.24</v>
      </c>
      <c r="D2134" t="inlineStr">
        <is>
          <t>€/MWh</t>
        </is>
      </c>
      <c r="E2134" s="54" t="n">
        <v>0.03124</v>
      </c>
      <c r="F2134" s="54" t="n"/>
      <c r="G2134" t="inlineStr">
        <is>
          <t>no aplica (precio mayorista)</t>
        </is>
      </c>
      <c r="J2134" t="inlineStr">
        <is>
          <t>2025-10-30</t>
        </is>
      </c>
      <c r="K2134" t="inlineStr">
        <is>
          <t>MIBGAS_Data_2025.xlsx</t>
        </is>
      </c>
    </row>
    <row r="2135">
      <c r="A2135" s="53" t="n">
        <v>45961</v>
      </c>
      <c r="B2135" t="inlineStr">
        <is>
          <t>2025-10-31</t>
        </is>
      </c>
      <c r="C2135" s="45" t="n">
        <v>30.79</v>
      </c>
      <c r="D2135" t="inlineStr">
        <is>
          <t>€/MWh</t>
        </is>
      </c>
      <c r="E2135" s="54" t="n">
        <v>0.03079</v>
      </c>
      <c r="F2135" s="54" t="n"/>
      <c r="G2135" t="inlineStr">
        <is>
          <t>no aplica (precio mayorista)</t>
        </is>
      </c>
      <c r="J2135" t="inlineStr">
        <is>
          <t>2025-10-31</t>
        </is>
      </c>
      <c r="K2135" t="inlineStr">
        <is>
          <t>MIBGAS_Data_2025.xlsx</t>
        </is>
      </c>
    </row>
    <row r="2136">
      <c r="A2136" s="53" t="n">
        <v>45962</v>
      </c>
      <c r="B2136" t="inlineStr">
        <is>
          <t>2025-11-01</t>
        </is>
      </c>
      <c r="C2136" s="45" t="n">
        <v>30.05</v>
      </c>
      <c r="D2136" t="inlineStr">
        <is>
          <t>€/MWh</t>
        </is>
      </c>
      <c r="E2136" s="54" t="n">
        <v>0.03005</v>
      </c>
      <c r="F2136" s="54" t="n"/>
      <c r="G2136" t="inlineStr">
        <is>
          <t>no aplica (precio mayorista)</t>
        </is>
      </c>
      <c r="J2136" t="inlineStr">
        <is>
          <t>2025-11-01</t>
        </is>
      </c>
      <c r="K2136" t="inlineStr">
        <is>
          <t>MIBGAS_Data_2025.xlsx</t>
        </is>
      </c>
    </row>
    <row r="2137">
      <c r="A2137" s="53" t="n">
        <v>45963</v>
      </c>
      <c r="B2137" t="inlineStr">
        <is>
          <t>2025-11-02</t>
        </is>
      </c>
      <c r="C2137" s="45" t="n">
        <v>30.3</v>
      </c>
      <c r="D2137" t="inlineStr">
        <is>
          <t>€/MWh</t>
        </is>
      </c>
      <c r="E2137" s="54" t="n">
        <v>0.0303</v>
      </c>
      <c r="F2137" s="54" t="n"/>
      <c r="G2137" t="inlineStr">
        <is>
          <t>no aplica (precio mayorista)</t>
        </is>
      </c>
      <c r="J2137" t="inlineStr">
        <is>
          <t>2025-11-02</t>
        </is>
      </c>
      <c r="K2137" t="inlineStr">
        <is>
          <t>MIBGAS_Data_2025.xlsx</t>
        </is>
      </c>
    </row>
    <row r="2138">
      <c r="A2138" s="53" t="n">
        <v>45964</v>
      </c>
      <c r="B2138" t="inlineStr">
        <is>
          <t>2025-11-03</t>
        </is>
      </c>
      <c r="C2138" s="45" t="n">
        <v>30.53</v>
      </c>
      <c r="D2138" t="inlineStr">
        <is>
          <t>€/MWh</t>
        </is>
      </c>
      <c r="E2138" s="54" t="n">
        <v>0.03053</v>
      </c>
      <c r="F2138" s="54" t="n"/>
      <c r="G2138" t="inlineStr">
        <is>
          <t>no aplica (precio mayorista)</t>
        </is>
      </c>
      <c r="J2138" t="inlineStr">
        <is>
          <t>2025-11-03</t>
        </is>
      </c>
      <c r="K2138" t="inlineStr">
        <is>
          <t>MIBGAS_Data_2025.xlsx</t>
        </is>
      </c>
    </row>
    <row r="2139">
      <c r="A2139" s="53" t="n">
        <v>45965</v>
      </c>
      <c r="B2139" t="inlineStr">
        <is>
          <t>2025-11-04</t>
        </is>
      </c>
      <c r="C2139" s="45" t="n">
        <v>30.89</v>
      </c>
      <c r="D2139" t="inlineStr">
        <is>
          <t>€/MWh</t>
        </is>
      </c>
      <c r="E2139" s="54" t="n">
        <v>0.03089</v>
      </c>
      <c r="F2139" s="54" t="n"/>
      <c r="G2139" t="inlineStr">
        <is>
          <t>no aplica (precio mayorista)</t>
        </is>
      </c>
      <c r="J2139" t="inlineStr">
        <is>
          <t>2025-11-04</t>
        </is>
      </c>
      <c r="K2139" t="inlineStr">
        <is>
          <t>MIBGAS_Data_2025.xlsx</t>
        </is>
      </c>
    </row>
    <row r="2140">
      <c r="A2140" s="53" t="n">
        <v>45966</v>
      </c>
      <c r="B2140" t="inlineStr">
        <is>
          <t>2025-11-05</t>
        </is>
      </c>
      <c r="C2140" s="45" t="n">
        <v>31.12</v>
      </c>
      <c r="D2140" t="inlineStr">
        <is>
          <t>€/MWh</t>
        </is>
      </c>
      <c r="E2140" s="54" t="n">
        <v>0.03112</v>
      </c>
      <c r="F2140" s="54" t="n"/>
      <c r="G2140" t="inlineStr">
        <is>
          <t>no aplica (precio mayorista)</t>
        </is>
      </c>
      <c r="J2140" t="inlineStr">
        <is>
          <t>2025-11-05</t>
        </is>
      </c>
      <c r="K2140" t="inlineStr">
        <is>
          <t>MIBGAS_Data_2025.xlsx</t>
        </is>
      </c>
    </row>
    <row r="2141">
      <c r="A2141" s="53" t="n">
        <v>45967</v>
      </c>
      <c r="B2141" t="inlineStr">
        <is>
          <t>2025-11-06</t>
        </is>
      </c>
      <c r="C2141" s="45" t="n">
        <v>30.85</v>
      </c>
      <c r="D2141" t="inlineStr">
        <is>
          <t>€/MWh</t>
        </is>
      </c>
      <c r="E2141" s="54" t="n">
        <v>0.03085</v>
      </c>
      <c r="F2141" s="54" t="n"/>
      <c r="G2141" t="inlineStr">
        <is>
          <t>no aplica (precio mayorista)</t>
        </is>
      </c>
      <c r="J2141" t="inlineStr">
        <is>
          <t>2025-11-06</t>
        </is>
      </c>
      <c r="K2141" t="inlineStr">
        <is>
          <t>MIBGAS_Data_2025.xlsx</t>
        </is>
      </c>
    </row>
    <row r="2142">
      <c r="A2142" s="53" t="n">
        <v>45968</v>
      </c>
      <c r="B2142" t="inlineStr">
        <is>
          <t>2025-11-07</t>
        </is>
      </c>
      <c r="C2142" s="45" t="n">
        <v>30.67</v>
      </c>
      <c r="D2142" t="inlineStr">
        <is>
          <t>€/MWh</t>
        </is>
      </c>
      <c r="E2142" s="54" t="n">
        <v>0.03067</v>
      </c>
      <c r="F2142" s="54" t="n"/>
      <c r="G2142" t="inlineStr">
        <is>
          <t>no aplica (precio mayorista)</t>
        </is>
      </c>
      <c r="J2142" t="inlineStr">
        <is>
          <t>2025-11-07</t>
        </is>
      </c>
      <c r="K2142" t="inlineStr">
        <is>
          <t>MIBGAS_Data_2025.xlsx</t>
        </is>
      </c>
    </row>
    <row r="2143">
      <c r="A2143" s="53" t="n">
        <v>45969</v>
      </c>
      <c r="B2143" t="inlineStr">
        <is>
          <t>2025-11-08</t>
        </is>
      </c>
      <c r="C2143" s="45" t="n">
        <v>30.32</v>
      </c>
      <c r="D2143" t="inlineStr">
        <is>
          <t>€/MWh</t>
        </is>
      </c>
      <c r="E2143" s="54" t="n">
        <v>0.03032</v>
      </c>
      <c r="F2143" s="54" t="n"/>
      <c r="G2143" t="inlineStr">
        <is>
          <t>no aplica (precio mayorista)</t>
        </is>
      </c>
      <c r="J2143" t="inlineStr">
        <is>
          <t>2025-11-08</t>
        </is>
      </c>
      <c r="K2143" t="inlineStr">
        <is>
          <t>MIBGAS_Data_2025.xlsx</t>
        </is>
      </c>
    </row>
    <row r="2144">
      <c r="A2144" s="53" t="n">
        <v>45970</v>
      </c>
      <c r="B2144" t="inlineStr">
        <is>
          <t>2025-11-09</t>
        </is>
      </c>
      <c r="C2144" s="45" t="n">
        <v>30.41</v>
      </c>
      <c r="D2144" t="inlineStr">
        <is>
          <t>€/MWh</t>
        </is>
      </c>
      <c r="E2144" s="54" t="n">
        <v>0.03041</v>
      </c>
      <c r="F2144" s="54" t="n"/>
      <c r="G2144" t="inlineStr">
        <is>
          <t>no aplica (precio mayorista)</t>
        </is>
      </c>
      <c r="J2144" t="inlineStr">
        <is>
          <t>2025-11-09</t>
        </is>
      </c>
      <c r="K2144" t="inlineStr">
        <is>
          <t>MIBGAS_Data_2025.xlsx</t>
        </is>
      </c>
    </row>
    <row r="2145">
      <c r="A2145" s="53" t="n">
        <v>45971</v>
      </c>
      <c r="B2145" t="inlineStr">
        <is>
          <t>2025-11-10</t>
        </is>
      </c>
      <c r="C2145" s="45" t="n">
        <v>30.79</v>
      </c>
      <c r="D2145" t="inlineStr">
        <is>
          <t>€/MWh</t>
        </is>
      </c>
      <c r="E2145" s="54" t="n">
        <v>0.03079</v>
      </c>
      <c r="F2145" s="54" t="n"/>
      <c r="G2145" t="inlineStr">
        <is>
          <t>no aplica (precio mayorista)</t>
        </is>
      </c>
      <c r="J2145" t="inlineStr">
        <is>
          <t>2025-11-10</t>
        </is>
      </c>
      <c r="K2145" t="inlineStr">
        <is>
          <t>MIBGAS_Data_2025.xlsx</t>
        </is>
      </c>
    </row>
    <row r="2146">
      <c r="A2146" s="53" t="n">
        <v>45972</v>
      </c>
      <c r="B2146" t="inlineStr">
        <is>
          <t>2025-11-11</t>
        </is>
      </c>
      <c r="C2146" s="45" t="n">
        <v>30.46</v>
      </c>
      <c r="D2146" t="inlineStr">
        <is>
          <t>€/MWh</t>
        </is>
      </c>
      <c r="E2146" s="54" t="n">
        <v>0.03046</v>
      </c>
      <c r="F2146" s="54" t="n"/>
      <c r="G2146" t="inlineStr">
        <is>
          <t>no aplica (precio mayorista)</t>
        </is>
      </c>
      <c r="J2146" t="inlineStr">
        <is>
          <t>2025-11-11</t>
        </is>
      </c>
      <c r="K2146" t="inlineStr">
        <is>
          <t>MIBGAS_Data_2025.xlsx</t>
        </is>
      </c>
    </row>
    <row r="2147">
      <c r="A2147" s="53" t="n">
        <v>45973</v>
      </c>
      <c r="B2147" t="inlineStr">
        <is>
          <t>2025-11-12</t>
        </is>
      </c>
      <c r="C2147" s="45" t="n">
        <v>30.12</v>
      </c>
      <c r="D2147" t="inlineStr">
        <is>
          <t>€/MWh</t>
        </is>
      </c>
      <c r="E2147" s="54" t="n">
        <v>0.03012</v>
      </c>
      <c r="F2147" s="54" t="n"/>
      <c r="G2147" t="inlineStr">
        <is>
          <t>no aplica (precio mayorista)</t>
        </is>
      </c>
      <c r="J2147" t="inlineStr">
        <is>
          <t>2025-11-12</t>
        </is>
      </c>
      <c r="K2147" t="inlineStr">
        <is>
          <t>MIBGAS_Data_2025.xlsx</t>
        </is>
      </c>
    </row>
    <row r="2148">
      <c r="A2148" s="53" t="n">
        <v>45974</v>
      </c>
      <c r="B2148" t="inlineStr">
        <is>
          <t>2025-11-13</t>
        </is>
      </c>
      <c r="C2148" s="45" t="n">
        <v>29.83</v>
      </c>
      <c r="D2148" t="inlineStr">
        <is>
          <t>€/MWh</t>
        </is>
      </c>
      <c r="E2148" s="54" t="n">
        <v>0.02983</v>
      </c>
      <c r="F2148" s="54" t="n"/>
      <c r="G2148" t="inlineStr">
        <is>
          <t>no aplica (precio mayorista)</t>
        </is>
      </c>
      <c r="J2148" t="inlineStr">
        <is>
          <t>2025-11-13</t>
        </is>
      </c>
      <c r="K2148" t="inlineStr">
        <is>
          <t>MIBGAS_Data_2025.xlsx</t>
        </is>
      </c>
    </row>
    <row r="2149">
      <c r="A2149" s="53" t="n">
        <v>45975</v>
      </c>
      <c r="B2149" t="inlineStr">
        <is>
          <t>2025-11-14</t>
        </is>
      </c>
      <c r="C2149" s="45" t="n">
        <v>29.84</v>
      </c>
      <c r="D2149" t="inlineStr">
        <is>
          <t>€/MWh</t>
        </is>
      </c>
      <c r="E2149" s="54" t="n">
        <v>0.02984</v>
      </c>
      <c r="F2149" s="54" t="n"/>
      <c r="G2149" t="inlineStr">
        <is>
          <t>no aplica (precio mayorista)</t>
        </is>
      </c>
      <c r="J2149" t="inlineStr">
        <is>
          <t>2025-11-14</t>
        </is>
      </c>
      <c r="K2149" t="inlineStr">
        <is>
          <t>MIBGAS_Data_2025.xlsx</t>
        </is>
      </c>
    </row>
    <row r="2150">
      <c r="A2150" s="53" t="n">
        <v>45976</v>
      </c>
      <c r="B2150" t="inlineStr">
        <is>
          <t>2025-11-15</t>
        </is>
      </c>
      <c r="C2150" s="45" t="n">
        <v>30.17</v>
      </c>
      <c r="D2150" t="inlineStr">
        <is>
          <t>€/MWh</t>
        </is>
      </c>
      <c r="E2150" s="54" t="n">
        <v>0.03017</v>
      </c>
      <c r="F2150" s="54" t="n"/>
      <c r="G2150" t="inlineStr">
        <is>
          <t>no aplica (precio mayorista)</t>
        </is>
      </c>
      <c r="J2150" t="inlineStr">
        <is>
          <t>2025-11-15</t>
        </is>
      </c>
      <c r="K2150" t="inlineStr">
        <is>
          <t>MIBGAS_Data_2025.xlsx</t>
        </is>
      </c>
    </row>
    <row r="2151">
      <c r="A2151" s="53" t="n">
        <v>45977</v>
      </c>
      <c r="B2151" t="inlineStr">
        <is>
          <t>2025-11-16</t>
        </is>
      </c>
      <c r="C2151" s="45" t="n">
        <v>30.24</v>
      </c>
      <c r="D2151" t="inlineStr">
        <is>
          <t>€/MWh</t>
        </is>
      </c>
      <c r="E2151" s="54" t="n">
        <v>0.03024</v>
      </c>
      <c r="F2151" s="54" t="n"/>
      <c r="G2151" t="inlineStr">
        <is>
          <t>no aplica (precio mayorista)</t>
        </is>
      </c>
      <c r="J2151" t="inlineStr">
        <is>
          <t>2025-11-16</t>
        </is>
      </c>
      <c r="K2151" t="inlineStr">
        <is>
          <t>MIBGAS_Data_2025.xlsx</t>
        </is>
      </c>
    </row>
    <row r="2152">
      <c r="A2152" s="53" t="n">
        <v>45978</v>
      </c>
      <c r="B2152" t="inlineStr">
        <is>
          <t>2025-11-17</t>
        </is>
      </c>
      <c r="C2152" s="45" t="n">
        <v>30.92</v>
      </c>
      <c r="D2152" t="inlineStr">
        <is>
          <t>€/MWh</t>
        </is>
      </c>
      <c r="E2152" s="54" t="n">
        <v>0.03092</v>
      </c>
      <c r="F2152" s="54" t="n"/>
      <c r="G2152" t="inlineStr">
        <is>
          <t>no aplica (precio mayorista)</t>
        </is>
      </c>
      <c r="J2152" t="inlineStr">
        <is>
          <t>2025-11-17</t>
        </is>
      </c>
      <c r="K2152" t="inlineStr">
        <is>
          <t>MIBGAS_Data_2025.xlsx</t>
        </is>
      </c>
    </row>
    <row r="2153">
      <c r="A2153" s="53" t="n">
        <v>45979</v>
      </c>
      <c r="B2153" t="inlineStr">
        <is>
          <t>2025-11-18</t>
        </is>
      </c>
      <c r="C2153" s="45" t="n">
        <v>30.93</v>
      </c>
      <c r="D2153" t="inlineStr">
        <is>
          <t>€/MWh</t>
        </is>
      </c>
      <c r="E2153" s="54" t="n">
        <v>0.03093</v>
      </c>
      <c r="F2153" s="54" t="n"/>
      <c r="G2153" t="inlineStr">
        <is>
          <t>no aplica (precio mayorista)</t>
        </is>
      </c>
      <c r="J2153" t="inlineStr">
        <is>
          <t>2025-11-18</t>
        </is>
      </c>
      <c r="K2153" t="inlineStr">
        <is>
          <t>MIBGAS_Data_2025.xlsx</t>
        </is>
      </c>
    </row>
    <row r="2154">
      <c r="A2154" s="53" t="n">
        <v>45980</v>
      </c>
      <c r="B2154" t="inlineStr">
        <is>
          <t>2025-11-19</t>
        </is>
      </c>
      <c r="C2154" s="45" t="n">
        <v>31.12</v>
      </c>
      <c r="D2154" t="inlineStr">
        <is>
          <t>€/MWh</t>
        </is>
      </c>
      <c r="E2154" s="54" t="n">
        <v>0.03112</v>
      </c>
      <c r="F2154" s="54" t="n"/>
      <c r="G2154" t="inlineStr">
        <is>
          <t>no aplica (precio mayorista)</t>
        </is>
      </c>
      <c r="J2154" t="inlineStr">
        <is>
          <t>2025-11-19</t>
        </is>
      </c>
      <c r="K2154" t="inlineStr">
        <is>
          <t>MIBGAS_Data_2025.xlsx</t>
        </is>
      </c>
    </row>
    <row r="2155">
      <c r="A2155" s="53" t="n">
        <v>45981</v>
      </c>
      <c r="B2155" t="inlineStr">
        <is>
          <t>2025-11-20</t>
        </is>
      </c>
      <c r="C2155" s="45" t="n">
        <v>30.47</v>
      </c>
      <c r="D2155" t="inlineStr">
        <is>
          <t>€/MWh</t>
        </is>
      </c>
      <c r="E2155" s="54" t="n">
        <v>0.03047</v>
      </c>
      <c r="F2155" s="54" t="n"/>
      <c r="G2155" t="inlineStr">
        <is>
          <t>no aplica (precio mayorista)</t>
        </is>
      </c>
      <c r="J2155" t="inlineStr">
        <is>
          <t>2025-11-20</t>
        </is>
      </c>
      <c r="K2155" t="inlineStr">
        <is>
          <t>MIBGAS_Data_2025.xlsx</t>
        </is>
      </c>
    </row>
    <row r="2156">
      <c r="A2156" s="53" t="n">
        <v>45982</v>
      </c>
      <c r="B2156" t="inlineStr">
        <is>
          <t>2025-11-21</t>
        </is>
      </c>
      <c r="C2156" s="45" t="n">
        <v>30.41</v>
      </c>
      <c r="D2156" t="inlineStr">
        <is>
          <t>€/MWh</t>
        </is>
      </c>
      <c r="E2156" s="54" t="n">
        <v>0.03041</v>
      </c>
      <c r="F2156" s="54" t="n"/>
      <c r="G2156" t="inlineStr">
        <is>
          <t>no aplica (precio mayorista)</t>
        </is>
      </c>
      <c r="J2156" t="inlineStr">
        <is>
          <t>2025-11-21</t>
        </is>
      </c>
      <c r="K2156" t="inlineStr">
        <is>
          <t>MIBGAS_Data_2025.xlsx</t>
        </is>
      </c>
    </row>
    <row r="2157">
      <c r="A2157" s="53" t="n">
        <v>45983</v>
      </c>
      <c r="B2157" t="inlineStr">
        <is>
          <t>2025-11-22</t>
        </is>
      </c>
      <c r="C2157" s="45" t="n">
        <v>30.25</v>
      </c>
      <c r="D2157" t="inlineStr">
        <is>
          <t>€/MWh</t>
        </is>
      </c>
      <c r="E2157" s="54" t="n">
        <v>0.03025</v>
      </c>
      <c r="F2157" s="54" t="n"/>
      <c r="G2157" t="inlineStr">
        <is>
          <t>no aplica (precio mayorista)</t>
        </is>
      </c>
      <c r="J2157" t="inlineStr">
        <is>
          <t>2025-11-22</t>
        </is>
      </c>
      <c r="K2157" t="inlineStr">
        <is>
          <t>MIBGAS_Data_2025.xlsx</t>
        </is>
      </c>
    </row>
    <row r="2158">
      <c r="A2158" s="53" t="n">
        <v>45984</v>
      </c>
      <c r="B2158" t="inlineStr">
        <is>
          <t>2025-11-23</t>
        </is>
      </c>
      <c r="C2158" s="45" t="n">
        <v>29.95</v>
      </c>
      <c r="D2158" t="inlineStr">
        <is>
          <t>€/MWh</t>
        </is>
      </c>
      <c r="E2158" s="54" t="n">
        <v>0.02995</v>
      </c>
      <c r="F2158" s="54" t="n"/>
      <c r="G2158" t="inlineStr">
        <is>
          <t>no aplica (precio mayorista)</t>
        </is>
      </c>
      <c r="J2158" t="inlineStr">
        <is>
          <t>2025-11-23</t>
        </is>
      </c>
      <c r="K2158" t="inlineStr">
        <is>
          <t>MIBGAS_Data_2025.xlsx</t>
        </is>
      </c>
    </row>
    <row r="2159">
      <c r="A2159" s="53" t="n">
        <v>45985</v>
      </c>
      <c r="B2159" t="inlineStr">
        <is>
          <t>2025-11-24</t>
        </is>
      </c>
      <c r="C2159" s="45" t="n">
        <v>29.71</v>
      </c>
      <c r="D2159" t="inlineStr">
        <is>
          <t>€/MWh</t>
        </is>
      </c>
      <c r="E2159" s="54" t="n">
        <v>0.02971</v>
      </c>
      <c r="F2159" s="54" t="n"/>
      <c r="G2159" t="inlineStr">
        <is>
          <t>no aplica (precio mayorista)</t>
        </is>
      </c>
      <c r="J2159" t="inlineStr">
        <is>
          <t>2025-11-24</t>
        </is>
      </c>
      <c r="K2159" t="inlineStr">
        <is>
          <t>MIBGAS_Data_2025.xlsx</t>
        </is>
      </c>
    </row>
    <row r="2160">
      <c r="A2160" s="53" t="n">
        <v>45986</v>
      </c>
      <c r="B2160" t="inlineStr">
        <is>
          <t>2025-11-25</t>
        </is>
      </c>
      <c r="C2160" s="45" t="n">
        <v>29.31</v>
      </c>
      <c r="D2160" t="inlineStr">
        <is>
          <t>€/MWh</t>
        </is>
      </c>
      <c r="E2160" s="54" t="n">
        <v>0.02931</v>
      </c>
      <c r="F2160" s="54" t="n"/>
      <c r="G2160" t="inlineStr">
        <is>
          <t>no aplica (precio mayorista)</t>
        </is>
      </c>
      <c r="J2160" t="inlineStr">
        <is>
          <t>2025-11-25</t>
        </is>
      </c>
      <c r="K2160" t="inlineStr">
        <is>
          <t>MIBGAS_Data_2025.xlsx</t>
        </is>
      </c>
    </row>
    <row r="2161">
      <c r="A2161" s="53" t="n">
        <v>45987</v>
      </c>
      <c r="B2161" t="inlineStr">
        <is>
          <t>2025-11-26</t>
        </is>
      </c>
      <c r="C2161" s="45" t="n">
        <v>29.21</v>
      </c>
      <c r="D2161" t="inlineStr">
        <is>
          <t>€/MWh</t>
        </is>
      </c>
      <c r="E2161" s="54" t="n">
        <v>0.02921</v>
      </c>
      <c r="F2161" s="54" t="n"/>
      <c r="G2161" t="inlineStr">
        <is>
          <t>no aplica (precio mayorista)</t>
        </is>
      </c>
      <c r="J2161" t="inlineStr">
        <is>
          <t>2025-11-26</t>
        </is>
      </c>
      <c r="K2161" t="inlineStr">
        <is>
          <t>MIBGAS_Data_2025.xlsx</t>
        </is>
      </c>
    </row>
    <row r="2162">
      <c r="A2162" s="53" t="n">
        <v>45988</v>
      </c>
      <c r="B2162" t="inlineStr">
        <is>
          <t>2025-11-27</t>
        </is>
      </c>
      <c r="C2162" s="45" t="n">
        <v>29.25</v>
      </c>
      <c r="D2162" t="inlineStr">
        <is>
          <t>€/MWh</t>
        </is>
      </c>
      <c r="E2162" s="54" t="n">
        <v>0.02925</v>
      </c>
      <c r="F2162" s="54" t="n"/>
      <c r="G2162" t="inlineStr">
        <is>
          <t>no aplica (precio mayorista)</t>
        </is>
      </c>
      <c r="J2162" t="inlineStr">
        <is>
          <t>2025-11-27</t>
        </is>
      </c>
      <c r="K2162" t="inlineStr">
        <is>
          <t>MIBGAS_Data_2025.xlsx</t>
        </is>
      </c>
    </row>
    <row r="2163">
      <c r="A2163" s="53" t="n">
        <v>45989</v>
      </c>
      <c r="B2163" t="inlineStr">
        <is>
          <t>2025-11-28</t>
        </is>
      </c>
      <c r="C2163" s="45" t="n">
        <v>28.91</v>
      </c>
      <c r="D2163" t="inlineStr">
        <is>
          <t>€/MWh</t>
        </is>
      </c>
      <c r="E2163" s="54" t="n">
        <v>0.02891</v>
      </c>
      <c r="F2163" s="54" t="n"/>
      <c r="G2163" t="inlineStr">
        <is>
          <t>no aplica (precio mayorista)</t>
        </is>
      </c>
      <c r="J2163" t="inlineStr">
        <is>
          <t>2025-11-28</t>
        </is>
      </c>
      <c r="K2163" t="inlineStr">
        <is>
          <t>MIBGAS_Data_2025.xlsx</t>
        </is>
      </c>
    </row>
    <row r="2164">
      <c r="A2164" s="53" t="n">
        <v>45990</v>
      </c>
      <c r="B2164" t="inlineStr">
        <is>
          <t>2025-11-29</t>
        </is>
      </c>
      <c r="C2164" s="45" t="n">
        <v>29.11</v>
      </c>
      <c r="D2164" t="inlineStr">
        <is>
          <t>€/MWh</t>
        </is>
      </c>
      <c r="E2164" s="54" t="n">
        <v>0.02911</v>
      </c>
      <c r="F2164" s="54" t="n"/>
      <c r="G2164" t="inlineStr">
        <is>
          <t>no aplica (precio mayorista)</t>
        </is>
      </c>
      <c r="J2164" t="inlineStr">
        <is>
          <t>2025-11-29</t>
        </is>
      </c>
      <c r="K2164" t="inlineStr">
        <is>
          <t>MIBGAS_Data_2025.xlsx</t>
        </is>
      </c>
    </row>
    <row r="2165">
      <c r="A2165" s="53" t="n">
        <v>45991</v>
      </c>
      <c r="B2165" t="inlineStr">
        <is>
          <t>2025-11-30</t>
        </is>
      </c>
      <c r="C2165" s="45" t="n">
        <v>29.04</v>
      </c>
      <c r="D2165" t="inlineStr">
        <is>
          <t>€/MWh</t>
        </is>
      </c>
      <c r="E2165" s="54" t="n">
        <v>0.02904</v>
      </c>
      <c r="F2165" s="54" t="n"/>
      <c r="G2165" t="inlineStr">
        <is>
          <t>no aplica (precio mayorista)</t>
        </is>
      </c>
      <c r="J2165" t="inlineStr">
        <is>
          <t>2025-11-30</t>
        </is>
      </c>
      <c r="K2165" t="inlineStr">
        <is>
          <t>MIBGAS_Data_2025.xlsx</t>
        </is>
      </c>
    </row>
    <row r="2166">
      <c r="A2166" s="53" t="n">
        <v>45992</v>
      </c>
      <c r="B2166" t="inlineStr">
        <is>
          <t>2025-12-01</t>
        </is>
      </c>
      <c r="C2166" s="45" t="n">
        <v>29.19</v>
      </c>
      <c r="D2166" t="inlineStr">
        <is>
          <t>€/MWh</t>
        </is>
      </c>
      <c r="E2166" s="54" t="n">
        <v>0.02919</v>
      </c>
      <c r="F2166" s="54" t="n"/>
      <c r="G2166" t="inlineStr">
        <is>
          <t>no aplica (precio mayorista)</t>
        </is>
      </c>
      <c r="J2166" t="inlineStr">
        <is>
          <t>2025-12-01</t>
        </is>
      </c>
      <c r="K2166" t="inlineStr">
        <is>
          <t>MIBGAS_Data_2025.xlsx</t>
        </is>
      </c>
    </row>
    <row r="2167">
      <c r="A2167" s="53" t="n">
        <v>45993</v>
      </c>
      <c r="B2167" t="inlineStr">
        <is>
          <t>2025-12-02</t>
        </is>
      </c>
      <c r="C2167" s="45" t="n">
        <v>27.93</v>
      </c>
      <c r="D2167" t="inlineStr">
        <is>
          <t>€/MWh</t>
        </is>
      </c>
      <c r="E2167" s="54" t="n">
        <v>0.02793</v>
      </c>
      <c r="F2167" s="54" t="n"/>
      <c r="G2167" t="inlineStr">
        <is>
          <t>no aplica (precio mayorista)</t>
        </is>
      </c>
      <c r="J2167" t="inlineStr">
        <is>
          <t>2025-12-02</t>
        </is>
      </c>
      <c r="K2167" t="inlineStr">
        <is>
          <t>MIBGAS_Data_2025.xlsx</t>
        </is>
      </c>
    </row>
    <row r="2168">
      <c r="A2168" s="53" t="n">
        <v>45994</v>
      </c>
      <c r="B2168" t="inlineStr">
        <is>
          <t>2025-12-03</t>
        </is>
      </c>
      <c r="C2168" s="45" t="n">
        <v>28.24</v>
      </c>
      <c r="D2168" t="inlineStr">
        <is>
          <t>€/MWh</t>
        </is>
      </c>
      <c r="E2168" s="54" t="n">
        <v>0.02824</v>
      </c>
      <c r="F2168" s="54" t="n"/>
      <c r="G2168" t="inlineStr">
        <is>
          <t>no aplica (precio mayorista)</t>
        </is>
      </c>
      <c r="J2168" t="inlineStr">
        <is>
          <t>2025-12-03</t>
        </is>
      </c>
      <c r="K2168" t="inlineStr">
        <is>
          <t>MIBGAS_Data_2025.xlsx</t>
        </is>
      </c>
    </row>
    <row r="2169">
      <c r="A2169" s="53" t="n">
        <v>45995</v>
      </c>
      <c r="B2169" t="inlineStr">
        <is>
          <t>2025-12-04</t>
        </is>
      </c>
      <c r="C2169" s="45" t="n">
        <v>27.7</v>
      </c>
      <c r="D2169" t="inlineStr">
        <is>
          <t>€/MWh</t>
        </is>
      </c>
      <c r="E2169" s="54" t="n">
        <v>0.0277</v>
      </c>
      <c r="F2169" s="54" t="n"/>
      <c r="G2169" t="inlineStr">
        <is>
          <t>no aplica (precio mayorista)</t>
        </is>
      </c>
      <c r="J2169" t="inlineStr">
        <is>
          <t>2025-12-04</t>
        </is>
      </c>
      <c r="K2169" t="inlineStr">
        <is>
          <t>MIBGAS_Data_2025.xlsx</t>
        </is>
      </c>
    </row>
    <row r="2170">
      <c r="A2170" s="53" t="n">
        <v>45996</v>
      </c>
      <c r="B2170" t="inlineStr">
        <is>
          <t>2025-12-05</t>
        </is>
      </c>
      <c r="C2170" s="45" t="n">
        <v>27.43</v>
      </c>
      <c r="D2170" t="inlineStr">
        <is>
          <t>€/MWh</t>
        </is>
      </c>
      <c r="E2170" s="54" t="n">
        <v>0.02743</v>
      </c>
      <c r="F2170" s="54" t="n"/>
      <c r="G2170" t="inlineStr">
        <is>
          <t>no aplica (precio mayorista)</t>
        </is>
      </c>
      <c r="J2170" t="inlineStr">
        <is>
          <t>2025-12-05</t>
        </is>
      </c>
      <c r="K2170" t="inlineStr">
        <is>
          <t>MIBGAS_Data_2025.xlsx</t>
        </is>
      </c>
    </row>
    <row r="2171">
      <c r="A2171" s="53" t="n">
        <v>45997</v>
      </c>
      <c r="B2171" t="inlineStr">
        <is>
          <t>2025-12-06</t>
        </is>
      </c>
      <c r="C2171" s="45" t="n">
        <v>27.07</v>
      </c>
      <c r="D2171" t="inlineStr">
        <is>
          <t>€/MWh</t>
        </is>
      </c>
      <c r="E2171" s="54" t="n">
        <v>0.02707</v>
      </c>
      <c r="F2171" s="54" t="n"/>
      <c r="G2171" t="inlineStr">
        <is>
          <t>no aplica (precio mayorista)</t>
        </is>
      </c>
      <c r="J2171" t="inlineStr">
        <is>
          <t>2025-12-06</t>
        </is>
      </c>
      <c r="K2171" t="inlineStr">
        <is>
          <t>MIBGAS_Data_2025.xlsx</t>
        </is>
      </c>
    </row>
    <row r="2172">
      <c r="A2172" s="53" t="n">
        <v>45998</v>
      </c>
      <c r="B2172" t="inlineStr">
        <is>
          <t>2025-12-07</t>
        </is>
      </c>
      <c r="C2172" s="45" t="n">
        <v>26.74</v>
      </c>
      <c r="D2172" t="inlineStr">
        <is>
          <t>€/MWh</t>
        </is>
      </c>
      <c r="E2172" s="54" t="n">
        <v>0.02674</v>
      </c>
      <c r="F2172" s="54" t="n"/>
      <c r="G2172" t="inlineStr">
        <is>
          <t>no aplica (precio mayorista)</t>
        </is>
      </c>
      <c r="J2172" t="inlineStr">
        <is>
          <t>2025-12-07</t>
        </is>
      </c>
      <c r="K2172" t="inlineStr">
        <is>
          <t>MIBGAS_Data_2025.xlsx</t>
        </is>
      </c>
    </row>
    <row r="2173">
      <c r="A2173" s="53" t="n">
        <v>45999</v>
      </c>
      <c r="B2173" t="inlineStr">
        <is>
          <t>2025-12-08</t>
        </is>
      </c>
      <c r="C2173" s="45" t="n">
        <v>26.98</v>
      </c>
      <c r="D2173" t="inlineStr">
        <is>
          <t>€/MWh</t>
        </is>
      </c>
      <c r="E2173" s="54" t="n">
        <v>0.02698</v>
      </c>
      <c r="F2173" s="54" t="n"/>
      <c r="G2173" t="inlineStr">
        <is>
          <t>no aplica (precio mayorista)</t>
        </is>
      </c>
      <c r="J2173" t="inlineStr">
        <is>
          <t>2025-12-08</t>
        </is>
      </c>
      <c r="K2173" t="inlineStr">
        <is>
          <t>MIBGAS_Data_2025.xlsx</t>
        </is>
      </c>
    </row>
    <row r="2174">
      <c r="A2174" s="53" t="n">
        <v>46000</v>
      </c>
      <c r="B2174" t="inlineStr">
        <is>
          <t>2025-12-09</t>
        </is>
      </c>
      <c r="C2174" s="45" t="n">
        <v>26.95</v>
      </c>
      <c r="D2174" t="inlineStr">
        <is>
          <t>€/MWh</t>
        </is>
      </c>
      <c r="E2174" s="54" t="n">
        <v>0.02695</v>
      </c>
      <c r="F2174" s="54" t="n"/>
      <c r="G2174" t="inlineStr">
        <is>
          <t>no aplica (precio mayorista)</t>
        </is>
      </c>
      <c r="J2174" t="inlineStr">
        <is>
          <t>2025-12-09</t>
        </is>
      </c>
      <c r="K2174" t="inlineStr">
        <is>
          <t>MIBGAS_Data_2025.xlsx</t>
        </is>
      </c>
    </row>
    <row r="2175">
      <c r="A2175" s="53" t="n">
        <v>46001</v>
      </c>
      <c r="B2175" t="inlineStr">
        <is>
          <t>2025-12-10</t>
        </is>
      </c>
      <c r="C2175" s="45" t="n">
        <v>27.28</v>
      </c>
      <c r="D2175" t="inlineStr">
        <is>
          <t>€/MWh</t>
        </is>
      </c>
      <c r="E2175" s="54" t="n">
        <v>0.02728</v>
      </c>
      <c r="F2175" s="54" t="n"/>
      <c r="G2175" t="inlineStr">
        <is>
          <t>no aplica (precio mayorista)</t>
        </is>
      </c>
      <c r="J2175" t="inlineStr">
        <is>
          <t>2025-12-10</t>
        </is>
      </c>
      <c r="K2175" t="inlineStr">
        <is>
          <t>MIBGAS_Data_2025.xlsx</t>
        </is>
      </c>
    </row>
    <row r="2176">
      <c r="A2176" s="53" t="n">
        <v>46002</v>
      </c>
      <c r="B2176" t="inlineStr">
        <is>
          <t>2025-12-11</t>
        </is>
      </c>
      <c r="C2176" s="45" t="n">
        <v>26.69</v>
      </c>
      <c r="D2176" t="inlineStr">
        <is>
          <t>€/MWh</t>
        </is>
      </c>
      <c r="E2176" s="54" t="n">
        <v>0.02669</v>
      </c>
      <c r="F2176" s="54" t="n"/>
      <c r="G2176" t="inlineStr">
        <is>
          <t>no aplica (precio mayorista)</t>
        </is>
      </c>
      <c r="J2176" t="inlineStr">
        <is>
          <t>2025-12-11</t>
        </is>
      </c>
      <c r="K2176" t="inlineStr">
        <is>
          <t>MIBGAS_Data_2025.xlsx</t>
        </is>
      </c>
    </row>
    <row r="2177">
      <c r="A2177" s="53" t="n">
        <v>46003</v>
      </c>
      <c r="B2177" t="inlineStr">
        <is>
          <t>2025-12-12</t>
        </is>
      </c>
      <c r="C2177" s="45" t="n">
        <v>26.56</v>
      </c>
      <c r="D2177" t="inlineStr">
        <is>
          <t>€/MWh</t>
        </is>
      </c>
      <c r="E2177" s="54" t="n">
        <v>0.02656</v>
      </c>
      <c r="F2177" s="54" t="n"/>
      <c r="G2177" t="inlineStr">
        <is>
          <t>no aplica (precio mayorista)</t>
        </is>
      </c>
      <c r="J2177" t="inlineStr">
        <is>
          <t>2025-12-12</t>
        </is>
      </c>
      <c r="K2177" t="inlineStr">
        <is>
          <t>MIBGAS_Data_2025.xlsx</t>
        </is>
      </c>
    </row>
    <row r="2178">
      <c r="A2178" s="53" t="n">
        <v>46004</v>
      </c>
      <c r="B2178" t="inlineStr">
        <is>
          <t>2025-12-13</t>
        </is>
      </c>
      <c r="C2178" s="45" t="n">
        <v>27.1</v>
      </c>
      <c r="D2178" t="inlineStr">
        <is>
          <t>€/MWh</t>
        </is>
      </c>
      <c r="E2178" s="54" t="n">
        <v>0.0271</v>
      </c>
      <c r="F2178" s="54" t="n"/>
      <c r="G2178" t="inlineStr">
        <is>
          <t>no aplica (precio mayorista)</t>
        </is>
      </c>
      <c r="J2178" t="inlineStr">
        <is>
          <t>2025-12-13</t>
        </is>
      </c>
      <c r="K2178" t="inlineStr">
        <is>
          <t>MIBGAS_Data_2025.xlsx</t>
        </is>
      </c>
    </row>
    <row r="2179">
      <c r="A2179" s="53" t="n">
        <v>46005</v>
      </c>
      <c r="B2179" t="inlineStr">
        <is>
          <t>2025-12-14</t>
        </is>
      </c>
      <c r="C2179" s="45" t="n">
        <v>27.23</v>
      </c>
      <c r="D2179" t="inlineStr">
        <is>
          <t>€/MWh</t>
        </is>
      </c>
      <c r="E2179" s="54" t="n">
        <v>0.02723</v>
      </c>
      <c r="F2179" s="54" t="n"/>
      <c r="G2179" t="inlineStr">
        <is>
          <t>no aplica (precio mayorista)</t>
        </is>
      </c>
      <c r="J2179" t="inlineStr">
        <is>
          <t>2025-12-14</t>
        </is>
      </c>
      <c r="K2179" t="inlineStr">
        <is>
          <t>MIBGAS_Data_2025.xlsx</t>
        </is>
      </c>
    </row>
    <row r="2180">
      <c r="A2180" s="53" t="n">
        <v>46006</v>
      </c>
      <c r="B2180" t="inlineStr">
        <is>
          <t>2025-12-15</t>
        </is>
      </c>
      <c r="C2180" s="45" t="n">
        <v>27.85</v>
      </c>
      <c r="D2180" t="inlineStr">
        <is>
          <t>€/MWh</t>
        </is>
      </c>
      <c r="E2180" s="54" t="n">
        <v>0.02785</v>
      </c>
      <c r="F2180" s="54" t="n"/>
      <c r="G2180" t="inlineStr">
        <is>
          <t>no aplica (precio mayorista)</t>
        </is>
      </c>
      <c r="J2180" t="inlineStr">
        <is>
          <t>2025-12-15</t>
        </is>
      </c>
      <c r="K2180" t="inlineStr">
        <is>
          <t>MIBGAS_Data_2025.xlsx</t>
        </is>
      </c>
    </row>
    <row r="2181">
      <c r="A2181" s="53" t="n">
        <v>46007</v>
      </c>
      <c r="B2181" t="inlineStr">
        <is>
          <t>2025-12-16</t>
        </is>
      </c>
      <c r="C2181" s="45" t="n">
        <v>27.19</v>
      </c>
      <c r="D2181" t="inlineStr">
        <is>
          <t>€/MWh</t>
        </is>
      </c>
      <c r="E2181" s="54" t="n">
        <v>0.02719</v>
      </c>
      <c r="F2181" s="54" t="n"/>
      <c r="G2181" t="inlineStr">
        <is>
          <t>no aplica (precio mayorista)</t>
        </is>
      </c>
      <c r="J2181" t="inlineStr">
        <is>
          <t>2025-12-16</t>
        </is>
      </c>
      <c r="K2181" t="inlineStr">
        <is>
          <t>MIBGAS_Data_2025.xlsx</t>
        </is>
      </c>
    </row>
    <row r="2182">
      <c r="A2182" s="53" t="n">
        <v>46008</v>
      </c>
      <c r="B2182" t="inlineStr">
        <is>
          <t>2025-12-17</t>
        </is>
      </c>
      <c r="C2182" s="45" t="n">
        <v>26.92</v>
      </c>
      <c r="D2182" t="inlineStr">
        <is>
          <t>€/MWh</t>
        </is>
      </c>
      <c r="E2182" s="54" t="n">
        <v>0.02692</v>
      </c>
      <c r="F2182" s="54" t="n"/>
      <c r="G2182" t="inlineStr">
        <is>
          <t>no aplica (precio mayorista)</t>
        </is>
      </c>
      <c r="J2182" t="inlineStr">
        <is>
          <t>2025-12-17</t>
        </is>
      </c>
      <c r="K2182" t="inlineStr">
        <is>
          <t>MIBGAS_Data_2025.xlsx</t>
        </is>
      </c>
    </row>
    <row r="2183">
      <c r="A2183" s="53" t="n">
        <v>46009</v>
      </c>
      <c r="B2183" t="inlineStr">
        <is>
          <t>2025-12-18</t>
        </is>
      </c>
      <c r="C2183" s="45" t="n">
        <v>27.48</v>
      </c>
      <c r="D2183" t="inlineStr">
        <is>
          <t>€/MWh</t>
        </is>
      </c>
      <c r="E2183" s="54" t="n">
        <v>0.02748</v>
      </c>
      <c r="F2183" s="54" t="n"/>
      <c r="G2183" t="inlineStr">
        <is>
          <t>no aplica (precio mayorista)</t>
        </is>
      </c>
      <c r="J2183" t="inlineStr">
        <is>
          <t>2025-12-18</t>
        </is>
      </c>
      <c r="K2183" t="inlineStr">
        <is>
          <t>MIBGAS_Data_2025.xlsx</t>
        </is>
      </c>
    </row>
    <row r="2184">
      <c r="A2184" s="53" t="n">
        <v>46010</v>
      </c>
      <c r="B2184" t="inlineStr">
        <is>
          <t>2025-12-19</t>
        </is>
      </c>
      <c r="C2184" s="45" t="n">
        <v>27.53</v>
      </c>
      <c r="D2184" t="inlineStr">
        <is>
          <t>€/MWh</t>
        </is>
      </c>
      <c r="E2184" s="54" t="n">
        <v>0.02753</v>
      </c>
      <c r="F2184" s="54" t="n"/>
      <c r="G2184" t="inlineStr">
        <is>
          <t>no aplica (precio mayorista)</t>
        </is>
      </c>
      <c r="J2184" t="inlineStr">
        <is>
          <t>2025-12-19</t>
        </is>
      </c>
      <c r="K2184" t="inlineStr">
        <is>
          <t>MIBGAS_Data_2025.xlsx</t>
        </is>
      </c>
    </row>
    <row r="2185">
      <c r="A2185" s="53" t="n">
        <v>46011</v>
      </c>
      <c r="B2185" t="inlineStr">
        <is>
          <t>2025-12-20</t>
        </is>
      </c>
      <c r="C2185" s="45" t="n">
        <v>28.04</v>
      </c>
      <c r="D2185" t="inlineStr">
        <is>
          <t>€/MWh</t>
        </is>
      </c>
      <c r="E2185" s="54" t="n">
        <v>0.02804</v>
      </c>
      <c r="F2185" s="54" t="n"/>
      <c r="G2185" t="inlineStr">
        <is>
          <t>no aplica (precio mayorista)</t>
        </is>
      </c>
      <c r="J2185" t="inlineStr">
        <is>
          <t>2025-12-20</t>
        </is>
      </c>
      <c r="K2185" t="inlineStr">
        <is>
          <t>MIBGAS_Data_2025.xlsx</t>
        </is>
      </c>
    </row>
    <row r="2186">
      <c r="A2186" s="53" t="n">
        <v>46012</v>
      </c>
      <c r="B2186" t="inlineStr">
        <is>
          <t>2025-12-21</t>
        </is>
      </c>
      <c r="C2186" s="45" t="n">
        <v>28.1</v>
      </c>
      <c r="D2186" t="inlineStr">
        <is>
          <t>€/MWh</t>
        </is>
      </c>
      <c r="E2186" s="54" t="n">
        <v>0.0281</v>
      </c>
      <c r="F2186" s="54" t="n"/>
      <c r="G2186" t="inlineStr">
        <is>
          <t>no aplica (precio mayorista)</t>
        </is>
      </c>
      <c r="J2186" t="inlineStr">
        <is>
          <t>2025-12-21</t>
        </is>
      </c>
      <c r="K2186" t="inlineStr">
        <is>
          <t>MIBGAS_Data_2025.xlsx</t>
        </is>
      </c>
    </row>
    <row r="2187">
      <c r="A2187" s="53" t="n">
        <v>46013</v>
      </c>
      <c r="B2187" t="inlineStr">
        <is>
          <t>2025-12-22</t>
        </is>
      </c>
      <c r="C2187" s="45" t="n">
        <v>28.55</v>
      </c>
      <c r="D2187" t="inlineStr">
        <is>
          <t>€/MWh</t>
        </is>
      </c>
      <c r="E2187" s="54" t="n">
        <v>0.02855</v>
      </c>
      <c r="F2187" s="54" t="n"/>
      <c r="G2187" t="inlineStr">
        <is>
          <t>no aplica (precio mayorista)</t>
        </is>
      </c>
      <c r="J2187" t="inlineStr">
        <is>
          <t>2025-12-22</t>
        </is>
      </c>
      <c r="K2187" t="inlineStr">
        <is>
          <t>MIBGAS_Data_2025.xlsx</t>
        </is>
      </c>
    </row>
    <row r="2188">
      <c r="A2188" s="53" t="n">
        <v>46014</v>
      </c>
      <c r="B2188" t="inlineStr">
        <is>
          <t>2025-12-23</t>
        </is>
      </c>
      <c r="C2188" s="45" t="n">
        <v>27.81</v>
      </c>
      <c r="D2188" t="inlineStr">
        <is>
          <t>€/MWh</t>
        </is>
      </c>
      <c r="E2188" s="54" t="n">
        <v>0.02781</v>
      </c>
      <c r="F2188" s="54" t="n"/>
      <c r="G2188" t="inlineStr">
        <is>
          <t>no aplica (precio mayorista)</t>
        </is>
      </c>
      <c r="J2188" t="inlineStr">
        <is>
          <t>2025-12-23</t>
        </is>
      </c>
      <c r="K2188" t="inlineStr">
        <is>
          <t>MIBGAS_Data_2025.xlsx</t>
        </is>
      </c>
    </row>
    <row r="2189">
      <c r="A2189" s="53" t="n">
        <v>46015</v>
      </c>
      <c r="B2189" t="inlineStr">
        <is>
          <t>2025-12-24</t>
        </is>
      </c>
      <c r="C2189" s="45" t="n">
        <v>27.49</v>
      </c>
      <c r="D2189" t="inlineStr">
        <is>
          <t>€/MWh</t>
        </is>
      </c>
      <c r="E2189" s="54" t="n">
        <v>0.02749</v>
      </c>
      <c r="F2189" s="54" t="n"/>
      <c r="G2189" t="inlineStr">
        <is>
          <t>no aplica (precio mayorista)</t>
        </is>
      </c>
      <c r="J2189" t="inlineStr">
        <is>
          <t>2025-12-24</t>
        </is>
      </c>
      <c r="K2189" t="inlineStr">
        <is>
          <t>MIBGAS_Data_2025.xlsx</t>
        </is>
      </c>
    </row>
    <row r="2190">
      <c r="A2190" s="53" t="n">
        <v>46016</v>
      </c>
      <c r="B2190" t="inlineStr">
        <is>
          <t>2025-12-25</t>
        </is>
      </c>
      <c r="C2190" s="45" t="n">
        <v>27.91</v>
      </c>
      <c r="D2190" t="inlineStr">
        <is>
          <t>€/MWh</t>
        </is>
      </c>
      <c r="E2190" s="54" t="n">
        <v>0.02791</v>
      </c>
      <c r="F2190" s="54" t="n"/>
      <c r="G2190" t="inlineStr">
        <is>
          <t>no aplica (precio mayorista)</t>
        </is>
      </c>
      <c r="J2190" t="inlineStr">
        <is>
          <t>2025-12-25</t>
        </is>
      </c>
      <c r="K2190" t="inlineStr">
        <is>
          <t>MIBGAS_Data_2025.xlsx</t>
        </is>
      </c>
    </row>
    <row r="2191">
      <c r="A2191" s="53" t="n">
        <v>46017</v>
      </c>
      <c r="B2191" t="inlineStr">
        <is>
          <t>2025-12-26</t>
        </is>
      </c>
      <c r="C2191" s="45" t="n">
        <v>28.69</v>
      </c>
      <c r="D2191" t="inlineStr">
        <is>
          <t>€/MWh</t>
        </is>
      </c>
      <c r="E2191" s="54" t="n">
        <v>0.02869</v>
      </c>
      <c r="F2191" s="54" t="n"/>
      <c r="G2191" t="inlineStr">
        <is>
          <t>no aplica (precio mayorista)</t>
        </is>
      </c>
      <c r="J2191" t="inlineStr">
        <is>
          <t>2025-12-26</t>
        </is>
      </c>
      <c r="K2191" t="inlineStr">
        <is>
          <t>MIBGAS_Data_2025.xlsx</t>
        </is>
      </c>
    </row>
    <row r="2192">
      <c r="A2192" s="53" t="n">
        <v>46018</v>
      </c>
      <c r="B2192" t="inlineStr">
        <is>
          <t>2025-12-27</t>
        </is>
      </c>
      <c r="C2192" s="45" t="n">
        <v>28.57</v>
      </c>
      <c r="D2192" t="inlineStr">
        <is>
          <t>€/MWh</t>
        </is>
      </c>
      <c r="E2192" s="54" t="n">
        <v>0.02857</v>
      </c>
      <c r="F2192" s="54" t="n"/>
      <c r="G2192" t="inlineStr">
        <is>
          <t>no aplica (precio mayorista)</t>
        </is>
      </c>
      <c r="J2192" t="inlineStr">
        <is>
          <t>2025-12-27</t>
        </is>
      </c>
      <c r="K2192" t="inlineStr">
        <is>
          <t>MIBGAS_Data_2025.xlsx</t>
        </is>
      </c>
    </row>
    <row r="2193">
      <c r="A2193" s="53" t="n">
        <v>46019</v>
      </c>
      <c r="B2193" t="inlineStr">
        <is>
          <t>2025-12-28</t>
        </is>
      </c>
      <c r="C2193" s="45" t="n">
        <v>28.75</v>
      </c>
      <c r="D2193" t="inlineStr">
        <is>
          <t>€/MWh</t>
        </is>
      </c>
      <c r="E2193" s="54" t="n">
        <v>0.02875</v>
      </c>
      <c r="F2193" s="54" t="n"/>
      <c r="G2193" t="inlineStr">
        <is>
          <t>no aplica (precio mayorista)</t>
        </is>
      </c>
      <c r="J2193" t="inlineStr">
        <is>
          <t>2025-12-28</t>
        </is>
      </c>
      <c r="K2193" t="inlineStr">
        <is>
          <t>MIBGAS_Data_2025.xlsx</t>
        </is>
      </c>
    </row>
    <row r="2194">
      <c r="A2194" s="53" t="n">
        <v>46020</v>
      </c>
      <c r="B2194" t="inlineStr">
        <is>
          <t>2025-12-29</t>
        </is>
      </c>
      <c r="C2194" s="45" t="n">
        <v>28.97</v>
      </c>
      <c r="D2194" t="inlineStr">
        <is>
          <t>€/MWh</t>
        </is>
      </c>
      <c r="E2194" s="54" t="n">
        <v>0.02897</v>
      </c>
      <c r="F2194" s="54" t="n"/>
      <c r="G2194" t="inlineStr">
        <is>
          <t>no aplica (precio mayorista)</t>
        </is>
      </c>
      <c r="J2194" t="inlineStr">
        <is>
          <t>2025-12-29</t>
        </is>
      </c>
      <c r="K2194" t="inlineStr">
        <is>
          <t>MIBGAS_Data_2025.xlsx</t>
        </is>
      </c>
    </row>
    <row r="2195">
      <c r="A2195" s="53" t="n">
        <v>46021</v>
      </c>
      <c r="B2195" t="inlineStr">
        <is>
          <t>2025-12-30</t>
        </is>
      </c>
      <c r="C2195" s="45" t="n">
        <v>28.23</v>
      </c>
      <c r="D2195" t="inlineStr">
        <is>
          <t>€/MWh</t>
        </is>
      </c>
      <c r="E2195" s="54" t="n">
        <v>0.02823</v>
      </c>
      <c r="F2195" s="54" t="n"/>
      <c r="G2195" t="inlineStr">
        <is>
          <t>no aplica (precio mayorista)</t>
        </is>
      </c>
      <c r="J2195" t="inlineStr">
        <is>
          <t>2025-12-30</t>
        </is>
      </c>
      <c r="K2195" t="inlineStr">
        <is>
          <t>MIBGAS_Data_2025.xlsx</t>
        </is>
      </c>
    </row>
    <row r="2196">
      <c r="A2196" s="53" t="n">
        <v>46022</v>
      </c>
      <c r="B2196" t="inlineStr">
        <is>
          <t>2025-12-31</t>
        </is>
      </c>
      <c r="C2196" s="45" t="n">
        <v>28.17</v>
      </c>
      <c r="D2196" t="inlineStr">
        <is>
          <t>€/MWh</t>
        </is>
      </c>
      <c r="E2196" s="54" t="n">
        <v>0.02817</v>
      </c>
      <c r="F2196" s="54" t="n"/>
      <c r="G2196" t="inlineStr">
        <is>
          <t>no aplica (precio mayorista)</t>
        </is>
      </c>
      <c r="J2196" t="inlineStr">
        <is>
          <t>2025-12-31</t>
        </is>
      </c>
      <c r="K2196" t="inlineStr">
        <is>
          <t>MIBGAS_Data_2025.xlsx</t>
        </is>
      </c>
    </row>
    <row r="2197">
      <c r="A2197" s="53" t="n">
        <v>46023</v>
      </c>
      <c r="B2197" t="inlineStr">
        <is>
          <t>2026-01-01</t>
        </is>
      </c>
      <c r="C2197" s="45" t="n">
        <v>28.72</v>
      </c>
      <c r="D2197" t="inlineStr">
        <is>
          <t>€/MWh</t>
        </is>
      </c>
      <c r="E2197" s="54" t="n">
        <v>0.02872</v>
      </c>
      <c r="F2197" s="54" t="n"/>
      <c r="G2197" t="inlineStr">
        <is>
          <t>no aplica (precio mayorista)</t>
        </is>
      </c>
      <c r="J2197" t="inlineStr">
        <is>
          <t>2026-01-01</t>
        </is>
      </c>
      <c r="K2197" t="inlineStr">
        <is>
          <t>MIBGAS_Data_2026.xlsx</t>
        </is>
      </c>
    </row>
    <row r="2198">
      <c r="A2198" s="53" t="n">
        <v>46024</v>
      </c>
      <c r="B2198" t="inlineStr">
        <is>
          <t>2026-01-02</t>
        </is>
      </c>
      <c r="C2198" s="45" t="n">
        <v>29.22</v>
      </c>
      <c r="D2198" t="inlineStr">
        <is>
          <t>€/MWh</t>
        </is>
      </c>
      <c r="E2198" s="54" t="n">
        <v>0.02922</v>
      </c>
      <c r="F2198" s="54" t="n"/>
      <c r="G2198" t="inlineStr">
        <is>
          <t>no aplica (precio mayorista)</t>
        </is>
      </c>
      <c r="J2198" t="inlineStr">
        <is>
          <t>2026-01-02</t>
        </is>
      </c>
      <c r="K2198" t="inlineStr">
        <is>
          <t>MIBGAS_Data_2026.xlsx</t>
        </is>
      </c>
    </row>
    <row r="2199">
      <c r="A2199" s="53" t="n">
        <v>46025</v>
      </c>
      <c r="B2199" t="inlineStr">
        <is>
          <t>2026-01-03</t>
        </is>
      </c>
      <c r="C2199" s="45" t="n">
        <v>29.64</v>
      </c>
      <c r="D2199" t="inlineStr">
        <is>
          <t>€/MWh</t>
        </is>
      </c>
      <c r="E2199" s="54" t="n">
        <v>0.02964</v>
      </c>
      <c r="F2199" s="54" t="n"/>
      <c r="G2199" t="inlineStr">
        <is>
          <t>no aplica (precio mayorista)</t>
        </is>
      </c>
      <c r="J2199" t="inlineStr">
        <is>
          <t>2026-01-03</t>
        </is>
      </c>
      <c r="K2199" t="inlineStr">
        <is>
          <t>MIBGAS_Data_2026.xlsx</t>
        </is>
      </c>
    </row>
    <row r="2200">
      <c r="A2200" s="53" t="n">
        <v>46026</v>
      </c>
      <c r="B2200" t="inlineStr">
        <is>
          <t>2026-01-04</t>
        </is>
      </c>
      <c r="C2200" s="45" t="n">
        <v>30.76</v>
      </c>
      <c r="D2200" t="inlineStr">
        <is>
          <t>€/MWh</t>
        </is>
      </c>
      <c r="E2200" s="54" t="n">
        <v>0.03076</v>
      </c>
      <c r="F2200" s="54" t="n"/>
      <c r="G2200" t="inlineStr">
        <is>
          <t>no aplica (precio mayorista)</t>
        </is>
      </c>
      <c r="J2200" t="inlineStr">
        <is>
          <t>2026-01-04</t>
        </is>
      </c>
      <c r="K2200" t="inlineStr">
        <is>
          <t>MIBGAS_Data_2026.xlsx</t>
        </is>
      </c>
    </row>
    <row r="2201">
      <c r="A2201" s="53" t="n">
        <v>46027</v>
      </c>
      <c r="B2201" t="inlineStr">
        <is>
          <t>2026-01-05</t>
        </is>
      </c>
      <c r="C2201" s="45" t="n">
        <v>30.71</v>
      </c>
      <c r="D2201" t="inlineStr">
        <is>
          <t>€/MWh</t>
        </is>
      </c>
      <c r="E2201" s="54" t="n">
        <v>0.03071</v>
      </c>
      <c r="F2201" s="54" t="n"/>
      <c r="G2201" t="inlineStr">
        <is>
          <t>no aplica (precio mayorista)</t>
        </is>
      </c>
      <c r="J2201" t="inlineStr">
        <is>
          <t>2026-01-05</t>
        </is>
      </c>
      <c r="K2201" t="inlineStr">
        <is>
          <t>MIBGAS_Data_2026.xlsx</t>
        </is>
      </c>
    </row>
    <row r="2202">
      <c r="A2202" s="53" t="n">
        <v>46028</v>
      </c>
      <c r="B2202" t="inlineStr">
        <is>
          <t>2026-01-06</t>
        </is>
      </c>
      <c r="C2202" s="45" t="n">
        <v>28.98</v>
      </c>
      <c r="D2202" t="inlineStr">
        <is>
          <t>€/MWh</t>
        </is>
      </c>
      <c r="E2202" s="54" t="n">
        <v>0.02898</v>
      </c>
      <c r="F2202" s="54" t="n"/>
      <c r="G2202" t="inlineStr">
        <is>
          <t>no aplica (precio mayorista)</t>
        </is>
      </c>
      <c r="J2202" t="inlineStr">
        <is>
          <t>2026-01-06</t>
        </is>
      </c>
      <c r="K2202" t="inlineStr">
        <is>
          <t>MIBGAS_Data_2026.xlsx</t>
        </is>
      </c>
    </row>
    <row r="2203">
      <c r="A2203" s="53" t="n">
        <v>46029</v>
      </c>
      <c r="B2203" t="inlineStr">
        <is>
          <t>2026-01-07</t>
        </is>
      </c>
      <c r="C2203" s="45" t="n">
        <v>30.45</v>
      </c>
      <c r="D2203" t="inlineStr">
        <is>
          <t>€/MWh</t>
        </is>
      </c>
      <c r="E2203" s="54" t="n">
        <v>0.03045</v>
      </c>
      <c r="F2203" s="54" t="n"/>
      <c r="G2203" t="inlineStr">
        <is>
          <t>no aplica (precio mayorista)</t>
        </is>
      </c>
      <c r="J2203" t="inlineStr">
        <is>
          <t>2026-01-07</t>
        </is>
      </c>
      <c r="K2203" t="inlineStr">
        <is>
          <t>MIBGAS_Data_2026.xlsx</t>
        </is>
      </c>
    </row>
    <row r="2204">
      <c r="A2204" s="53" t="n">
        <v>46030</v>
      </c>
      <c r="B2204" t="inlineStr">
        <is>
          <t>2026-01-08</t>
        </is>
      </c>
      <c r="C2204" s="45" t="n">
        <v>29.83</v>
      </c>
      <c r="D2204" t="inlineStr">
        <is>
          <t>€/MWh</t>
        </is>
      </c>
      <c r="E2204" s="54" t="n">
        <v>0.02983</v>
      </c>
      <c r="F2204" s="54" t="n"/>
      <c r="G2204" t="inlineStr">
        <is>
          <t>no aplica (precio mayorista)</t>
        </is>
      </c>
      <c r="J2204" t="inlineStr">
        <is>
          <t>2026-01-08</t>
        </is>
      </c>
      <c r="K2204" t="inlineStr">
        <is>
          <t>MIBGAS_Data_2026.xlsx</t>
        </is>
      </c>
    </row>
    <row r="2205">
      <c r="A2205" s="53" t="n">
        <v>46031</v>
      </c>
      <c r="B2205" t="inlineStr">
        <is>
          <t>2026-01-09</t>
        </is>
      </c>
      <c r="C2205" s="45" t="n">
        <v>29.55</v>
      </c>
      <c r="D2205" t="inlineStr">
        <is>
          <t>€/MWh</t>
        </is>
      </c>
      <c r="E2205" s="54" t="n">
        <v>0.02955</v>
      </c>
      <c r="F2205" s="54" t="n"/>
      <c r="G2205" t="inlineStr">
        <is>
          <t>no aplica (precio mayorista)</t>
        </is>
      </c>
      <c r="J2205" t="inlineStr">
        <is>
          <t>2026-01-09</t>
        </is>
      </c>
      <c r="K2205" t="inlineStr">
        <is>
          <t>MIBGAS_Data_2026.xlsx</t>
        </is>
      </c>
    </row>
    <row r="2206">
      <c r="A2206" s="53" t="n">
        <v>46032</v>
      </c>
      <c r="B2206" t="inlineStr">
        <is>
          <t>2026-01-10</t>
        </is>
      </c>
      <c r="C2206" s="45" t="n">
        <v>29.99</v>
      </c>
      <c r="D2206" t="inlineStr">
        <is>
          <t>€/MWh</t>
        </is>
      </c>
      <c r="E2206" s="54" t="n">
        <v>0.02999</v>
      </c>
      <c r="F2206" s="54" t="n"/>
      <c r="G2206" t="inlineStr">
        <is>
          <t>no aplica (precio mayorista)</t>
        </is>
      </c>
      <c r="J2206" t="inlineStr">
        <is>
          <t>2026-01-10</t>
        </is>
      </c>
      <c r="K2206" t="inlineStr">
        <is>
          <t>MIBGAS_Data_2026.xlsx</t>
        </is>
      </c>
    </row>
    <row r="2207">
      <c r="A2207" s="53" t="n">
        <v>46033</v>
      </c>
      <c r="B2207" t="inlineStr">
        <is>
          <t>2026-01-11</t>
        </is>
      </c>
      <c r="C2207" s="45" t="n">
        <v>30.11</v>
      </c>
      <c r="D2207" t="inlineStr">
        <is>
          <t>€/MWh</t>
        </is>
      </c>
      <c r="E2207" s="54" t="n">
        <v>0.03011</v>
      </c>
      <c r="F2207" s="54" t="n"/>
      <c r="G2207" t="inlineStr">
        <is>
          <t>no aplica (precio mayorista)</t>
        </is>
      </c>
      <c r="J2207" t="inlineStr">
        <is>
          <t>2026-01-11</t>
        </is>
      </c>
      <c r="K2207" t="inlineStr">
        <is>
          <t>MIBGAS_Data_2026.xlsx</t>
        </is>
      </c>
    </row>
    <row r="2208">
      <c r="A2208" s="53" t="n">
        <v>46034</v>
      </c>
      <c r="B2208" t="inlineStr">
        <is>
          <t>2026-01-12</t>
        </is>
      </c>
      <c r="C2208" s="45" t="n">
        <v>30.66</v>
      </c>
      <c r="D2208" t="inlineStr">
        <is>
          <t>€/MWh</t>
        </is>
      </c>
      <c r="E2208" s="54" t="n">
        <v>0.03066</v>
      </c>
      <c r="F2208" s="54" t="n"/>
      <c r="G2208" t="inlineStr">
        <is>
          <t>no aplica (precio mayorista)</t>
        </is>
      </c>
      <c r="J2208" t="inlineStr">
        <is>
          <t>2026-01-12</t>
        </is>
      </c>
      <c r="K2208" t="inlineStr">
        <is>
          <t>MIBGAS_Data_2026.xlsx</t>
        </is>
      </c>
    </row>
    <row r="2209">
      <c r="A2209" s="53" t="n">
        <v>46035</v>
      </c>
      <c r="B2209" t="inlineStr">
        <is>
          <t>2026-01-13</t>
        </is>
      </c>
      <c r="C2209" s="45" t="n">
        <v>32.91</v>
      </c>
      <c r="D2209" t="inlineStr">
        <is>
          <t>€/MWh</t>
        </is>
      </c>
      <c r="E2209" s="54" t="n">
        <v>0.03291</v>
      </c>
      <c r="F2209" s="54" t="n"/>
      <c r="G2209" t="inlineStr">
        <is>
          <t>no aplica (precio mayorista)</t>
        </is>
      </c>
      <c r="J2209" t="inlineStr">
        <is>
          <t>2026-01-13</t>
        </is>
      </c>
      <c r="K2209" t="inlineStr">
        <is>
          <t>MIBGAS_Data_2026.xlsx</t>
        </is>
      </c>
    </row>
    <row r="2210">
      <c r="A2210" s="53" t="n">
        <v>46036</v>
      </c>
      <c r="B2210" t="inlineStr">
        <is>
          <t>2026-01-14</t>
        </is>
      </c>
      <c r="C2210" s="45" t="n">
        <v>32.99</v>
      </c>
      <c r="D2210" t="inlineStr">
        <is>
          <t>€/MWh</t>
        </is>
      </c>
      <c r="E2210" s="54" t="n">
        <v>0.03299</v>
      </c>
      <c r="F2210" s="54" t="n"/>
      <c r="G2210" t="inlineStr">
        <is>
          <t>no aplica (precio mayorista)</t>
        </is>
      </c>
      <c r="J2210" t="inlineStr">
        <is>
          <t>2026-01-14</t>
        </is>
      </c>
      <c r="K2210" t="inlineStr">
        <is>
          <t>MIBGAS_Data_2026.xlsx</t>
        </is>
      </c>
    </row>
    <row r="2211">
      <c r="A2211" s="53" t="n">
        <v>46037</v>
      </c>
      <c r="B2211" t="inlineStr">
        <is>
          <t>2026-01-15</t>
        </is>
      </c>
      <c r="C2211" s="45" t="n">
        <v>33.92</v>
      </c>
      <c r="D2211" t="inlineStr">
        <is>
          <t>€/MWh</t>
        </is>
      </c>
      <c r="E2211" s="54" t="n">
        <v>0.03392</v>
      </c>
      <c r="F2211" s="54" t="n"/>
      <c r="G2211" t="inlineStr">
        <is>
          <t>no aplica (precio mayorista)</t>
        </is>
      </c>
      <c r="J2211" t="inlineStr">
        <is>
          <t>2026-01-15</t>
        </is>
      </c>
      <c r="K2211" t="inlineStr">
        <is>
          <t>MIBGAS_Data_2026.xlsx</t>
        </is>
      </c>
    </row>
    <row r="2212">
      <c r="A2212" s="53" t="n">
        <v>46038</v>
      </c>
      <c r="B2212" t="inlineStr">
        <is>
          <t>2026-01-16</t>
        </is>
      </c>
      <c r="C2212" s="45" t="n">
        <v>36.02</v>
      </c>
      <c r="D2212" t="inlineStr">
        <is>
          <t>€/MWh</t>
        </is>
      </c>
      <c r="E2212" s="54" t="n">
        <v>0.03602</v>
      </c>
      <c r="F2212" s="54" t="n"/>
      <c r="G2212" t="inlineStr">
        <is>
          <t>no aplica (precio mayorista)</t>
        </is>
      </c>
      <c r="J2212" t="inlineStr">
        <is>
          <t>2026-01-16</t>
        </is>
      </c>
      <c r="K2212" t="inlineStr">
        <is>
          <t>MIBGAS_Data_2026.xlsx</t>
        </is>
      </c>
    </row>
    <row r="2213">
      <c r="A2213" s="53" t="n">
        <v>46039</v>
      </c>
      <c r="B2213" t="inlineStr">
        <is>
          <t>2026-01-17</t>
        </is>
      </c>
      <c r="C2213" s="45" t="n">
        <v>38.9</v>
      </c>
      <c r="D2213" t="inlineStr">
        <is>
          <t>€/MWh</t>
        </is>
      </c>
      <c r="E2213" s="54" t="n">
        <v>0.0389</v>
      </c>
      <c r="F2213" s="54" t="n"/>
      <c r="G2213" t="inlineStr">
        <is>
          <t>no aplica (precio mayorista)</t>
        </is>
      </c>
      <c r="J2213" t="inlineStr">
        <is>
          <t>2026-01-17</t>
        </is>
      </c>
      <c r="K2213" t="inlineStr">
        <is>
          <t>MIBGAS_Data_2026.xlsx</t>
        </is>
      </c>
    </row>
    <row r="2214">
      <c r="A2214" s="53" t="n">
        <v>46040</v>
      </c>
      <c r="B2214" t="inlineStr">
        <is>
          <t>2026-01-18</t>
        </is>
      </c>
      <c r="C2214" s="45" t="n">
        <v>38.38</v>
      </c>
      <c r="D2214" t="inlineStr">
        <is>
          <t>€/MWh</t>
        </is>
      </c>
      <c r="E2214" s="54" t="n">
        <v>0.03838</v>
      </c>
      <c r="F2214" s="54" t="n"/>
      <c r="G2214" t="inlineStr">
        <is>
          <t>no aplica (precio mayorista)</t>
        </is>
      </c>
      <c r="J2214" t="inlineStr">
        <is>
          <t>2026-01-18</t>
        </is>
      </c>
      <c r="K2214" t="inlineStr">
        <is>
          <t>MIBGAS_Data_2026.xlsx</t>
        </is>
      </c>
    </row>
    <row r="2215">
      <c r="A2215" s="53" t="n">
        <v>46041</v>
      </c>
      <c r="B2215" t="inlineStr">
        <is>
          <t>2026-01-19</t>
        </is>
      </c>
      <c r="C2215" s="45" t="n">
        <v>38.08</v>
      </c>
      <c r="D2215" t="inlineStr">
        <is>
          <t>€/MWh</t>
        </is>
      </c>
      <c r="E2215" s="54" t="n">
        <v>0.03808</v>
      </c>
      <c r="F2215" s="54" t="n"/>
      <c r="G2215" t="inlineStr">
        <is>
          <t>no aplica (precio mayorista)</t>
        </is>
      </c>
      <c r="J2215" t="inlineStr">
        <is>
          <t>2026-01-19</t>
        </is>
      </c>
      <c r="K2215" t="inlineStr">
        <is>
          <t>MIBGAS_Data_2026.xlsx</t>
        </is>
      </c>
    </row>
    <row r="2216">
      <c r="A2216" s="53" t="n">
        <v>46042</v>
      </c>
      <c r="B2216" t="inlineStr">
        <is>
          <t>2026-01-20</t>
        </is>
      </c>
      <c r="C2216" s="45" t="n">
        <v>37.34</v>
      </c>
      <c r="D2216" t="inlineStr">
        <is>
          <t>€/MWh</t>
        </is>
      </c>
      <c r="E2216" s="54" t="n">
        <v>0.03734</v>
      </c>
      <c r="F2216" s="54" t="n"/>
      <c r="G2216" t="inlineStr">
        <is>
          <t>no aplica (precio mayorista)</t>
        </is>
      </c>
      <c r="J2216" t="inlineStr">
        <is>
          <t>2026-01-20</t>
        </is>
      </c>
      <c r="K2216" t="inlineStr">
        <is>
          <t>MIBGAS_Data_2026.xlsx</t>
        </is>
      </c>
    </row>
    <row r="2217">
      <c r="A2217" s="53" t="n">
        <v>46043</v>
      </c>
      <c r="B2217" t="inlineStr">
        <is>
          <t>2026-01-21</t>
        </is>
      </c>
      <c r="C2217" s="45" t="n">
        <v>38.05</v>
      </c>
      <c r="D2217" t="inlineStr">
        <is>
          <t>€/MWh</t>
        </is>
      </c>
      <c r="E2217" s="54" t="n">
        <v>0.03805</v>
      </c>
      <c r="F2217" s="54" t="n"/>
      <c r="G2217" t="inlineStr">
        <is>
          <t>no aplica (precio mayorista)</t>
        </is>
      </c>
      <c r="J2217" t="inlineStr">
        <is>
          <t>2026-01-21</t>
        </is>
      </c>
      <c r="K2217" t="inlineStr">
        <is>
          <t>MIBGAS_Data_2026.xlsx</t>
        </is>
      </c>
    </row>
    <row r="2218">
      <c r="A2218" s="53" t="n">
        <v>46044</v>
      </c>
      <c r="B2218" t="inlineStr">
        <is>
          <t>2026-01-22</t>
        </is>
      </c>
      <c r="C2218" s="45" t="n">
        <v>39.5</v>
      </c>
      <c r="D2218" t="inlineStr">
        <is>
          <t>€/MWh</t>
        </is>
      </c>
      <c r="E2218" s="54" t="n">
        <v>0.0395</v>
      </c>
      <c r="F2218" s="54" t="n"/>
      <c r="G2218" t="inlineStr">
        <is>
          <t>no aplica (precio mayorista)</t>
        </is>
      </c>
      <c r="J2218" t="inlineStr">
        <is>
          <t>2026-01-22</t>
        </is>
      </c>
      <c r="K2218" t="inlineStr">
        <is>
          <t>MIBGAS_Data_2026.xlsx</t>
        </is>
      </c>
    </row>
    <row r="2219">
      <c r="A2219" s="53" t="n">
        <v>46045</v>
      </c>
      <c r="B2219" t="inlineStr">
        <is>
          <t>2026-01-23</t>
        </is>
      </c>
      <c r="C2219" s="45" t="n">
        <v>40.35</v>
      </c>
      <c r="D2219" t="inlineStr">
        <is>
          <t>€/MWh</t>
        </is>
      </c>
      <c r="E2219" s="54" t="n">
        <v>0.04035</v>
      </c>
      <c r="F2219" s="54" t="n"/>
      <c r="G2219" t="inlineStr">
        <is>
          <t>no aplica (precio mayorista)</t>
        </is>
      </c>
      <c r="J2219" t="inlineStr">
        <is>
          <t>2026-01-23</t>
        </is>
      </c>
      <c r="K2219" t="inlineStr">
        <is>
          <t>MIBGAS_Data_2026.xlsx</t>
        </is>
      </c>
    </row>
    <row r="2220">
      <c r="A2220" s="53" t="n">
        <v>46046</v>
      </c>
      <c r="B2220" t="inlineStr">
        <is>
          <t>2026-01-24</t>
        </is>
      </c>
      <c r="C2220" s="45" t="n">
        <v>41.14</v>
      </c>
      <c r="D2220" t="inlineStr">
        <is>
          <t>€/MWh</t>
        </is>
      </c>
      <c r="E2220" s="54" t="n">
        <v>0.04114</v>
      </c>
      <c r="F2220" s="54" t="n"/>
      <c r="G2220" t="inlineStr">
        <is>
          <t>no aplica (precio mayorista)</t>
        </is>
      </c>
      <c r="J2220" t="inlineStr">
        <is>
          <t>2026-01-24</t>
        </is>
      </c>
      <c r="K2220" t="inlineStr">
        <is>
          <t>MIBGAS_Data_2026.xlsx</t>
        </is>
      </c>
    </row>
    <row r="2221">
      <c r="A2221" s="53" t="n">
        <v>46047</v>
      </c>
      <c r="B2221" t="inlineStr">
        <is>
          <t>2026-01-25</t>
        </is>
      </c>
      <c r="C2221" s="45" t="n">
        <v>41.11</v>
      </c>
      <c r="D2221" t="inlineStr">
        <is>
          <t>€/MWh</t>
        </is>
      </c>
      <c r="E2221" s="54" t="n">
        <v>0.04111</v>
      </c>
      <c r="F2221" s="54" t="n"/>
      <c r="G2221" t="inlineStr">
        <is>
          <t>no aplica (precio mayorista)</t>
        </is>
      </c>
      <c r="J2221" t="inlineStr">
        <is>
          <t>2026-01-25</t>
        </is>
      </c>
      <c r="K2221" t="inlineStr">
        <is>
          <t>MIBGAS_Data_2026.xlsx</t>
        </is>
      </c>
    </row>
    <row r="2222">
      <c r="A2222" s="53" t="n">
        <v>46048</v>
      </c>
      <c r="B2222" t="inlineStr">
        <is>
          <t>2026-01-26</t>
        </is>
      </c>
      <c r="C2222" s="45" t="n">
        <v>42.17</v>
      </c>
      <c r="D2222" t="inlineStr">
        <is>
          <t>€/MWh</t>
        </is>
      </c>
      <c r="E2222" s="54" t="n">
        <v>0.04217</v>
      </c>
      <c r="F2222" s="54" t="n"/>
      <c r="G2222" t="inlineStr">
        <is>
          <t>no aplica (precio mayorista)</t>
        </is>
      </c>
      <c r="J2222" t="inlineStr">
        <is>
          <t>2026-01-26</t>
        </is>
      </c>
      <c r="K2222" t="inlineStr">
        <is>
          <t>MIBGAS_Data_2026.xlsx</t>
        </is>
      </c>
    </row>
    <row r="2223">
      <c r="A2223" s="53" t="n">
        <v>46049</v>
      </c>
      <c r="B2223" t="inlineStr">
        <is>
          <t>2026-01-27</t>
        </is>
      </c>
      <c r="C2223" s="45" t="n">
        <v>41.96</v>
      </c>
      <c r="D2223" t="inlineStr">
        <is>
          <t>€/MWh</t>
        </is>
      </c>
      <c r="E2223" s="54" t="n">
        <v>0.04196</v>
      </c>
      <c r="F2223" s="54" t="n"/>
      <c r="G2223" t="inlineStr">
        <is>
          <t>no aplica (precio mayorista)</t>
        </is>
      </c>
      <c r="J2223" t="inlineStr">
        <is>
          <t>2026-01-27</t>
        </is>
      </c>
      <c r="K2223" t="inlineStr">
        <is>
          <t>MIBGAS_Data_2026.xlsx</t>
        </is>
      </c>
    </row>
    <row r="2224">
      <c r="A2224" s="53" t="n">
        <v>46050</v>
      </c>
      <c r="B2224" t="inlineStr">
        <is>
          <t>2026-01-28</t>
        </is>
      </c>
      <c r="C2224" s="45" t="n">
        <v>40.59</v>
      </c>
      <c r="D2224" t="inlineStr">
        <is>
          <t>€/MWh</t>
        </is>
      </c>
      <c r="E2224" s="54" t="n">
        <v>0.04059</v>
      </c>
      <c r="F2224" s="54" t="n"/>
      <c r="G2224" t="inlineStr">
        <is>
          <t>no aplica (precio mayorista)</t>
        </is>
      </c>
      <c r="J2224" t="inlineStr">
        <is>
          <t>2026-01-28</t>
        </is>
      </c>
      <c r="K2224" t="inlineStr">
        <is>
          <t>MIBGAS_Data_2026.xlsx</t>
        </is>
      </c>
    </row>
    <row r="2225">
      <c r="A2225" s="53" t="n">
        <v>46051</v>
      </c>
      <c r="B2225" t="inlineStr">
        <is>
          <t>2026-01-29</t>
        </is>
      </c>
      <c r="C2225" s="45" t="n">
        <v>39.26</v>
      </c>
      <c r="D2225" t="inlineStr">
        <is>
          <t>€/MWh</t>
        </is>
      </c>
      <c r="E2225" s="54" t="n">
        <v>0.03926</v>
      </c>
      <c r="F2225" s="54" t="n"/>
      <c r="G2225" t="inlineStr">
        <is>
          <t>no aplica (precio mayorista)</t>
        </is>
      </c>
      <c r="J2225" t="inlineStr">
        <is>
          <t>2026-01-29</t>
        </is>
      </c>
      <c r="K2225" t="inlineStr">
        <is>
          <t>MIBGAS_Data_2026.xlsx</t>
        </is>
      </c>
    </row>
    <row r="2226">
      <c r="A2226" s="53" t="n">
        <v>46052</v>
      </c>
      <c r="B2226" t="inlineStr">
        <is>
          <t>2026-01-30</t>
        </is>
      </c>
      <c r="C2226" s="45" t="n">
        <v>39.31</v>
      </c>
      <c r="D2226" t="inlineStr">
        <is>
          <t>€/MWh</t>
        </is>
      </c>
      <c r="E2226" s="54" t="n">
        <v>0.03931</v>
      </c>
      <c r="F2226" s="54" t="n"/>
      <c r="G2226" t="inlineStr">
        <is>
          <t>no aplica (precio mayorista)</t>
        </is>
      </c>
      <c r="J2226" t="inlineStr">
        <is>
          <t>2026-01-30</t>
        </is>
      </c>
      <c r="K2226" t="inlineStr">
        <is>
          <t>MIBGAS_Data_2026.xlsx</t>
        </is>
      </c>
    </row>
    <row r="2227">
      <c r="A2227" s="53" t="n">
        <v>46053</v>
      </c>
      <c r="B2227" t="inlineStr">
        <is>
          <t>2026-01-31</t>
        </is>
      </c>
      <c r="C2227" s="45" t="n">
        <v>39.77</v>
      </c>
      <c r="D2227" t="inlineStr">
        <is>
          <t>€/MWh</t>
        </is>
      </c>
      <c r="E2227" s="54" t="n">
        <v>0.03977</v>
      </c>
      <c r="F2227" s="54" t="n"/>
      <c r="G2227" t="inlineStr">
        <is>
          <t>no aplica (precio mayorista)</t>
        </is>
      </c>
      <c r="J2227" t="inlineStr">
        <is>
          <t>2026-01-31</t>
        </is>
      </c>
      <c r="K2227" t="inlineStr">
        <is>
          <t>MIBGAS_Data_2026.xlsx</t>
        </is>
      </c>
    </row>
    <row r="2228">
      <c r="A2228" s="53" t="n">
        <v>46054</v>
      </c>
      <c r="B2228" t="inlineStr">
        <is>
          <t>2026-02-01</t>
        </is>
      </c>
      <c r="C2228" s="45" t="n">
        <v>40.04</v>
      </c>
      <c r="D2228" t="inlineStr">
        <is>
          <t>€/MWh</t>
        </is>
      </c>
      <c r="E2228" s="54" t="n">
        <v>0.04004</v>
      </c>
      <c r="F2228" s="54" t="n"/>
      <c r="G2228" t="inlineStr">
        <is>
          <t>no aplica (precio mayorista)</t>
        </is>
      </c>
      <c r="J2228" t="inlineStr">
        <is>
          <t>2026-02-01</t>
        </is>
      </c>
      <c r="K2228" t="inlineStr">
        <is>
          <t>MIBGAS_Data_2026.xlsx</t>
        </is>
      </c>
    </row>
    <row r="2229">
      <c r="A2229" s="53" t="n">
        <v>46055</v>
      </c>
      <c r="B2229" t="inlineStr">
        <is>
          <t>2026-02-02</t>
        </is>
      </c>
      <c r="C2229" s="45" t="n">
        <v>38.53</v>
      </c>
      <c r="D2229" t="inlineStr">
        <is>
          <t>€/MWh</t>
        </is>
      </c>
      <c r="E2229" s="54" t="n">
        <v>0.03853</v>
      </c>
      <c r="F2229" s="54" t="n"/>
      <c r="G2229" t="inlineStr">
        <is>
          <t>no aplica (precio mayorista)</t>
        </is>
      </c>
      <c r="J2229" t="inlineStr">
        <is>
          <t>2026-02-02</t>
        </is>
      </c>
      <c r="K2229" t="inlineStr">
        <is>
          <t>MIBGAS_Data_2026.xlsx</t>
        </is>
      </c>
    </row>
    <row r="2230">
      <c r="A2230" s="53" t="n">
        <v>46056</v>
      </c>
      <c r="B2230" t="inlineStr">
        <is>
          <t>2026-02-03</t>
        </is>
      </c>
      <c r="C2230" s="45" t="n">
        <v>33.81</v>
      </c>
      <c r="D2230" t="inlineStr">
        <is>
          <t>€/MWh</t>
        </is>
      </c>
      <c r="E2230" s="54" t="n">
        <v>0.03381</v>
      </c>
      <c r="F2230" s="54" t="n"/>
      <c r="G2230" t="inlineStr">
        <is>
          <t>no aplica (precio mayorista)</t>
        </is>
      </c>
      <c r="J2230" t="inlineStr">
        <is>
          <t>2026-02-03</t>
        </is>
      </c>
      <c r="K2230" t="inlineStr">
        <is>
          <t>MIBGAS_Data_2026.xlsx</t>
        </is>
      </c>
    </row>
    <row r="2231">
      <c r="A2231" s="53" t="n">
        <v>46057</v>
      </c>
      <c r="B2231" t="inlineStr">
        <is>
          <t>2026-02-04</t>
        </is>
      </c>
      <c r="C2231" s="45" t="n">
        <v>32.35</v>
      </c>
      <c r="D2231" t="inlineStr">
        <is>
          <t>€/MWh</t>
        </is>
      </c>
      <c r="E2231" s="54" t="n">
        <v>0.03235</v>
      </c>
      <c r="F2231" s="54" t="n"/>
      <c r="G2231" t="inlineStr">
        <is>
          <t>no aplica (precio mayorista)</t>
        </is>
      </c>
      <c r="J2231" t="inlineStr">
        <is>
          <t>2026-02-04</t>
        </is>
      </c>
      <c r="K2231" t="inlineStr">
        <is>
          <t>MIBGAS_Data_2026.xlsx</t>
        </is>
      </c>
    </row>
    <row r="2232">
      <c r="A2232" s="53" t="n">
        <v>46058</v>
      </c>
      <c r="B2232" t="inlineStr">
        <is>
          <t>2026-02-05</t>
        </is>
      </c>
      <c r="C2232" s="45" t="n">
        <v>32.56</v>
      </c>
      <c r="D2232" t="inlineStr">
        <is>
          <t>€/MWh</t>
        </is>
      </c>
      <c r="E2232" s="54" t="n">
        <v>0.03256</v>
      </c>
      <c r="F2232" s="54" t="n"/>
      <c r="G2232" t="inlineStr">
        <is>
          <t>no aplica (precio mayorista)</t>
        </is>
      </c>
      <c r="J2232" t="inlineStr">
        <is>
          <t>2026-02-05</t>
        </is>
      </c>
      <c r="K2232" t="inlineStr">
        <is>
          <t>MIBGAS_Data_2026.xlsx</t>
        </is>
      </c>
    </row>
    <row r="2233">
      <c r="A2233" s="53" t="n">
        <v>46059</v>
      </c>
      <c r="B2233" t="inlineStr">
        <is>
          <t>2026-02-06</t>
        </is>
      </c>
      <c r="C2233" s="45" t="n">
        <v>33.06</v>
      </c>
      <c r="D2233" t="inlineStr">
        <is>
          <t>€/MWh</t>
        </is>
      </c>
      <c r="E2233" s="54" t="n">
        <v>0.03306</v>
      </c>
      <c r="F2233" s="54" t="n"/>
      <c r="G2233" t="inlineStr">
        <is>
          <t>no aplica (precio mayorista)</t>
        </is>
      </c>
      <c r="J2233" t="inlineStr">
        <is>
          <t>2026-02-06</t>
        </is>
      </c>
      <c r="K2233" t="inlineStr">
        <is>
          <t>MIBGAS_Data_2026.xlsx</t>
        </is>
      </c>
    </row>
    <row r="2234">
      <c r="A2234" s="53" t="n">
        <v>46060</v>
      </c>
      <c r="B2234" t="inlineStr">
        <is>
          <t>2026-02-07</t>
        </is>
      </c>
      <c r="C2234" s="45" t="n">
        <v>33.59</v>
      </c>
      <c r="D2234" t="inlineStr">
        <is>
          <t>€/MWh</t>
        </is>
      </c>
      <c r="E2234" s="54" t="n">
        <v>0.03359</v>
      </c>
      <c r="F2234" s="54" t="n"/>
      <c r="G2234" t="inlineStr">
        <is>
          <t>no aplica (precio mayorista)</t>
        </is>
      </c>
      <c r="J2234" t="inlineStr">
        <is>
          <t>2026-02-07</t>
        </is>
      </c>
      <c r="K2234" t="inlineStr">
        <is>
          <t>MIBGAS_Data_2026.xlsx</t>
        </is>
      </c>
    </row>
    <row r="2235">
      <c r="A2235" s="53" t="n">
        <v>46061</v>
      </c>
      <c r="B2235" t="inlineStr">
        <is>
          <t>2026-02-08</t>
        </is>
      </c>
      <c r="C2235" s="45" t="n">
        <v>33.74</v>
      </c>
      <c r="D2235" t="inlineStr">
        <is>
          <t>€/MWh</t>
        </is>
      </c>
      <c r="E2235" s="54" t="n">
        <v>0.03374</v>
      </c>
      <c r="F2235" s="54" t="n"/>
      <c r="G2235" t="inlineStr">
        <is>
          <t>no aplica (precio mayorista)</t>
        </is>
      </c>
      <c r="J2235" t="inlineStr">
        <is>
          <t>2026-02-08</t>
        </is>
      </c>
      <c r="K2235" t="inlineStr">
        <is>
          <t>MIBGAS_Data_2026.xlsx</t>
        </is>
      </c>
    </row>
    <row r="2236">
      <c r="A2236" s="53" t="n">
        <v>46062</v>
      </c>
      <c r="B2236" t="inlineStr">
        <is>
          <t>2026-02-09</t>
        </is>
      </c>
      <c r="C2236" s="45" t="n">
        <v>33.55</v>
      </c>
      <c r="D2236" t="inlineStr">
        <is>
          <t>€/MWh</t>
        </is>
      </c>
      <c r="E2236" s="54" t="n">
        <v>0.03355</v>
      </c>
      <c r="F2236" s="54" t="n"/>
      <c r="G2236" t="inlineStr">
        <is>
          <t>no aplica (precio mayorista)</t>
        </is>
      </c>
      <c r="J2236" t="inlineStr">
        <is>
          <t>2026-02-09</t>
        </is>
      </c>
      <c r="K2236" t="inlineStr">
        <is>
          <t>MIBGAS_Data_2026.xlsx</t>
        </is>
      </c>
    </row>
    <row r="2237">
      <c r="A2237" s="53" t="n">
        <v>46063</v>
      </c>
      <c r="B2237" t="inlineStr">
        <is>
          <t>2026-02-10</t>
        </is>
      </c>
      <c r="C2237" s="45" t="n">
        <v>31.62</v>
      </c>
      <c r="D2237" t="inlineStr">
        <is>
          <t>€/MWh</t>
        </is>
      </c>
      <c r="E2237" s="54" t="n">
        <v>0.03162</v>
      </c>
      <c r="F2237" s="54" t="n"/>
      <c r="G2237" t="inlineStr">
        <is>
          <t>no aplica (precio mayorista)</t>
        </is>
      </c>
      <c r="J2237" t="inlineStr">
        <is>
          <t>2026-02-10</t>
        </is>
      </c>
      <c r="K2237" t="inlineStr">
        <is>
          <t>MIBGAS_Data_2026.xlsx</t>
        </is>
      </c>
    </row>
    <row r="2238">
      <c r="A2238" s="53" t="n">
        <v>46064</v>
      </c>
      <c r="B2238" t="inlineStr">
        <is>
          <t>2026-02-11</t>
        </is>
      </c>
      <c r="C2238" s="45" t="n">
        <v>30.89</v>
      </c>
      <c r="D2238" t="inlineStr">
        <is>
          <t>€/MWh</t>
        </is>
      </c>
      <c r="E2238" s="54" t="n">
        <v>0.03089</v>
      </c>
      <c r="F2238" s="54" t="n"/>
      <c r="G2238" t="inlineStr">
        <is>
          <t>no aplica (precio mayorista)</t>
        </is>
      </c>
      <c r="J2238" t="inlineStr">
        <is>
          <t>2026-02-11</t>
        </is>
      </c>
      <c r="K2238" t="inlineStr">
        <is>
          <t>MIBGAS_Data_2026.xlsx</t>
        </is>
      </c>
    </row>
    <row r="2239">
      <c r="A2239" s="53" t="n">
        <v>46065</v>
      </c>
      <c r="B2239" t="inlineStr">
        <is>
          <t>2026-02-12</t>
        </is>
      </c>
      <c r="C2239" s="45" t="n">
        <v>31</v>
      </c>
      <c r="D2239" t="inlineStr">
        <is>
          <t>€/MWh</t>
        </is>
      </c>
      <c r="E2239" s="54" t="n">
        <v>0.031</v>
      </c>
      <c r="F2239" s="54" t="n"/>
      <c r="G2239" t="inlineStr">
        <is>
          <t>no aplica (precio mayorista)</t>
        </is>
      </c>
      <c r="J2239" t="inlineStr">
        <is>
          <t>2026-02-12</t>
        </is>
      </c>
      <c r="K2239" t="inlineStr">
        <is>
          <t>MIBGAS_Data_2026.xlsx</t>
        </is>
      </c>
    </row>
    <row r="2240">
      <c r="A2240" s="53" t="n">
        <v>46066</v>
      </c>
      <c r="B2240" t="inlineStr">
        <is>
          <t>2026-02-13</t>
        </is>
      </c>
      <c r="C2240" s="45" t="n">
        <v>31.02</v>
      </c>
      <c r="D2240" t="inlineStr">
        <is>
          <t>€/MWh</t>
        </is>
      </c>
      <c r="E2240" s="54" t="n">
        <v>0.03102</v>
      </c>
      <c r="F2240" s="54" t="n"/>
      <c r="G2240" t="inlineStr">
        <is>
          <t>no aplica (precio mayorista)</t>
        </is>
      </c>
      <c r="J2240" t="inlineStr">
        <is>
          <t>2026-02-13</t>
        </is>
      </c>
      <c r="K2240" t="inlineStr">
        <is>
          <t>MIBGAS_Data_2026.xlsx</t>
        </is>
      </c>
    </row>
    <row r="2241">
      <c r="A2241" s="53" t="n">
        <v>46067</v>
      </c>
      <c r="B2241" t="inlineStr">
        <is>
          <t>2026-02-14</t>
        </is>
      </c>
      <c r="C2241" s="45" t="n">
        <v>30.91</v>
      </c>
      <c r="D2241" t="inlineStr">
        <is>
          <t>€/MWh</t>
        </is>
      </c>
      <c r="E2241" s="54" t="n">
        <v>0.03091</v>
      </c>
      <c r="F2241" s="54" t="n"/>
      <c r="G2241" t="inlineStr">
        <is>
          <t>no aplica (precio mayorista)</t>
        </is>
      </c>
      <c r="J2241" t="inlineStr">
        <is>
          <t>2026-02-14</t>
        </is>
      </c>
      <c r="K2241" t="inlineStr">
        <is>
          <t>MIBGAS_Data_2026.xlsx</t>
        </is>
      </c>
    </row>
    <row r="2242">
      <c r="A2242" s="53" t="n">
        <v>46068</v>
      </c>
      <c r="B2242" t="inlineStr">
        <is>
          <t>2026-02-15</t>
        </is>
      </c>
      <c r="C2242" s="45" t="n">
        <v>30.87</v>
      </c>
      <c r="D2242" t="inlineStr">
        <is>
          <t>€/MWh</t>
        </is>
      </c>
      <c r="E2242" s="54" t="n">
        <v>0.03087</v>
      </c>
      <c r="F2242" s="54" t="n"/>
      <c r="G2242" t="inlineStr">
        <is>
          <t>no aplica (precio mayorista)</t>
        </is>
      </c>
      <c r="J2242" t="inlineStr">
        <is>
          <t>2026-02-15</t>
        </is>
      </c>
      <c r="K2242" t="inlineStr">
        <is>
          <t>MIBGAS_Data_2026.xlsx</t>
        </is>
      </c>
    </row>
    <row r="2243">
      <c r="A2243" s="53" t="n">
        <v>46069</v>
      </c>
      <c r="B2243" t="inlineStr">
        <is>
          <t>2026-02-16</t>
        </is>
      </c>
      <c r="C2243" s="45" t="n">
        <v>30.56</v>
      </c>
      <c r="D2243" t="inlineStr">
        <is>
          <t>€/MWh</t>
        </is>
      </c>
      <c r="E2243" s="54" t="n">
        <v>0.03056</v>
      </c>
      <c r="F2243" s="54" t="n"/>
      <c r="G2243" t="inlineStr">
        <is>
          <t>no aplica (precio mayorista)</t>
        </is>
      </c>
      <c r="J2243" t="inlineStr">
        <is>
          <t>2026-02-16</t>
        </is>
      </c>
      <c r="K2243" t="inlineStr">
        <is>
          <t>MIBGAS_Data_2026.xlsx</t>
        </is>
      </c>
    </row>
    <row r="2244">
      <c r="A2244" s="53" t="n">
        <v>46070</v>
      </c>
      <c r="B2244" t="inlineStr">
        <is>
          <t>2026-02-17</t>
        </is>
      </c>
      <c r="C2244" s="45" t="n">
        <v>29.15</v>
      </c>
      <c r="D2244" t="inlineStr">
        <is>
          <t>€/MWh</t>
        </is>
      </c>
      <c r="E2244" s="54" t="n">
        <v>0.02915</v>
      </c>
      <c r="F2244" s="54" t="n"/>
      <c r="G2244" t="inlineStr">
        <is>
          <t>no aplica (precio mayorista)</t>
        </is>
      </c>
      <c r="J2244" t="inlineStr">
        <is>
          <t>2026-02-17</t>
        </is>
      </c>
      <c r="K2244" t="inlineStr">
        <is>
          <t>MIBGAS_Data_2026.xlsx</t>
        </is>
      </c>
    </row>
    <row r="2245">
      <c r="A2245" s="53" t="n">
        <v>46071</v>
      </c>
      <c r="B2245" t="inlineStr">
        <is>
          <t>2026-02-18</t>
        </is>
      </c>
      <c r="C2245" s="45" t="n">
        <v>28.48</v>
      </c>
      <c r="D2245" t="inlineStr">
        <is>
          <t>€/MWh</t>
        </is>
      </c>
      <c r="E2245" s="54" t="n">
        <v>0.02848</v>
      </c>
      <c r="F2245" s="54" t="n"/>
      <c r="G2245" t="inlineStr">
        <is>
          <t>no aplica (precio mayorista)</t>
        </is>
      </c>
      <c r="J2245" t="inlineStr">
        <is>
          <t>2026-02-18</t>
        </is>
      </c>
      <c r="K2245" t="inlineStr">
        <is>
          <t>MIBGAS_Data_2026.xlsx</t>
        </is>
      </c>
    </row>
    <row r="2246">
      <c r="A2246" s="53" t="n">
        <v>46072</v>
      </c>
      <c r="B2246" t="inlineStr">
        <is>
          <t>2026-02-19</t>
        </is>
      </c>
      <c r="C2246" s="45" t="n">
        <v>29.7</v>
      </c>
      <c r="D2246" t="inlineStr">
        <is>
          <t>€/MWh</t>
        </is>
      </c>
      <c r="E2246" s="54" t="n">
        <v>0.0297</v>
      </c>
      <c r="F2246" s="54" t="n"/>
      <c r="G2246" t="inlineStr">
        <is>
          <t>no aplica (precio mayorista)</t>
        </is>
      </c>
      <c r="J2246" t="inlineStr">
        <is>
          <t>2026-02-19</t>
        </is>
      </c>
      <c r="K2246" t="inlineStr">
        <is>
          <t>MIBGAS_Data_2026.xlsx</t>
        </is>
      </c>
    </row>
    <row r="2247">
      <c r="A2247" s="53" t="n">
        <v>46073</v>
      </c>
      <c r="B2247" t="inlineStr">
        <is>
          <t>2026-02-20</t>
        </is>
      </c>
      <c r="C2247" s="45" t="n">
        <v>31.57</v>
      </c>
      <c r="D2247" t="inlineStr">
        <is>
          <t>€/MWh</t>
        </is>
      </c>
      <c r="E2247" s="54" t="n">
        <v>0.03157</v>
      </c>
      <c r="F2247" s="54" t="n"/>
      <c r="G2247" t="inlineStr">
        <is>
          <t>no aplica (precio mayorista)</t>
        </is>
      </c>
      <c r="J2247" t="inlineStr">
        <is>
          <t>2026-02-20</t>
        </is>
      </c>
      <c r="K2247" t="inlineStr">
        <is>
          <t>MIBGAS_Data_2026.xlsx</t>
        </is>
      </c>
    </row>
    <row r="2248">
      <c r="A2248" s="53" t="n">
        <v>46074</v>
      </c>
      <c r="B2248" t="inlineStr">
        <is>
          <t>2026-02-21</t>
        </is>
      </c>
      <c r="C2248" s="45" t="n">
        <v>30.5</v>
      </c>
      <c r="D2248" t="inlineStr">
        <is>
          <t>€/MWh</t>
        </is>
      </c>
      <c r="E2248" s="54" t="n">
        <v>0.0305</v>
      </c>
      <c r="F2248" s="54" t="n"/>
      <c r="G2248" t="inlineStr">
        <is>
          <t>no aplica (precio mayorista)</t>
        </is>
      </c>
      <c r="J2248" t="inlineStr">
        <is>
          <t>2026-02-21</t>
        </is>
      </c>
      <c r="K2248" t="inlineStr">
        <is>
          <t>MIBGAS_Data_2026.xlsx</t>
        </is>
      </c>
    </row>
    <row r="2249">
      <c r="A2249" s="53" t="n">
        <v>46075</v>
      </c>
      <c r="B2249" t="inlineStr">
        <is>
          <t>2026-02-22</t>
        </is>
      </c>
      <c r="C2249" s="45" t="n">
        <v>30.38</v>
      </c>
      <c r="D2249" t="inlineStr">
        <is>
          <t>€/MWh</t>
        </is>
      </c>
      <c r="E2249" s="54" t="n">
        <v>0.03038</v>
      </c>
      <c r="F2249" s="54" t="n"/>
      <c r="G2249" t="inlineStr">
        <is>
          <t>no aplica (precio mayorista)</t>
        </is>
      </c>
      <c r="J2249" t="inlineStr">
        <is>
          <t>2026-02-22</t>
        </is>
      </c>
      <c r="K2249" t="inlineStr">
        <is>
          <t>MIBGAS_Data_2026.xlsx</t>
        </is>
      </c>
    </row>
    <row r="2250">
      <c r="A2250" s="53" t="n">
        <v>46076</v>
      </c>
      <c r="B2250" t="inlineStr">
        <is>
          <t>2026-02-23</t>
        </is>
      </c>
      <c r="C2250" s="45" t="n">
        <v>30.1</v>
      </c>
      <c r="D2250" t="inlineStr">
        <is>
          <t>€/MWh</t>
        </is>
      </c>
      <c r="E2250" s="54" t="n">
        <v>0.0301</v>
      </c>
      <c r="F2250" s="54" t="n"/>
      <c r="G2250" t="inlineStr">
        <is>
          <t>no aplica (precio mayorista)</t>
        </is>
      </c>
      <c r="J2250" t="inlineStr">
        <is>
          <t>2026-02-23</t>
        </is>
      </c>
      <c r="K2250" t="inlineStr">
        <is>
          <t>MIBGAS_Data_2026.xlsx</t>
        </is>
      </c>
    </row>
    <row r="2251">
      <c r="A2251" s="53" t="n">
        <v>46077</v>
      </c>
      <c r="B2251" t="inlineStr">
        <is>
          <t>2026-02-24</t>
        </is>
      </c>
      <c r="C2251" s="45" t="n">
        <v>29.85</v>
      </c>
      <c r="D2251" t="inlineStr">
        <is>
          <t>€/MWh</t>
        </is>
      </c>
      <c r="E2251" s="54" t="n">
        <v>0.02985</v>
      </c>
      <c r="F2251" s="54" t="n"/>
      <c r="G2251" t="inlineStr">
        <is>
          <t>no aplica (precio mayorista)</t>
        </is>
      </c>
      <c r="J2251" t="inlineStr">
        <is>
          <t>2026-02-24</t>
        </is>
      </c>
      <c r="K2251" t="inlineStr">
        <is>
          <t>MIBGAS_Data_2026.xlsx</t>
        </is>
      </c>
    </row>
    <row r="2252">
      <c r="A2252" s="53" t="n">
        <v>46078</v>
      </c>
      <c r="B2252" t="inlineStr">
        <is>
          <t>2026-02-25</t>
        </is>
      </c>
      <c r="C2252" s="45" t="n">
        <v>29.45</v>
      </c>
      <c r="D2252" t="inlineStr">
        <is>
          <t>€/MWh</t>
        </is>
      </c>
      <c r="E2252" s="54" t="n">
        <v>0.02945</v>
      </c>
      <c r="F2252" s="54" t="n"/>
      <c r="G2252" t="inlineStr">
        <is>
          <t>no aplica (precio mayorista)</t>
        </is>
      </c>
      <c r="J2252" t="inlineStr">
        <is>
          <t>2026-02-25</t>
        </is>
      </c>
      <c r="K2252" t="inlineStr">
        <is>
          <t>MIBGAS_Data_2026.xlsx</t>
        </is>
      </c>
    </row>
    <row r="2253">
      <c r="A2253" s="53" t="n">
        <v>46079</v>
      </c>
      <c r="B2253" t="inlineStr">
        <is>
          <t>2026-02-26</t>
        </is>
      </c>
      <c r="C2253" s="45" t="n">
        <v>29.37</v>
      </c>
      <c r="D2253" t="inlineStr">
        <is>
          <t>€/MWh</t>
        </is>
      </c>
      <c r="E2253" s="54" t="n">
        <v>0.02937</v>
      </c>
      <c r="F2253" s="54" t="n"/>
      <c r="G2253" t="inlineStr">
        <is>
          <t>no aplica (precio mayorista)</t>
        </is>
      </c>
      <c r="J2253" t="inlineStr">
        <is>
          <t>2026-02-26</t>
        </is>
      </c>
      <c r="K2253" t="inlineStr">
        <is>
          <t>MIBGAS_Data_2026.xlsx</t>
        </is>
      </c>
    </row>
    <row r="2254">
      <c r="A2254" s="53" t="n">
        <v>46080</v>
      </c>
      <c r="B2254" t="inlineStr">
        <is>
          <t>2026-02-27</t>
        </is>
      </c>
      <c r="C2254" s="45" t="n">
        <v>29.52</v>
      </c>
      <c r="D2254" t="inlineStr">
        <is>
          <t>€/MWh</t>
        </is>
      </c>
      <c r="E2254" s="54" t="n">
        <v>0.02952</v>
      </c>
      <c r="F2254" s="54" t="n"/>
      <c r="G2254" t="inlineStr">
        <is>
          <t>no aplica (precio mayorista)</t>
        </is>
      </c>
      <c r="J2254" t="inlineStr">
        <is>
          <t>2026-02-27</t>
        </is>
      </c>
      <c r="K2254" t="inlineStr">
        <is>
          <t>MIBGAS_Data_2026.xlsx</t>
        </is>
      </c>
    </row>
    <row r="2255">
      <c r="A2255" s="53" t="n">
        <v>46081</v>
      </c>
      <c r="B2255" t="inlineStr">
        <is>
          <t>2026-02-28</t>
        </is>
      </c>
      <c r="C2255" s="45" t="n">
        <v>30.78</v>
      </c>
      <c r="D2255" t="inlineStr">
        <is>
          <t>€/MWh</t>
        </is>
      </c>
      <c r="E2255" s="54" t="n">
        <v>0.03078</v>
      </c>
      <c r="F2255" s="54" t="n"/>
      <c r="G2255" t="inlineStr">
        <is>
          <t>no aplica (precio mayorista)</t>
        </is>
      </c>
      <c r="J2255" t="inlineStr">
        <is>
          <t>2026-02-28</t>
        </is>
      </c>
      <c r="K2255" t="inlineStr">
        <is>
          <t>MIBGAS_Data_2026.xlsx</t>
        </is>
      </c>
    </row>
    <row r="2256">
      <c r="A2256" s="53" t="n">
        <v>46082</v>
      </c>
      <c r="B2256" t="inlineStr">
        <is>
          <t>2026-03-01</t>
        </is>
      </c>
      <c r="C2256" s="45" t="n">
        <v>31.79</v>
      </c>
      <c r="D2256" t="inlineStr">
        <is>
          <t>€/MWh</t>
        </is>
      </c>
      <c r="E2256" s="54" t="n">
        <v>0.03179</v>
      </c>
      <c r="F2256" s="54" t="n"/>
      <c r="G2256" t="inlineStr">
        <is>
          <t>no aplica (precio mayorista)</t>
        </is>
      </c>
      <c r="J2256" t="inlineStr">
        <is>
          <t>2026-03-01</t>
        </is>
      </c>
      <c r="K2256" t="inlineStr">
        <is>
          <t>MIBGAS_Data_2026.xlsx</t>
        </is>
      </c>
    </row>
    <row r="2257">
      <c r="A2257" s="53" t="n">
        <v>46083</v>
      </c>
      <c r="B2257" t="inlineStr">
        <is>
          <t>2026-03-02</t>
        </is>
      </c>
      <c r="C2257" s="45" t="n">
        <v>34.69</v>
      </c>
      <c r="D2257" t="inlineStr">
        <is>
          <t>€/MWh</t>
        </is>
      </c>
      <c r="E2257" s="54" t="n">
        <v>0.03469</v>
      </c>
      <c r="F2257" s="54" t="n"/>
      <c r="G2257" t="inlineStr">
        <is>
          <t>no aplica (precio mayorista)</t>
        </is>
      </c>
      <c r="J2257" t="inlineStr">
        <is>
          <t>2026-03-02</t>
        </is>
      </c>
      <c r="K2257" t="inlineStr">
        <is>
          <t>MIBGAS_Data_2026.xlsx</t>
        </is>
      </c>
    </row>
    <row r="2258">
      <c r="A2258" s="53" t="n">
        <v>46084</v>
      </c>
      <c r="B2258" t="inlineStr">
        <is>
          <t>2026-03-03</t>
        </is>
      </c>
      <c r="C2258" s="45" t="n">
        <v>46.2</v>
      </c>
      <c r="D2258" t="inlineStr">
        <is>
          <t>€/MWh</t>
        </is>
      </c>
      <c r="E2258" s="54" t="n">
        <v>0.0462</v>
      </c>
      <c r="F2258" s="54" t="n"/>
      <c r="G2258" t="inlineStr">
        <is>
          <t>no aplica (precio mayorista)</t>
        </is>
      </c>
      <c r="J2258" t="inlineStr">
        <is>
          <t>2026-03-03</t>
        </is>
      </c>
      <c r="K2258" t="inlineStr">
        <is>
          <t>MIBGAS_Data_2026.xlsx</t>
        </is>
      </c>
    </row>
    <row r="2259">
      <c r="A2259" s="53" t="n">
        <v>46085</v>
      </c>
      <c r="B2259" t="inlineStr">
        <is>
          <t>2026-03-04</t>
        </is>
      </c>
      <c r="C2259" s="45" t="n">
        <v>53.79</v>
      </c>
      <c r="D2259" t="inlineStr">
        <is>
          <t>€/MWh</t>
        </is>
      </c>
      <c r="E2259" s="54" t="n">
        <v>0.05379</v>
      </c>
      <c r="F2259" s="54" t="n"/>
      <c r="G2259" t="inlineStr">
        <is>
          <t>no aplica (precio mayorista)</t>
        </is>
      </c>
      <c r="J2259" t="inlineStr">
        <is>
          <t>2026-03-04</t>
        </is>
      </c>
      <c r="K2259" t="inlineStr">
        <is>
          <t>MIBGAS_Data_2026.xlsx</t>
        </is>
      </c>
    </row>
    <row r="2260">
      <c r="A2260" s="53" t="n">
        <v>46086</v>
      </c>
      <c r="B2260" t="inlineStr">
        <is>
          <t>2026-03-05</t>
        </is>
      </c>
      <c r="C2260" s="45" t="n">
        <v>51.22</v>
      </c>
      <c r="D2260" t="inlineStr">
        <is>
          <t>€/MWh</t>
        </is>
      </c>
      <c r="E2260" s="54" t="n">
        <v>0.05122</v>
      </c>
      <c r="F2260" s="54" t="n"/>
      <c r="G2260" t="inlineStr">
        <is>
          <t>no aplica (precio mayorista)</t>
        </is>
      </c>
      <c r="J2260" t="inlineStr">
        <is>
          <t>2026-03-05</t>
        </is>
      </c>
      <c r="K2260" t="inlineStr">
        <is>
          <t>MIBGAS_Data_2026.xlsx</t>
        </is>
      </c>
    </row>
    <row r="2261">
      <c r="A2261" s="53" t="n">
        <v>46087</v>
      </c>
      <c r="B2261" t="inlineStr">
        <is>
          <t>2026-03-06</t>
        </is>
      </c>
      <c r="C2261" s="45" t="n">
        <v>51.2</v>
      </c>
      <c r="D2261" t="inlineStr">
        <is>
          <t>€/MWh</t>
        </is>
      </c>
      <c r="E2261" s="54" t="n">
        <v>0.0512</v>
      </c>
      <c r="F2261" s="54" t="n"/>
      <c r="G2261" t="inlineStr">
        <is>
          <t>no aplica (precio mayorista)</t>
        </is>
      </c>
      <c r="J2261" t="inlineStr">
        <is>
          <t>2026-03-06</t>
        </is>
      </c>
      <c r="K2261" t="inlineStr">
        <is>
          <t>MIBGAS_Data_2026.xlsx</t>
        </is>
      </c>
    </row>
    <row r="2262">
      <c r="A2262" s="53" t="n">
        <v>46088</v>
      </c>
      <c r="B2262" t="inlineStr">
        <is>
          <t>2026-03-07</t>
        </is>
      </c>
      <c r="C2262" s="45" t="n">
        <v>51.6</v>
      </c>
      <c r="D2262" t="inlineStr">
        <is>
          <t>€/MWh</t>
        </is>
      </c>
      <c r="E2262" s="54" t="n">
        <v>0.0516</v>
      </c>
      <c r="F2262" s="54" t="n"/>
      <c r="G2262" t="inlineStr">
        <is>
          <t>no aplica (precio mayorista)</t>
        </is>
      </c>
      <c r="J2262" t="inlineStr">
        <is>
          <t>2026-03-07</t>
        </is>
      </c>
      <c r="K2262" t="inlineStr">
        <is>
          <t>MIBGAS_Data_2026.xlsx</t>
        </is>
      </c>
    </row>
    <row r="2263">
      <c r="A2263" s="53" t="n">
        <v>46089</v>
      </c>
      <c r="B2263" t="inlineStr">
        <is>
          <t>2026-03-08</t>
        </is>
      </c>
      <c r="C2263" s="45" t="n">
        <v>52.52</v>
      </c>
      <c r="D2263" t="inlineStr">
        <is>
          <t>€/MWh</t>
        </is>
      </c>
      <c r="E2263" s="54" t="n">
        <v>0.05252</v>
      </c>
      <c r="F2263" s="54" t="n"/>
      <c r="G2263" t="inlineStr">
        <is>
          <t>no aplica (precio mayorista)</t>
        </is>
      </c>
      <c r="J2263" t="inlineStr">
        <is>
          <t>2026-03-08</t>
        </is>
      </c>
      <c r="K2263" t="inlineStr">
        <is>
          <t>MIBGAS_Data_2026.xlsx</t>
        </is>
      </c>
    </row>
    <row r="2264">
      <c r="A2264" s="53" t="n">
        <v>46090</v>
      </c>
      <c r="B2264" t="inlineStr">
        <is>
          <t>2026-03-09</t>
        </is>
      </c>
      <c r="C2264" s="45" t="n">
        <v>56.69</v>
      </c>
      <c r="D2264" t="inlineStr">
        <is>
          <t>€/MWh</t>
        </is>
      </c>
      <c r="E2264" s="54" t="n">
        <v>0.05669</v>
      </c>
      <c r="F2264" s="54" t="n"/>
      <c r="G2264" t="inlineStr">
        <is>
          <t>no aplica (precio mayorista)</t>
        </is>
      </c>
      <c r="J2264" t="inlineStr">
        <is>
          <t>2026-03-09</t>
        </is>
      </c>
      <c r="K2264" t="inlineStr">
        <is>
          <t>MIBGAS_Data_2026.xlsx</t>
        </is>
      </c>
    </row>
    <row r="2265">
      <c r="A2265" s="53" t="n">
        <v>46091</v>
      </c>
      <c r="B2265" t="inlineStr">
        <is>
          <t>2026-03-10</t>
        </is>
      </c>
      <c r="C2265" s="45" t="n">
        <v>56.74</v>
      </c>
      <c r="D2265" t="inlineStr">
        <is>
          <t>€/MWh</t>
        </is>
      </c>
      <c r="E2265" s="54" t="n">
        <v>0.05674</v>
      </c>
      <c r="F2265" s="54" t="n"/>
      <c r="G2265" t="inlineStr">
        <is>
          <t>no aplica (precio mayorista)</t>
        </is>
      </c>
      <c r="J2265" t="inlineStr">
        <is>
          <t>2026-03-10</t>
        </is>
      </c>
      <c r="K2265" t="inlineStr">
        <is>
          <t>MIBGAS_Data_2026.xlsx</t>
        </is>
      </c>
    </row>
    <row r="2266">
      <c r="A2266" s="53" t="n">
        <v>46092</v>
      </c>
      <c r="B2266" t="inlineStr">
        <is>
          <t>2026-03-11</t>
        </is>
      </c>
      <c r="C2266" s="45" t="n">
        <v>48.45</v>
      </c>
      <c r="D2266" t="inlineStr">
        <is>
          <t>€/MWh</t>
        </is>
      </c>
      <c r="E2266" s="54" t="n">
        <v>0.04845</v>
      </c>
      <c r="F2266" s="54" t="n"/>
      <c r="G2266" t="inlineStr">
        <is>
          <t>no aplica (precio mayorista)</t>
        </is>
      </c>
      <c r="J2266" t="inlineStr">
        <is>
          <t>2026-03-11</t>
        </is>
      </c>
      <c r="K2266" t="inlineStr">
        <is>
          <t>MIBGAS_Data_2026.xlsx</t>
        </is>
      </c>
    </row>
    <row r="2267">
      <c r="A2267" s="53" t="n">
        <v>46093</v>
      </c>
      <c r="B2267" t="inlineStr">
        <is>
          <t>2026-03-12</t>
        </is>
      </c>
      <c r="C2267" s="45" t="n">
        <v>49.21</v>
      </c>
      <c r="D2267" t="inlineStr">
        <is>
          <t>€/MWh</t>
        </is>
      </c>
      <c r="E2267" s="54" t="n">
        <v>0.04921</v>
      </c>
      <c r="F2267" s="54" t="n"/>
      <c r="G2267" t="inlineStr">
        <is>
          <t>no aplica (precio mayorista)</t>
        </is>
      </c>
      <c r="J2267" t="inlineStr">
        <is>
          <t>2026-03-12</t>
        </is>
      </c>
      <c r="K2267" t="inlineStr">
        <is>
          <t>MIBGAS_Data_2026.xlsx</t>
        </is>
      </c>
    </row>
    <row r="2268">
      <c r="A2268" s="53" t="n">
        <v>46094</v>
      </c>
      <c r="B2268" t="inlineStr">
        <is>
          <t>2026-03-13</t>
        </is>
      </c>
      <c r="C2268" s="45" t="n">
        <v>49.24</v>
      </c>
      <c r="D2268" t="inlineStr">
        <is>
          <t>€/MWh</t>
        </is>
      </c>
      <c r="E2268" s="54" t="n">
        <v>0.04924</v>
      </c>
      <c r="F2268" s="54" t="n"/>
      <c r="G2268" t="inlineStr">
        <is>
          <t>no aplica (precio mayorista)</t>
        </is>
      </c>
      <c r="J2268" t="inlineStr">
        <is>
          <t>2026-03-13</t>
        </is>
      </c>
      <c r="K2268" t="inlineStr">
        <is>
          <t>MIBGAS_Data_2026.xlsx</t>
        </is>
      </c>
    </row>
    <row r="2269">
      <c r="A2269" s="53" t="n">
        <v>46095</v>
      </c>
      <c r="B2269" t="inlineStr">
        <is>
          <t>2026-03-14</t>
        </is>
      </c>
      <c r="C2269" s="45" t="n">
        <v>49.73</v>
      </c>
      <c r="D2269" t="inlineStr">
        <is>
          <t>€/MWh</t>
        </is>
      </c>
      <c r="E2269" s="54" t="n">
        <v>0.04973</v>
      </c>
      <c r="F2269" s="54" t="n"/>
      <c r="G2269" t="inlineStr">
        <is>
          <t>no aplica (precio mayorista)</t>
        </is>
      </c>
      <c r="J2269" t="inlineStr">
        <is>
          <t>2026-03-14</t>
        </is>
      </c>
      <c r="K2269" t="inlineStr">
        <is>
          <t>MIBGAS_Data_2026.xlsx</t>
        </is>
      </c>
    </row>
    <row r="2270">
      <c r="A2270" s="53" t="n">
        <v>46096</v>
      </c>
      <c r="B2270" t="inlineStr">
        <is>
          <t>2026-03-15</t>
        </is>
      </c>
      <c r="C2270" s="45" t="n">
        <v>49.62</v>
      </c>
      <c r="D2270" t="inlineStr">
        <is>
          <t>€/MWh</t>
        </is>
      </c>
      <c r="E2270" s="54" t="n">
        <v>0.04962</v>
      </c>
      <c r="F2270" s="54" t="n"/>
      <c r="G2270" t="inlineStr">
        <is>
          <t>no aplica (precio mayorista)</t>
        </is>
      </c>
      <c r="J2270" t="inlineStr">
        <is>
          <t>2026-03-15</t>
        </is>
      </c>
      <c r="K2270" t="inlineStr">
        <is>
          <t>MIBGAS_Data_2026.xlsx</t>
        </is>
      </c>
    </row>
    <row r="2271">
      <c r="A2271" s="53" t="n">
        <v>46097</v>
      </c>
      <c r="B2271" t="inlineStr">
        <is>
          <t>2026-03-16</t>
        </is>
      </c>
      <c r="C2271" s="45" t="n">
        <v>49.32</v>
      </c>
      <c r="D2271" t="inlineStr">
        <is>
          <t>€/MWh</t>
        </is>
      </c>
      <c r="E2271" s="54" t="n">
        <v>0.04932</v>
      </c>
      <c r="F2271" s="54" t="n"/>
      <c r="G2271" t="inlineStr">
        <is>
          <t>no aplica (precio mayorista)</t>
        </is>
      </c>
      <c r="J2271" t="inlineStr">
        <is>
          <t>2026-03-16</t>
        </is>
      </c>
      <c r="K2271" t="inlineStr">
        <is>
          <t>MIBGAS_Data_2026.xlsx</t>
        </is>
      </c>
    </row>
    <row r="2272">
      <c r="A2272" s="53" t="n">
        <v>46098</v>
      </c>
      <c r="B2272" t="inlineStr">
        <is>
          <t>2026-03-17</t>
        </is>
      </c>
      <c r="C2272" s="45" t="n">
        <v>50.19</v>
      </c>
      <c r="D2272" t="inlineStr">
        <is>
          <t>€/MWh</t>
        </is>
      </c>
      <c r="E2272" s="54" t="n">
        <v>0.05019</v>
      </c>
      <c r="F2272" s="54" t="n"/>
      <c r="G2272" t="inlineStr">
        <is>
          <t>no aplica (precio mayorista)</t>
        </is>
      </c>
      <c r="J2272" t="inlineStr">
        <is>
          <t>2026-03-17</t>
        </is>
      </c>
      <c r="K2272" t="inlineStr">
        <is>
          <t>MIBGAS_Data_2026.xlsx</t>
        </is>
      </c>
    </row>
    <row r="2273">
      <c r="A2273" s="53" t="n">
        <v>46099</v>
      </c>
      <c r="B2273" t="inlineStr">
        <is>
          <t>2026-03-18</t>
        </is>
      </c>
      <c r="C2273" s="45" t="n">
        <v>51.16</v>
      </c>
      <c r="D2273" t="inlineStr">
        <is>
          <t>€/MWh</t>
        </is>
      </c>
      <c r="E2273" s="54" t="n">
        <v>0.05116</v>
      </c>
      <c r="F2273" s="54" t="n"/>
      <c r="G2273" t="inlineStr">
        <is>
          <t>no aplica (precio mayorista)</t>
        </is>
      </c>
      <c r="J2273" t="inlineStr">
        <is>
          <t>2026-03-18</t>
        </is>
      </c>
      <c r="K2273" t="inlineStr">
        <is>
          <t>MIBGAS_Data_2026.xlsx</t>
        </is>
      </c>
    </row>
    <row r="2274">
      <c r="A2274" s="53" t="n">
        <v>46100</v>
      </c>
      <c r="B2274" t="inlineStr">
        <is>
          <t>2026-03-19</t>
        </is>
      </c>
      <c r="C2274" s="45" t="n">
        <v>54.41</v>
      </c>
      <c r="D2274" t="inlineStr">
        <is>
          <t>€/MWh</t>
        </is>
      </c>
      <c r="E2274" s="54" t="n">
        <v>0.05441</v>
      </c>
      <c r="F2274" s="54" t="n"/>
      <c r="G2274" t="inlineStr">
        <is>
          <t>no aplica (precio mayorista)</t>
        </is>
      </c>
      <c r="J2274" t="inlineStr">
        <is>
          <t>2026-03-19</t>
        </is>
      </c>
      <c r="K2274" t="inlineStr">
        <is>
          <t>MIBGAS_Data_2026.xlsx</t>
        </is>
      </c>
    </row>
    <row r="2275">
      <c r="A2275" s="53" t="n">
        <v>46101</v>
      </c>
      <c r="B2275" t="inlineStr">
        <is>
          <t>2026-03-20</t>
        </is>
      </c>
      <c r="C2275" s="45" t="n">
        <v>62.51</v>
      </c>
      <c r="D2275" t="inlineStr">
        <is>
          <t>€/MWh</t>
        </is>
      </c>
      <c r="E2275" s="54" t="n">
        <v>0.06251</v>
      </c>
      <c r="F2275" s="54" t="n"/>
      <c r="G2275" t="inlineStr">
        <is>
          <t>no aplica (precio mayorista)</t>
        </is>
      </c>
      <c r="J2275" t="inlineStr">
        <is>
          <t>2026-03-20</t>
        </is>
      </c>
      <c r="K2275" t="inlineStr">
        <is>
          <t>MIBGAS_Data_2026.xlsx</t>
        </is>
      </c>
    </row>
    <row r="2276">
      <c r="A2276" s="53" t="n">
        <v>46102</v>
      </c>
      <c r="B2276" t="inlineStr">
        <is>
          <t>2026-03-21</t>
        </is>
      </c>
      <c r="C2276" s="45" t="n">
        <v>60.12</v>
      </c>
      <c r="D2276" t="inlineStr">
        <is>
          <t>€/MWh</t>
        </is>
      </c>
      <c r="E2276" s="54" t="n">
        <v>0.06012</v>
      </c>
      <c r="F2276" s="54" t="n"/>
      <c r="G2276" t="inlineStr">
        <is>
          <t>no aplica (precio mayorista)</t>
        </is>
      </c>
      <c r="J2276" t="inlineStr">
        <is>
          <t>2026-03-21</t>
        </is>
      </c>
      <c r="K2276" t="inlineStr">
        <is>
          <t>MIBGAS_Data_2026.xlsx</t>
        </is>
      </c>
    </row>
    <row r="2277">
      <c r="A2277" s="53" t="n">
        <v>46103</v>
      </c>
      <c r="B2277" t="inlineStr">
        <is>
          <t>2026-03-22</t>
        </is>
      </c>
      <c r="C2277" s="45" t="n">
        <v>59.83</v>
      </c>
      <c r="D2277" t="inlineStr">
        <is>
          <t>€/MWh</t>
        </is>
      </c>
      <c r="E2277" s="54" t="n">
        <v>0.05983</v>
      </c>
      <c r="F2277" s="54" t="n"/>
      <c r="G2277" t="inlineStr">
        <is>
          <t>no aplica (precio mayorista)</t>
        </is>
      </c>
      <c r="J2277" t="inlineStr">
        <is>
          <t>2026-03-22</t>
        </is>
      </c>
      <c r="K2277" t="inlineStr">
        <is>
          <t>MIBGAS_Data_2026.xlsx</t>
        </is>
      </c>
    </row>
    <row r="2278">
      <c r="A2278" s="53" t="n">
        <v>46104</v>
      </c>
      <c r="B2278" t="inlineStr">
        <is>
          <t>2026-03-23</t>
        </is>
      </c>
      <c r="C2278" s="45" t="n">
        <v>59.43</v>
      </c>
      <c r="D2278" t="inlineStr">
        <is>
          <t>€/MWh</t>
        </is>
      </c>
      <c r="E2278" s="54" t="n">
        <v>0.05943</v>
      </c>
      <c r="F2278" s="54" t="n"/>
      <c r="G2278" t="inlineStr">
        <is>
          <t>no aplica (precio mayorista)</t>
        </is>
      </c>
      <c r="J2278" t="inlineStr">
        <is>
          <t>2026-03-23</t>
        </is>
      </c>
      <c r="K2278" t="inlineStr">
        <is>
          <t>MIBGAS_Data_2026.xlsx</t>
        </is>
      </c>
    </row>
    <row r="2279">
      <c r="A2279" s="53" t="n">
        <v>46105</v>
      </c>
      <c r="B2279" t="inlineStr">
        <is>
          <t>2026-03-24</t>
        </is>
      </c>
      <c r="C2279" s="45" t="n">
        <v>57.24</v>
      </c>
      <c r="D2279" t="inlineStr">
        <is>
          <t>€/MWh</t>
        </is>
      </c>
      <c r="E2279" s="54" t="n">
        <v>0.05724</v>
      </c>
      <c r="F2279" s="54" t="n"/>
      <c r="G2279" t="inlineStr">
        <is>
          <t>no aplica (precio mayorista)</t>
        </is>
      </c>
      <c r="J2279" t="inlineStr">
        <is>
          <t>2026-03-24</t>
        </is>
      </c>
      <c r="K2279" t="inlineStr">
        <is>
          <t>MIBGAS_Data_2026.xlsx</t>
        </is>
      </c>
    </row>
    <row r="2280">
      <c r="A2280" s="53" t="n">
        <v>46106</v>
      </c>
      <c r="B2280" t="inlineStr">
        <is>
          <t>2026-03-25</t>
        </is>
      </c>
      <c r="C2280" s="45" t="n">
        <v>52.93</v>
      </c>
      <c r="D2280" t="inlineStr">
        <is>
          <t>€/MWh</t>
        </is>
      </c>
      <c r="E2280" s="54" t="n">
        <v>0.05293</v>
      </c>
      <c r="F2280" s="54" t="n"/>
      <c r="G2280" t="inlineStr">
        <is>
          <t>no aplica (precio mayorista)</t>
        </is>
      </c>
      <c r="J2280" t="inlineStr">
        <is>
          <t>2026-03-25</t>
        </is>
      </c>
      <c r="K2280" t="inlineStr">
        <is>
          <t>MIBGAS_Data_2026.xlsx</t>
        </is>
      </c>
    </row>
    <row r="2281">
      <c r="A2281" s="53" t="n">
        <v>46107</v>
      </c>
      <c r="B2281" t="inlineStr">
        <is>
          <t>2026-03-26</t>
        </is>
      </c>
      <c r="C2281" s="45" t="n">
        <v>51.74</v>
      </c>
      <c r="D2281" t="inlineStr">
        <is>
          <t>€/MWh</t>
        </is>
      </c>
      <c r="E2281" s="54" t="n">
        <v>0.05174</v>
      </c>
      <c r="F2281" s="54" t="n"/>
      <c r="G2281" t="inlineStr">
        <is>
          <t>no aplica (precio mayorista)</t>
        </is>
      </c>
      <c r="J2281" t="inlineStr">
        <is>
          <t>2026-03-26</t>
        </is>
      </c>
      <c r="K2281" t="inlineStr">
        <is>
          <t>MIBGAS_Data_2026.xlsx</t>
        </is>
      </c>
    </row>
    <row r="2282">
      <c r="A2282" s="53" t="n">
        <v>46108</v>
      </c>
      <c r="B2282" t="inlineStr">
        <is>
          <t>2026-03-27</t>
        </is>
      </c>
      <c r="C2282" s="45" t="n">
        <v>53.87</v>
      </c>
      <c r="D2282" t="inlineStr">
        <is>
          <t>€/MWh</t>
        </is>
      </c>
      <c r="E2282" s="54" t="n">
        <v>0.05387</v>
      </c>
      <c r="F2282" s="54" t="n"/>
      <c r="G2282" t="inlineStr">
        <is>
          <t>no aplica (precio mayorista)</t>
        </is>
      </c>
      <c r="J2282" t="inlineStr">
        <is>
          <t>2026-03-27</t>
        </is>
      </c>
      <c r="K2282" t="inlineStr">
        <is>
          <t>MIBGAS_Data_2026.xlsx</t>
        </is>
      </c>
    </row>
    <row r="2283">
      <c r="A2283" s="53" t="n">
        <v>46109</v>
      </c>
      <c r="B2283" t="inlineStr">
        <is>
          <t>2026-03-28</t>
        </is>
      </c>
      <c r="C2283" s="45" t="n">
        <v>53.42</v>
      </c>
      <c r="D2283" t="inlineStr">
        <is>
          <t>€/MWh</t>
        </is>
      </c>
      <c r="E2283" s="54" t="n">
        <v>0.05342</v>
      </c>
      <c r="F2283" s="54" t="n"/>
      <c r="G2283" t="inlineStr">
        <is>
          <t>no aplica (precio mayorista)</t>
        </is>
      </c>
      <c r="J2283" t="inlineStr">
        <is>
          <t>2026-03-28</t>
        </is>
      </c>
      <c r="K2283" t="inlineStr">
        <is>
          <t>MIBGAS_Data_2026.xlsx</t>
        </is>
      </c>
    </row>
    <row r="2284">
      <c r="A2284" s="53" t="n">
        <v>46110</v>
      </c>
      <c r="B2284" t="inlineStr">
        <is>
          <t>2026-03-29</t>
        </is>
      </c>
      <c r="C2284" s="45" t="n">
        <v>53.11</v>
      </c>
      <c r="D2284" t="inlineStr">
        <is>
          <t>€/MWh</t>
        </is>
      </c>
      <c r="E2284" s="54" t="n">
        <v>0.05311</v>
      </c>
      <c r="F2284" s="54" t="n"/>
      <c r="G2284" t="inlineStr">
        <is>
          <t>no aplica (precio mayorista)</t>
        </is>
      </c>
      <c r="J2284" t="inlineStr">
        <is>
          <t>2026-03-29</t>
        </is>
      </c>
      <c r="K2284" t="inlineStr">
        <is>
          <t>MIBGAS_Data_2026.xlsx</t>
        </is>
      </c>
    </row>
    <row r="2285">
      <c r="A2285" s="53" t="n">
        <v>46111</v>
      </c>
      <c r="B2285" t="inlineStr">
        <is>
          <t>2026-03-30</t>
        </is>
      </c>
      <c r="C2285" s="45" t="n">
        <v>53.61</v>
      </c>
      <c r="D2285" t="inlineStr">
        <is>
          <t>€/MWh</t>
        </is>
      </c>
      <c r="E2285" s="54" t="n">
        <v>0.05361</v>
      </c>
      <c r="F2285" s="54" t="n"/>
      <c r="G2285" t="inlineStr">
        <is>
          <t>no aplica (precio mayorista)</t>
        </is>
      </c>
      <c r="J2285" t="inlineStr">
        <is>
          <t>2026-03-30</t>
        </is>
      </c>
      <c r="K2285" t="inlineStr">
        <is>
          <t>MIBGAS_Data_2026.xlsx</t>
        </is>
      </c>
    </row>
    <row r="2286">
      <c r="A2286" s="53" t="n">
        <v>46112</v>
      </c>
      <c r="B2286" t="inlineStr">
        <is>
          <t>2026-03-31</t>
        </is>
      </c>
      <c r="C2286" s="45" t="n">
        <v>52.07</v>
      </c>
      <c r="D2286" t="inlineStr">
        <is>
          <t>€/MWh</t>
        </is>
      </c>
      <c r="E2286" s="54" t="n">
        <v>0.05207</v>
      </c>
      <c r="F2286" s="54" t="n"/>
      <c r="G2286" t="inlineStr">
        <is>
          <t>no aplica (precio mayorista)</t>
        </is>
      </c>
      <c r="J2286" t="inlineStr">
        <is>
          <t>2026-03-31</t>
        </is>
      </c>
      <c r="K2286" t="inlineStr">
        <is>
          <t>MIBGAS_Data_2026.xlsx</t>
        </is>
      </c>
    </row>
    <row r="2287">
      <c r="A2287" s="53" t="n">
        <v>46113</v>
      </c>
      <c r="B2287" t="inlineStr">
        <is>
          <t>2026-04-01</t>
        </is>
      </c>
      <c r="C2287" s="45" t="n">
        <v>49.17</v>
      </c>
      <c r="D2287" t="inlineStr">
        <is>
          <t>€/MWh</t>
        </is>
      </c>
      <c r="E2287" s="54" t="n">
        <v>0.04917</v>
      </c>
      <c r="F2287" s="54" t="n"/>
      <c r="G2287" t="inlineStr">
        <is>
          <t>no aplica (precio mayorista)</t>
        </is>
      </c>
      <c r="J2287" t="inlineStr">
        <is>
          <t>2026-04-01</t>
        </is>
      </c>
      <c r="K2287" t="inlineStr">
        <is>
          <t>MIBGAS_Data_2026.xlsx</t>
        </is>
      </c>
    </row>
    <row r="2288">
      <c r="A2288" s="53" t="n">
        <v>46114</v>
      </c>
      <c r="B2288" t="inlineStr">
        <is>
          <t>2026-04-02</t>
        </is>
      </c>
      <c r="C2288" s="45" t="n">
        <v>46.66</v>
      </c>
      <c r="D2288" t="inlineStr">
        <is>
          <t>€/MWh</t>
        </is>
      </c>
      <c r="E2288" s="54" t="n">
        <v>0.04666</v>
      </c>
      <c r="F2288" s="54" t="n"/>
      <c r="G2288" t="inlineStr">
        <is>
          <t>no aplica (precio mayorista)</t>
        </is>
      </c>
      <c r="J2288" t="inlineStr">
        <is>
          <t>2026-04-02</t>
        </is>
      </c>
      <c r="K2288" t="inlineStr">
        <is>
          <t>MIBGAS_Data_2026.xlsx</t>
        </is>
      </c>
    </row>
    <row r="2289">
      <c r="A2289" s="53" t="n">
        <v>46115</v>
      </c>
      <c r="B2289" t="inlineStr">
        <is>
          <t>2026-04-03</t>
        </is>
      </c>
      <c r="C2289" s="45" t="n">
        <v>48.19</v>
      </c>
      <c r="D2289" t="inlineStr">
        <is>
          <t>€/MWh</t>
        </is>
      </c>
      <c r="E2289" s="54" t="n">
        <v>0.04819</v>
      </c>
      <c r="F2289" s="54" t="n"/>
      <c r="G2289" t="inlineStr">
        <is>
          <t>no aplica (precio mayorista)</t>
        </is>
      </c>
      <c r="J2289" t="inlineStr">
        <is>
          <t>2026-04-03</t>
        </is>
      </c>
      <c r="K2289" t="inlineStr">
        <is>
          <t>MIBGAS_Data_2026.xlsx</t>
        </is>
      </c>
    </row>
    <row r="2290">
      <c r="A2290" s="53" t="n">
        <v>46116</v>
      </c>
      <c r="B2290" t="inlineStr">
        <is>
          <t>2026-04-04</t>
        </is>
      </c>
      <c r="C2290" s="45" t="n">
        <v>47.94</v>
      </c>
      <c r="D2290" t="inlineStr">
        <is>
          <t>€/MWh</t>
        </is>
      </c>
      <c r="E2290" s="54" t="n">
        <v>0.04794</v>
      </c>
      <c r="F2290" s="54" t="n"/>
      <c r="G2290" t="inlineStr">
        <is>
          <t>no aplica (precio mayorista)</t>
        </is>
      </c>
      <c r="J2290" t="inlineStr">
        <is>
          <t>2026-04-04</t>
        </is>
      </c>
      <c r="K2290" t="inlineStr">
        <is>
          <t>MIBGAS_Data_2026.xlsx</t>
        </is>
      </c>
    </row>
    <row r="2291">
      <c r="A2291" s="53" t="n">
        <v>46117</v>
      </c>
      <c r="B2291" t="inlineStr">
        <is>
          <t>2026-04-05</t>
        </is>
      </c>
      <c r="C2291" s="45" t="n">
        <v>48.1</v>
      </c>
      <c r="D2291" t="inlineStr">
        <is>
          <t>€/MWh</t>
        </is>
      </c>
      <c r="E2291" s="54" t="n">
        <v>0.0481</v>
      </c>
      <c r="F2291" s="54" t="n"/>
      <c r="G2291" t="inlineStr">
        <is>
          <t>no aplica (precio mayorista)</t>
        </is>
      </c>
      <c r="J2291" t="inlineStr">
        <is>
          <t>2026-04-05</t>
        </is>
      </c>
      <c r="K2291" t="inlineStr">
        <is>
          <t>MIBGAS_Data_2026.xlsx</t>
        </is>
      </c>
    </row>
    <row r="2292">
      <c r="A2292" s="53" t="n">
        <v>46118</v>
      </c>
      <c r="B2292" t="inlineStr">
        <is>
          <t>2026-04-06</t>
        </is>
      </c>
      <c r="C2292" s="45" t="n">
        <v>47.76</v>
      </c>
      <c r="D2292" t="inlineStr">
        <is>
          <t>€/MWh</t>
        </is>
      </c>
      <c r="E2292" s="54" t="n">
        <v>0.04776</v>
      </c>
      <c r="F2292" s="54" t="n"/>
      <c r="G2292" t="inlineStr">
        <is>
          <t>no aplica (precio mayorista)</t>
        </is>
      </c>
      <c r="J2292" t="inlineStr">
        <is>
          <t>2026-04-06</t>
        </is>
      </c>
      <c r="K2292" t="inlineStr">
        <is>
          <t>MIBGAS_Data_2026.xlsx</t>
        </is>
      </c>
    </row>
    <row r="2293">
      <c r="A2293" s="53" t="n">
        <v>46119</v>
      </c>
      <c r="B2293" t="inlineStr">
        <is>
          <t>2026-04-07</t>
        </is>
      </c>
      <c r="C2293" s="45" t="n">
        <v>48.74</v>
      </c>
      <c r="D2293" t="inlineStr">
        <is>
          <t>€/MWh</t>
        </is>
      </c>
      <c r="E2293" s="54" t="n">
        <v>0.04874</v>
      </c>
      <c r="F2293" s="54" t="n"/>
      <c r="G2293" t="inlineStr">
        <is>
          <t>no aplica (precio mayorista)</t>
        </is>
      </c>
      <c r="J2293" t="inlineStr">
        <is>
          <t>2026-04-07</t>
        </is>
      </c>
      <c r="K2293" t="inlineStr">
        <is>
          <t>MIBGAS_Data_2026.xlsx</t>
        </is>
      </c>
    </row>
    <row r="2294">
      <c r="A2294" s="53" t="n">
        <v>46120</v>
      </c>
      <c r="B2294" t="inlineStr">
        <is>
          <t>2026-04-08</t>
        </is>
      </c>
      <c r="C2294" s="45" t="n">
        <v>48.97</v>
      </c>
      <c r="D2294" t="inlineStr">
        <is>
          <t>€/MWh</t>
        </is>
      </c>
      <c r="E2294" s="54" t="n">
        <v>0.04897</v>
      </c>
      <c r="F2294" s="54" t="n"/>
      <c r="G2294" t="inlineStr">
        <is>
          <t>no aplica (precio mayorista)</t>
        </is>
      </c>
      <c r="J2294" t="inlineStr">
        <is>
          <t>2026-04-08</t>
        </is>
      </c>
      <c r="K2294" t="inlineStr">
        <is>
          <t>MIBGAS_Data_2026.xlsx</t>
        </is>
      </c>
    </row>
    <row r="2295">
      <c r="A2295" s="53" t="n">
        <v>46121</v>
      </c>
      <c r="B2295" t="inlineStr">
        <is>
          <t>2026-04-09</t>
        </is>
      </c>
      <c r="C2295" s="45" t="n">
        <v>44.14</v>
      </c>
      <c r="D2295" t="inlineStr">
        <is>
          <t>€/MWh</t>
        </is>
      </c>
      <c r="E2295" s="54" t="n">
        <v>0.04414</v>
      </c>
      <c r="F2295" s="54" t="n"/>
      <c r="G2295" t="inlineStr">
        <is>
          <t>no aplica (precio mayorista)</t>
        </is>
      </c>
      <c r="J2295" t="inlineStr">
        <is>
          <t>2026-04-09</t>
        </is>
      </c>
      <c r="K2295" t="inlineStr">
        <is>
          <t>MIBGAS_Data_2026.xlsx</t>
        </is>
      </c>
    </row>
    <row r="2296">
      <c r="A2296" s="53" t="n">
        <v>46122</v>
      </c>
      <c r="B2296" t="inlineStr">
        <is>
          <t>2026-04-10</t>
        </is>
      </c>
      <c r="C2296" s="45" t="n">
        <v>43.48</v>
      </c>
      <c r="D2296" t="inlineStr">
        <is>
          <t>€/MWh</t>
        </is>
      </c>
      <c r="E2296" s="54" t="n">
        <v>0.04348</v>
      </c>
      <c r="F2296" s="54" t="n"/>
      <c r="G2296" t="inlineStr">
        <is>
          <t>no aplica (precio mayorista)</t>
        </is>
      </c>
      <c r="J2296" t="inlineStr">
        <is>
          <t>2026-04-10</t>
        </is>
      </c>
      <c r="K2296" t="inlineStr">
        <is>
          <t>MIBGAS_Data_2026.xlsx</t>
        </is>
      </c>
    </row>
    <row r="2297">
      <c r="A2297" s="53" t="n">
        <v>46123</v>
      </c>
      <c r="B2297" t="inlineStr">
        <is>
          <t>2026-04-11</t>
        </is>
      </c>
      <c r="C2297" s="45" t="n">
        <v>42.93</v>
      </c>
      <c r="D2297" t="inlineStr">
        <is>
          <t>€/MWh</t>
        </is>
      </c>
      <c r="E2297" s="54" t="n">
        <v>0.04293</v>
      </c>
      <c r="F2297" s="54" t="n"/>
      <c r="G2297" t="inlineStr">
        <is>
          <t>no aplica (precio mayorista)</t>
        </is>
      </c>
      <c r="J2297" t="inlineStr">
        <is>
          <t>2026-04-11</t>
        </is>
      </c>
      <c r="K2297" t="inlineStr">
        <is>
          <t>MIBGAS_Data_2026.xlsx</t>
        </is>
      </c>
    </row>
    <row r="2298">
      <c r="A2298" s="53" t="n">
        <v>46124</v>
      </c>
      <c r="B2298" t="inlineStr">
        <is>
          <t>2026-04-12</t>
        </is>
      </c>
      <c r="C2298" s="45" t="n">
        <v>44.34</v>
      </c>
      <c r="D2298" t="inlineStr">
        <is>
          <t>€/MWh</t>
        </is>
      </c>
      <c r="E2298" s="54" t="n">
        <v>0.04434</v>
      </c>
      <c r="F2298" s="54" t="n"/>
      <c r="G2298" t="inlineStr">
        <is>
          <t>no aplica (precio mayorista)</t>
        </is>
      </c>
      <c r="J2298" t="inlineStr">
        <is>
          <t>2026-04-12</t>
        </is>
      </c>
      <c r="K2298" t="inlineStr">
        <is>
          <t>MIBGAS_Data_2026.xlsx</t>
        </is>
      </c>
    </row>
    <row r="2299">
      <c r="A2299" s="53" t="n">
        <v>46125</v>
      </c>
      <c r="B2299" t="inlineStr">
        <is>
          <t>2026-04-13</t>
        </is>
      </c>
      <c r="C2299" s="45" t="n">
        <v>45.17</v>
      </c>
      <c r="D2299" t="inlineStr">
        <is>
          <t>€/MWh</t>
        </is>
      </c>
      <c r="E2299" s="54" t="n">
        <v>0.04517</v>
      </c>
      <c r="F2299" s="54" t="n"/>
      <c r="G2299" t="inlineStr">
        <is>
          <t>no aplica (precio mayorista)</t>
        </is>
      </c>
      <c r="J2299" t="inlineStr">
        <is>
          <t>2026-04-13</t>
        </is>
      </c>
      <c r="K2299" t="inlineStr">
        <is>
          <t>MIBGAS_Data_2026.xlsx</t>
        </is>
      </c>
    </row>
    <row r="2300">
      <c r="A2300" s="53" t="n">
        <v>46126</v>
      </c>
      <c r="B2300" t="inlineStr">
        <is>
          <t>2026-04-14</t>
        </is>
      </c>
      <c r="C2300" s="45" t="n">
        <v>45.39</v>
      </c>
      <c r="D2300" t="inlineStr">
        <is>
          <t>€/MWh</t>
        </is>
      </c>
      <c r="E2300" s="54" t="n">
        <v>0.04539</v>
      </c>
      <c r="F2300" s="54" t="n"/>
      <c r="G2300" t="inlineStr">
        <is>
          <t>no aplica (precio mayorista)</t>
        </is>
      </c>
      <c r="J2300" t="inlineStr">
        <is>
          <t>2026-04-14</t>
        </is>
      </c>
      <c r="K2300" t="inlineStr">
        <is>
          <t>MIBGAS_Data_2026.xlsx</t>
        </is>
      </c>
    </row>
    <row r="2301">
      <c r="A2301" s="53" t="n">
        <v>46127</v>
      </c>
      <c r="B2301" t="inlineStr">
        <is>
          <t>2026-04-15</t>
        </is>
      </c>
      <c r="C2301" s="45" t="n">
        <v>42.57</v>
      </c>
      <c r="D2301" t="inlineStr">
        <is>
          <t>€/MWh</t>
        </is>
      </c>
      <c r="E2301" s="54" t="n">
        <v>0.04257</v>
      </c>
      <c r="F2301" s="54" t="n"/>
      <c r="G2301" t="inlineStr">
        <is>
          <t>no aplica (precio mayorista)</t>
        </is>
      </c>
      <c r="J2301" t="inlineStr">
        <is>
          <t>2026-04-15</t>
        </is>
      </c>
      <c r="K2301" t="inlineStr">
        <is>
          <t>MIBGAS_Data_2026.xlsx</t>
        </is>
      </c>
    </row>
    <row r="2302">
      <c r="A2302" s="53" t="n">
        <v>46128</v>
      </c>
      <c r="B2302" t="inlineStr">
        <is>
          <t>2026-04-16</t>
        </is>
      </c>
      <c r="C2302" s="45" t="n">
        <v>40.64</v>
      </c>
      <c r="D2302" t="inlineStr">
        <is>
          <t>€/MWh</t>
        </is>
      </c>
      <c r="E2302" s="54" t="n">
        <v>0.04064</v>
      </c>
      <c r="F2302" s="54" t="n"/>
      <c r="G2302" t="inlineStr">
        <is>
          <t>no aplica (precio mayorista)</t>
        </is>
      </c>
      <c r="J2302" t="inlineStr">
        <is>
          <t>2026-04-16</t>
        </is>
      </c>
      <c r="K2302" t="inlineStr">
        <is>
          <t>MIBGAS_Data_2026.xlsx</t>
        </is>
      </c>
    </row>
    <row r="2303">
      <c r="A2303" s="53" t="n">
        <v>46129</v>
      </c>
      <c r="B2303" t="inlineStr">
        <is>
          <t>2026-04-17</t>
        </is>
      </c>
      <c r="C2303" s="45" t="n">
        <v>41.06</v>
      </c>
      <c r="D2303" t="inlineStr">
        <is>
          <t>€/MWh</t>
        </is>
      </c>
      <c r="E2303" s="54" t="n">
        <v>0.04106</v>
      </c>
      <c r="F2303" s="54" t="n"/>
      <c r="G2303" t="inlineStr">
        <is>
          <t>no aplica (precio mayorista)</t>
        </is>
      </c>
      <c r="J2303" t="inlineStr">
        <is>
          <t>2026-04-17</t>
        </is>
      </c>
      <c r="K2303" t="inlineStr">
        <is>
          <t>MIBGAS_Data_2026.xlsx</t>
        </is>
      </c>
    </row>
    <row r="2304">
      <c r="A2304" s="53" t="n">
        <v>46130</v>
      </c>
      <c r="B2304" t="inlineStr">
        <is>
          <t>2026-04-18</t>
        </is>
      </c>
      <c r="C2304" s="45" t="n">
        <v>38.73</v>
      </c>
      <c r="D2304" t="inlineStr">
        <is>
          <t>€/MWh</t>
        </is>
      </c>
      <c r="E2304" s="54" t="n">
        <v>0.03873</v>
      </c>
      <c r="F2304" s="54" t="n"/>
      <c r="G2304" t="inlineStr">
        <is>
          <t>no aplica (precio mayorista)</t>
        </is>
      </c>
      <c r="J2304" t="inlineStr">
        <is>
          <t>2026-04-18</t>
        </is>
      </c>
      <c r="K2304" t="inlineStr">
        <is>
          <t>MIBGAS_Data_2026.xlsx</t>
        </is>
      </c>
    </row>
    <row r="2305">
      <c r="A2305" s="53" t="n">
        <v>46131</v>
      </c>
      <c r="B2305" t="inlineStr">
        <is>
          <t>2026-04-19</t>
        </is>
      </c>
      <c r="C2305" s="45" t="n">
        <v>38.99</v>
      </c>
      <c r="D2305" t="inlineStr">
        <is>
          <t>€/MWh</t>
        </is>
      </c>
      <c r="E2305" s="54" t="n">
        <v>0.03899</v>
      </c>
      <c r="F2305" s="54" t="n"/>
      <c r="G2305" t="inlineStr">
        <is>
          <t>no aplica (precio mayorista)</t>
        </is>
      </c>
      <c r="J2305" t="inlineStr">
        <is>
          <t>2026-04-19</t>
        </is>
      </c>
      <c r="K2305" t="inlineStr">
        <is>
          <t>MIBGAS_Data_2026.xlsx</t>
        </is>
      </c>
    </row>
    <row r="2306">
      <c r="A2306" s="53" t="n">
        <v>46132</v>
      </c>
      <c r="B2306" t="inlineStr">
        <is>
          <t>2026-04-20</t>
        </is>
      </c>
      <c r="C2306" s="45" t="n">
        <v>39.16</v>
      </c>
      <c r="D2306" t="inlineStr">
        <is>
          <t>€/MWh</t>
        </is>
      </c>
      <c r="E2306" s="54" t="n">
        <v>0.03916</v>
      </c>
      <c r="F2306" s="54" t="n"/>
      <c r="G2306" t="inlineStr">
        <is>
          <t>no aplica (precio mayorista)</t>
        </is>
      </c>
      <c r="J2306" t="inlineStr">
        <is>
          <t>2026-04-20</t>
        </is>
      </c>
      <c r="K2306" t="inlineStr">
        <is>
          <t>MIBGAS_Data_2026.xlsx</t>
        </is>
      </c>
    </row>
    <row r="2307">
      <c r="A2307" s="53" t="n">
        <v>46133</v>
      </c>
      <c r="B2307" t="inlineStr">
        <is>
          <t>2026-04-21</t>
        </is>
      </c>
      <c r="C2307" s="45" t="n">
        <v>38.99</v>
      </c>
      <c r="D2307" t="inlineStr">
        <is>
          <t>€/MWh</t>
        </is>
      </c>
      <c r="E2307" s="54" t="n">
        <v>0.03899</v>
      </c>
      <c r="F2307" s="54" t="n"/>
      <c r="G2307" t="inlineStr">
        <is>
          <t>no aplica (precio mayorista)</t>
        </is>
      </c>
      <c r="J2307" t="inlineStr">
        <is>
          <t>2026-04-21</t>
        </is>
      </c>
      <c r="K2307" t="inlineStr">
        <is>
          <t>MIBGAS_Data_2026.xlsx</t>
        </is>
      </c>
    </row>
    <row r="2308">
      <c r="A2308" s="53" t="n">
        <v>46134</v>
      </c>
      <c r="B2308" t="inlineStr">
        <is>
          <t>2026-04-22</t>
        </is>
      </c>
      <c r="C2308" s="45" t="n">
        <v>40.39</v>
      </c>
      <c r="D2308" t="inlineStr">
        <is>
          <t>€/MWh</t>
        </is>
      </c>
      <c r="E2308" s="54" t="n">
        <v>0.04039</v>
      </c>
      <c r="F2308" s="54" t="n"/>
      <c r="G2308" t="inlineStr">
        <is>
          <t>no aplica (precio mayorista)</t>
        </is>
      </c>
      <c r="J2308" t="inlineStr">
        <is>
          <t>2026-04-22</t>
        </is>
      </c>
      <c r="K2308" t="inlineStr">
        <is>
          <t>MIBGAS_Data_2026.xlsx</t>
        </is>
      </c>
    </row>
    <row r="2309">
      <c r="A2309" s="53" t="n">
        <v>46135</v>
      </c>
      <c r="B2309" t="inlineStr">
        <is>
          <t>2026-04-23</t>
        </is>
      </c>
      <c r="C2309" s="45" t="n">
        <v>43.48</v>
      </c>
      <c r="D2309" t="inlineStr">
        <is>
          <t>€/MWh</t>
        </is>
      </c>
      <c r="E2309" s="54" t="n">
        <v>0.04348</v>
      </c>
      <c r="F2309" s="54" t="n"/>
      <c r="G2309" t="inlineStr">
        <is>
          <t>no aplica (precio mayorista)</t>
        </is>
      </c>
      <c r="J2309" t="inlineStr">
        <is>
          <t>2026-04-23</t>
        </is>
      </c>
      <c r="K2309" t="inlineStr">
        <is>
          <t>MIBGAS_Data_2026.xlsx</t>
        </is>
      </c>
    </row>
    <row r="2310">
      <c r="A2310" s="53" t="n">
        <v>46136</v>
      </c>
      <c r="B2310" t="inlineStr">
        <is>
          <t>2026-04-24</t>
        </is>
      </c>
      <c r="C2310" s="45" t="n">
        <v>43.88</v>
      </c>
      <c r="D2310" t="inlineStr">
        <is>
          <t>€/MWh</t>
        </is>
      </c>
      <c r="E2310" s="54" t="n">
        <v>0.04388</v>
      </c>
      <c r="F2310" s="54" t="n"/>
      <c r="G2310" t="inlineStr">
        <is>
          <t>no aplica (precio mayorista)</t>
        </is>
      </c>
      <c r="J2310" t="inlineStr">
        <is>
          <t>2026-04-24</t>
        </is>
      </c>
      <c r="K2310" t="inlineStr">
        <is>
          <t>MIBGAS_Data_2026.xlsx</t>
        </is>
      </c>
    </row>
    <row r="2311">
      <c r="A2311" s="53" t="n">
        <v>46137</v>
      </c>
      <c r="B2311" t="inlineStr">
        <is>
          <t>2026-04-25</t>
        </is>
      </c>
      <c r="C2311" s="45" t="n">
        <v>43.93</v>
      </c>
      <c r="D2311" t="inlineStr">
        <is>
          <t>€/MWh</t>
        </is>
      </c>
      <c r="E2311" s="54" t="n">
        <v>0.04393</v>
      </c>
      <c r="F2311" s="54" t="n"/>
      <c r="G2311" t="inlineStr">
        <is>
          <t>no aplica (precio mayorista)</t>
        </is>
      </c>
      <c r="J2311" t="inlineStr">
        <is>
          <t>2026-04-25</t>
        </is>
      </c>
      <c r="K2311" t="inlineStr">
        <is>
          <t>MIBGAS_Data_2026.xlsx</t>
        </is>
      </c>
    </row>
    <row r="2312">
      <c r="A2312" s="53" t="n">
        <v>46138</v>
      </c>
      <c r="B2312" t="inlineStr">
        <is>
          <t>2026-04-26</t>
        </is>
      </c>
      <c r="C2312" s="45" t="n">
        <v>43.86</v>
      </c>
      <c r="D2312" t="inlineStr">
        <is>
          <t>€/MWh</t>
        </is>
      </c>
      <c r="E2312" s="54" t="n">
        <v>0.04386</v>
      </c>
      <c r="F2312" s="54" t="n"/>
      <c r="G2312" t="inlineStr">
        <is>
          <t>no aplica (precio mayorista)</t>
        </is>
      </c>
      <c r="J2312" t="inlineStr">
        <is>
          <t>2026-04-26</t>
        </is>
      </c>
      <c r="K2312" t="inlineStr">
        <is>
          <t>MIBGAS_Data_2026.xlsx</t>
        </is>
      </c>
    </row>
    <row r="2313">
      <c r="A2313" s="53" t="n">
        <v>46139</v>
      </c>
      <c r="B2313" t="inlineStr">
        <is>
          <t>2026-04-27</t>
        </is>
      </c>
      <c r="C2313" s="45" t="n">
        <v>43.87</v>
      </c>
      <c r="D2313" t="inlineStr">
        <is>
          <t>€/MWh</t>
        </is>
      </c>
      <c r="E2313" s="54" t="n">
        <v>0.04387</v>
      </c>
      <c r="F2313" s="54" t="n"/>
      <c r="G2313" t="inlineStr">
        <is>
          <t>no aplica (precio mayorista)</t>
        </is>
      </c>
      <c r="J2313" t="inlineStr">
        <is>
          <t>2026-04-27</t>
        </is>
      </c>
      <c r="K2313" t="inlineStr">
        <is>
          <t>MIBGAS_Data_2026.xlsx</t>
        </is>
      </c>
    </row>
    <row r="2314">
      <c r="A2314" s="53" t="n">
        <v>46140</v>
      </c>
      <c r="B2314" t="inlineStr">
        <is>
          <t>2026-04-28</t>
        </is>
      </c>
      <c r="C2314" s="45" t="n">
        <v>43.65</v>
      </c>
      <c r="D2314" t="inlineStr">
        <is>
          <t>€/MWh</t>
        </is>
      </c>
      <c r="E2314" s="54" t="n">
        <v>0.04365</v>
      </c>
      <c r="F2314" s="54" t="n"/>
      <c r="G2314" t="inlineStr">
        <is>
          <t>no aplica (precio mayorista)</t>
        </is>
      </c>
      <c r="J2314" t="inlineStr">
        <is>
          <t>2026-04-28</t>
        </is>
      </c>
      <c r="K2314" t="inlineStr">
        <is>
          <t>MIBGAS_Data_2026.xlsx</t>
        </is>
      </c>
    </row>
    <row r="2315">
      <c r="A2315" s="53" t="n">
        <v>46141</v>
      </c>
      <c r="B2315" t="inlineStr">
        <is>
          <t>2026-04-29</t>
        </is>
      </c>
      <c r="C2315" s="45" t="n">
        <v>43.63</v>
      </c>
      <c r="D2315" t="inlineStr">
        <is>
          <t>€/MWh</t>
        </is>
      </c>
      <c r="E2315" s="54" t="n">
        <v>0.04363</v>
      </c>
      <c r="F2315" s="54" t="n"/>
      <c r="G2315" t="inlineStr">
        <is>
          <t>no aplica (precio mayorista)</t>
        </is>
      </c>
      <c r="J2315" t="inlineStr">
        <is>
          <t>2026-04-29</t>
        </is>
      </c>
      <c r="K2315" t="inlineStr">
        <is>
          <t>MIBGAS_Data_2026.xlsx</t>
        </is>
      </c>
    </row>
    <row r="2316">
      <c r="A2316" s="53" t="n">
        <v>46142</v>
      </c>
      <c r="B2316" t="inlineStr">
        <is>
          <t>2026-04-30</t>
        </is>
      </c>
      <c r="C2316" s="45" t="n">
        <v>45.65</v>
      </c>
      <c r="D2316" t="inlineStr">
        <is>
          <t>€/MWh</t>
        </is>
      </c>
      <c r="E2316" s="54" t="n">
        <v>0.04565</v>
      </c>
      <c r="F2316" s="54" t="n"/>
      <c r="G2316" t="inlineStr">
        <is>
          <t>no aplica (precio mayorista)</t>
        </is>
      </c>
      <c r="J2316" t="inlineStr">
        <is>
          <t>2026-04-30</t>
        </is>
      </c>
      <c r="K2316" t="inlineStr">
        <is>
          <t>MIBGAS_Data_2026.xlsx</t>
        </is>
      </c>
    </row>
    <row r="2317">
      <c r="A2317" s="53" t="n">
        <v>46143</v>
      </c>
      <c r="B2317" t="inlineStr">
        <is>
          <t>2026-05-01</t>
        </is>
      </c>
      <c r="C2317" s="45" t="n">
        <v>45.82</v>
      </c>
      <c r="D2317" t="inlineStr">
        <is>
          <t>€/MWh</t>
        </is>
      </c>
      <c r="E2317" s="54" t="n">
        <v>0.04582</v>
      </c>
      <c r="F2317" s="54" t="n"/>
      <c r="G2317" t="inlineStr">
        <is>
          <t>no aplica (precio mayorista)</t>
        </is>
      </c>
      <c r="J2317" t="inlineStr">
        <is>
          <t>2026-05-01</t>
        </is>
      </c>
      <c r="K2317" t="inlineStr">
        <is>
          <t>MIBGAS_Data_2026.xlsx</t>
        </is>
      </c>
    </row>
    <row r="2318">
      <c r="A2318" s="53" t="n">
        <v>46144</v>
      </c>
      <c r="B2318" t="inlineStr">
        <is>
          <t>2026-05-02</t>
        </is>
      </c>
      <c r="C2318" s="45" t="n">
        <v>45.49</v>
      </c>
      <c r="D2318" t="inlineStr">
        <is>
          <t>€/MWh</t>
        </is>
      </c>
      <c r="E2318" s="54" t="n">
        <v>0.04549</v>
      </c>
      <c r="F2318" s="54" t="n"/>
      <c r="G2318" t="inlineStr">
        <is>
          <t>no aplica (precio mayorista)</t>
        </is>
      </c>
      <c r="J2318" t="inlineStr">
        <is>
          <t>2026-05-02</t>
        </is>
      </c>
      <c r="K2318" t="inlineStr">
        <is>
          <t>MIBGAS_Data_2026.xlsx</t>
        </is>
      </c>
    </row>
    <row r="2319">
      <c r="A2319" s="53" t="n">
        <v>46145</v>
      </c>
      <c r="B2319" t="inlineStr">
        <is>
          <t>2026-05-03</t>
        </is>
      </c>
      <c r="C2319" s="45" t="n">
        <v>45.77</v>
      </c>
      <c r="D2319" t="inlineStr">
        <is>
          <t>€/MWh</t>
        </is>
      </c>
      <c r="E2319" s="54" t="n">
        <v>0.04577</v>
      </c>
      <c r="F2319" s="54" t="n"/>
      <c r="G2319" t="inlineStr">
        <is>
          <t>no aplica (precio mayorista)</t>
        </is>
      </c>
      <c r="J2319" t="inlineStr">
        <is>
          <t>2026-05-03</t>
        </is>
      </c>
      <c r="K2319" t="inlineStr">
        <is>
          <t>MIBGAS_Data_2026.xlsx</t>
        </is>
      </c>
    </row>
    <row r="2320">
      <c r="A2320" s="53" t="n">
        <v>46146</v>
      </c>
      <c r="B2320" t="inlineStr">
        <is>
          <t>2026-05-04</t>
        </is>
      </c>
      <c r="C2320" s="45" t="n">
        <v>46.36</v>
      </c>
      <c r="D2320" t="inlineStr">
        <is>
          <t>€/MWh</t>
        </is>
      </c>
      <c r="E2320" s="54" t="n">
        <v>0.04636</v>
      </c>
      <c r="F2320" s="54" t="n"/>
      <c r="G2320" t="inlineStr">
        <is>
          <t>no aplica (precio mayorista)</t>
        </is>
      </c>
      <c r="J2320" t="inlineStr">
        <is>
          <t>2026-05-04</t>
        </is>
      </c>
      <c r="K2320" t="inlineStr">
        <is>
          <t>MIBGAS_Data_2026.xlsx</t>
        </is>
      </c>
    </row>
    <row r="2321">
      <c r="A2321" s="53" t="n">
        <v>46147</v>
      </c>
      <c r="B2321" t="inlineStr">
        <is>
          <t>2026-05-05</t>
        </is>
      </c>
      <c r="C2321" s="45" t="n">
        <v>46.56</v>
      </c>
      <c r="D2321" t="inlineStr">
        <is>
          <t>€/MWh</t>
        </is>
      </c>
      <c r="E2321" s="54" t="n">
        <v>0.04656</v>
      </c>
      <c r="F2321" s="54" t="n"/>
      <c r="G2321" t="inlineStr">
        <is>
          <t>no aplica (precio mayorista)</t>
        </is>
      </c>
      <c r="J2321" t="inlineStr">
        <is>
          <t>2026-05-05</t>
        </is>
      </c>
      <c r="K2321" t="inlineStr">
        <is>
          <t>MIBGAS_Data_2026.xlsx</t>
        </is>
      </c>
    </row>
    <row r="2322">
      <c r="A2322" s="53" t="n">
        <v>46148</v>
      </c>
      <c r="B2322" t="inlineStr">
        <is>
          <t>2026-05-06</t>
        </is>
      </c>
      <c r="C2322" s="45" t="n">
        <v>46.62</v>
      </c>
      <c r="D2322" t="inlineStr">
        <is>
          <t>€/MWh</t>
        </is>
      </c>
      <c r="E2322" s="54" t="n">
        <v>0.04662</v>
      </c>
      <c r="F2322" s="54" t="n"/>
      <c r="G2322" t="inlineStr">
        <is>
          <t>no aplica (precio mayorista)</t>
        </is>
      </c>
      <c r="J2322" t="inlineStr">
        <is>
          <t>2026-05-06</t>
        </is>
      </c>
      <c r="K2322" t="inlineStr">
        <is>
          <t>MIBGAS_Data_2026.xlsx</t>
        </is>
      </c>
    </row>
    <row r="2323">
      <c r="A2323" s="53" t="n">
        <v>46149</v>
      </c>
      <c r="B2323" t="inlineStr">
        <is>
          <t>2026-05-07</t>
        </is>
      </c>
      <c r="C2323" s="45" t="n">
        <v>43.46</v>
      </c>
      <c r="D2323" t="inlineStr">
        <is>
          <t>€/MWh</t>
        </is>
      </c>
      <c r="E2323" s="54" t="n">
        <v>0.04346</v>
      </c>
      <c r="F2323" s="54" t="n"/>
      <c r="G2323" t="inlineStr">
        <is>
          <t>no aplica (precio mayorista)</t>
        </is>
      </c>
      <c r="J2323" t="inlineStr">
        <is>
          <t>2026-05-07</t>
        </is>
      </c>
      <c r="K2323" t="inlineStr">
        <is>
          <t>MIBGAS_Data_2026.xlsx</t>
        </is>
      </c>
    </row>
    <row r="2324">
      <c r="A2324" s="53" t="n">
        <v>46150</v>
      </c>
      <c r="B2324" t="inlineStr">
        <is>
          <t>2026-05-08</t>
        </is>
      </c>
      <c r="C2324" s="45" t="n">
        <v>42.44</v>
      </c>
      <c r="D2324" t="inlineStr">
        <is>
          <t>€/MWh</t>
        </is>
      </c>
      <c r="E2324" s="54" t="n">
        <v>0.04244</v>
      </c>
      <c r="F2324" s="54" t="n"/>
      <c r="G2324" t="inlineStr">
        <is>
          <t>no aplica (precio mayorista)</t>
        </is>
      </c>
      <c r="J2324" t="inlineStr">
        <is>
          <t>2026-05-08</t>
        </is>
      </c>
      <c r="K2324" t="inlineStr">
        <is>
          <t>MIBGAS_Data_2026.xlsx</t>
        </is>
      </c>
    </row>
    <row r="2325">
      <c r="A2325" s="53" t="n">
        <v>46151</v>
      </c>
      <c r="B2325" t="inlineStr">
        <is>
          <t>2026-05-09</t>
        </is>
      </c>
      <c r="C2325" s="45" t="n">
        <v>42.77</v>
      </c>
      <c r="D2325" t="inlineStr">
        <is>
          <t>€/MWh</t>
        </is>
      </c>
      <c r="E2325" s="54" t="n">
        <v>0.04277</v>
      </c>
      <c r="F2325" s="54" t="n"/>
      <c r="G2325" t="inlineStr">
        <is>
          <t>no aplica (precio mayorista)</t>
        </is>
      </c>
      <c r="J2325" t="inlineStr">
        <is>
          <t>2026-05-09</t>
        </is>
      </c>
      <c r="K2325" t="inlineStr">
        <is>
          <t>MIBGAS_Data_2026.xlsx</t>
        </is>
      </c>
    </row>
    <row r="2326">
      <c r="A2326" s="53" t="n">
        <v>46152</v>
      </c>
      <c r="B2326" t="inlineStr">
        <is>
          <t>2026-05-10</t>
        </is>
      </c>
      <c r="C2326" s="45" t="n">
        <v>42.7</v>
      </c>
      <c r="D2326" t="inlineStr">
        <is>
          <t>€/MWh</t>
        </is>
      </c>
      <c r="E2326" s="54" t="n">
        <v>0.0427</v>
      </c>
      <c r="F2326" s="54" t="n"/>
      <c r="G2326" t="inlineStr">
        <is>
          <t>no aplica (precio mayorista)</t>
        </is>
      </c>
      <c r="J2326" t="inlineStr">
        <is>
          <t>2026-05-10</t>
        </is>
      </c>
      <c r="K2326" t="inlineStr">
        <is>
          <t>MIBGAS_Data_2026.xlsx</t>
        </is>
      </c>
    </row>
    <row r="2327">
      <c r="A2327" s="53" t="n">
        <v>46153</v>
      </c>
      <c r="B2327" t="inlineStr">
        <is>
          <t>2026-05-11</t>
        </is>
      </c>
      <c r="C2327" s="45" t="n">
        <v>43.61</v>
      </c>
      <c r="D2327" t="inlineStr">
        <is>
          <t>€/MWh</t>
        </is>
      </c>
      <c r="E2327" s="54" t="n">
        <v>0.04361</v>
      </c>
      <c r="F2327" s="54" t="n"/>
      <c r="G2327" t="inlineStr">
        <is>
          <t>no aplica (precio mayorista)</t>
        </is>
      </c>
      <c r="J2327" t="inlineStr">
        <is>
          <t>2026-05-11</t>
        </is>
      </c>
      <c r="K2327" t="inlineStr">
        <is>
          <t>MIBGAS_Data_2026.xlsx</t>
        </is>
      </c>
    </row>
    <row r="2328">
      <c r="A2328" s="53" t="n">
        <v>46154</v>
      </c>
      <c r="B2328" t="inlineStr">
        <is>
          <t>2026-05-12</t>
        </is>
      </c>
      <c r="C2328" s="45" t="n">
        <v>45.46</v>
      </c>
      <c r="D2328" t="inlineStr">
        <is>
          <t>€/MWh</t>
        </is>
      </c>
      <c r="E2328" s="54" t="n">
        <v>0.04546</v>
      </c>
      <c r="F2328" s="54" t="n"/>
      <c r="G2328" t="inlineStr">
        <is>
          <t>no aplica (precio mayorista)</t>
        </is>
      </c>
      <c r="J2328" t="inlineStr">
        <is>
          <t>2026-05-12</t>
        </is>
      </c>
      <c r="K2328" t="inlineStr">
        <is>
          <t>MIBGAS_Data_2026.xlsx</t>
        </is>
      </c>
    </row>
    <row r="2329">
      <c r="A2329" s="53" t="n">
        <v>46155</v>
      </c>
      <c r="B2329" t="inlineStr">
        <is>
          <t>2026-05-13</t>
        </is>
      </c>
      <c r="C2329" s="45" t="n">
        <v>46.27</v>
      </c>
      <c r="D2329" t="inlineStr">
        <is>
          <t>€/MWh</t>
        </is>
      </c>
      <c r="E2329" s="54" t="n">
        <v>0.04627</v>
      </c>
      <c r="F2329" s="54" t="n"/>
      <c r="G2329" t="inlineStr">
        <is>
          <t>no aplica (precio mayorista)</t>
        </is>
      </c>
      <c r="J2329" t="inlineStr">
        <is>
          <t>2026-05-13</t>
        </is>
      </c>
      <c r="K2329" t="inlineStr">
        <is>
          <t>MIBGAS_Data_2026.xlsx</t>
        </is>
      </c>
    </row>
    <row r="2330">
      <c r="A2330" s="53" t="n">
        <v>46156</v>
      </c>
      <c r="B2330" t="inlineStr">
        <is>
          <t>2026-05-14</t>
        </is>
      </c>
      <c r="C2330" s="45" t="n">
        <v>46.23</v>
      </c>
      <c r="D2330" t="inlineStr">
        <is>
          <t>€/MWh</t>
        </is>
      </c>
      <c r="E2330" s="54" t="n">
        <v>0.04623</v>
      </c>
      <c r="F2330" s="54" t="n"/>
      <c r="G2330" t="inlineStr">
        <is>
          <t>no aplica (precio mayorista)</t>
        </is>
      </c>
      <c r="J2330" t="inlineStr">
        <is>
          <t>2026-05-14</t>
        </is>
      </c>
      <c r="K2330" t="inlineStr">
        <is>
          <t>MIBGAS_Data_2026.xlsx</t>
        </is>
      </c>
    </row>
    <row r="2331">
      <c r="A2331" s="53" t="n">
        <v>46157</v>
      </c>
      <c r="B2331" t="inlineStr">
        <is>
          <t>2026-05-15</t>
        </is>
      </c>
      <c r="C2331" s="45" t="n">
        <v>47.1</v>
      </c>
      <c r="D2331" t="inlineStr">
        <is>
          <t>€/MWh</t>
        </is>
      </c>
      <c r="E2331" s="54" t="n">
        <v>0.0471</v>
      </c>
      <c r="F2331" s="54" t="n"/>
      <c r="G2331" t="inlineStr">
        <is>
          <t>no aplica (precio mayorista)</t>
        </is>
      </c>
      <c r="J2331" t="inlineStr">
        <is>
          <t>2026-05-15</t>
        </is>
      </c>
      <c r="K2331" t="inlineStr">
        <is>
          <t>MIBGAS_Data_2026.xlsx</t>
        </is>
      </c>
    </row>
    <row r="2332">
      <c r="A2332" s="53" t="n">
        <v>46158</v>
      </c>
      <c r="B2332" t="inlineStr">
        <is>
          <t>2026-05-16</t>
        </is>
      </c>
      <c r="C2332" s="45" t="n">
        <v>48.41</v>
      </c>
      <c r="D2332" t="inlineStr">
        <is>
          <t>€/MWh</t>
        </is>
      </c>
      <c r="E2332" s="54" t="n">
        <v>0.04841</v>
      </c>
      <c r="F2332" s="54" t="n"/>
      <c r="G2332" t="inlineStr">
        <is>
          <t>no aplica (precio mayorista)</t>
        </is>
      </c>
      <c r="J2332" t="inlineStr">
        <is>
          <t>2026-05-16</t>
        </is>
      </c>
      <c r="K2332" t="inlineStr">
        <is>
          <t>MIBGAS_Data_2026.xlsx</t>
        </is>
      </c>
    </row>
    <row r="2333">
      <c r="A2333" s="53" t="n">
        <v>46159</v>
      </c>
      <c r="B2333" t="inlineStr">
        <is>
          <t>2026-05-17</t>
        </is>
      </c>
      <c r="C2333" s="45" t="n">
        <v>48.51</v>
      </c>
      <c r="D2333" t="inlineStr">
        <is>
          <t>€/MWh</t>
        </is>
      </c>
      <c r="E2333" s="54" t="n">
        <v>0.04851</v>
      </c>
      <c r="F2333" s="54" t="n"/>
      <c r="G2333" t="inlineStr">
        <is>
          <t>no aplica (precio mayorista)</t>
        </is>
      </c>
      <c r="J2333" t="inlineStr">
        <is>
          <t>2026-05-17</t>
        </is>
      </c>
      <c r="K2333" t="inlineStr">
        <is>
          <t>MIBGAS_Data_2026.xlsx</t>
        </is>
      </c>
    </row>
    <row r="2334">
      <c r="A2334" s="53" t="n">
        <v>46160</v>
      </c>
      <c r="B2334" t="inlineStr">
        <is>
          <t>2026-05-18</t>
        </is>
      </c>
      <c r="C2334" s="45" t="n">
        <v>48.97</v>
      </c>
      <c r="D2334" t="inlineStr">
        <is>
          <t>€/MWh</t>
        </is>
      </c>
      <c r="E2334" s="54" t="n">
        <v>0.04897</v>
      </c>
      <c r="F2334" s="54" t="n"/>
      <c r="G2334" t="inlineStr">
        <is>
          <t>no aplica (precio mayorista)</t>
        </is>
      </c>
      <c r="J2334" t="inlineStr">
        <is>
          <t>2026-05-18</t>
        </is>
      </c>
      <c r="K2334" t="inlineStr">
        <is>
          <t>MIBGAS_Data_2026.xlsx</t>
        </is>
      </c>
    </row>
    <row r="2335">
      <c r="A2335" s="53" t="n">
        <v>46161</v>
      </c>
      <c r="B2335" t="inlineStr">
        <is>
          <t>2026-05-19</t>
        </is>
      </c>
      <c r="C2335" s="45" t="n">
        <v>49.08</v>
      </c>
      <c r="D2335" t="inlineStr">
        <is>
          <t>€/MWh</t>
        </is>
      </c>
      <c r="E2335" s="54" t="n">
        <v>0.04908</v>
      </c>
      <c r="F2335" s="54" t="n"/>
      <c r="G2335" t="inlineStr">
        <is>
          <t>no aplica (precio mayorista)</t>
        </is>
      </c>
      <c r="J2335" t="inlineStr">
        <is>
          <t>2026-05-19</t>
        </is>
      </c>
      <c r="K2335" t="inlineStr">
        <is>
          <t>MIBGAS_Data_2026.xlsx</t>
        </is>
      </c>
    </row>
    <row r="2336">
      <c r="A2336" s="53" t="n">
        <v>46162</v>
      </c>
      <c r="B2336" t="inlineStr">
        <is>
          <t>2026-05-20</t>
        </is>
      </c>
      <c r="C2336" s="45" t="n">
        <v>50.08</v>
      </c>
      <c r="D2336" t="inlineStr">
        <is>
          <t>€/MWh</t>
        </is>
      </c>
      <c r="E2336" s="54" t="n">
        <v>0.05008</v>
      </c>
      <c r="F2336" s="54" t="n"/>
      <c r="G2336" t="inlineStr">
        <is>
          <t>no aplica (precio mayorista)</t>
        </is>
      </c>
      <c r="J2336" t="inlineStr">
        <is>
          <t>2026-05-20</t>
        </is>
      </c>
      <c r="K2336" t="inlineStr">
        <is>
          <t>MIBGAS_Data_2026.xlsx</t>
        </is>
      </c>
    </row>
    <row r="2337">
      <c r="A2337" s="53" t="n">
        <v>46163</v>
      </c>
      <c r="B2337" t="inlineStr">
        <is>
          <t>2026-05-21</t>
        </is>
      </c>
      <c r="C2337" s="45" t="n">
        <v>48.54</v>
      </c>
      <c r="D2337" t="inlineStr">
        <is>
          <t>€/MWh</t>
        </is>
      </c>
      <c r="E2337" s="54" t="n">
        <v>0.04854</v>
      </c>
      <c r="F2337" s="54" t="n"/>
      <c r="G2337" t="inlineStr">
        <is>
          <t>no aplica (precio mayorista)</t>
        </is>
      </c>
      <c r="J2337" t="inlineStr">
        <is>
          <t>2026-05-21</t>
        </is>
      </c>
      <c r="K2337" t="inlineStr">
        <is>
          <t>MIBGAS_Data_2026.xlsx</t>
        </is>
      </c>
    </row>
    <row r="2338">
      <c r="A2338" s="53" t="n">
        <v>46164</v>
      </c>
      <c r="B2338" t="inlineStr">
        <is>
          <t>2026-05-22</t>
        </is>
      </c>
      <c r="C2338" s="45" t="n">
        <v>48.02</v>
      </c>
      <c r="D2338" t="inlineStr">
        <is>
          <t>€/MWh</t>
        </is>
      </c>
      <c r="E2338" s="54" t="n">
        <v>0.04802</v>
      </c>
      <c r="F2338" s="54" t="n"/>
      <c r="G2338" t="inlineStr">
        <is>
          <t>no aplica (precio mayorista)</t>
        </is>
      </c>
      <c r="J2338" t="inlineStr">
        <is>
          <t>2026-05-22</t>
        </is>
      </c>
      <c r="K2338" t="inlineStr">
        <is>
          <t>MIBGAS_Data_2026.xlsx</t>
        </is>
      </c>
    </row>
    <row r="2339">
      <c r="A2339" s="53" t="n">
        <v>46165</v>
      </c>
      <c r="B2339" t="inlineStr">
        <is>
          <t>2026-05-23</t>
        </is>
      </c>
      <c r="C2339" s="45" t="n">
        <v>46.66</v>
      </c>
      <c r="D2339" t="inlineStr">
        <is>
          <t>€/MWh</t>
        </is>
      </c>
      <c r="E2339" s="54" t="n">
        <v>0.04666</v>
      </c>
      <c r="F2339" s="54" t="n"/>
      <c r="G2339" t="inlineStr">
        <is>
          <t>no aplica (precio mayorista)</t>
        </is>
      </c>
      <c r="J2339" t="inlineStr">
        <is>
          <t>2026-05-23</t>
        </is>
      </c>
      <c r="K2339" t="inlineStr">
        <is>
          <t>MIBGAS_Data_2026.xlsx</t>
        </is>
      </c>
    </row>
    <row r="2340">
      <c r="A2340" s="53" t="n">
        <v>46166</v>
      </c>
      <c r="B2340" t="inlineStr">
        <is>
          <t>2026-05-24</t>
        </is>
      </c>
      <c r="C2340" s="45" t="n">
        <v>45.52</v>
      </c>
      <c r="D2340" t="inlineStr">
        <is>
          <t>€/MWh</t>
        </is>
      </c>
      <c r="E2340" s="54" t="n">
        <v>0.04552</v>
      </c>
      <c r="F2340" s="54" t="n"/>
      <c r="G2340" t="inlineStr">
        <is>
          <t>no aplica (precio mayorista)</t>
        </is>
      </c>
      <c r="J2340" t="inlineStr">
        <is>
          <t>2026-05-24</t>
        </is>
      </c>
      <c r="K2340" t="inlineStr">
        <is>
          <t>MIBGAS_Data_2026.xlsx</t>
        </is>
      </c>
    </row>
    <row r="2341">
      <c r="A2341" s="53" t="n">
        <v>46167</v>
      </c>
      <c r="B2341" t="inlineStr">
        <is>
          <t>2026-05-25</t>
        </is>
      </c>
      <c r="C2341" s="45" t="n">
        <v>45.78</v>
      </c>
      <c r="D2341" t="inlineStr">
        <is>
          <t>€/MWh</t>
        </is>
      </c>
      <c r="E2341" s="54" t="n">
        <v>0.04578</v>
      </c>
      <c r="F2341" s="54" t="n"/>
      <c r="G2341" t="inlineStr">
        <is>
          <t>no aplica (precio mayorista)</t>
        </is>
      </c>
      <c r="J2341" t="inlineStr">
        <is>
          <t>2026-05-25</t>
        </is>
      </c>
      <c r="K2341" t="inlineStr">
        <is>
          <t>MIBGAS_Data_2026.xlsx</t>
        </is>
      </c>
    </row>
    <row r="2342">
      <c r="A2342" s="53" t="n">
        <v>46168</v>
      </c>
      <c r="B2342" t="inlineStr">
        <is>
          <t>2026-05-26</t>
        </is>
      </c>
      <c r="C2342" s="45" t="n">
        <v>45.95</v>
      </c>
      <c r="D2342" t="inlineStr">
        <is>
          <t>€/MWh</t>
        </is>
      </c>
      <c r="E2342" s="54" t="n">
        <v>0.04595</v>
      </c>
      <c r="F2342" s="54" t="n"/>
      <c r="G2342" t="inlineStr">
        <is>
          <t>no aplica (precio mayorista)</t>
        </is>
      </c>
      <c r="J2342" t="inlineStr">
        <is>
          <t>2026-05-26</t>
        </is>
      </c>
      <c r="K2342" t="inlineStr">
        <is>
          <t>MIBGAS_Data_2026.xlsx</t>
        </is>
      </c>
    </row>
    <row r="2343">
      <c r="A2343" s="53" t="n">
        <v>46169</v>
      </c>
      <c r="B2343" t="inlineStr">
        <is>
          <t>2026-05-27</t>
        </is>
      </c>
      <c r="C2343" s="45" t="n">
        <v>45.96</v>
      </c>
      <c r="D2343" t="inlineStr">
        <is>
          <t>€/MWh</t>
        </is>
      </c>
      <c r="E2343" s="54" t="n">
        <v>0.04596</v>
      </c>
      <c r="F2343" s="54" t="n"/>
      <c r="G2343" t="inlineStr">
        <is>
          <t>no aplica (precio mayorista)</t>
        </is>
      </c>
      <c r="J2343" t="inlineStr">
        <is>
          <t>2026-05-27</t>
        </is>
      </c>
      <c r="K2343" t="inlineStr">
        <is>
          <t>MIBGAS_Data_2026.xlsx</t>
        </is>
      </c>
    </row>
    <row r="2344">
      <c r="A2344" s="53" t="n">
        <v>46170</v>
      </c>
      <c r="B2344" t="inlineStr">
        <is>
          <t>2026-05-28</t>
        </is>
      </c>
      <c r="C2344" s="45" t="n">
        <v>45.74</v>
      </c>
      <c r="D2344" t="inlineStr">
        <is>
          <t>€/MWh</t>
        </is>
      </c>
      <c r="E2344" s="54" t="n">
        <v>0.04574</v>
      </c>
      <c r="F2344" s="54" t="n"/>
      <c r="G2344" t="inlineStr">
        <is>
          <t>no aplica (precio mayorista)</t>
        </is>
      </c>
      <c r="J2344" t="inlineStr">
        <is>
          <t>2026-05-28</t>
        </is>
      </c>
      <c r="K2344" t="inlineStr">
        <is>
          <t>MIBGAS_Data_2026.xlsx</t>
        </is>
      </c>
    </row>
    <row r="2345">
      <c r="A2345" s="53" t="n">
        <v>46171</v>
      </c>
      <c r="B2345" t="inlineStr">
        <is>
          <t>2026-05-29</t>
        </is>
      </c>
      <c r="C2345" s="45" t="n">
        <v>46.18</v>
      </c>
      <c r="D2345" t="inlineStr">
        <is>
          <t>€/MWh</t>
        </is>
      </c>
      <c r="E2345" s="54" t="n">
        <v>0.04618</v>
      </c>
      <c r="F2345" s="54" t="n"/>
      <c r="G2345" t="inlineStr">
        <is>
          <t>no aplica (precio mayorista)</t>
        </is>
      </c>
      <c r="J2345" t="inlineStr">
        <is>
          <t>2026-05-29</t>
        </is>
      </c>
      <c r="K2345" t="inlineStr">
        <is>
          <t>MIBGAS_Data_2026.xlsx</t>
        </is>
      </c>
    </row>
    <row r="2346">
      <c r="A2346" s="53" t="n">
        <v>46172</v>
      </c>
      <c r="B2346" t="inlineStr">
        <is>
          <t>2026-05-30</t>
        </is>
      </c>
      <c r="C2346" s="45" t="n">
        <v>45.05</v>
      </c>
      <c r="D2346" t="inlineStr">
        <is>
          <t>€/MWh</t>
        </is>
      </c>
      <c r="E2346" s="54" t="n">
        <v>0.04505</v>
      </c>
      <c r="F2346" s="54" t="n"/>
      <c r="G2346" t="inlineStr">
        <is>
          <t>no aplica (precio mayorista)</t>
        </is>
      </c>
      <c r="J2346" t="inlineStr">
        <is>
          <t>2026-05-30</t>
        </is>
      </c>
      <c r="K2346" t="inlineStr">
        <is>
          <t>MIBGAS_Data_2026.xlsx</t>
        </is>
      </c>
    </row>
    <row r="2347">
      <c r="A2347" s="53" t="n">
        <v>46173</v>
      </c>
      <c r="B2347" t="inlineStr">
        <is>
          <t>2026-05-31</t>
        </is>
      </c>
      <c r="C2347" s="45" t="n">
        <v>44.82</v>
      </c>
      <c r="D2347" t="inlineStr">
        <is>
          <t>€/MWh</t>
        </is>
      </c>
      <c r="E2347" s="54" t="n">
        <v>0.04482</v>
      </c>
      <c r="F2347" s="54" t="n"/>
      <c r="G2347" t="inlineStr">
        <is>
          <t>no aplica (precio mayorista)</t>
        </is>
      </c>
      <c r="J2347" t="inlineStr">
        <is>
          <t>2026-05-31</t>
        </is>
      </c>
      <c r="K2347" t="inlineStr">
        <is>
          <t>MIBGAS_Data_2026.xlsx</t>
        </is>
      </c>
    </row>
    <row r="2348">
      <c r="A2348" s="53" t="n">
        <v>46174</v>
      </c>
      <c r="B2348" t="inlineStr">
        <is>
          <t>2026-06-01</t>
        </is>
      </c>
      <c r="C2348" s="45" t="n">
        <v>46.77</v>
      </c>
      <c r="D2348" t="inlineStr">
        <is>
          <t>€/MWh</t>
        </is>
      </c>
      <c r="E2348" s="54" t="n">
        <v>0.04677</v>
      </c>
      <c r="F2348" s="54" t="n"/>
      <c r="G2348" t="inlineStr">
        <is>
          <t>no aplica (precio mayorista)</t>
        </is>
      </c>
      <c r="J2348" t="inlineStr">
        <is>
          <t>2026-06-01</t>
        </is>
      </c>
      <c r="K2348" t="inlineStr">
        <is>
          <t>MIBGAS_Data_2026.xlsx</t>
        </is>
      </c>
    </row>
    <row r="2349">
      <c r="A2349" s="53" t="n">
        <v>46175</v>
      </c>
      <c r="B2349" t="inlineStr">
        <is>
          <t>2026-06-02</t>
        </is>
      </c>
      <c r="C2349" s="45" t="n">
        <v>48.05</v>
      </c>
      <c r="D2349" t="inlineStr">
        <is>
          <t>€/MWh</t>
        </is>
      </c>
      <c r="E2349" s="54" t="n">
        <v>0.04805</v>
      </c>
      <c r="F2349" s="54" t="n"/>
      <c r="G2349" t="inlineStr">
        <is>
          <t>no aplica (precio mayorista)</t>
        </is>
      </c>
      <c r="J2349" t="inlineStr">
        <is>
          <t>2026-06-02</t>
        </is>
      </c>
      <c r="K2349" t="inlineStr">
        <is>
          <t>MIBGAS_Data_2026.xlsx</t>
        </is>
      </c>
    </row>
    <row r="2350">
      <c r="A2350" s="53" t="n">
        <v>46176</v>
      </c>
      <c r="B2350" t="inlineStr">
        <is>
          <t>2026-06-03</t>
        </is>
      </c>
      <c r="C2350" s="45" t="n">
        <v>47.97</v>
      </c>
      <c r="D2350" t="inlineStr">
        <is>
          <t>€/MWh</t>
        </is>
      </c>
      <c r="E2350" s="54" t="n">
        <v>0.04797</v>
      </c>
      <c r="F2350" s="54" t="n"/>
      <c r="G2350" t="inlineStr">
        <is>
          <t>no aplica (precio mayorista)</t>
        </is>
      </c>
      <c r="J2350" t="inlineStr">
        <is>
          <t>2026-06-03</t>
        </is>
      </c>
      <c r="K2350" t="inlineStr">
        <is>
          <t>MIBGAS_Data_2026.xlsx</t>
        </is>
      </c>
    </row>
    <row r="2351">
      <c r="A2351" s="53" t="n">
        <v>46177</v>
      </c>
      <c r="B2351" t="inlineStr">
        <is>
          <t>2026-06-04</t>
        </is>
      </c>
      <c r="C2351" s="45" t="n">
        <v>48.42</v>
      </c>
      <c r="D2351" t="inlineStr">
        <is>
          <t>€/MWh</t>
        </is>
      </c>
      <c r="E2351" s="54" t="n">
        <v>0.04842</v>
      </c>
      <c r="F2351" s="54" t="n"/>
      <c r="G2351" t="inlineStr">
        <is>
          <t>no aplica (precio mayorista)</t>
        </is>
      </c>
      <c r="J2351" t="inlineStr">
        <is>
          <t>2026-06-04</t>
        </is>
      </c>
      <c r="K2351" t="inlineStr">
        <is>
          <t>MIBGAS_Data_2026.xlsx</t>
        </is>
      </c>
    </row>
    <row r="2352">
      <c r="A2352" s="53" t="n">
        <v>46178</v>
      </c>
      <c r="B2352" t="inlineStr">
        <is>
          <t>2026-06-05</t>
        </is>
      </c>
      <c r="C2352" s="45" t="n">
        <v>48.39</v>
      </c>
      <c r="D2352" t="inlineStr">
        <is>
          <t>€/MWh</t>
        </is>
      </c>
      <c r="E2352" s="54" t="n">
        <v>0.04839</v>
      </c>
      <c r="F2352" s="54" t="n"/>
      <c r="G2352" t="inlineStr">
        <is>
          <t>no aplica (precio mayorista)</t>
        </is>
      </c>
      <c r="J2352" t="inlineStr">
        <is>
          <t>2026-06-05</t>
        </is>
      </c>
      <c r="K2352" t="inlineStr">
        <is>
          <t>MIBGAS_Data_2026.xlsx</t>
        </is>
      </c>
    </row>
    <row r="2353">
      <c r="A2353" s="53" t="n">
        <v>46179</v>
      </c>
      <c r="B2353" t="inlineStr">
        <is>
          <t>2026-06-06</t>
        </is>
      </c>
      <c r="C2353" s="45" t="n">
        <v>48.08</v>
      </c>
      <c r="D2353" t="inlineStr">
        <is>
          <t>€/MWh</t>
        </is>
      </c>
      <c r="E2353" s="54" t="n">
        <v>0.04808</v>
      </c>
      <c r="F2353" s="54" t="n"/>
      <c r="G2353" t="inlineStr">
        <is>
          <t>no aplica (precio mayorista)</t>
        </is>
      </c>
      <c r="J2353" t="inlineStr">
        <is>
          <t>2026-06-06</t>
        </is>
      </c>
      <c r="K2353" t="inlineStr">
        <is>
          <t>MIBGAS_Data_2026.xlsx</t>
        </is>
      </c>
    </row>
    <row r="2354">
      <c r="A2354" s="53" t="n">
        <v>46180</v>
      </c>
      <c r="B2354" t="inlineStr">
        <is>
          <t>2026-06-07</t>
        </is>
      </c>
      <c r="C2354" s="45" t="n">
        <v>48.05</v>
      </c>
      <c r="D2354" t="inlineStr">
        <is>
          <t>€/MWh</t>
        </is>
      </c>
      <c r="E2354" s="54" t="n">
        <v>0.04805</v>
      </c>
      <c r="F2354" s="54" t="n"/>
      <c r="G2354" t="inlineStr">
        <is>
          <t>no aplica (precio mayorista)</t>
        </is>
      </c>
      <c r="J2354" t="inlineStr">
        <is>
          <t>2026-06-07</t>
        </is>
      </c>
      <c r="K2354" t="inlineStr">
        <is>
          <t>MIBGAS_Data_2026.xlsx</t>
        </is>
      </c>
    </row>
    <row r="2355">
      <c r="A2355" s="53" t="n">
        <v>46181</v>
      </c>
      <c r="B2355" t="inlineStr">
        <is>
          <t>2026-06-08</t>
        </is>
      </c>
      <c r="C2355" s="45" t="n">
        <v>48.61</v>
      </c>
      <c r="D2355" t="inlineStr">
        <is>
          <t>€/MWh</t>
        </is>
      </c>
      <c r="E2355" s="54" t="n">
        <v>0.04861</v>
      </c>
      <c r="F2355" s="54" t="n"/>
      <c r="G2355" t="inlineStr">
        <is>
          <t>no aplica (precio mayorista)</t>
        </is>
      </c>
      <c r="J2355" t="inlineStr">
        <is>
          <t>2026-06-08</t>
        </is>
      </c>
      <c r="K2355" t="inlineStr">
        <is>
          <t>MIBGAS_Data_2026.xlsx</t>
        </is>
      </c>
    </row>
    <row r="2356">
      <c r="A2356" s="53" t="n">
        <v>46182</v>
      </c>
      <c r="B2356" t="inlineStr">
        <is>
          <t>2026-06-09</t>
        </is>
      </c>
      <c r="C2356" s="45" t="n">
        <v>49.4</v>
      </c>
      <c r="D2356" t="inlineStr">
        <is>
          <t>€/MWh</t>
        </is>
      </c>
      <c r="E2356" s="54" t="n">
        <v>0.0494</v>
      </c>
      <c r="F2356" s="54" t="n"/>
      <c r="G2356" t="inlineStr">
        <is>
          <t>no aplica (precio mayorista)</t>
        </is>
      </c>
      <c r="J2356" t="inlineStr">
        <is>
          <t>2026-06-09</t>
        </is>
      </c>
      <c r="K2356" t="inlineStr">
        <is>
          <t>MIBGAS_Data_2026.xlsx</t>
        </is>
      </c>
    </row>
    <row r="2357">
      <c r="A2357" s="53" t="n">
        <v>46183</v>
      </c>
      <c r="B2357" t="inlineStr">
        <is>
          <t>2026-06-10</t>
        </is>
      </c>
      <c r="C2357" s="45" t="n">
        <v>48.4</v>
      </c>
      <c r="D2357" t="inlineStr">
        <is>
          <t>€/MWh</t>
        </is>
      </c>
      <c r="E2357" s="54" t="n">
        <v>0.0484</v>
      </c>
      <c r="F2357" s="54" t="n"/>
      <c r="G2357" t="inlineStr">
        <is>
          <t>no aplica (precio mayorista)</t>
        </is>
      </c>
      <c r="J2357" t="inlineStr">
        <is>
          <t>2026-06-10</t>
        </is>
      </c>
      <c r="K2357" t="inlineStr">
        <is>
          <t>MIBGAS_Data_2026.xlsx</t>
        </is>
      </c>
    </row>
    <row r="2358">
      <c r="A2358" s="53" t="n">
        <v>46184</v>
      </c>
      <c r="B2358" t="inlineStr">
        <is>
          <t>2026-06-11</t>
        </is>
      </c>
      <c r="C2358" s="45" t="n">
        <v>49.03</v>
      </c>
      <c r="D2358" t="inlineStr">
        <is>
          <t>€/MWh</t>
        </is>
      </c>
      <c r="E2358" s="54" t="n">
        <v>0.04903</v>
      </c>
      <c r="F2358" s="54" t="n"/>
      <c r="G2358" t="inlineStr">
        <is>
          <t>no aplica (precio mayorista)</t>
        </is>
      </c>
      <c r="J2358" t="inlineStr">
        <is>
          <t>2026-06-11</t>
        </is>
      </c>
      <c r="K2358" t="inlineStr">
        <is>
          <t>MIBGAS_Data_2026.xlsx</t>
        </is>
      </c>
    </row>
    <row r="2359">
      <c r="A2359" s="53" t="n">
        <v>46185</v>
      </c>
      <c r="B2359" t="inlineStr">
        <is>
          <t>2026-06-12</t>
        </is>
      </c>
      <c r="C2359" s="45" t="n">
        <v>48.43</v>
      </c>
      <c r="D2359" t="inlineStr">
        <is>
          <t>€/MWh</t>
        </is>
      </c>
      <c r="E2359" s="54" t="n">
        <v>0.04843</v>
      </c>
      <c r="F2359" s="54" t="n"/>
      <c r="G2359" t="inlineStr">
        <is>
          <t>no aplica (precio mayorista)</t>
        </is>
      </c>
      <c r="J2359" t="inlineStr">
        <is>
          <t>2026-06-12</t>
        </is>
      </c>
      <c r="K2359" t="inlineStr">
        <is>
          <t>MIBGAS_Data_2026.xlsx</t>
        </is>
      </c>
    </row>
    <row r="2360">
      <c r="A2360" s="53" t="n">
        <v>46186</v>
      </c>
      <c r="B2360" t="inlineStr">
        <is>
          <t>2026-06-13</t>
        </is>
      </c>
      <c r="C2360" s="45" t="n">
        <v>45.98</v>
      </c>
      <c r="D2360" t="inlineStr">
        <is>
          <t>€/MWh</t>
        </is>
      </c>
      <c r="E2360" s="54" t="n">
        <v>0.04598</v>
      </c>
      <c r="F2360" s="54" t="n"/>
      <c r="G2360" t="inlineStr">
        <is>
          <t>no aplica (precio mayorista)</t>
        </is>
      </c>
      <c r="J2360" t="inlineStr">
        <is>
          <t>2026-06-13</t>
        </is>
      </c>
      <c r="K2360" t="inlineStr">
        <is>
          <t>MIBGAS_Data_2026.xlsx</t>
        </is>
      </c>
    </row>
    <row r="2361">
      <c r="A2361" s="53" t="n">
        <v>46187</v>
      </c>
      <c r="B2361" t="inlineStr">
        <is>
          <t>2026-06-14</t>
        </is>
      </c>
      <c r="C2361" s="45" t="n">
        <v>46.1</v>
      </c>
      <c r="D2361" t="inlineStr">
        <is>
          <t>€/MWh</t>
        </is>
      </c>
      <c r="E2361" s="54" t="n">
        <v>0.0461</v>
      </c>
      <c r="F2361" s="54" t="n"/>
      <c r="G2361" t="inlineStr">
        <is>
          <t>no aplica (precio mayorista)</t>
        </is>
      </c>
      <c r="J2361" t="inlineStr">
        <is>
          <t>2026-06-14</t>
        </is>
      </c>
      <c r="K2361" t="inlineStr">
        <is>
          <t>MIBGAS_Data_2026.xlsx</t>
        </is>
      </c>
    </row>
    <row r="2362">
      <c r="A2362" s="53" t="n">
        <v>46188</v>
      </c>
      <c r="B2362" t="inlineStr">
        <is>
          <t>2026-06-15</t>
        </is>
      </c>
      <c r="C2362" s="45" t="n">
        <v>45.96</v>
      </c>
      <c r="D2362" t="inlineStr">
        <is>
          <t>€/MWh</t>
        </is>
      </c>
      <c r="E2362" s="54" t="n">
        <v>0.04596</v>
      </c>
      <c r="F2362" s="54" t="n"/>
      <c r="G2362" t="inlineStr">
        <is>
          <t>no aplica (precio mayorista)</t>
        </is>
      </c>
      <c r="J2362" t="inlineStr">
        <is>
          <t>2026-06-15</t>
        </is>
      </c>
      <c r="K2362" t="inlineStr">
        <is>
          <t>MIBGAS_Data_2026.xlsx</t>
        </is>
      </c>
    </row>
    <row r="2363">
      <c r="A2363" s="53" t="n">
        <v>46189</v>
      </c>
      <c r="B2363" t="inlineStr">
        <is>
          <t>2026-06-16</t>
        </is>
      </c>
      <c r="C2363" s="45" t="n">
        <v>43.19</v>
      </c>
      <c r="D2363" t="inlineStr">
        <is>
          <t>€/MWh</t>
        </is>
      </c>
      <c r="E2363" s="54" t="n">
        <v>0.04319</v>
      </c>
      <c r="F2363" s="54" t="n"/>
      <c r="G2363" t="inlineStr">
        <is>
          <t>no aplica (precio mayorista)</t>
        </is>
      </c>
      <c r="J2363" t="inlineStr">
        <is>
          <t>2026-06-16</t>
        </is>
      </c>
      <c r="K2363" t="inlineStr">
        <is>
          <t>MIBGAS_Data_2026.xlsx</t>
        </is>
      </c>
    </row>
    <row r="2364">
      <c r="A2364" s="53" t="n">
        <v>46190</v>
      </c>
      <c r="B2364" t="inlineStr">
        <is>
          <t>2026-06-17</t>
        </is>
      </c>
      <c r="C2364" s="45" t="n">
        <v>42.34</v>
      </c>
      <c r="D2364" t="inlineStr">
        <is>
          <t>€/MWh</t>
        </is>
      </c>
      <c r="E2364" s="54" t="n">
        <v>0.04234</v>
      </c>
      <c r="F2364" s="54" t="n"/>
      <c r="G2364" t="inlineStr">
        <is>
          <t>no aplica (precio mayorista)</t>
        </is>
      </c>
      <c r="J2364" t="inlineStr">
        <is>
          <t>2026-06-17</t>
        </is>
      </c>
      <c r="K2364" t="inlineStr">
        <is>
          <t>MIBGAS_Data_2026.xlsx</t>
        </is>
      </c>
    </row>
    <row r="2365">
      <c r="A2365" s="53" t="n">
        <v>46191</v>
      </c>
      <c r="B2365" t="inlineStr">
        <is>
          <t>2026-06-18</t>
        </is>
      </c>
      <c r="C2365" s="45" t="n">
        <v>41.62</v>
      </c>
      <c r="D2365" t="inlineStr">
        <is>
          <t>€/MWh</t>
        </is>
      </c>
      <c r="E2365" s="54" t="n">
        <v>0.04162</v>
      </c>
      <c r="F2365" s="54" t="n"/>
      <c r="G2365" t="inlineStr">
        <is>
          <t>no aplica (precio mayorista)</t>
        </is>
      </c>
      <c r="J2365" t="inlineStr">
        <is>
          <t>2026-06-18</t>
        </is>
      </c>
      <c r="K2365" t="inlineStr">
        <is>
          <t>MIBGAS_Data_2026.xlsx</t>
        </is>
      </c>
    </row>
    <row r="2366">
      <c r="A2366" s="53" t="n">
        <v>46192</v>
      </c>
      <c r="B2366" t="inlineStr">
        <is>
          <t>2026-06-19</t>
        </is>
      </c>
      <c r="C2366" s="45" t="n">
        <v>41.39</v>
      </c>
      <c r="D2366" t="inlineStr">
        <is>
          <t>€/MWh</t>
        </is>
      </c>
      <c r="E2366" s="54" t="n">
        <v>0.04139</v>
      </c>
      <c r="F2366" s="54" t="n"/>
      <c r="G2366" t="inlineStr">
        <is>
          <t>no aplica (precio mayorista)</t>
        </is>
      </c>
      <c r="J2366" t="inlineStr">
        <is>
          <t>2026-06-19</t>
        </is>
      </c>
      <c r="K2366" t="inlineStr">
        <is>
          <t>MIBGAS_Data_2026.xlsx</t>
        </is>
      </c>
    </row>
    <row r="2367">
      <c r="A2367" s="53" t="n">
        <v>46193</v>
      </c>
      <c r="B2367" t="inlineStr">
        <is>
          <t>2026-06-20</t>
        </is>
      </c>
      <c r="C2367" s="45" t="n">
        <v>41.92</v>
      </c>
      <c r="D2367" t="inlineStr">
        <is>
          <t>€/MWh</t>
        </is>
      </c>
      <c r="E2367" s="54" t="n">
        <v>0.04192</v>
      </c>
      <c r="F2367" s="54" t="n"/>
      <c r="G2367" t="inlineStr">
        <is>
          <t>no aplica (precio mayorista)</t>
        </is>
      </c>
      <c r="J2367" t="inlineStr">
        <is>
          <t>2026-06-20</t>
        </is>
      </c>
      <c r="K2367" t="inlineStr">
        <is>
          <t>MIBGAS_Data_2026.xlsx</t>
        </is>
      </c>
    </row>
    <row r="2368">
      <c r="A2368" s="53" t="n">
        <v>46194</v>
      </c>
      <c r="B2368" t="inlineStr">
        <is>
          <t>2026-06-21</t>
        </is>
      </c>
      <c r="C2368" s="45" t="n">
        <v>42.21</v>
      </c>
      <c r="D2368" t="inlineStr">
        <is>
          <t>€/MWh</t>
        </is>
      </c>
      <c r="E2368" s="54" t="n">
        <v>0.04221</v>
      </c>
      <c r="F2368" s="54" t="n"/>
      <c r="G2368" t="inlineStr">
        <is>
          <t>no aplica (precio mayorista)</t>
        </is>
      </c>
      <c r="J2368" t="inlineStr">
        <is>
          <t>2026-06-21</t>
        </is>
      </c>
      <c r="K2368" t="inlineStr">
        <is>
          <t>MIBGAS_Data_2026.xlsx</t>
        </is>
      </c>
    </row>
    <row r="2369">
      <c r="A2369" s="53" t="n">
        <v>46195</v>
      </c>
      <c r="B2369" t="inlineStr">
        <is>
          <t>2026-06-22</t>
        </is>
      </c>
      <c r="C2369" s="45" t="n">
        <v>42.72</v>
      </c>
      <c r="D2369" t="inlineStr">
        <is>
          <t>€/MWh</t>
        </is>
      </c>
      <c r="E2369" s="54" t="n">
        <v>0.04272</v>
      </c>
      <c r="F2369" s="54" t="n"/>
      <c r="G2369" t="inlineStr">
        <is>
          <t>no aplica (precio mayorista)</t>
        </is>
      </c>
      <c r="J2369" t="inlineStr">
        <is>
          <t>2026-06-22</t>
        </is>
      </c>
      <c r="K2369" t="inlineStr">
        <is>
          <t>MIBGAS_Data_2026.xlsx</t>
        </is>
      </c>
    </row>
    <row r="2370">
      <c r="A2370" s="53" t="n">
        <v>46196</v>
      </c>
      <c r="B2370" t="inlineStr">
        <is>
          <t>2026-06-23</t>
        </is>
      </c>
      <c r="C2370" s="45" t="n">
        <v>42.67</v>
      </c>
      <c r="D2370" t="inlineStr">
        <is>
          <t>€/MWh</t>
        </is>
      </c>
      <c r="E2370" s="54" t="n">
        <v>0.04267</v>
      </c>
      <c r="F2370" s="54" t="n"/>
      <c r="G2370" t="inlineStr">
        <is>
          <t>no aplica (precio mayorista)</t>
        </is>
      </c>
      <c r="J2370" t="inlineStr">
        <is>
          <t>2026-06-23</t>
        </is>
      </c>
      <c r="K2370" t="inlineStr">
        <is>
          <t>MIBGAS_Data_2026.xlsx</t>
        </is>
      </c>
    </row>
    <row r="2371">
      <c r="A2371" s="53" t="n">
        <v>46197</v>
      </c>
      <c r="B2371" t="inlineStr">
        <is>
          <t>2026-06-24</t>
        </is>
      </c>
      <c r="C2371" s="45" t="n">
        <v>41.99</v>
      </c>
      <c r="D2371" t="inlineStr">
        <is>
          <t>€/MWh</t>
        </is>
      </c>
      <c r="E2371" s="54" t="n">
        <v>0.04199</v>
      </c>
      <c r="F2371" s="54" t="n"/>
      <c r="G2371" t="inlineStr">
        <is>
          <t>no aplica (precio mayorista)</t>
        </is>
      </c>
      <c r="J2371" t="inlineStr">
        <is>
          <t>2026-06-24</t>
        </is>
      </c>
      <c r="K2371" t="inlineStr">
        <is>
          <t>MIBGAS_Data_2026.xlsx</t>
        </is>
      </c>
    </row>
    <row r="2372">
      <c r="A2372" s="53" t="n">
        <v>46198</v>
      </c>
      <c r="B2372" t="inlineStr">
        <is>
          <t>2026-06-25</t>
        </is>
      </c>
      <c r="C2372" s="45" t="n">
        <v>41.68</v>
      </c>
      <c r="D2372" t="inlineStr">
        <is>
          <t>€/MWh</t>
        </is>
      </c>
      <c r="E2372" s="54" t="n">
        <v>0.04168</v>
      </c>
      <c r="F2372" s="54" t="n"/>
      <c r="G2372" t="inlineStr">
        <is>
          <t>no aplica (precio mayorista)</t>
        </is>
      </c>
      <c r="J2372" t="inlineStr">
        <is>
          <t>2026-06-25</t>
        </is>
      </c>
      <c r="K2372" t="inlineStr">
        <is>
          <t>MIBGAS_Data_2026.xlsx</t>
        </is>
      </c>
    </row>
    <row r="2373">
      <c r="A2373" s="53" t="n">
        <v>46199</v>
      </c>
      <c r="B2373" t="inlineStr">
        <is>
          <t>2026-06-26</t>
        </is>
      </c>
      <c r="C2373" s="45" t="n">
        <v>40.92</v>
      </c>
      <c r="D2373" t="inlineStr">
        <is>
          <t>€/MWh</t>
        </is>
      </c>
      <c r="E2373" s="54" t="n">
        <v>0.04092</v>
      </c>
      <c r="F2373" s="54" t="n"/>
      <c r="G2373" t="inlineStr">
        <is>
          <t>no aplica (precio mayorista)</t>
        </is>
      </c>
      <c r="J2373" t="inlineStr">
        <is>
          <t>2026-06-26</t>
        </is>
      </c>
      <c r="K2373" t="inlineStr">
        <is>
          <t>MIBGAS_Data_2026.xlsx</t>
        </is>
      </c>
    </row>
    <row r="2374">
      <c r="A2374" s="53" t="n">
        <v>46200</v>
      </c>
      <c r="B2374" t="inlineStr">
        <is>
          <t>2026-06-27</t>
        </is>
      </c>
      <c r="C2374" s="45" t="n">
        <v>41.06</v>
      </c>
      <c r="D2374" t="inlineStr">
        <is>
          <t>€/MWh</t>
        </is>
      </c>
      <c r="E2374" s="54" t="n">
        <v>0.04106</v>
      </c>
      <c r="F2374" s="54" t="n"/>
      <c r="G2374" t="inlineStr">
        <is>
          <t>no aplica (precio mayorista)</t>
        </is>
      </c>
      <c r="J2374" t="inlineStr">
        <is>
          <t>2026-06-27</t>
        </is>
      </c>
      <c r="K2374" t="inlineStr">
        <is>
          <t>MIBGAS_Data_2026.xlsx</t>
        </is>
      </c>
    </row>
    <row r="2375">
      <c r="A2375" s="53" t="n">
        <v>46201</v>
      </c>
      <c r="B2375" t="inlineStr">
        <is>
          <t>2026-06-28</t>
        </is>
      </c>
      <c r="C2375" s="45" t="n">
        <v>41.19</v>
      </c>
      <c r="D2375" t="inlineStr">
        <is>
          <t>€/MWh</t>
        </is>
      </c>
      <c r="E2375" s="54" t="n">
        <v>0.04119</v>
      </c>
      <c r="F2375" s="54" t="n"/>
      <c r="G2375" t="inlineStr">
        <is>
          <t>no aplica (precio mayorista)</t>
        </is>
      </c>
      <c r="J2375" t="inlineStr">
        <is>
          <t>2026-06-28</t>
        </is>
      </c>
      <c r="K2375" t="inlineStr">
        <is>
          <t>MIBGAS_Data_2026.xlsx</t>
        </is>
      </c>
    </row>
    <row r="2376">
      <c r="A2376" s="53" t="n">
        <v>46202</v>
      </c>
      <c r="B2376" t="inlineStr">
        <is>
          <t>2026-06-29</t>
        </is>
      </c>
      <c r="C2376" s="45" t="n">
        <v>41.67</v>
      </c>
      <c r="D2376" t="inlineStr">
        <is>
          <t>€/MWh</t>
        </is>
      </c>
      <c r="E2376" s="54" t="n">
        <v>0.04167</v>
      </c>
      <c r="F2376" s="54" t="n"/>
      <c r="G2376" t="inlineStr">
        <is>
          <t>no aplica (precio mayorista)</t>
        </is>
      </c>
      <c r="J2376" t="inlineStr">
        <is>
          <t>2026-06-29</t>
        </is>
      </c>
      <c r="K2376" t="inlineStr">
        <is>
          <t>MIBGAS_Data_2026.xlsx</t>
        </is>
      </c>
    </row>
    <row r="2377">
      <c r="A2377" s="53" t="n">
        <v>46203</v>
      </c>
      <c r="B2377" t="inlineStr">
        <is>
          <t>2026-06-30</t>
        </is>
      </c>
      <c r="C2377" s="45" t="n">
        <v>42.57</v>
      </c>
      <c r="D2377" t="inlineStr">
        <is>
          <t>€/MWh</t>
        </is>
      </c>
      <c r="E2377" s="54" t="n">
        <v>0.04257</v>
      </c>
      <c r="F2377" s="54" t="n"/>
      <c r="G2377" t="inlineStr">
        <is>
          <t>no aplica (precio mayorista)</t>
        </is>
      </c>
      <c r="J2377" t="inlineStr">
        <is>
          <t>2026-06-30</t>
        </is>
      </c>
      <c r="K2377" t="inlineStr">
        <is>
          <t>MIBGAS_Data_2026.xlsx</t>
        </is>
      </c>
    </row>
    <row r="2378">
      <c r="A2378" s="53" t="n">
        <v>46204</v>
      </c>
      <c r="B2378" t="inlineStr">
        <is>
          <t>2026-07-01</t>
        </is>
      </c>
      <c r="C2378" s="45" t="n">
        <v>43.85</v>
      </c>
      <c r="D2378" t="inlineStr">
        <is>
          <t>€/MWh</t>
        </is>
      </c>
      <c r="E2378" s="54" t="n">
        <v>0.04385</v>
      </c>
      <c r="F2378" s="54" t="n"/>
      <c r="G2378" t="inlineStr">
        <is>
          <t>no aplica (precio mayorista)</t>
        </is>
      </c>
      <c r="J2378" t="inlineStr">
        <is>
          <t>2026-07-01</t>
        </is>
      </c>
      <c r="K2378" t="inlineStr">
        <is>
          <t>MIBGAS_Data_2026.xlsx</t>
        </is>
      </c>
    </row>
    <row r="2379">
      <c r="A2379" s="53" t="n">
        <v>46205</v>
      </c>
      <c r="B2379" t="inlineStr">
        <is>
          <t>2026-07-02</t>
        </is>
      </c>
      <c r="C2379" s="45" t="n">
        <v>43.76</v>
      </c>
      <c r="D2379" t="inlineStr">
        <is>
          <t>€/MWh</t>
        </is>
      </c>
      <c r="E2379" s="54" t="n">
        <v>0.04376</v>
      </c>
      <c r="F2379" s="54" t="n"/>
      <c r="G2379" t="inlineStr">
        <is>
          <t>no aplica (precio mayorista)</t>
        </is>
      </c>
      <c r="J2379" t="inlineStr">
        <is>
          <t>2026-07-02</t>
        </is>
      </c>
      <c r="K2379" t="inlineStr">
        <is>
          <t>MIBGAS_Data_2026.xlsx</t>
        </is>
      </c>
    </row>
    <row r="2380">
      <c r="A2380" s="53" t="n">
        <v>46206</v>
      </c>
      <c r="B2380" t="inlineStr">
        <is>
          <t>2026-07-03</t>
        </is>
      </c>
      <c r="C2380" s="45" t="n">
        <v>44.89</v>
      </c>
      <c r="D2380" t="inlineStr">
        <is>
          <t>€/MWh</t>
        </is>
      </c>
      <c r="E2380" s="54" t="n">
        <v>0.04489</v>
      </c>
      <c r="F2380" s="54" t="n"/>
      <c r="G2380" t="inlineStr">
        <is>
          <t>no aplica (precio mayorista)</t>
        </is>
      </c>
      <c r="J2380" t="inlineStr">
        <is>
          <t>2026-07-03</t>
        </is>
      </c>
      <c r="K2380" t="inlineStr">
        <is>
          <t>MIBGAS_Data_2026.xlsx</t>
        </is>
      </c>
    </row>
    <row r="2381">
      <c r="A2381" s="53" t="n">
        <v>46207</v>
      </c>
      <c r="B2381" t="inlineStr">
        <is>
          <t>2026-07-04</t>
        </is>
      </c>
      <c r="C2381" s="45" t="n">
        <v>45.62</v>
      </c>
      <c r="D2381" t="inlineStr">
        <is>
          <t>€/MWh</t>
        </is>
      </c>
      <c r="E2381" s="54" t="n">
        <v>0.04562</v>
      </c>
      <c r="F2381" s="54" t="n"/>
      <c r="G2381" t="inlineStr">
        <is>
          <t>no aplica (precio mayorista)</t>
        </is>
      </c>
      <c r="J2381" t="inlineStr">
        <is>
          <t>2026-07-04</t>
        </is>
      </c>
      <c r="K2381" t="inlineStr">
        <is>
          <t>MIBGAS_Data_2026.xlsx</t>
        </is>
      </c>
    </row>
    <row r="2382">
      <c r="A2382" s="53" t="n">
        <v>46208</v>
      </c>
      <c r="B2382" t="inlineStr">
        <is>
          <t>2026-07-05</t>
        </is>
      </c>
      <c r="C2382" s="45" t="n">
        <v>45.63</v>
      </c>
      <c r="D2382" t="inlineStr">
        <is>
          <t>€/MWh</t>
        </is>
      </c>
      <c r="E2382" s="54" t="n">
        <v>0.04563</v>
      </c>
      <c r="F2382" s="54" t="n"/>
      <c r="G2382" t="inlineStr">
        <is>
          <t>no aplica (precio mayorista)</t>
        </is>
      </c>
      <c r="J2382" t="inlineStr">
        <is>
          <t>2026-07-05</t>
        </is>
      </c>
      <c r="K2382" t="inlineStr">
        <is>
          <t>MIBGAS_Data_2026.xlsx</t>
        </is>
      </c>
    </row>
    <row r="2383">
      <c r="A2383" s="53" t="n">
        <v>46209</v>
      </c>
      <c r="B2383" t="inlineStr">
        <is>
          <t>2026-07-06</t>
        </is>
      </c>
      <c r="C2383" s="45" t="n">
        <v>45.58</v>
      </c>
      <c r="D2383" t="inlineStr">
        <is>
          <t>€/MWh</t>
        </is>
      </c>
      <c r="E2383" s="54" t="n">
        <v>0.04558</v>
      </c>
      <c r="F2383" s="54" t="n"/>
      <c r="G2383" t="inlineStr">
        <is>
          <t>no aplica (precio mayorista)</t>
        </is>
      </c>
      <c r="J2383" t="inlineStr">
        <is>
          <t>2026-07-06</t>
        </is>
      </c>
      <c r="K2383" t="inlineStr">
        <is>
          <t>MIBGAS_Data_2026.xlsx</t>
        </is>
      </c>
    </row>
    <row r="2384">
      <c r="A2384" s="53" t="n">
        <v>46210</v>
      </c>
      <c r="B2384" t="inlineStr">
        <is>
          <t>2026-07-07</t>
        </is>
      </c>
      <c r="C2384" s="45" t="n">
        <v>46.33</v>
      </c>
      <c r="D2384" t="inlineStr">
        <is>
          <t>€/MWh</t>
        </is>
      </c>
      <c r="E2384" s="54" t="n">
        <v>0.04633</v>
      </c>
      <c r="F2384" s="54" t="n"/>
      <c r="G2384" t="inlineStr">
        <is>
          <t>no aplica (precio mayorista)</t>
        </is>
      </c>
      <c r="J2384" t="inlineStr">
        <is>
          <t>2026-07-07</t>
        </is>
      </c>
      <c r="K2384" t="inlineStr">
        <is>
          <t>MIBGAS_Data_2026.xlsx</t>
        </is>
      </c>
    </row>
    <row r="2385">
      <c r="A2385" s="53" t="n">
        <v>46211</v>
      </c>
      <c r="B2385" t="inlineStr">
        <is>
          <t>2026-07-08</t>
        </is>
      </c>
      <c r="C2385" s="45" t="n">
        <v>48.11</v>
      </c>
      <c r="D2385" t="inlineStr">
        <is>
          <t>€/MWh</t>
        </is>
      </c>
      <c r="E2385" s="54" t="n">
        <v>0.04811</v>
      </c>
      <c r="F2385" s="54" t="n"/>
      <c r="G2385" t="inlineStr">
        <is>
          <t>no aplica (precio mayorista)</t>
        </is>
      </c>
      <c r="J2385" t="inlineStr">
        <is>
          <t>2026-07-08</t>
        </is>
      </c>
      <c r="K2385" t="inlineStr">
        <is>
          <t>MIBGAS_Data_2026.xlsx</t>
        </is>
      </c>
    </row>
    <row r="2386">
      <c r="A2386" s="53" t="n">
        <v>46212</v>
      </c>
      <c r="B2386" t="inlineStr">
        <is>
          <t>2026-07-09</t>
        </is>
      </c>
      <c r="C2386" s="45" t="n">
        <v>50.53</v>
      </c>
      <c r="D2386" t="inlineStr">
        <is>
          <t>€/MWh</t>
        </is>
      </c>
      <c r="E2386" s="54" t="n">
        <v>0.05053</v>
      </c>
      <c r="F2386" s="54" t="n"/>
      <c r="G2386" t="inlineStr">
        <is>
          <t>no aplica (precio mayorista)</t>
        </is>
      </c>
      <c r="J2386" t="inlineStr">
        <is>
          <t>2026-07-09</t>
        </is>
      </c>
      <c r="K2386" t="inlineStr">
        <is>
          <t>MIBGAS_Data_2026.xlsx</t>
        </is>
      </c>
    </row>
    <row r="2387">
      <c r="A2387" s="53" t="n">
        <v>46213</v>
      </c>
      <c r="B2387" t="inlineStr">
        <is>
          <t>2026-07-10</t>
        </is>
      </c>
      <c r="C2387" s="45" t="n">
        <v>50.29</v>
      </c>
      <c r="D2387" t="inlineStr">
        <is>
          <t>€/MWh</t>
        </is>
      </c>
      <c r="E2387" s="54" t="n">
        <v>0.05029</v>
      </c>
      <c r="F2387" s="54" t="n"/>
      <c r="G2387" t="inlineStr">
        <is>
          <t>no aplica (precio mayorista)</t>
        </is>
      </c>
      <c r="J2387" t="inlineStr">
        <is>
          <t>2026-07-10</t>
        </is>
      </c>
      <c r="K2387" t="inlineStr">
        <is>
          <t>MIBGAS_Data_2026.xlsx</t>
        </is>
      </c>
    </row>
    <row r="2388">
      <c r="A2388" s="53" t="n">
        <v>46214</v>
      </c>
      <c r="B2388" t="inlineStr">
        <is>
          <t>2026-07-11</t>
        </is>
      </c>
      <c r="C2388" s="45" t="n">
        <v>49.76</v>
      </c>
      <c r="D2388" t="inlineStr">
        <is>
          <t>€/MWh</t>
        </is>
      </c>
      <c r="E2388" s="54" t="n">
        <v>0.04976</v>
      </c>
      <c r="F2388" s="54" t="n"/>
      <c r="G2388" t="inlineStr">
        <is>
          <t>no aplica (precio mayorista)</t>
        </is>
      </c>
      <c r="J2388" t="inlineStr">
        <is>
          <t>2026-07-11</t>
        </is>
      </c>
      <c r="K2388" t="inlineStr">
        <is>
          <t>MIBGAS_Data_2026.xlsx</t>
        </is>
      </c>
    </row>
    <row r="2389">
      <c r="A2389" s="53" t="n">
        <v>46215</v>
      </c>
      <c r="B2389" t="inlineStr">
        <is>
          <t>2026-07-12</t>
        </is>
      </c>
      <c r="C2389" s="45" t="n">
        <v>49.93</v>
      </c>
      <c r="D2389" t="inlineStr">
        <is>
          <t>€/MWh</t>
        </is>
      </c>
      <c r="E2389" s="54" t="n">
        <v>0.04993</v>
      </c>
      <c r="F2389" s="54" t="n"/>
      <c r="G2389" t="inlineStr">
        <is>
          <t>no aplica (precio mayorista)</t>
        </is>
      </c>
      <c r="J2389" t="inlineStr">
        <is>
          <t>2026-07-12</t>
        </is>
      </c>
      <c r="K2389" t="inlineStr">
        <is>
          <t>MIBGAS_Data_2026.xlsx</t>
        </is>
      </c>
    </row>
    <row r="2390">
      <c r="A2390" s="53" t="n">
        <v>46216</v>
      </c>
      <c r="B2390" t="inlineStr">
        <is>
          <t>2026-07-13</t>
        </is>
      </c>
      <c r="C2390" s="45" t="n">
        <v>51.15</v>
      </c>
      <c r="D2390" t="inlineStr">
        <is>
          <t>€/MWh</t>
        </is>
      </c>
      <c r="E2390" s="54" t="n">
        <v>0.05115</v>
      </c>
      <c r="F2390" s="54" t="n"/>
      <c r="G2390" t="inlineStr">
        <is>
          <t>no aplica (precio mayorista)</t>
        </is>
      </c>
      <c r="J2390" t="inlineStr">
        <is>
          <t>2026-07-13</t>
        </is>
      </c>
      <c r="K2390" t="inlineStr">
        <is>
          <t>MIBGAS_Data_2026.xlsx</t>
        </is>
      </c>
    </row>
    <row r="2391">
      <c r="A2391" s="53" t="n">
        <v>46217</v>
      </c>
      <c r="B2391" t="inlineStr">
        <is>
          <t>2026-07-14</t>
        </is>
      </c>
      <c r="C2391" s="45" t="n">
        <v>54.23</v>
      </c>
      <c r="D2391" t="inlineStr">
        <is>
          <t>€/MWh</t>
        </is>
      </c>
      <c r="E2391" s="54" t="n">
        <v>0.05423</v>
      </c>
      <c r="F2391" s="54" t="n"/>
      <c r="G2391" t="inlineStr">
        <is>
          <t>no aplica (precio mayorista)</t>
        </is>
      </c>
      <c r="J2391" t="inlineStr">
        <is>
          <t>2026-07-14</t>
        </is>
      </c>
      <c r="K2391" t="inlineStr">
        <is>
          <t>MIBGAS_Data_2026.xlsx</t>
        </is>
      </c>
    </row>
    <row r="2392">
      <c r="A2392" s="53" t="n">
        <v>46218</v>
      </c>
      <c r="B2392" t="inlineStr">
        <is>
          <t>2026-07-15</t>
        </is>
      </c>
      <c r="C2392" s="45" t="n">
        <v>55.6</v>
      </c>
      <c r="D2392" t="inlineStr">
        <is>
          <t>€/MWh</t>
        </is>
      </c>
      <c r="E2392" s="54" t="n">
        <v>0.0556</v>
      </c>
      <c r="F2392" s="54" t="n"/>
      <c r="G2392" t="inlineStr">
        <is>
          <t>no aplica (precio mayorista)</t>
        </is>
      </c>
      <c r="J2392" t="inlineStr">
        <is>
          <t>2026-07-15</t>
        </is>
      </c>
      <c r="K2392" t="inlineStr">
        <is>
          <t>MIBGAS_Data_2026.xlsx</t>
        </is>
      </c>
    </row>
    <row r="2393">
      <c r="A2393" s="53" t="n">
        <v>46219</v>
      </c>
      <c r="B2393" t="inlineStr">
        <is>
          <t>2026-07-16</t>
        </is>
      </c>
      <c r="C2393" s="45" t="n">
        <v>57.16</v>
      </c>
      <c r="D2393" t="inlineStr">
        <is>
          <t>€/MWh</t>
        </is>
      </c>
      <c r="E2393" s="54" t="n">
        <v>0.05716</v>
      </c>
      <c r="F2393" s="54" t="n"/>
      <c r="G2393" t="inlineStr">
        <is>
          <t>no aplica (precio mayorista)</t>
        </is>
      </c>
      <c r="J2393" t="inlineStr">
        <is>
          <t>2026-07-16</t>
        </is>
      </c>
      <c r="K2393" t="inlineStr">
        <is>
          <t>MIBGAS_Data_2026.xlsx</t>
        </is>
      </c>
    </row>
    <row r="2394">
      <c r="A2394" s="53" t="n">
        <v>46220</v>
      </c>
      <c r="B2394" t="inlineStr">
        <is>
          <t>2026-07-17</t>
        </is>
      </c>
      <c r="C2394" s="45" t="n">
        <v>57.82</v>
      </c>
      <c r="D2394" t="inlineStr">
        <is>
          <t>€/MWh</t>
        </is>
      </c>
      <c r="E2394" s="54" t="n">
        <v>0.05782</v>
      </c>
      <c r="F2394" s="54" t="n"/>
      <c r="G2394" t="inlineStr">
        <is>
          <t>no aplica (precio mayorista)</t>
        </is>
      </c>
      <c r="J2394" t="inlineStr">
        <is>
          <t>2026-07-17</t>
        </is>
      </c>
      <c r="K2394" t="inlineStr">
        <is>
          <t>MIBGAS_Data_2026.xlsx</t>
        </is>
      </c>
    </row>
    <row r="2395">
      <c r="A2395" s="53" t="n">
        <v>46221</v>
      </c>
      <c r="B2395" t="inlineStr">
        <is>
          <t>2026-07-18</t>
        </is>
      </c>
      <c r="C2395" s="45" t="n">
        <v>59.4</v>
      </c>
      <c r="D2395" t="inlineStr">
        <is>
          <t>€/MWh</t>
        </is>
      </c>
      <c r="E2395" s="54" t="n">
        <v>0.0594</v>
      </c>
      <c r="F2395" s="54" t="n"/>
      <c r="G2395" t="inlineStr">
        <is>
          <t>no aplica (precio mayorista)</t>
        </is>
      </c>
      <c r="J2395" t="inlineStr">
        <is>
          <t>2026-07-18</t>
        </is>
      </c>
      <c r="K2395" t="inlineStr">
        <is>
          <t>MIBGAS_Data_2026.xlsx</t>
        </is>
      </c>
    </row>
    <row r="2396">
      <c r="A2396" s="53" t="n">
        <v>46222</v>
      </c>
      <c r="B2396" t="inlineStr">
        <is>
          <t>2026-07-19</t>
        </is>
      </c>
      <c r="C2396" s="45" t="n">
        <v>59.75</v>
      </c>
      <c r="D2396" t="inlineStr">
        <is>
          <t>€/MWh</t>
        </is>
      </c>
      <c r="E2396" s="54" t="n">
        <v>0.05975</v>
      </c>
      <c r="F2396" s="54" t="n"/>
      <c r="G2396" t="inlineStr">
        <is>
          <t>no aplica (precio mayorista)</t>
        </is>
      </c>
      <c r="J2396" t="inlineStr">
        <is>
          <t>2026-07-19</t>
        </is>
      </c>
      <c r="K2396" t="inlineStr">
        <is>
          <t>MIBGAS_Data_2026.xlsx</t>
        </is>
      </c>
    </row>
    <row r="2397">
      <c r="A2397" s="53" t="n">
        <v>46223</v>
      </c>
      <c r="B2397" t="inlineStr">
        <is>
          <t>2026-07-20</t>
        </is>
      </c>
      <c r="C2397" s="45" t="n">
        <v>60.38</v>
      </c>
      <c r="D2397" t="inlineStr">
        <is>
          <t>€/MWh</t>
        </is>
      </c>
      <c r="E2397" s="54" t="n">
        <v>0.06038</v>
      </c>
      <c r="F2397" s="54" t="n"/>
      <c r="G2397" t="inlineStr">
        <is>
          <t>no aplica (precio mayorista)</t>
        </is>
      </c>
      <c r="J2397" t="inlineStr">
        <is>
          <t>2026-07-20</t>
        </is>
      </c>
      <c r="K2397" t="inlineStr">
        <is>
          <t>MIBGAS_Data_2026.xlsx</t>
        </is>
      </c>
    </row>
    <row r="2398">
      <c r="A2398" s="53" t="n">
        <v>46224</v>
      </c>
      <c r="B2398" t="inlineStr">
        <is>
          <t>2026-07-21</t>
        </is>
      </c>
      <c r="C2398" s="45" t="n">
        <v>61.6</v>
      </c>
      <c r="D2398" t="inlineStr">
        <is>
          <t>€/MWh</t>
        </is>
      </c>
      <c r="E2398" s="54" t="n">
        <v>0.0616</v>
      </c>
      <c r="F2398" s="54" t="n"/>
      <c r="G2398" t="inlineStr">
        <is>
          <t>no aplica (precio mayorista)</t>
        </is>
      </c>
      <c r="J2398" t="inlineStr">
        <is>
          <t>2026-07-21</t>
        </is>
      </c>
      <c r="K2398" t="inlineStr">
        <is>
          <t>MIBGAS_Data_2026.xlsx</t>
        </is>
      </c>
    </row>
    <row r="2399">
      <c r="A2399" s="53" t="n">
        <v>46225</v>
      </c>
      <c r="B2399" t="inlineStr">
        <is>
          <t>2026-07-22</t>
        </is>
      </c>
      <c r="C2399" s="45" t="n">
        <v>62.77</v>
      </c>
      <c r="D2399" t="inlineStr">
        <is>
          <t>€/MWh</t>
        </is>
      </c>
      <c r="E2399" s="54" t="n">
        <v>0.06277000000000001</v>
      </c>
      <c r="F2399" s="54" t="n"/>
      <c r="G2399" t="inlineStr">
        <is>
          <t>no aplica (precio mayorista)</t>
        </is>
      </c>
      <c r="J2399" t="inlineStr">
        <is>
          <t>2026-07-22</t>
        </is>
      </c>
      <c r="K2399" t="inlineStr">
        <is>
          <t>MIBGAS_Data_2026.xlsx</t>
        </is>
      </c>
    </row>
    <row r="2400">
      <c r="A2400" s="53" t="n">
        <v>46226</v>
      </c>
      <c r="B2400" t="inlineStr">
        <is>
          <t>2026-07-23</t>
        </is>
      </c>
      <c r="C2400" s="45" t="n">
        <v>65.03</v>
      </c>
      <c r="D2400" t="inlineStr">
        <is>
          <t>€/MWh</t>
        </is>
      </c>
      <c r="E2400" s="54" t="n">
        <v>0.06503</v>
      </c>
      <c r="F2400" s="54" t="n"/>
      <c r="G2400" t="inlineStr">
        <is>
          <t>no aplica (precio mayorista)</t>
        </is>
      </c>
      <c r="J2400" t="inlineStr">
        <is>
          <t>2026-07-23</t>
        </is>
      </c>
      <c r="K2400" t="inlineStr">
        <is>
          <t>MIBGAS_Data_2026.xlsx</t>
        </is>
      </c>
    </row>
    <row r="2401">
      <c r="A2401" s="53" t="n">
        <v>46227</v>
      </c>
      <c r="B2401" t="inlineStr">
        <is>
          <t>2026-07-24</t>
        </is>
      </c>
      <c r="C2401" s="45" t="n">
        <v>64.59</v>
      </c>
      <c r="D2401" t="inlineStr">
        <is>
          <t>€/MWh</t>
        </is>
      </c>
      <c r="E2401" s="54" t="n">
        <v>0.06458999999999999</v>
      </c>
      <c r="F2401" s="54" t="n"/>
      <c r="G2401" t="inlineStr">
        <is>
          <t>no aplica (precio mayorista)</t>
        </is>
      </c>
      <c r="J2401" t="inlineStr">
        <is>
          <t>2026-07-24</t>
        </is>
      </c>
      <c r="K2401" t="inlineStr">
        <is>
          <t>MIBGAS_Data_2026.xlsx</t>
        </is>
      </c>
    </row>
    <row r="2402">
      <c r="A2402" s="53" t="n">
        <v>46228</v>
      </c>
      <c r="B2402" t="inlineStr">
        <is>
          <t>2026-07-25</t>
        </is>
      </c>
      <c r="C2402" s="45" t="n">
        <v>64.56</v>
      </c>
      <c r="D2402" t="inlineStr">
        <is>
          <t>€/MWh</t>
        </is>
      </c>
      <c r="E2402" s="54" t="n">
        <v>0.06456000000000001</v>
      </c>
      <c r="F2402" s="54" t="n"/>
      <c r="G2402" t="inlineStr">
        <is>
          <t>no aplica (precio mayorista)</t>
        </is>
      </c>
      <c r="J2402" t="inlineStr">
        <is>
          <t>2026-07-25</t>
        </is>
      </c>
      <c r="K2402" t="inlineStr">
        <is>
          <t>MIBGAS_Data_2026.xlsx</t>
        </is>
      </c>
    </row>
    <row r="2403">
      <c r="A2403" s="53" t="n">
        <v>46229</v>
      </c>
      <c r="B2403" t="inlineStr">
        <is>
          <t>2026-07-26</t>
        </is>
      </c>
      <c r="C2403" s="45" t="n">
        <v>64.36</v>
      </c>
      <c r="D2403" t="inlineStr">
        <is>
          <t>€/MWh</t>
        </is>
      </c>
      <c r="E2403" s="54" t="n">
        <v>0.06436</v>
      </c>
      <c r="F2403" s="54" t="n"/>
      <c r="G2403" t="inlineStr">
        <is>
          <t>no aplica (precio mayorista)</t>
        </is>
      </c>
      <c r="J2403" t="inlineStr">
        <is>
          <t>2026-07-26</t>
        </is>
      </c>
      <c r="K2403" t="inlineStr">
        <is>
          <t>MIBGAS_Data_2026.xlsx</t>
        </is>
      </c>
    </row>
    <row r="2404">
      <c r="A2404" s="53" t="n">
        <v>46230</v>
      </c>
      <c r="B2404" t="inlineStr">
        <is>
          <t>2026-07-27</t>
        </is>
      </c>
      <c r="C2404" s="45" t="n">
        <v>63.14</v>
      </c>
      <c r="D2404" t="inlineStr">
        <is>
          <t>€/MWh</t>
        </is>
      </c>
      <c r="E2404" s="54" t="n">
        <v>0.06314</v>
      </c>
      <c r="F2404" s="54" t="n"/>
      <c r="G2404" t="inlineStr">
        <is>
          <t>no aplica (precio mayorista)</t>
        </is>
      </c>
      <c r="J2404" t="inlineStr">
        <is>
          <t>2026-07-27</t>
        </is>
      </c>
      <c r="K2404" t="inlineStr">
        <is>
          <t>MIBGAS_Data_2026.xlsx</t>
        </is>
      </c>
    </row>
    <row r="2405">
      <c r="A2405" s="53" t="n">
        <v>46231</v>
      </c>
      <c r="B2405" t="inlineStr">
        <is>
          <t>2026-07-28</t>
        </is>
      </c>
      <c r="C2405" s="45" t="n">
        <v>59.66</v>
      </c>
      <c r="D2405" t="inlineStr">
        <is>
          <t>€/MWh</t>
        </is>
      </c>
      <c r="E2405" s="54" t="n">
        <v>0.05966</v>
      </c>
      <c r="F2405" s="54" t="n"/>
      <c r="G2405" t="inlineStr">
        <is>
          <t>no aplica (precio mayorista)</t>
        </is>
      </c>
      <c r="J2405" t="inlineStr">
        <is>
          <t>2026-07-28</t>
        </is>
      </c>
      <c r="K2405" t="inlineStr">
        <is>
          <t>MIBGAS_Data_2026.xlsx</t>
        </is>
      </c>
    </row>
    <row r="2406">
      <c r="A2406" s="53" t="n">
        <v>46232</v>
      </c>
      <c r="B2406" t="inlineStr">
        <is>
          <t>2026-07-29</t>
        </is>
      </c>
      <c r="C2406" s="45" t="n">
        <v>59.2</v>
      </c>
      <c r="D2406" t="inlineStr">
        <is>
          <t>€/MWh</t>
        </is>
      </c>
      <c r="E2406" s="54" t="n">
        <v>0.0592</v>
      </c>
      <c r="F2406" s="54" t="n"/>
      <c r="G2406" t="inlineStr">
        <is>
          <t>no aplica (precio mayorista)</t>
        </is>
      </c>
      <c r="J2406" t="inlineStr">
        <is>
          <t>2026-07-29</t>
        </is>
      </c>
      <c r="K2406" t="inlineStr">
        <is>
          <t>MIBGAS_Data_2026.xlsx</t>
        </is>
      </c>
    </row>
    <row r="2407">
      <c r="A2407" s="53" t="n">
        <v>46233</v>
      </c>
      <c r="B2407" t="inlineStr">
        <is>
          <t>2026-07-30</t>
        </is>
      </c>
      <c r="C2407" s="45" t="n">
        <v>60.57</v>
      </c>
      <c r="D2407" t="inlineStr">
        <is>
          <t>€/MWh</t>
        </is>
      </c>
      <c r="E2407" s="54" t="n">
        <v>0.06057</v>
      </c>
      <c r="F2407" s="54" t="n"/>
      <c r="G2407" t="inlineStr">
        <is>
          <t>no aplica (precio mayorista)</t>
        </is>
      </c>
      <c r="J2407" t="inlineStr">
        <is>
          <t>2026-07-30</t>
        </is>
      </c>
      <c r="K2407" t="inlineStr">
        <is>
          <t>MIBGAS_Data_2026.xlsx</t>
        </is>
      </c>
    </row>
    <row r="2408">
      <c r="A2408" s="53" t="n">
        <v>46234</v>
      </c>
      <c r="B2408" t="inlineStr">
        <is>
          <t>2026-07-31</t>
        </is>
      </c>
      <c r="C2408" s="45" t="n">
        <v>59.74</v>
      </c>
      <c r="D2408" t="inlineStr">
        <is>
          <t>€/MWh</t>
        </is>
      </c>
      <c r="E2408" s="54" t="n">
        <v>0.05974</v>
      </c>
      <c r="F2408" s="54" t="n"/>
      <c r="G2408" t="inlineStr">
        <is>
          <t>no aplica (precio mayorista)</t>
        </is>
      </c>
      <c r="J2408" t="inlineStr">
        <is>
          <t>2026-07-31</t>
        </is>
      </c>
      <c r="K2408" t="inlineStr">
        <is>
          <t>MIBGAS_Data_2026.xlsx</t>
        </is>
      </c>
    </row>
    <row r="2409">
      <c r="A2409" s="53" t="n">
        <v>46235</v>
      </c>
      <c r="B2409" t="inlineStr">
        <is>
          <t>2026-08-01</t>
        </is>
      </c>
      <c r="C2409" s="45" t="n">
        <v>59.68</v>
      </c>
      <c r="D2409" t="inlineStr">
        <is>
          <t>€/MWh</t>
        </is>
      </c>
      <c r="E2409" s="54" t="n">
        <v>0.05968</v>
      </c>
      <c r="F2409" s="54" t="n"/>
      <c r="G2409" t="inlineStr">
        <is>
          <t>no aplica (precio mayorista)</t>
        </is>
      </c>
      <c r="J2409" t="inlineStr">
        <is>
          <t>2026-08-01</t>
        </is>
      </c>
      <c r="K2409" t="inlineStr">
        <is>
          <t>MIBGAS_Data_2026.xlsx</t>
        </is>
      </c>
    </row>
    <row r="2410">
      <c r="A2410" s="53" t="n">
        <v>46236</v>
      </c>
      <c r="B2410" t="inlineStr">
        <is>
          <t>2026-08-02</t>
        </is>
      </c>
      <c r="C2410" s="45" t="n">
        <v>59.5</v>
      </c>
      <c r="D2410" t="inlineStr">
        <is>
          <t>€/MWh</t>
        </is>
      </c>
      <c r="E2410" s="54" t="n">
        <v>0.0595</v>
      </c>
      <c r="F2410" s="54" t="n"/>
      <c r="G2410" t="inlineStr">
        <is>
          <t>no aplica (precio mayorista)</t>
        </is>
      </c>
      <c r="J2410" t="inlineStr">
        <is>
          <t>2026-08-02</t>
        </is>
      </c>
      <c r="K2410" t="inlineStr">
        <is>
          <t>MIBGAS_Data_2026.xlsx</t>
        </is>
      </c>
    </row>
    <row r="2411">
      <c r="A2411" s="53" t="n">
        <v>46237</v>
      </c>
      <c r="B2411" t="inlineStr">
        <is>
          <t>2026-08-03</t>
        </is>
      </c>
      <c r="C2411" s="45" t="n">
        <v>59.03</v>
      </c>
      <c r="D2411" t="inlineStr">
        <is>
          <t>€/MWh</t>
        </is>
      </c>
      <c r="E2411" s="54" t="n">
        <v>0.05903</v>
      </c>
      <c r="F2411" s="54" t="n"/>
      <c r="G2411" t="inlineStr">
        <is>
          <t>no aplica (precio mayorista)</t>
        </is>
      </c>
      <c r="J2411" t="inlineStr">
        <is>
          <t>2026-08-03</t>
        </is>
      </c>
      <c r="K2411" t="inlineStr">
        <is>
          <t>MIBGAS_Data_2026.xlsx</t>
        </is>
      </c>
    </row>
    <row r="2412">
      <c r="A2412" s="53" t="n">
        <v>46238</v>
      </c>
      <c r="B2412" t="inlineStr">
        <is>
          <t>2026-08-04</t>
        </is>
      </c>
      <c r="C2412" s="45" t="n">
        <v>58.43</v>
      </c>
      <c r="D2412" t="inlineStr">
        <is>
          <t>€/MWh</t>
        </is>
      </c>
      <c r="E2412" s="54" t="n">
        <v>0.05843</v>
      </c>
      <c r="F2412" s="54" t="n"/>
      <c r="G2412" t="inlineStr">
        <is>
          <t>no aplica (precio mayorista)</t>
        </is>
      </c>
      <c r="J2412" t="inlineStr">
        <is>
          <t>2026-08-04</t>
        </is>
      </c>
      <c r="K2412" t="inlineStr">
        <is>
          <t>MIBGAS_Data_2026.xlsx</t>
        </is>
      </c>
    </row>
    <row r="2413">
      <c r="A2413" s="53" t="n">
        <v>46239</v>
      </c>
      <c r="B2413" t="inlineStr">
        <is>
          <t>2026-08-05</t>
        </is>
      </c>
      <c r="C2413" s="45" t="n">
        <v>57.09</v>
      </c>
      <c r="D2413" t="inlineStr">
        <is>
          <t>€/MWh</t>
        </is>
      </c>
      <c r="E2413" s="54" t="n">
        <v>0.05709</v>
      </c>
      <c r="F2413" s="54" t="n"/>
      <c r="G2413" t="inlineStr">
        <is>
          <t>no aplica (precio mayorista)</t>
        </is>
      </c>
      <c r="J2413" t="inlineStr">
        <is>
          <t>2026-08-05</t>
        </is>
      </c>
      <c r="K2413" t="inlineStr">
        <is>
          <t>MIBGAS_Data_2026.xlsx</t>
        </is>
      </c>
    </row>
    <row r="2414">
      <c r="A2414" s="53" t="n">
        <v>46240</v>
      </c>
      <c r="B2414" t="inlineStr">
        <is>
          <t>2026-08-06</t>
        </is>
      </c>
      <c r="C2414" s="45" t="n">
        <v>54.28</v>
      </c>
      <c r="D2414" t="inlineStr">
        <is>
          <t>€/MWh</t>
        </is>
      </c>
      <c r="E2414" s="54" t="n">
        <v>0.05428</v>
      </c>
      <c r="F2414" s="54" t="n"/>
      <c r="G2414" t="inlineStr">
        <is>
          <t>no aplica (precio mayorista)</t>
        </is>
      </c>
      <c r="J2414" t="inlineStr">
        <is>
          <t>2026-08-06</t>
        </is>
      </c>
      <c r="K2414" t="inlineStr">
        <is>
          <t>MIBGAS_Data_2026.xlsx</t>
        </is>
      </c>
    </row>
    <row r="2415">
      <c r="A2415" s="53" t="n">
        <v>46241</v>
      </c>
      <c r="B2415" t="inlineStr">
        <is>
          <t>2026-08-07</t>
        </is>
      </c>
      <c r="C2415" s="45" t="n">
        <v>55.04</v>
      </c>
      <c r="D2415" t="inlineStr">
        <is>
          <t>€/MWh</t>
        </is>
      </c>
      <c r="E2415" s="54" t="n">
        <v>0.05504</v>
      </c>
      <c r="F2415" s="54" t="n"/>
      <c r="G2415" t="inlineStr">
        <is>
          <t>no aplica (precio mayorista)</t>
        </is>
      </c>
      <c r="J2415" t="inlineStr">
        <is>
          <t>2026-08-07</t>
        </is>
      </c>
      <c r="K2415" t="inlineStr">
        <is>
          <t>MIBGAS_Data_2026.xlsx</t>
        </is>
      </c>
    </row>
    <row r="2416">
      <c r="A2416" s="53" t="n">
        <v>46242</v>
      </c>
      <c r="B2416" t="inlineStr">
        <is>
          <t>2026-08-08</t>
        </is>
      </c>
      <c r="C2416" s="45" t="n">
        <v>55.44</v>
      </c>
      <c r="D2416" t="inlineStr">
        <is>
          <t>€/MWh</t>
        </is>
      </c>
      <c r="E2416" s="54" t="n">
        <v>0.05544</v>
      </c>
      <c r="F2416" s="54" t="n"/>
      <c r="G2416" t="inlineStr">
        <is>
          <t>no aplica (precio mayorista)</t>
        </is>
      </c>
      <c r="J2416" t="inlineStr">
        <is>
          <t>2026-08-08</t>
        </is>
      </c>
      <c r="K2416" t="inlineStr">
        <is>
          <t>MIBGAS_Data_2026.xlsx</t>
        </is>
      </c>
    </row>
    <row r="2417">
      <c r="A2417" s="53" t="n">
        <v>46243</v>
      </c>
      <c r="B2417" t="inlineStr">
        <is>
          <t>2026-08-09</t>
        </is>
      </c>
      <c r="C2417" s="45" t="n">
        <v>55.68</v>
      </c>
      <c r="D2417" t="inlineStr">
        <is>
          <t>€/MWh</t>
        </is>
      </c>
      <c r="E2417" s="54" t="n">
        <v>0.05568</v>
      </c>
      <c r="F2417" s="54" t="n"/>
      <c r="G2417" t="inlineStr">
        <is>
          <t>no aplica (precio mayorista)</t>
        </is>
      </c>
      <c r="J2417" t="inlineStr">
        <is>
          <t>2026-08-09</t>
        </is>
      </c>
      <c r="K2417" t="inlineStr">
        <is>
          <t>MIBGAS_Data_2026.xlsx</t>
        </is>
      </c>
    </row>
    <row r="2418">
      <c r="A2418" s="53" t="n">
        <v>46244</v>
      </c>
      <c r="B2418" t="inlineStr">
        <is>
          <t>2026-08-10</t>
        </is>
      </c>
      <c r="C2418" s="45" t="n">
        <v>56.54</v>
      </c>
      <c r="D2418" t="inlineStr">
        <is>
          <t>€/MWh</t>
        </is>
      </c>
      <c r="E2418" s="54" t="n">
        <v>0.05654</v>
      </c>
      <c r="F2418" s="54" t="n"/>
      <c r="G2418" t="inlineStr">
        <is>
          <t>no aplica (precio mayorista)</t>
        </is>
      </c>
      <c r="J2418" t="inlineStr">
        <is>
          <t>2026-08-10</t>
        </is>
      </c>
      <c r="K2418" t="inlineStr">
        <is>
          <t>MIBGAS_Data_2026.xlsx</t>
        </is>
      </c>
    </row>
    <row r="2419">
      <c r="A2419" s="53" t="n">
        <v>46245</v>
      </c>
      <c r="B2419" t="inlineStr">
        <is>
          <t>2026-08-11</t>
        </is>
      </c>
      <c r="C2419" s="45" t="n">
        <v>59.54</v>
      </c>
      <c r="D2419" t="inlineStr">
        <is>
          <t>€/MWh</t>
        </is>
      </c>
      <c r="E2419" s="54" t="n">
        <v>0.05954</v>
      </c>
      <c r="F2419" s="54" t="n"/>
      <c r="G2419" t="inlineStr">
        <is>
          <t>no aplica (precio mayorista)</t>
        </is>
      </c>
      <c r="J2419" t="inlineStr">
        <is>
          <t>2026-08-11</t>
        </is>
      </c>
      <c r="K2419" t="inlineStr">
        <is>
          <t>MIBGAS_Data_2026.xlsx</t>
        </is>
      </c>
    </row>
    <row r="2420">
      <c r="A2420" s="53" t="n">
        <v>46246</v>
      </c>
      <c r="B2420" t="inlineStr">
        <is>
          <t>2026-08-12</t>
        </is>
      </c>
      <c r="C2420" s="45" t="n">
        <v>59.92</v>
      </c>
      <c r="D2420" t="inlineStr">
        <is>
          <t>€/MWh</t>
        </is>
      </c>
      <c r="E2420" s="54" t="n">
        <v>0.05992</v>
      </c>
      <c r="F2420" s="54" t="n"/>
      <c r="G2420" t="inlineStr">
        <is>
          <t>no aplica (precio mayorista)</t>
        </is>
      </c>
      <c r="J2420" t="inlineStr">
        <is>
          <t>2026-08-12</t>
        </is>
      </c>
      <c r="K2420" t="inlineStr">
        <is>
          <t>MIBGAS_Data_2026.xlsx</t>
        </is>
      </c>
    </row>
    <row r="2421">
      <c r="A2421" s="53" t="n">
        <v>46247</v>
      </c>
      <c r="B2421" t="inlineStr">
        <is>
          <t>2026-08-13</t>
        </is>
      </c>
      <c r="C2421" s="45" t="n">
        <v>60.27</v>
      </c>
      <c r="D2421" t="inlineStr">
        <is>
          <t>€/MWh</t>
        </is>
      </c>
      <c r="E2421" s="54" t="n">
        <v>0.06027</v>
      </c>
      <c r="F2421" s="54" t="n"/>
      <c r="G2421" t="inlineStr">
        <is>
          <t>no aplica (precio mayorista)</t>
        </is>
      </c>
      <c r="J2421" t="inlineStr">
        <is>
          <t>2026-08-13</t>
        </is>
      </c>
      <c r="K2421" t="inlineStr">
        <is>
          <t>MIBGAS_Data_2026.xlsx</t>
        </is>
      </c>
    </row>
    <row r="2422">
      <c r="A2422" s="53" t="n">
        <v>46248</v>
      </c>
      <c r="B2422" t="inlineStr">
        <is>
          <t>2026-08-14</t>
        </is>
      </c>
      <c r="C2422" s="45" t="n">
        <v>60.02</v>
      </c>
      <c r="D2422" t="inlineStr">
        <is>
          <t>€/MWh</t>
        </is>
      </c>
      <c r="E2422" s="54" t="n">
        <v>0.06002</v>
      </c>
      <c r="F2422" s="54" t="n"/>
      <c r="G2422" t="inlineStr">
        <is>
          <t>no aplica (precio mayorista)</t>
        </is>
      </c>
      <c r="J2422" t="inlineStr">
        <is>
          <t>2026-08-14</t>
        </is>
      </c>
      <c r="K2422" t="inlineStr">
        <is>
          <t>MIBGAS_Data_2026.xlsx</t>
        </is>
      </c>
    </row>
    <row r="2423">
      <c r="A2423" s="53" t="n">
        <v>46249</v>
      </c>
      <c r="B2423" t="inlineStr">
        <is>
          <t>2026-08-15</t>
        </is>
      </c>
      <c r="C2423" s="45" t="n">
        <v>61.03</v>
      </c>
      <c r="D2423" t="inlineStr">
        <is>
          <t>€/MWh</t>
        </is>
      </c>
      <c r="E2423" s="54" t="n">
        <v>0.06103</v>
      </c>
      <c r="F2423" s="54" t="n"/>
      <c r="G2423" t="inlineStr">
        <is>
          <t>no aplica (precio mayorista)</t>
        </is>
      </c>
      <c r="J2423" t="inlineStr">
        <is>
          <t>2026-08-15</t>
        </is>
      </c>
      <c r="K2423" t="inlineStr">
        <is>
          <t>MIBGAS_Data_2026.xlsx</t>
        </is>
      </c>
    </row>
    <row r="2424">
      <c r="A2424" s="53" t="n">
        <v>46250</v>
      </c>
      <c r="B2424" t="inlineStr">
        <is>
          <t>2026-08-16</t>
        </is>
      </c>
      <c r="C2424" s="45" t="n">
        <v>61.67</v>
      </c>
      <c r="D2424" t="inlineStr">
        <is>
          <t>€/MWh</t>
        </is>
      </c>
      <c r="E2424" s="54" t="n">
        <v>0.06167</v>
      </c>
      <c r="F2424" s="54" t="n"/>
      <c r="G2424" t="inlineStr">
        <is>
          <t>no aplica (precio mayorista)</t>
        </is>
      </c>
      <c r="J2424" t="inlineStr">
        <is>
          <t>2026-08-16</t>
        </is>
      </c>
      <c r="K2424" t="inlineStr">
        <is>
          <t>MIBGAS_Data_2026.xlsx</t>
        </is>
      </c>
    </row>
    <row r="2425">
      <c r="A2425" s="53" t="n">
        <v>46251</v>
      </c>
      <c r="B2425" t="inlineStr">
        <is>
          <t>2026-08-17</t>
        </is>
      </c>
      <c r="C2425" s="45" t="n">
        <v>62.13</v>
      </c>
      <c r="D2425" t="inlineStr">
        <is>
          <t>€/MWh</t>
        </is>
      </c>
      <c r="E2425" s="54" t="n">
        <v>0.06213</v>
      </c>
      <c r="F2425" s="54" t="n"/>
      <c r="G2425" t="inlineStr">
        <is>
          <t>no aplica (precio mayorista)</t>
        </is>
      </c>
      <c r="J2425" t="inlineStr">
        <is>
          <t>2026-08-17</t>
        </is>
      </c>
      <c r="K2425" t="inlineStr">
        <is>
          <t>MIBGAS_Data_2026.xlsx</t>
        </is>
      </c>
    </row>
    <row r="2426">
      <c r="A2426" s="53" t="n">
        <v>46252</v>
      </c>
      <c r="B2426" t="inlineStr">
        <is>
          <t>2026-08-18</t>
        </is>
      </c>
      <c r="C2426" s="45" t="n">
        <v>62.06</v>
      </c>
      <c r="D2426" t="inlineStr">
        <is>
          <t>€/MWh</t>
        </is>
      </c>
      <c r="E2426" s="54" t="n">
        <v>0.06206</v>
      </c>
      <c r="F2426" s="54" t="n"/>
      <c r="G2426" t="inlineStr">
        <is>
          <t>no aplica (precio mayorista)</t>
        </is>
      </c>
      <c r="J2426" t="inlineStr">
        <is>
          <t>2026-08-18</t>
        </is>
      </c>
      <c r="K2426" t="inlineStr">
        <is>
          <t>MIBGAS_Data_2026.xlsx</t>
        </is>
      </c>
    </row>
    <row r="2427">
      <c r="A2427" s="53" t="n">
        <v>46253</v>
      </c>
      <c r="B2427" t="inlineStr">
        <is>
          <t>2026-08-19</t>
        </is>
      </c>
      <c r="C2427" s="45" t="n">
        <v>63</v>
      </c>
      <c r="D2427" t="inlineStr">
        <is>
          <t>€/MWh</t>
        </is>
      </c>
      <c r="E2427" s="54" t="n">
        <v>0.063</v>
      </c>
      <c r="F2427" s="54" t="n"/>
      <c r="G2427" t="inlineStr">
        <is>
          <t>no aplica (precio mayorista)</t>
        </is>
      </c>
      <c r="J2427" t="inlineStr">
        <is>
          <t>2026-08-19</t>
        </is>
      </c>
      <c r="K2427" t="inlineStr">
        <is>
          <t>MIBGAS_Data_2026.xlsx</t>
        </is>
      </c>
    </row>
    <row r="2428">
      <c r="A2428" s="53" t="n">
        <v>46254</v>
      </c>
      <c r="B2428" t="inlineStr">
        <is>
          <t>2026-08-20</t>
        </is>
      </c>
      <c r="C2428" s="45" t="n">
        <v>63.74</v>
      </c>
      <c r="D2428" t="inlineStr">
        <is>
          <t>€/MWh</t>
        </is>
      </c>
      <c r="E2428" s="54" t="n">
        <v>0.06374</v>
      </c>
      <c r="F2428" s="54" t="n"/>
      <c r="G2428" t="inlineStr">
        <is>
          <t>no aplica (precio mayorista)</t>
        </is>
      </c>
      <c r="J2428" t="inlineStr">
        <is>
          <t>2026-08-20</t>
        </is>
      </c>
      <c r="K2428" t="inlineStr">
        <is>
          <t>MIBGAS_Data_2026.xlsx</t>
        </is>
      </c>
    </row>
    <row r="2429">
      <c r="A2429" s="53" t="n">
        <v>46255</v>
      </c>
      <c r="B2429" t="inlineStr">
        <is>
          <t>2026-08-21</t>
        </is>
      </c>
      <c r="C2429" s="45" t="n">
        <v>65.12</v>
      </c>
      <c r="D2429" t="inlineStr">
        <is>
          <t>€/MWh</t>
        </is>
      </c>
      <c r="E2429" s="54" t="n">
        <v>0.06512</v>
      </c>
      <c r="F2429" s="54" t="n"/>
      <c r="G2429" t="inlineStr">
        <is>
          <t>no aplica (precio mayorista)</t>
        </is>
      </c>
      <c r="J2429" t="inlineStr">
        <is>
          <t>2026-08-21</t>
        </is>
      </c>
      <c r="K2429" t="inlineStr">
        <is>
          <t>MIBGAS_Data_2026.xlsx</t>
        </is>
      </c>
    </row>
    <row r="2430">
      <c r="A2430" s="53" t="n">
        <v>46256</v>
      </c>
      <c r="B2430" t="inlineStr">
        <is>
          <t>2026-08-22</t>
        </is>
      </c>
      <c r="C2430" s="45" t="n">
        <v>66.17</v>
      </c>
      <c r="D2430" t="inlineStr">
        <is>
          <t>€/MWh</t>
        </is>
      </c>
      <c r="E2430" s="54" t="n">
        <v>0.06617000000000001</v>
      </c>
      <c r="F2430" s="54" t="n"/>
      <c r="G2430" t="inlineStr">
        <is>
          <t>no aplica (precio mayorista)</t>
        </is>
      </c>
      <c r="J2430" t="inlineStr">
        <is>
          <t>2026-08-22</t>
        </is>
      </c>
      <c r="K2430" t="inlineStr">
        <is>
          <t>MIBGAS_Data_2026.xlsx</t>
        </is>
      </c>
    </row>
    <row r="2431">
      <c r="A2431" s="53" t="n">
        <v>46257</v>
      </c>
      <c r="B2431" t="inlineStr">
        <is>
          <t>2026-08-23</t>
        </is>
      </c>
      <c r="C2431" s="45" t="n">
        <v>66.06</v>
      </c>
      <c r="D2431" t="inlineStr">
        <is>
          <t>€/MWh</t>
        </is>
      </c>
      <c r="E2431" s="54" t="n">
        <v>0.06605999999999999</v>
      </c>
      <c r="F2431" s="54" t="n"/>
      <c r="G2431" t="inlineStr">
        <is>
          <t>no aplica (precio mayorista)</t>
        </is>
      </c>
      <c r="J2431" t="inlineStr">
        <is>
          <t>2026-08-23</t>
        </is>
      </c>
      <c r="K2431" t="inlineStr">
        <is>
          <t>MIBGAS_Data_2026.xlsx</t>
        </is>
      </c>
    </row>
    <row r="2432">
      <c r="A2432" s="53" t="n">
        <v>46258</v>
      </c>
      <c r="B2432" t="inlineStr">
        <is>
          <t>2026-08-24</t>
        </is>
      </c>
      <c r="C2432" s="45" t="n">
        <v>66.62</v>
      </c>
      <c r="D2432" t="inlineStr">
        <is>
          <t>€/MWh</t>
        </is>
      </c>
      <c r="E2432" s="54" t="n">
        <v>0.06662</v>
      </c>
      <c r="F2432" s="54" t="n"/>
      <c r="G2432" t="inlineStr">
        <is>
          <t>no aplica (precio mayorista)</t>
        </is>
      </c>
      <c r="J2432" t="inlineStr">
        <is>
          <t>2026-08-24</t>
        </is>
      </c>
      <c r="K2432" t="inlineStr">
        <is>
          <t>MIBGAS_Data_2026.xlsx</t>
        </is>
      </c>
    </row>
    <row r="2433">
      <c r="A2433" s="53" t="n">
        <v>46259</v>
      </c>
      <c r="B2433" t="inlineStr">
        <is>
          <t>2026-08-25</t>
        </is>
      </c>
      <c r="C2433" s="45" t="n">
        <v>67.03</v>
      </c>
      <c r="D2433" t="inlineStr">
        <is>
          <t>€/MWh</t>
        </is>
      </c>
      <c r="E2433" s="54" t="n">
        <v>0.06703000000000001</v>
      </c>
      <c r="F2433" s="54" t="n"/>
      <c r="G2433" t="inlineStr">
        <is>
          <t>no aplica (precio mayorista)</t>
        </is>
      </c>
      <c r="J2433" t="inlineStr">
        <is>
          <t>2026-08-25</t>
        </is>
      </c>
      <c r="K2433" t="inlineStr">
        <is>
          <t>MIBGAS_Data_2026.xlsx</t>
        </is>
      </c>
    </row>
    <row r="2434">
      <c r="A2434" s="53" t="n">
        <v>46260</v>
      </c>
      <c r="B2434" t="inlineStr">
        <is>
          <t>2026-08-26</t>
        </is>
      </c>
      <c r="C2434" s="45" t="n">
        <v>66.28</v>
      </c>
      <c r="D2434" t="inlineStr">
        <is>
          <t>€/MWh</t>
        </is>
      </c>
      <c r="E2434" s="54" t="n">
        <v>0.06628000000000001</v>
      </c>
      <c r="F2434" s="54" t="n"/>
      <c r="G2434" t="inlineStr">
        <is>
          <t>no aplica (precio mayorista)</t>
        </is>
      </c>
      <c r="J2434" t="inlineStr">
        <is>
          <t>2026-08-26</t>
        </is>
      </c>
      <c r="K2434" t="inlineStr">
        <is>
          <t>MIBGAS_Data_2026.xlsx</t>
        </is>
      </c>
    </row>
    <row r="2435">
      <c r="A2435" s="53" t="n">
        <v>46261</v>
      </c>
      <c r="B2435" t="inlineStr">
        <is>
          <t>2026-08-27</t>
        </is>
      </c>
      <c r="C2435" s="45" t="n">
        <v>65.27</v>
      </c>
      <c r="D2435" t="inlineStr">
        <is>
          <t>€/MWh</t>
        </is>
      </c>
      <c r="E2435" s="54" t="n">
        <v>0.06526999999999999</v>
      </c>
      <c r="F2435" s="54" t="n"/>
      <c r="G2435" t="inlineStr">
        <is>
          <t>no aplica (precio mayorista)</t>
        </is>
      </c>
      <c r="J2435" t="inlineStr">
        <is>
          <t>2026-08-27</t>
        </is>
      </c>
      <c r="K2435" t="inlineStr">
        <is>
          <t>MIBGAS_Data_2026.xlsx</t>
        </is>
      </c>
    </row>
    <row r="2436">
      <c r="A2436" s="53" t="n">
        <v>46262</v>
      </c>
      <c r="B2436" t="inlineStr">
        <is>
          <t>2026-08-28</t>
        </is>
      </c>
      <c r="C2436" s="45" t="n">
        <v>67.18000000000001</v>
      </c>
      <c r="D2436" t="inlineStr">
        <is>
          <t>€/MWh</t>
        </is>
      </c>
      <c r="E2436" s="54" t="n">
        <v>0.06718</v>
      </c>
      <c r="F2436" s="54" t="n"/>
      <c r="G2436" t="inlineStr">
        <is>
          <t>no aplica (precio mayorista)</t>
        </is>
      </c>
      <c r="J2436" t="inlineStr">
        <is>
          <t>2026-08-28</t>
        </is>
      </c>
      <c r="K2436" t="inlineStr">
        <is>
          <t>MIBGAS_Data_2026.xlsx</t>
        </is>
      </c>
    </row>
    <row r="2437">
      <c r="A2437" s="53" t="n">
        <v>46263</v>
      </c>
      <c r="B2437" t="inlineStr">
        <is>
          <t>2026-08-29</t>
        </is>
      </c>
      <c r="C2437" s="45" t="n">
        <v>67.54000000000001</v>
      </c>
      <c r="D2437" t="inlineStr">
        <is>
          <t>€/MWh</t>
        </is>
      </c>
      <c r="E2437" s="54" t="n">
        <v>0.06754</v>
      </c>
      <c r="F2437" s="54" t="n"/>
      <c r="G2437" t="inlineStr">
        <is>
          <t>no aplica (precio mayorista)</t>
        </is>
      </c>
      <c r="J2437" t="inlineStr">
        <is>
          <t>2026-08-29</t>
        </is>
      </c>
      <c r="K2437" t="inlineStr">
        <is>
          <t>MIBGAS_Data_2026.xlsx</t>
        </is>
      </c>
    </row>
    <row r="2438">
      <c r="A2438" s="53" t="n">
        <v>46264</v>
      </c>
      <c r="B2438" t="inlineStr">
        <is>
          <t>2026-08-30</t>
        </is>
      </c>
      <c r="C2438" s="45" t="n">
        <v>67.01000000000001</v>
      </c>
      <c r="D2438" t="inlineStr">
        <is>
          <t>€/MWh</t>
        </is>
      </c>
      <c r="E2438" s="54" t="n">
        <v>0.06701</v>
      </c>
      <c r="F2438" s="54" t="n"/>
      <c r="G2438" t="inlineStr">
        <is>
          <t>no aplica (precio mayorista)</t>
        </is>
      </c>
      <c r="J2438" t="inlineStr">
        <is>
          <t>2026-08-30</t>
        </is>
      </c>
      <c r="K2438" t="inlineStr">
        <is>
          <t>MIBGAS_Data_2026.xlsx</t>
        </is>
      </c>
    </row>
    <row r="2439">
      <c r="A2439" s="53" t="n">
        <v>46265</v>
      </c>
      <c r="B2439" t="inlineStr">
        <is>
          <t>2026-08-31</t>
        </is>
      </c>
      <c r="C2439" s="45" t="n">
        <v>68</v>
      </c>
      <c r="D2439" t="inlineStr">
        <is>
          <t>€/MWh</t>
        </is>
      </c>
      <c r="E2439" s="54" t="n">
        <v>0.068</v>
      </c>
      <c r="F2439" s="54" t="n"/>
      <c r="G2439" t="inlineStr">
        <is>
          <t>no aplica (precio mayorista)</t>
        </is>
      </c>
      <c r="J2439" t="inlineStr">
        <is>
          <t>2026-08-31</t>
        </is>
      </c>
      <c r="K2439" t="inlineStr">
        <is>
          <t>MIBGAS_Data_2026.xlsx</t>
        </is>
      </c>
    </row>
    <row r="2440">
      <c r="A2440" s="53" t="n">
        <v>46266</v>
      </c>
      <c r="B2440" t="inlineStr">
        <is>
          <t>2026-09-01</t>
        </is>
      </c>
      <c r="C2440" s="45" t="n">
        <v>69.78</v>
      </c>
      <c r="D2440" t="inlineStr">
        <is>
          <t>€/MWh</t>
        </is>
      </c>
      <c r="E2440" s="54" t="n">
        <v>0.06977999999999999</v>
      </c>
      <c r="F2440" s="54" t="n"/>
      <c r="G2440" t="inlineStr">
        <is>
          <t>no aplica (precio mayorista)</t>
        </is>
      </c>
      <c r="J2440" t="inlineStr">
        <is>
          <t>2026-09-01</t>
        </is>
      </c>
      <c r="K2440" t="inlineStr">
        <is>
          <t>MIBGAS_Data_2026.xlsx</t>
        </is>
      </c>
    </row>
    <row r="2441">
      <c r="A2441" s="53" t="n">
        <v>46267</v>
      </c>
      <c r="B2441" t="inlineStr">
        <is>
          <t>2026-09-02</t>
        </is>
      </c>
      <c r="C2441" s="45" t="n">
        <v>72.25</v>
      </c>
      <c r="D2441" t="inlineStr">
        <is>
          <t>€/MWh</t>
        </is>
      </c>
      <c r="E2441" s="54" t="n">
        <v>0.07224999999999999</v>
      </c>
      <c r="F2441" s="54" t="n"/>
      <c r="G2441" t="inlineStr">
        <is>
          <t>no aplica (precio mayorista)</t>
        </is>
      </c>
      <c r="J2441" t="inlineStr">
        <is>
          <t>2026-09-02</t>
        </is>
      </c>
      <c r="K2441" t="inlineStr">
        <is>
          <t>MIBGAS_Data_2026.xlsx</t>
        </is>
      </c>
    </row>
    <row r="2442">
      <c r="A2442" s="53" t="n">
        <v>46268</v>
      </c>
      <c r="B2442" t="inlineStr">
        <is>
          <t>2026-09-03</t>
        </is>
      </c>
      <c r="C2442" s="45" t="n">
        <v>73.7</v>
      </c>
      <c r="D2442" t="inlineStr">
        <is>
          <t>€/MWh</t>
        </is>
      </c>
      <c r="E2442" s="54" t="n">
        <v>0.0737</v>
      </c>
      <c r="F2442" s="54" t="n"/>
      <c r="G2442" t="inlineStr">
        <is>
          <t>no aplica (precio mayorista)</t>
        </is>
      </c>
      <c r="J2442" t="inlineStr">
        <is>
          <t>2026-09-03</t>
        </is>
      </c>
      <c r="K2442" t="inlineStr">
        <is>
          <t>MIBGAS_Data_2026.xlsx</t>
        </is>
      </c>
    </row>
    <row r="2443">
      <c r="A2443" s="53" t="n">
        <v>46269</v>
      </c>
      <c r="B2443" t="inlineStr">
        <is>
          <t>2026-09-04</t>
        </is>
      </c>
      <c r="C2443" s="45" t="n">
        <v>72.83</v>
      </c>
      <c r="D2443" t="inlineStr">
        <is>
          <t>€/MWh</t>
        </is>
      </c>
      <c r="E2443" s="54" t="n">
        <v>0.07283000000000001</v>
      </c>
      <c r="F2443" s="54" t="n"/>
      <c r="G2443" t="inlineStr">
        <is>
          <t>no aplica (precio mayorista)</t>
        </is>
      </c>
      <c r="J2443" t="inlineStr">
        <is>
          <t>2026-09-04</t>
        </is>
      </c>
      <c r="K2443" t="inlineStr">
        <is>
          <t>MIBGAS_Data_2026.xlsx</t>
        </is>
      </c>
    </row>
    <row r="2444">
      <c r="A2444" s="53" t="n">
        <v>46270</v>
      </c>
      <c r="B2444" t="inlineStr">
        <is>
          <t>2026-09-05</t>
        </is>
      </c>
      <c r="C2444" s="45" t="n">
        <v>73.23</v>
      </c>
      <c r="D2444" t="inlineStr">
        <is>
          <t>€/MWh</t>
        </is>
      </c>
      <c r="E2444" s="54" t="n">
        <v>0.07323</v>
      </c>
      <c r="F2444" s="54" t="n"/>
      <c r="G2444" t="inlineStr">
        <is>
          <t>no aplica (precio mayorista)</t>
        </is>
      </c>
      <c r="J2444" t="inlineStr">
        <is>
          <t>2026-09-05</t>
        </is>
      </c>
      <c r="K2444" t="inlineStr">
        <is>
          <t>MIBGAS_Data_2026.xlsx</t>
        </is>
      </c>
    </row>
    <row r="2445">
      <c r="A2445" s="53" t="n">
        <v>46271</v>
      </c>
      <c r="B2445" t="inlineStr">
        <is>
          <t>2026-09-06</t>
        </is>
      </c>
      <c r="C2445" s="45" t="n">
        <v>75.04000000000001</v>
      </c>
      <c r="D2445" t="inlineStr">
        <is>
          <t>€/MWh</t>
        </is>
      </c>
      <c r="E2445" s="54" t="n">
        <v>0.07504</v>
      </c>
      <c r="F2445" s="54" t="n"/>
      <c r="G2445" t="inlineStr">
        <is>
          <t>no aplica (precio mayorista)</t>
        </is>
      </c>
      <c r="J2445" t="inlineStr">
        <is>
          <t>2026-09-06</t>
        </is>
      </c>
      <c r="K2445" t="inlineStr">
        <is>
          <t>MIBGAS_Data_2026.xlsx</t>
        </is>
      </c>
    </row>
    <row r="2446">
      <c r="A2446" s="53" t="n">
        <v>46272</v>
      </c>
      <c r="B2446" t="inlineStr">
        <is>
          <t>2026-09-07</t>
        </is>
      </c>
      <c r="C2446" s="45" t="n">
        <v>75.05</v>
      </c>
      <c r="D2446" t="inlineStr">
        <is>
          <t>€/MWh</t>
        </is>
      </c>
      <c r="E2446" s="54" t="n">
        <v>0.07505000000000001</v>
      </c>
      <c r="F2446" s="54" t="n"/>
      <c r="G2446" t="inlineStr">
        <is>
          <t>no aplica (precio mayorista)</t>
        </is>
      </c>
      <c r="J2446" t="inlineStr">
        <is>
          <t>2026-09-07</t>
        </is>
      </c>
      <c r="K2446" t="inlineStr">
        <is>
          <t>MIBGAS_Data_2026.xlsx</t>
        </is>
      </c>
    </row>
    <row r="2447">
      <c r="A2447" s="53" t="n">
        <v>46273</v>
      </c>
      <c r="B2447" t="inlineStr">
        <is>
          <t>2026-09-08</t>
        </is>
      </c>
      <c r="C2447" s="45" t="n">
        <v>75.13</v>
      </c>
      <c r="D2447" t="inlineStr">
        <is>
          <t>€/MWh</t>
        </is>
      </c>
      <c r="E2447" s="54" t="n">
        <v>0.07513</v>
      </c>
      <c r="F2447" s="54" t="n"/>
      <c r="G2447" t="inlineStr">
        <is>
          <t>no aplica (precio mayorista)</t>
        </is>
      </c>
      <c r="J2447" t="inlineStr">
        <is>
          <t>2026-09-08</t>
        </is>
      </c>
      <c r="K2447" t="inlineStr">
        <is>
          <t>MIBGAS_Data_2026.xlsx</t>
        </is>
      </c>
    </row>
    <row r="2448">
      <c r="A2448" s="53" t="n">
        <v>46274</v>
      </c>
      <c r="B2448" t="inlineStr">
        <is>
          <t>2026-09-09</t>
        </is>
      </c>
      <c r="C2448" s="45" t="n">
        <v>77.19</v>
      </c>
      <c r="D2448" t="inlineStr">
        <is>
          <t>€/MWh</t>
        </is>
      </c>
      <c r="E2448" s="54" t="n">
        <v>0.07718999999999999</v>
      </c>
      <c r="F2448" s="54" t="n"/>
      <c r="G2448" t="inlineStr">
        <is>
          <t>no aplica (precio mayorista)</t>
        </is>
      </c>
      <c r="J2448" t="inlineStr">
        <is>
          <t>2026-09-09</t>
        </is>
      </c>
      <c r="K2448" t="inlineStr">
        <is>
          <t>MIBGAS_Data_2026.xlsx</t>
        </is>
      </c>
    </row>
    <row r="2449">
      <c r="A2449" s="53" t="n">
        <v>46275</v>
      </c>
      <c r="B2449" t="inlineStr">
        <is>
          <t>2026-09-10</t>
        </is>
      </c>
      <c r="C2449" s="45" t="n">
        <v>80.31</v>
      </c>
      <c r="D2449" t="inlineStr">
        <is>
          <t>€/MWh</t>
        </is>
      </c>
      <c r="E2449" s="54" t="n">
        <v>0.08031000000000001</v>
      </c>
      <c r="F2449" s="54" t="n"/>
      <c r="G2449" t="inlineStr">
        <is>
          <t>no aplica (precio mayorista)</t>
        </is>
      </c>
      <c r="J2449" t="inlineStr">
        <is>
          <t>2026-09-10</t>
        </is>
      </c>
      <c r="K2449" t="inlineStr">
        <is>
          <t>MIBGAS_Data_2026.xlsx</t>
        </is>
      </c>
    </row>
    <row r="2450">
      <c r="A2450" s="53" t="n">
        <v>46276</v>
      </c>
      <c r="B2450" t="inlineStr">
        <is>
          <t>2026-09-11</t>
        </is>
      </c>
      <c r="C2450" s="45" t="n">
        <v>81.92</v>
      </c>
      <c r="D2450" t="inlineStr">
        <is>
          <t>€/MWh</t>
        </is>
      </c>
      <c r="E2450" s="54" t="n">
        <v>0.08192000000000001</v>
      </c>
      <c r="F2450" s="54" t="n"/>
      <c r="G2450" t="inlineStr">
        <is>
          <t>no aplica (precio mayorista)</t>
        </is>
      </c>
      <c r="J2450" t="inlineStr">
        <is>
          <t>2026-09-11</t>
        </is>
      </c>
      <c r="K2450" t="inlineStr">
        <is>
          <t>MIBGAS_Data_2026.xlsx</t>
        </is>
      </c>
    </row>
    <row r="2451">
      <c r="A2451" s="53" t="n">
        <v>46277</v>
      </c>
      <c r="B2451" t="inlineStr">
        <is>
          <t>2026-09-12</t>
        </is>
      </c>
      <c r="C2451" s="45" t="n">
        <v>81.53</v>
      </c>
      <c r="D2451" t="inlineStr">
        <is>
          <t>€/MWh</t>
        </is>
      </c>
      <c r="E2451" s="54" t="n">
        <v>0.08153000000000001</v>
      </c>
      <c r="F2451" s="54" t="n"/>
      <c r="G2451" t="inlineStr">
        <is>
          <t>no aplica (precio mayorista)</t>
        </is>
      </c>
      <c r="J2451" t="inlineStr">
        <is>
          <t>2026-09-12</t>
        </is>
      </c>
      <c r="K2451" t="inlineStr">
        <is>
          <t>MIBGAS_Data_2026.xlsx</t>
        </is>
      </c>
    </row>
    <row r="2452">
      <c r="A2452" s="53" t="n">
        <v>46278</v>
      </c>
      <c r="B2452" t="inlineStr">
        <is>
          <t>2026-09-13</t>
        </is>
      </c>
      <c r="C2452" s="45" t="n">
        <v>81.97</v>
      </c>
      <c r="D2452" t="inlineStr">
        <is>
          <t>€/MWh</t>
        </is>
      </c>
      <c r="E2452" s="54" t="n">
        <v>0.08197</v>
      </c>
      <c r="F2452" s="54" t="n"/>
      <c r="G2452" t="inlineStr">
        <is>
          <t>no aplica (precio mayorista)</t>
        </is>
      </c>
      <c r="J2452" t="inlineStr">
        <is>
          <t>2026-09-13</t>
        </is>
      </c>
      <c r="K2452" t="inlineStr">
        <is>
          <t>MIBGAS_Data_2026.xlsx</t>
        </is>
      </c>
    </row>
    <row r="2453">
      <c r="A2453" s="53" t="n">
        <v>46279</v>
      </c>
      <c r="B2453" t="inlineStr">
        <is>
          <t>2026-09-14</t>
        </is>
      </c>
      <c r="C2453" s="45" t="n">
        <v>83.84</v>
      </c>
      <c r="D2453" t="inlineStr">
        <is>
          <t>€/MWh</t>
        </is>
      </c>
      <c r="E2453" s="54" t="n">
        <v>0.08384</v>
      </c>
      <c r="F2453" s="54" t="n"/>
      <c r="G2453" t="inlineStr">
        <is>
          <t>no aplica (precio mayorista)</t>
        </is>
      </c>
      <c r="J2453" t="inlineStr">
        <is>
          <t>2026-09-14</t>
        </is>
      </c>
      <c r="K2453" t="inlineStr">
        <is>
          <t>MIBGAS_Data_2026.xlsx</t>
        </is>
      </c>
    </row>
    <row r="2454">
      <c r="A2454" s="53" t="n">
        <v>46280</v>
      </c>
      <c r="B2454" t="inlineStr">
        <is>
          <t>2026-09-15</t>
        </is>
      </c>
      <c r="C2454" s="45" t="n">
        <v>85.3</v>
      </c>
      <c r="D2454" t="inlineStr">
        <is>
          <t>€/MWh</t>
        </is>
      </c>
      <c r="E2454" s="54" t="n">
        <v>0.0853</v>
      </c>
      <c r="F2454" s="54" t="n"/>
      <c r="G2454" t="inlineStr">
        <is>
          <t>no aplica (precio mayorista)</t>
        </is>
      </c>
      <c r="J2454" t="inlineStr">
        <is>
          <t>2026-09-15</t>
        </is>
      </c>
      <c r="K2454" t="inlineStr">
        <is>
          <t>MIBGAS_Data_2026.xlsx</t>
        </is>
      </c>
    </row>
    <row r="2455">
      <c r="A2455" s="53" t="n">
        <v>46281</v>
      </c>
      <c r="B2455" t="inlineStr">
        <is>
          <t>2026-09-16</t>
        </is>
      </c>
      <c r="C2455" s="45" t="n">
        <v>82.98</v>
      </c>
      <c r="D2455" t="inlineStr">
        <is>
          <t>€/MWh</t>
        </is>
      </c>
      <c r="E2455" s="54" t="n">
        <v>0.08298</v>
      </c>
      <c r="F2455" s="54" t="n"/>
      <c r="G2455" t="inlineStr">
        <is>
          <t>no aplica (precio mayorista)</t>
        </is>
      </c>
      <c r="J2455" t="inlineStr">
        <is>
          <t>2026-09-16</t>
        </is>
      </c>
      <c r="K2455" t="inlineStr">
        <is>
          <t>MIBGAS_Data_2026.xlsx</t>
        </is>
      </c>
    </row>
    <row r="2456">
      <c r="A2456" s="53" t="n">
        <v>46282</v>
      </c>
      <c r="B2456" t="inlineStr">
        <is>
          <t>2026-09-17</t>
        </is>
      </c>
      <c r="C2456" s="45" t="n">
        <v>81.78</v>
      </c>
      <c r="D2456" t="inlineStr">
        <is>
          <t>€/MWh</t>
        </is>
      </c>
      <c r="E2456" s="54" t="n">
        <v>0.08178000000000001</v>
      </c>
      <c r="F2456" s="54" t="n"/>
      <c r="G2456" t="inlineStr">
        <is>
          <t>no aplica (precio mayorista)</t>
        </is>
      </c>
      <c r="J2456" t="inlineStr">
        <is>
          <t>2026-09-17</t>
        </is>
      </c>
      <c r="K2456" t="inlineStr">
        <is>
          <t>MIBGAS_Data_2026.xlsx</t>
        </is>
      </c>
    </row>
    <row r="2457">
      <c r="A2457" s="53" t="n">
        <v>46283</v>
      </c>
      <c r="B2457" t="inlineStr">
        <is>
          <t>2026-09-18</t>
        </is>
      </c>
      <c r="C2457" s="45" t="n">
        <v>79.88</v>
      </c>
      <c r="D2457" t="inlineStr">
        <is>
          <t>€/MWh</t>
        </is>
      </c>
      <c r="E2457" s="54" t="n">
        <v>0.07988000000000001</v>
      </c>
      <c r="F2457" s="54" t="n"/>
      <c r="G2457" t="inlineStr">
        <is>
          <t>no aplica (precio mayorista)</t>
        </is>
      </c>
      <c r="J2457" t="inlineStr">
        <is>
          <t>2026-09-18</t>
        </is>
      </c>
      <c r="K2457" t="inlineStr">
        <is>
          <t>MIBGAS_Data_2026.xlsx</t>
        </is>
      </c>
    </row>
    <row r="2458">
      <c r="A2458" s="53" t="n">
        <v>46284</v>
      </c>
      <c r="B2458" t="inlineStr">
        <is>
          <t>2026-09-19</t>
        </is>
      </c>
      <c r="C2458" s="45" t="n">
        <v>80.88</v>
      </c>
      <c r="D2458" t="inlineStr">
        <is>
          <t>€/MWh</t>
        </is>
      </c>
      <c r="E2458" s="54" t="n">
        <v>0.08087999999999999</v>
      </c>
      <c r="F2458" s="54" t="n"/>
      <c r="G2458" t="inlineStr">
        <is>
          <t>no aplica (precio mayorista)</t>
        </is>
      </c>
      <c r="J2458" t="inlineStr">
        <is>
          <t>2026-09-19</t>
        </is>
      </c>
      <c r="K2458" t="inlineStr">
        <is>
          <t>MIBGAS_Data_2026.xlsx</t>
        </is>
      </c>
    </row>
    <row r="2459">
      <c r="A2459" s="53" t="n">
        <v>46285</v>
      </c>
      <c r="B2459" t="inlineStr">
        <is>
          <t>2026-09-20</t>
        </is>
      </c>
      <c r="C2459" s="45" t="n">
        <v>81.22</v>
      </c>
      <c r="D2459" t="inlineStr">
        <is>
          <t>€/MWh</t>
        </is>
      </c>
      <c r="E2459" s="54" t="n">
        <v>0.08122</v>
      </c>
      <c r="F2459" s="54" t="n"/>
      <c r="G2459" t="inlineStr">
        <is>
          <t>no aplica (precio mayorista)</t>
        </is>
      </c>
      <c r="J2459" t="inlineStr">
        <is>
          <t>2026-09-20</t>
        </is>
      </c>
      <c r="K2459" t="inlineStr">
        <is>
          <t>MIBGAS_Data_2026.xlsx</t>
        </is>
      </c>
    </row>
    <row r="2460">
      <c r="A2460" s="53" t="n">
        <v>46286</v>
      </c>
      <c r="B2460" t="inlineStr">
        <is>
          <t>2026-09-21</t>
        </is>
      </c>
      <c r="C2460" s="45" t="n">
        <v>80.87</v>
      </c>
      <c r="D2460" t="inlineStr">
        <is>
          <t>€/MWh</t>
        </is>
      </c>
      <c r="E2460" s="54" t="n">
        <v>0.08087</v>
      </c>
      <c r="F2460" s="54" t="n"/>
      <c r="G2460" t="inlineStr">
        <is>
          <t>no aplica (precio mayorista)</t>
        </is>
      </c>
      <c r="J2460" t="inlineStr">
        <is>
          <t>2026-09-21</t>
        </is>
      </c>
      <c r="K2460" t="inlineStr">
        <is>
          <t>MIBGAS_Data_2026.xlsx</t>
        </is>
      </c>
    </row>
    <row r="2461">
      <c r="A2461" s="53" t="n">
        <v>46287</v>
      </c>
      <c r="B2461" t="inlineStr">
        <is>
          <t>2026-09-22</t>
        </is>
      </c>
      <c r="C2461" s="45" t="n">
        <v>76.87</v>
      </c>
      <c r="D2461" t="inlineStr">
        <is>
          <t>€/MWh</t>
        </is>
      </c>
      <c r="E2461" s="54" t="n">
        <v>0.07686999999999999</v>
      </c>
      <c r="F2461" s="54" t="n"/>
      <c r="G2461" t="inlineStr">
        <is>
          <t>no aplica (precio mayorista)</t>
        </is>
      </c>
      <c r="J2461" t="inlineStr">
        <is>
          <t>2026-09-22</t>
        </is>
      </c>
      <c r="K2461" t="inlineStr">
        <is>
          <t>MIBGAS_Data_2026.xlsx</t>
        </is>
      </c>
    </row>
    <row r="2462">
      <c r="A2462" s="53" t="n">
        <v>46288</v>
      </c>
      <c r="B2462" t="inlineStr">
        <is>
          <t>2026-09-23</t>
        </is>
      </c>
      <c r="C2462" s="45" t="n">
        <v>74.41</v>
      </c>
      <c r="D2462" t="inlineStr">
        <is>
          <t>€/MWh</t>
        </is>
      </c>
      <c r="E2462" s="54" t="n">
        <v>0.07441</v>
      </c>
      <c r="F2462" s="54" t="n"/>
      <c r="G2462" t="inlineStr">
        <is>
          <t>no aplica (precio mayorista)</t>
        </is>
      </c>
      <c r="J2462" t="inlineStr">
        <is>
          <t>2026-09-23</t>
        </is>
      </c>
      <c r="K2462" t="inlineStr">
        <is>
          <t>MIBGAS_Data_2026.xlsx</t>
        </is>
      </c>
    </row>
    <row r="2463">
      <c r="A2463" s="53" t="n">
        <v>46289</v>
      </c>
      <c r="B2463" t="inlineStr">
        <is>
          <t>2026-09-24</t>
        </is>
      </c>
      <c r="C2463" s="45" t="n">
        <v>74.69</v>
      </c>
      <c r="D2463" t="inlineStr">
        <is>
          <t>€/MWh</t>
        </is>
      </c>
      <c r="E2463" s="54" t="n">
        <v>0.07469000000000001</v>
      </c>
      <c r="F2463" s="54" t="n"/>
      <c r="G2463" t="inlineStr">
        <is>
          <t>no aplica (precio mayorista)</t>
        </is>
      </c>
      <c r="J2463" t="inlineStr">
        <is>
          <t>2026-09-24</t>
        </is>
      </c>
      <c r="K2463" t="inlineStr">
        <is>
          <t>MIBGAS_Data_2026.xlsx</t>
        </is>
      </c>
    </row>
    <row r="2464">
      <c r="A2464" s="53" t="n">
        <v>46290</v>
      </c>
      <c r="B2464" t="inlineStr">
        <is>
          <t>2026-09-25</t>
        </is>
      </c>
      <c r="C2464" s="45" t="n">
        <v>75.2</v>
      </c>
      <c r="D2464" t="inlineStr">
        <is>
          <t>€/MWh</t>
        </is>
      </c>
      <c r="E2464" s="54" t="n">
        <v>0.0752</v>
      </c>
      <c r="F2464" s="54" t="n"/>
      <c r="G2464" t="inlineStr">
        <is>
          <t>no aplica (precio mayorista)</t>
        </is>
      </c>
      <c r="J2464" t="inlineStr">
        <is>
          <t>2026-09-25</t>
        </is>
      </c>
      <c r="K2464" t="inlineStr">
        <is>
          <t>MIBGAS_Data_2026.xlsx</t>
        </is>
      </c>
    </row>
    <row r="2465">
      <c r="A2465" s="53" t="n">
        <v>46291</v>
      </c>
      <c r="B2465" t="inlineStr">
        <is>
          <t>2026-09-26</t>
        </is>
      </c>
      <c r="C2465" s="45" t="n">
        <v>72.95999999999999</v>
      </c>
      <c r="D2465" t="inlineStr">
        <is>
          <t>€/MWh</t>
        </is>
      </c>
      <c r="E2465" s="54" t="n">
        <v>0.07296</v>
      </c>
      <c r="F2465" s="54" t="n"/>
      <c r="G2465" t="inlineStr">
        <is>
          <t>no aplica (precio mayorista)</t>
        </is>
      </c>
      <c r="J2465" t="inlineStr">
        <is>
          <t>2026-09-26</t>
        </is>
      </c>
      <c r="K2465" t="inlineStr">
        <is>
          <t>MIBGAS_Data_2026.xlsx</t>
        </is>
      </c>
    </row>
    <row r="2466">
      <c r="A2466" s="53" t="n">
        <v>46292</v>
      </c>
      <c r="B2466" t="inlineStr">
        <is>
          <t>2026-09-27</t>
        </is>
      </c>
      <c r="C2466" s="45" t="n">
        <v>72.97</v>
      </c>
      <c r="D2466" t="inlineStr">
        <is>
          <t>€/MWh</t>
        </is>
      </c>
      <c r="E2466" s="54" t="n">
        <v>0.07296999999999999</v>
      </c>
      <c r="F2466" s="54" t="n"/>
      <c r="G2466" t="inlineStr">
        <is>
          <t>no aplica (precio mayorista)</t>
        </is>
      </c>
      <c r="J2466" t="inlineStr">
        <is>
          <t>2026-09-27</t>
        </is>
      </c>
      <c r="K2466" t="inlineStr">
        <is>
          <t>MIBGAS_Data_2026.xlsx</t>
        </is>
      </c>
    </row>
    <row r="2467">
      <c r="A2467" s="53" t="n">
        <v>46293</v>
      </c>
      <c r="B2467" t="inlineStr">
        <is>
          <t>2026-09-28</t>
        </is>
      </c>
      <c r="C2467" s="45" t="n">
        <v>74.02</v>
      </c>
      <c r="D2467" t="inlineStr">
        <is>
          <t>€/MWh</t>
        </is>
      </c>
      <c r="E2467" s="54" t="n">
        <v>0.07402</v>
      </c>
      <c r="F2467" s="54" t="n"/>
      <c r="G2467" t="inlineStr">
        <is>
          <t>no aplica (precio mayorista)</t>
        </is>
      </c>
      <c r="J2467" t="inlineStr">
        <is>
          <t>2026-09-28</t>
        </is>
      </c>
      <c r="K2467" t="inlineStr">
        <is>
          <t>MIBGAS_Data_2026.xlsx</t>
        </is>
      </c>
    </row>
    <row r="2468">
      <c r="A2468" s="53" t="n">
        <v>46294</v>
      </c>
      <c r="B2468" t="inlineStr">
        <is>
          <t>2026-09-29</t>
        </is>
      </c>
      <c r="C2468" s="45" t="n">
        <v>74.16</v>
      </c>
      <c r="D2468" t="inlineStr">
        <is>
          <t>€/MWh</t>
        </is>
      </c>
      <c r="E2468" s="54" t="n">
        <v>0.07416</v>
      </c>
      <c r="F2468" s="54" t="n"/>
      <c r="G2468" t="inlineStr">
        <is>
          <t>no aplica (precio mayorista)</t>
        </is>
      </c>
      <c r="J2468" t="inlineStr">
        <is>
          <t>2026-09-29</t>
        </is>
      </c>
      <c r="K2468" t="inlineStr">
        <is>
          <t>MIBGAS_Data_2026.xlsx</t>
        </is>
      </c>
    </row>
    <row r="2469">
      <c r="A2469" s="53" t="n">
        <v>46295</v>
      </c>
      <c r="B2469" t="inlineStr">
        <is>
          <t>2026-09-30</t>
        </is>
      </c>
      <c r="C2469" s="45" t="n">
        <v>71.93000000000001</v>
      </c>
      <c r="D2469" t="inlineStr">
        <is>
          <t>€/MWh</t>
        </is>
      </c>
      <c r="E2469" s="54" t="n">
        <v>0.07192999999999999</v>
      </c>
      <c r="F2469" s="54" t="n"/>
      <c r="G2469" t="inlineStr">
        <is>
          <t>no aplica (precio mayorista)</t>
        </is>
      </c>
      <c r="J2469" t="inlineStr">
        <is>
          <t>2026-09-30</t>
        </is>
      </c>
      <c r="K2469" t="inlineStr">
        <is>
          <t>MIBGAS_Data_2026.xlsx</t>
        </is>
      </c>
    </row>
    <row r="2470">
      <c r="A2470" s="53" t="n">
        <v>46296</v>
      </c>
      <c r="B2470" t="inlineStr">
        <is>
          <t>2026-10-01</t>
        </is>
      </c>
      <c r="C2470" s="45" t="n">
        <v>72.40000000000001</v>
      </c>
      <c r="D2470" t="inlineStr">
        <is>
          <t>€/MWh</t>
        </is>
      </c>
      <c r="E2470" s="54" t="n">
        <v>0.07240000000000001</v>
      </c>
      <c r="F2470" s="54" t="n"/>
      <c r="G2470" t="inlineStr">
        <is>
          <t>no aplica (precio mayorista)</t>
        </is>
      </c>
      <c r="J2470" t="inlineStr">
        <is>
          <t>2026-10-01</t>
        </is>
      </c>
      <c r="K2470" t="inlineStr">
        <is>
          <t>MIBGAS_Data_2026.xlsx</t>
        </is>
      </c>
    </row>
    <row r="2471">
      <c r="A2471" s="53" t="n">
        <v>46297</v>
      </c>
      <c r="B2471" t="inlineStr">
        <is>
          <t>2026-10-02</t>
        </is>
      </c>
      <c r="C2471" s="45" t="n">
        <v>73.47</v>
      </c>
      <c r="D2471" t="inlineStr">
        <is>
          <t>€/MWh</t>
        </is>
      </c>
      <c r="E2471" s="54" t="n">
        <v>0.07346999999999999</v>
      </c>
      <c r="F2471" s="54" t="n"/>
      <c r="G2471" t="inlineStr">
        <is>
          <t>no aplica (precio mayorista)</t>
        </is>
      </c>
      <c r="J2471" t="inlineStr">
        <is>
          <t>2026-10-02</t>
        </is>
      </c>
      <c r="K2471" t="inlineStr">
        <is>
          <t>MIBGAS_Data_2026.xlsx</t>
        </is>
      </c>
    </row>
    <row r="2472">
      <c r="A2472" s="53" t="n">
        <v>46298</v>
      </c>
      <c r="B2472" t="inlineStr">
        <is>
          <t>2026-10-03</t>
        </is>
      </c>
      <c r="C2472" s="45" t="n">
        <v>74.59999999999999</v>
      </c>
      <c r="D2472" t="inlineStr">
        <is>
          <t>€/MWh</t>
        </is>
      </c>
      <c r="E2472" s="54" t="n">
        <v>0.0746</v>
      </c>
      <c r="F2472" s="54" t="n"/>
      <c r="G2472" t="inlineStr">
        <is>
          <t>no aplica (precio mayorista)</t>
        </is>
      </c>
      <c r="J2472" t="inlineStr">
        <is>
          <t>2026-10-03</t>
        </is>
      </c>
      <c r="K2472" t="inlineStr">
        <is>
          <t>MIBGAS_Data_2026.xlsx</t>
        </is>
      </c>
    </row>
    <row r="2473">
      <c r="A2473" s="53" t="n">
        <v>46299</v>
      </c>
      <c r="B2473" t="inlineStr">
        <is>
          <t>2026-10-04</t>
        </is>
      </c>
      <c r="C2473" s="45" t="n">
        <v>75.02</v>
      </c>
      <c r="D2473" t="inlineStr">
        <is>
          <t>€/MWh</t>
        </is>
      </c>
      <c r="E2473" s="54" t="n">
        <v>0.07502</v>
      </c>
      <c r="F2473" s="54" t="n"/>
      <c r="G2473" t="inlineStr">
        <is>
          <t>no aplica (precio mayorista)</t>
        </is>
      </c>
      <c r="J2473" t="inlineStr">
        <is>
          <t>2026-10-04</t>
        </is>
      </c>
      <c r="K2473" t="inlineStr">
        <is>
          <t>MIBGAS_Data_2026.xlsx</t>
        </is>
      </c>
    </row>
    <row r="2474">
      <c r="A2474" s="53" t="n">
        <v>46300</v>
      </c>
      <c r="B2474" t="inlineStr">
        <is>
          <t>2026-10-05</t>
        </is>
      </c>
      <c r="C2474" s="45" t="n">
        <v>74.98999999999999</v>
      </c>
      <c r="D2474" t="inlineStr">
        <is>
          <t>€/MWh</t>
        </is>
      </c>
      <c r="E2474" s="54" t="n">
        <v>0.07499</v>
      </c>
      <c r="F2474" s="54" t="n"/>
      <c r="G2474" t="inlineStr">
        <is>
          <t>no aplica (precio mayorista)</t>
        </is>
      </c>
      <c r="J2474" t="inlineStr">
        <is>
          <t>2026-10-05</t>
        </is>
      </c>
      <c r="K2474" t="inlineStr">
        <is>
          <t>MIBGAS_Data_2026.xlsx</t>
        </is>
      </c>
    </row>
    <row r="2475">
      <c r="A2475" s="53" t="n">
        <v>46301</v>
      </c>
      <c r="B2475" t="inlineStr">
        <is>
          <t>2026-10-06</t>
        </is>
      </c>
      <c r="C2475" s="45" t="n">
        <v>74.34</v>
      </c>
      <c r="D2475" t="inlineStr">
        <is>
          <t>€/MWh</t>
        </is>
      </c>
      <c r="E2475" s="54" t="n">
        <v>0.07434</v>
      </c>
      <c r="F2475" s="54" t="n"/>
      <c r="G2475" t="inlineStr">
        <is>
          <t>no aplica (precio mayorista)</t>
        </is>
      </c>
      <c r="J2475" t="inlineStr">
        <is>
          <t>2026-10-06</t>
        </is>
      </c>
      <c r="K2475" t="inlineStr">
        <is>
          <t>MIBGAS_Data_2026.xlsx</t>
        </is>
      </c>
    </row>
    <row r="2476">
      <c r="A2476" s="53" t="n">
        <v>46302</v>
      </c>
      <c r="B2476" t="inlineStr">
        <is>
          <t>2026-10-07</t>
        </is>
      </c>
      <c r="C2476" s="45" t="n">
        <v>76.53</v>
      </c>
      <c r="D2476" t="inlineStr">
        <is>
          <t>€/MWh</t>
        </is>
      </c>
      <c r="E2476" s="54" t="n">
        <v>0.07653</v>
      </c>
      <c r="F2476" s="54" t="n"/>
      <c r="G2476" t="inlineStr">
        <is>
          <t>no aplica (precio mayorista)</t>
        </is>
      </c>
      <c r="J2476" t="inlineStr">
        <is>
          <t>2026-10-07</t>
        </is>
      </c>
      <c r="K2476" t="inlineStr">
        <is>
          <t>MIBGAS_Data_2026.xlsx</t>
        </is>
      </c>
    </row>
    <row r="2477">
      <c r="A2477" s="53" t="n">
        <v>46303</v>
      </c>
      <c r="B2477" t="inlineStr">
        <is>
          <t>2026-10-08</t>
        </is>
      </c>
      <c r="C2477" s="45" t="n">
        <v>77.22</v>
      </c>
      <c r="D2477" t="inlineStr">
        <is>
          <t>€/MWh</t>
        </is>
      </c>
      <c r="E2477" s="54" t="n">
        <v>0.07722</v>
      </c>
      <c r="F2477" s="54" t="n"/>
      <c r="G2477" t="inlineStr">
        <is>
          <t>no aplica (precio mayorista)</t>
        </is>
      </c>
      <c r="J2477" t="inlineStr">
        <is>
          <t>2026-10-08</t>
        </is>
      </c>
      <c r="K2477" t="inlineStr">
        <is>
          <t>MIBGAS_Data_2026.xlsx</t>
        </is>
      </c>
    </row>
    <row r="2478">
      <c r="A2478" s="53" t="n">
        <v>46304</v>
      </c>
      <c r="B2478" t="inlineStr">
        <is>
          <t>2026-10-09</t>
        </is>
      </c>
      <c r="C2478" s="45" t="n">
        <v>78.09</v>
      </c>
      <c r="D2478" t="inlineStr">
        <is>
          <t>€/MWh</t>
        </is>
      </c>
      <c r="E2478" s="54" t="n">
        <v>0.07809000000000001</v>
      </c>
      <c r="F2478" s="54" t="n"/>
      <c r="G2478" t="inlineStr">
        <is>
          <t>no aplica (precio mayorista)</t>
        </is>
      </c>
      <c r="J2478" t="inlineStr">
        <is>
          <t>2026-10-09</t>
        </is>
      </c>
      <c r="K2478" t="inlineStr">
        <is>
          <t>MIBGAS_Data_2026.xlsx</t>
        </is>
      </c>
    </row>
    <row r="2479">
      <c r="A2479" s="53" t="n">
        <v>46305</v>
      </c>
      <c r="B2479" t="inlineStr">
        <is>
          <t>2026-10-10</t>
        </is>
      </c>
      <c r="C2479" s="45" t="n">
        <v>78.8</v>
      </c>
      <c r="D2479" t="inlineStr">
        <is>
          <t>€/MWh</t>
        </is>
      </c>
      <c r="E2479" s="54" t="n">
        <v>0.0788</v>
      </c>
      <c r="F2479" s="54" t="n"/>
      <c r="G2479" t="inlineStr">
        <is>
          <t>no aplica (precio mayorista)</t>
        </is>
      </c>
      <c r="J2479" t="inlineStr">
        <is>
          <t>2026-10-10</t>
        </is>
      </c>
      <c r="K2479" t="inlineStr">
        <is>
          <t>MIBGAS_Data_2026.xlsx</t>
        </is>
      </c>
    </row>
    <row r="2480">
      <c r="A2480" s="53" t="n">
        <v>46306</v>
      </c>
      <c r="B2480" t="inlineStr">
        <is>
          <t>2026-10-11</t>
        </is>
      </c>
      <c r="C2480" s="45" t="n">
        <v>79.33</v>
      </c>
      <c r="D2480" t="inlineStr">
        <is>
          <t>€/MWh</t>
        </is>
      </c>
      <c r="E2480" s="54" t="n">
        <v>0.07933</v>
      </c>
      <c r="F2480" s="54" t="n"/>
      <c r="G2480" t="inlineStr">
        <is>
          <t>no aplica (precio mayorista)</t>
        </is>
      </c>
      <c r="J2480" t="inlineStr">
        <is>
          <t>2026-10-11</t>
        </is>
      </c>
      <c r="K2480" t="inlineStr">
        <is>
          <t>MIBGAS_Data_2026.xlsx</t>
        </is>
      </c>
    </row>
    <row r="2481">
      <c r="A2481" s="53" t="n">
        <v>46307</v>
      </c>
      <c r="B2481" t="inlineStr">
        <is>
          <t>2026-10-12</t>
        </is>
      </c>
      <c r="C2481" s="45" t="n">
        <v>80.28</v>
      </c>
      <c r="D2481" t="inlineStr">
        <is>
          <t>€/MWh</t>
        </is>
      </c>
      <c r="E2481" s="54" t="n">
        <v>0.08028</v>
      </c>
      <c r="F2481" s="54" t="n"/>
      <c r="G2481" t="inlineStr">
        <is>
          <t>no aplica (precio mayorista)</t>
        </is>
      </c>
      <c r="J2481" t="inlineStr">
        <is>
          <t>2026-10-12</t>
        </is>
      </c>
      <c r="K2481" t="inlineStr">
        <is>
          <t>MIBGAS_Data_2026.xlsx</t>
        </is>
      </c>
    </row>
    <row r="2482">
      <c r="A2482" s="53" t="n">
        <v>46308</v>
      </c>
      <c r="B2482" t="inlineStr">
        <is>
          <t>2026-10-13</t>
        </is>
      </c>
      <c r="C2482" s="45" t="n">
        <v>83.59</v>
      </c>
      <c r="D2482" t="inlineStr">
        <is>
          <t>€/MWh</t>
        </is>
      </c>
      <c r="E2482" s="54" t="n">
        <v>0.08359</v>
      </c>
      <c r="F2482" s="54" t="n"/>
      <c r="G2482" t="inlineStr">
        <is>
          <t>no aplica (precio mayorista)</t>
        </is>
      </c>
      <c r="J2482" t="inlineStr">
        <is>
          <t>2026-10-13</t>
        </is>
      </c>
      <c r="K2482" t="inlineStr">
        <is>
          <t>MIBGAS_Data_2026.xlsx</t>
        </is>
      </c>
    </row>
    <row r="2483">
      <c r="A2483" s="53" t="n">
        <v>46309</v>
      </c>
      <c r="B2483" t="inlineStr">
        <is>
          <t>2026-10-14</t>
        </is>
      </c>
      <c r="C2483" s="45" t="n">
        <v>85.84</v>
      </c>
      <c r="D2483" t="inlineStr">
        <is>
          <t>€/MWh</t>
        </is>
      </c>
      <c r="E2483" s="54" t="n">
        <v>0.08584</v>
      </c>
      <c r="F2483" s="54" t="n"/>
      <c r="G2483" t="inlineStr">
        <is>
          <t>no aplica (precio mayorista)</t>
        </is>
      </c>
      <c r="J2483" t="inlineStr">
        <is>
          <t>2026-10-14</t>
        </is>
      </c>
      <c r="K2483" t="inlineStr">
        <is>
          <t>MIBGAS_Data_2026.xlsx</t>
        </is>
      </c>
    </row>
    <row r="2484">
      <c r="A2484" s="53" t="n">
        <v>46310</v>
      </c>
      <c r="B2484" t="inlineStr">
        <is>
          <t>2026-10-15</t>
        </is>
      </c>
      <c r="C2484" s="45" t="n">
        <v>85.76000000000001</v>
      </c>
      <c r="D2484" t="inlineStr">
        <is>
          <t>€/MWh</t>
        </is>
      </c>
      <c r="E2484" s="54" t="n">
        <v>0.08576</v>
      </c>
      <c r="F2484" s="54" t="n"/>
      <c r="G2484" t="inlineStr">
        <is>
          <t>no aplica (precio mayorista)</t>
        </is>
      </c>
      <c r="J2484" t="inlineStr">
        <is>
          <t>2026-10-15</t>
        </is>
      </c>
      <c r="K2484" t="inlineStr">
        <is>
          <t>MIBGAS_Data_2026.xlsx</t>
        </is>
      </c>
    </row>
    <row r="2485">
      <c r="A2485" s="53" t="n">
        <v>46311</v>
      </c>
      <c r="B2485" t="inlineStr">
        <is>
          <t>2026-10-16</t>
        </is>
      </c>
      <c r="C2485" s="45" t="n">
        <v>85.59</v>
      </c>
      <c r="D2485" t="inlineStr">
        <is>
          <t>€/MWh</t>
        </is>
      </c>
      <c r="E2485" s="54" t="n">
        <v>0.08559</v>
      </c>
      <c r="F2485" s="54" t="n"/>
      <c r="G2485" t="inlineStr">
        <is>
          <t>no aplica (precio mayorista)</t>
        </is>
      </c>
      <c r="J2485" t="inlineStr">
        <is>
          <t>2026-10-16</t>
        </is>
      </c>
      <c r="K2485" t="inlineStr">
        <is>
          <t>MIBGAS_Data_2026.xlsx</t>
        </is>
      </c>
    </row>
    <row r="2486">
      <c r="A2486" s="53" t="n">
        <v>46312</v>
      </c>
      <c r="B2486" t="inlineStr">
        <is>
          <t>2026-10-17</t>
        </is>
      </c>
      <c r="C2486" s="45" t="n">
        <v>87.06</v>
      </c>
      <c r="D2486" t="inlineStr">
        <is>
          <t>€/MWh</t>
        </is>
      </c>
      <c r="E2486" s="54" t="n">
        <v>0.08706</v>
      </c>
      <c r="F2486" s="54" t="n"/>
      <c r="G2486" t="inlineStr">
        <is>
          <t>no aplica (precio mayorista)</t>
        </is>
      </c>
      <c r="J2486" t="inlineStr">
        <is>
          <t>2026-10-17</t>
        </is>
      </c>
      <c r="K2486" t="inlineStr">
        <is>
          <t>MIBGAS_Data_2026.xlsx</t>
        </is>
      </c>
    </row>
    <row r="2487">
      <c r="A2487" s="53" t="n">
        <v>46313</v>
      </c>
      <c r="B2487" t="inlineStr">
        <is>
          <t>2026-10-18</t>
        </is>
      </c>
      <c r="C2487" s="45" t="n">
        <v>86.98999999999999</v>
      </c>
      <c r="D2487" t="inlineStr">
        <is>
          <t>€/MWh</t>
        </is>
      </c>
      <c r="E2487" s="54" t="n">
        <v>0.08699</v>
      </c>
      <c r="F2487" s="54" t="n"/>
      <c r="G2487" t="inlineStr">
        <is>
          <t>no aplica (precio mayorista)</t>
        </is>
      </c>
      <c r="J2487" t="inlineStr">
        <is>
          <t>2026-10-18</t>
        </is>
      </c>
      <c r="K2487" t="inlineStr">
        <is>
          <t>MIBGAS_Data_2026.xlsx</t>
        </is>
      </c>
    </row>
    <row r="2488">
      <c r="A2488" s="53" t="n">
        <v>46314</v>
      </c>
      <c r="B2488" t="inlineStr">
        <is>
          <t>2026-10-19</t>
        </is>
      </c>
      <c r="C2488" s="45" t="n">
        <v>88.29000000000001</v>
      </c>
      <c r="D2488" t="inlineStr">
        <is>
          <t>€/MWh</t>
        </is>
      </c>
      <c r="E2488" s="54" t="n">
        <v>0.08828999999999999</v>
      </c>
      <c r="F2488" s="54" t="n"/>
      <c r="G2488" t="inlineStr">
        <is>
          <t>no aplica (precio mayorista)</t>
        </is>
      </c>
      <c r="J2488" t="inlineStr">
        <is>
          <t>2026-10-19</t>
        </is>
      </c>
      <c r="K2488" t="inlineStr">
        <is>
          <t>MIBGAS_Data_2026.xlsx</t>
        </is>
      </c>
    </row>
    <row r="2489">
      <c r="A2489" s="53" t="n">
        <v>46315</v>
      </c>
      <c r="B2489" t="inlineStr">
        <is>
          <t>2026-10-20</t>
        </is>
      </c>
      <c r="C2489" s="45" t="n">
        <v>87.97</v>
      </c>
      <c r="D2489" t="inlineStr">
        <is>
          <t>€/MWh</t>
        </is>
      </c>
      <c r="E2489" s="54" t="n">
        <v>0.08797000000000001</v>
      </c>
      <c r="F2489" s="54" t="n"/>
      <c r="G2489" t="inlineStr">
        <is>
          <t>no aplica (precio mayorista)</t>
        </is>
      </c>
      <c r="J2489" t="inlineStr">
        <is>
          <t>2026-10-20</t>
        </is>
      </c>
      <c r="K2489" t="inlineStr">
        <is>
          <t>MIBGAS_Data_2026.xlsx</t>
        </is>
      </c>
    </row>
    <row r="2490">
      <c r="A2490" s="53" t="n">
        <v>46316</v>
      </c>
      <c r="B2490" t="inlineStr">
        <is>
          <t>2026-10-21</t>
        </is>
      </c>
      <c r="C2490" s="45" t="n">
        <v>87.09999999999999</v>
      </c>
      <c r="D2490" t="inlineStr">
        <is>
          <t>€/MWh</t>
        </is>
      </c>
      <c r="E2490" s="54" t="n">
        <v>0.0871</v>
      </c>
      <c r="F2490" s="54" t="n"/>
      <c r="G2490" t="inlineStr">
        <is>
          <t>no aplica (precio mayorista)</t>
        </is>
      </c>
      <c r="J2490" t="inlineStr">
        <is>
          <t>2026-10-21</t>
        </is>
      </c>
      <c r="K2490" t="inlineStr">
        <is>
          <t>MIBGAS_Data_2026.xlsx</t>
        </is>
      </c>
    </row>
    <row r="2491">
      <c r="A2491" s="53" t="n">
        <v>46317</v>
      </c>
      <c r="B2491" t="inlineStr">
        <is>
          <t>2026-10-22</t>
        </is>
      </c>
      <c r="C2491" s="45" t="n">
        <v>87.38</v>
      </c>
      <c r="D2491" t="inlineStr">
        <is>
          <t>€/MWh</t>
        </is>
      </c>
      <c r="E2491" s="54" t="n">
        <v>0.08738</v>
      </c>
      <c r="F2491" s="54" t="n"/>
      <c r="G2491" t="inlineStr">
        <is>
          <t>no aplica (precio mayorista)</t>
        </is>
      </c>
      <c r="J2491" t="inlineStr">
        <is>
          <t>2026-10-22</t>
        </is>
      </c>
      <c r="K2491" t="inlineStr">
        <is>
          <t>MIBGAS_Data_2026.xlsx</t>
        </is>
      </c>
    </row>
    <row r="2492">
      <c r="A2492" s="53" t="n">
        <v>46318</v>
      </c>
      <c r="B2492" t="inlineStr">
        <is>
          <t>2026-10-23</t>
        </is>
      </c>
      <c r="C2492" s="45" t="n">
        <v>90.05</v>
      </c>
      <c r="D2492" t="inlineStr">
        <is>
          <t>€/MWh</t>
        </is>
      </c>
      <c r="E2492" s="54" t="n">
        <v>0.09005000000000001</v>
      </c>
      <c r="F2492" s="54" t="n"/>
      <c r="G2492" t="inlineStr">
        <is>
          <t>no aplica (precio mayorista)</t>
        </is>
      </c>
      <c r="J2492" t="inlineStr">
        <is>
          <t>2026-10-23</t>
        </is>
      </c>
      <c r="K2492" t="inlineStr">
        <is>
          <t>MIBGAS_Data_2026.xlsx</t>
        </is>
      </c>
    </row>
    <row r="2493">
      <c r="A2493" s="53" t="n">
        <v>46319</v>
      </c>
      <c r="B2493" t="inlineStr">
        <is>
          <t>2026-10-24</t>
        </is>
      </c>
      <c r="C2493" s="45" t="n">
        <v>92.87</v>
      </c>
      <c r="D2493" t="inlineStr">
        <is>
          <t>€/MWh</t>
        </is>
      </c>
      <c r="E2493" s="54" t="n">
        <v>0.09286999999999999</v>
      </c>
      <c r="F2493" s="54" t="n"/>
      <c r="G2493" t="inlineStr">
        <is>
          <t>no aplica (precio mayorista)</t>
        </is>
      </c>
      <c r="J2493" t="inlineStr">
        <is>
          <t>2026-10-24</t>
        </is>
      </c>
      <c r="K2493" t="inlineStr">
        <is>
          <t>MIBGAS_Data_2026.xlsx</t>
        </is>
      </c>
    </row>
    <row r="2494">
      <c r="A2494" s="53" t="n">
        <v>46320</v>
      </c>
      <c r="B2494" t="inlineStr">
        <is>
          <t>2026-10-25</t>
        </is>
      </c>
      <c r="C2494" s="45" t="n">
        <v>94.01000000000001</v>
      </c>
      <c r="D2494" t="inlineStr">
        <is>
          <t>€/MWh</t>
        </is>
      </c>
      <c r="E2494" s="54" t="n">
        <v>0.09401</v>
      </c>
      <c r="F2494" s="54" t="n"/>
      <c r="G2494" t="inlineStr">
        <is>
          <t>no aplica (precio mayorista)</t>
        </is>
      </c>
      <c r="J2494" t="inlineStr">
        <is>
          <t>2026-10-25</t>
        </is>
      </c>
      <c r="K2494" t="inlineStr">
        <is>
          <t>MIBGAS_Data_2026.xlsx</t>
        </is>
      </c>
    </row>
    <row r="2495">
      <c r="A2495" s="53" t="n">
        <v>46321</v>
      </c>
      <c r="B2495" t="inlineStr">
        <is>
          <t>2026-10-26</t>
        </is>
      </c>
      <c r="C2495" s="45" t="n">
        <v>94.69</v>
      </c>
      <c r="D2495" t="inlineStr">
        <is>
          <t>€/MWh</t>
        </is>
      </c>
      <c r="E2495" s="54" t="n">
        <v>0.09469</v>
      </c>
      <c r="F2495" s="54" t="n"/>
      <c r="G2495" t="inlineStr">
        <is>
          <t>no aplica (precio mayorista)</t>
        </is>
      </c>
      <c r="J2495" t="inlineStr">
        <is>
          <t>2026-10-26</t>
        </is>
      </c>
      <c r="K2495" t="inlineStr">
        <is>
          <t>MIBGAS_Data_2026.xlsx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16" customWidth="1" min="4" max="4"/>
    <col width="13" customWidth="1" min="5" max="5"/>
    <col width="13" customWidth="1" min="6" max="6"/>
    <col width="24" customWidth="1" min="7" max="7"/>
    <col width="55" customWidth="1" min="8" max="8"/>
    <col width="30" customWidth="1" min="9" max="9"/>
    <col width="15" customWidth="1" min="10" max="10"/>
    <col width="30" customWidth="1" min="11" max="11"/>
    <col width="55" customWidth="1" min="12" max="12"/>
  </cols>
  <sheetData>
    <row r="1">
      <c r="A1" s="25" t="inlineStr">
        <is>
          <t>3. Gasóleo de automoción: precio medio en España</t>
        </is>
      </c>
    </row>
    <row r="2">
      <c r="A2" s="2" t="inlineStr">
        <is>
          <t>Fuente: Comisión Europea, Weekly Oil Bulletin (fichero histórico de precios). Unidad original: €/l. Frecuencia: semanal (precio del lunes). Impuestos del dato original: con impuestos (y también sin impuestos). Conversión: €/l ÷ 10.28 kWh/l (PCI; decisión 10)</t>
        </is>
      </c>
    </row>
    <row r="4">
      <c r="A4" t="inlineStr">
        <is>
          <t>Fecha</t>
        </is>
      </c>
      <c r="B4" t="inlineStr">
        <is>
          <t>Periodo</t>
        </is>
      </c>
      <c r="C4" t="inlineStr">
        <is>
          <t>Valor original</t>
        </is>
      </c>
      <c r="D4" t="inlineStr">
        <is>
          <t>Unidad</t>
        </is>
      </c>
      <c r="E4" t="inlineStr">
        <is>
          <t>€/kWh sin impuestos</t>
        </is>
      </c>
      <c r="F4" t="inlineStr">
        <is>
          <t>€/kWh con impuestos</t>
        </is>
      </c>
      <c r="G4" t="inlineStr">
        <is>
          <t>Origen del precio con impuestos</t>
        </is>
      </c>
      <c r="H4" t="inlineStr">
        <is>
          <t>Impuestos aplicados</t>
        </is>
      </c>
      <c r="I4" t="inlineStr">
        <is>
          <t>Pendiente</t>
        </is>
      </c>
      <c r="J4" t="inlineStr">
        <is>
          <t>Fecha de publicación</t>
        </is>
      </c>
      <c r="K4" t="inlineStr">
        <is>
          <t>Referencia (fichero / BOE / PDF)</t>
        </is>
      </c>
      <c r="L4" t="inlineStr">
        <is>
          <t>Nota</t>
        </is>
      </c>
    </row>
    <row r="5">
      <c r="A5" s="53" t="n">
        <v>43836</v>
      </c>
      <c r="B5" t="inlineStr">
        <is>
          <t>2020-01-06</t>
        </is>
      </c>
      <c r="C5" s="45" t="n">
        <v>1.24707</v>
      </c>
      <c r="D5" t="inlineStr">
        <is>
          <t>€/l</t>
        </is>
      </c>
      <c r="E5" s="54" t="n">
        <v>0.063389</v>
      </c>
      <c r="F5" s="54" t="n">
        <v>0.12131</v>
      </c>
      <c r="G5" t="inlineStr">
        <is>
          <t>original (el Boletín publica con y sin impuestos)</t>
        </is>
      </c>
      <c r="H5" t="inlineStr">
        <is>
          <t>IVA e impuesto sobre hidrocarburos incluidos por la fuente</t>
        </is>
      </c>
      <c r="K5" t="inlineStr">
        <is>
          <t>Weekly_Oil_Bulletin_Prices_History_maticni_4web.xlsx</t>
        </is>
      </c>
    </row>
    <row r="6">
      <c r="A6" s="53" t="n">
        <v>43843</v>
      </c>
      <c r="B6" t="inlineStr">
        <is>
          <t>2020-01-13</t>
        </is>
      </c>
      <c r="C6" s="45" t="n">
        <v>1.25395</v>
      </c>
      <c r="D6" t="inlineStr">
        <is>
          <t>€/l</t>
        </is>
      </c>
      <c r="E6" s="54" t="n">
        <v>0.063942</v>
      </c>
      <c r="F6" s="54" t="n">
        <v>0.12198</v>
      </c>
      <c r="G6" t="inlineStr">
        <is>
          <t>original (el Boletín publica con y sin impuestos)</t>
        </is>
      </c>
      <c r="H6" t="inlineStr">
        <is>
          <t>IVA e impuesto sobre hidrocarburos incluidos por la fuente</t>
        </is>
      </c>
      <c r="K6" t="inlineStr">
        <is>
          <t>Weekly_Oil_Bulletin_Prices_History_maticni_4web.xlsx</t>
        </is>
      </c>
    </row>
    <row r="7">
      <c r="A7" s="53" t="n">
        <v>43850</v>
      </c>
      <c r="B7" t="inlineStr">
        <is>
          <t>2020-01-20</t>
        </is>
      </c>
      <c r="C7" s="45" t="n">
        <v>1.24658</v>
      </c>
      <c r="D7" t="inlineStr">
        <is>
          <t>€/l</t>
        </is>
      </c>
      <c r="E7" s="54" t="n">
        <v>0.063349</v>
      </c>
      <c r="F7" s="54" t="n">
        <v>0.121263</v>
      </c>
      <c r="G7" t="inlineStr">
        <is>
          <t>original (el Boletín publica con y sin impuestos)</t>
        </is>
      </c>
      <c r="H7" t="inlineStr">
        <is>
          <t>IVA e impuesto sobre hidrocarburos incluidos por la fuente</t>
        </is>
      </c>
      <c r="K7" t="inlineStr">
        <is>
          <t>Weekly_Oil_Bulletin_Prices_History_maticni_4web.xlsx</t>
        </is>
      </c>
    </row>
    <row r="8">
      <c r="A8" s="53" t="n">
        <v>43857</v>
      </c>
      <c r="B8" t="inlineStr">
        <is>
          <t>2020-01-27</t>
        </is>
      </c>
      <c r="C8" s="45" t="n">
        <v>1.23597</v>
      </c>
      <c r="D8" t="inlineStr">
        <is>
          <t>€/l</t>
        </is>
      </c>
      <c r="E8" s="54" t="n">
        <v>0.062496</v>
      </c>
      <c r="F8" s="54" t="n">
        <v>0.120231</v>
      </c>
      <c r="G8" t="inlineStr">
        <is>
          <t>original (el Boletín publica con y sin impuestos)</t>
        </is>
      </c>
      <c r="H8" t="inlineStr">
        <is>
          <t>IVA e impuesto sobre hidrocarburos incluidos por la fuente</t>
        </is>
      </c>
      <c r="K8" t="inlineStr">
        <is>
          <t>Weekly_Oil_Bulletin_Prices_History_maticni_4web.xlsx</t>
        </is>
      </c>
    </row>
    <row r="9">
      <c r="A9" s="53" t="n">
        <v>43864</v>
      </c>
      <c r="B9" t="inlineStr">
        <is>
          <t>2020-02-03</t>
        </is>
      </c>
      <c r="C9" s="45" t="n">
        <v>1.2214</v>
      </c>
      <c r="D9" t="inlineStr">
        <is>
          <t>€/l</t>
        </is>
      </c>
      <c r="E9" s="54" t="n">
        <v>0.061325</v>
      </c>
      <c r="F9" s="54" t="n">
        <v>0.118813</v>
      </c>
      <c r="G9" t="inlineStr">
        <is>
          <t>original (el Boletín publica con y sin impuestos)</t>
        </is>
      </c>
      <c r="H9" t="inlineStr">
        <is>
          <t>IVA e impuesto sobre hidrocarburos incluidos por la fuente</t>
        </is>
      </c>
      <c r="K9" t="inlineStr">
        <is>
          <t>Weekly_Oil_Bulletin_Prices_History_maticni_4web.xlsx</t>
        </is>
      </c>
    </row>
    <row r="10">
      <c r="A10" s="53" t="n">
        <v>43871</v>
      </c>
      <c r="B10" t="inlineStr">
        <is>
          <t>2020-02-10</t>
        </is>
      </c>
      <c r="C10" s="45" t="n">
        <v>1.20624</v>
      </c>
      <c r="D10" t="inlineStr">
        <is>
          <t>€/l</t>
        </is>
      </c>
      <c r="E10" s="54" t="n">
        <v>0.060106</v>
      </c>
      <c r="F10" s="54" t="n">
        <v>0.117339</v>
      </c>
      <c r="G10" t="inlineStr">
        <is>
          <t>original (el Boletín publica con y sin impuestos)</t>
        </is>
      </c>
      <c r="H10" t="inlineStr">
        <is>
          <t>IVA e impuesto sobre hidrocarburos incluidos por la fuente</t>
        </is>
      </c>
      <c r="K10" t="inlineStr">
        <is>
          <t>Weekly_Oil_Bulletin_Prices_History_maticni_4web.xlsx</t>
        </is>
      </c>
    </row>
    <row r="11">
      <c r="A11" s="53" t="n">
        <v>43878</v>
      </c>
      <c r="B11" t="inlineStr">
        <is>
          <t>2020-02-17</t>
        </is>
      </c>
      <c r="C11" s="45" t="n">
        <v>1.20035</v>
      </c>
      <c r="D11" t="inlineStr">
        <is>
          <t>€/l</t>
        </is>
      </c>
      <c r="E11" s="54" t="n">
        <v>0.059632</v>
      </c>
      <c r="F11" s="54" t="n">
        <v>0.116766</v>
      </c>
      <c r="G11" t="inlineStr">
        <is>
          <t>original (el Boletín publica con y sin impuestos)</t>
        </is>
      </c>
      <c r="H11" t="inlineStr">
        <is>
          <t>IVA e impuesto sobre hidrocarburos incluidos por la fuente</t>
        </is>
      </c>
      <c r="K11" t="inlineStr">
        <is>
          <t>Weekly_Oil_Bulletin_Prices_History_maticni_4web.xlsx</t>
        </is>
      </c>
    </row>
    <row r="12">
      <c r="A12" s="53" t="n">
        <v>43885</v>
      </c>
      <c r="B12" t="inlineStr">
        <is>
          <t>2020-02-24</t>
        </is>
      </c>
      <c r="C12" s="45" t="n">
        <v>1.20155</v>
      </c>
      <c r="D12" t="inlineStr">
        <is>
          <t>€/l</t>
        </is>
      </c>
      <c r="E12" s="54" t="n">
        <v>0.05973</v>
      </c>
      <c r="F12" s="54" t="n">
        <v>0.116882</v>
      </c>
      <c r="G12" t="inlineStr">
        <is>
          <t>original (el Boletín publica con y sin impuestos)</t>
        </is>
      </c>
      <c r="H12" t="inlineStr">
        <is>
          <t>IVA e impuesto sobre hidrocarburos incluidos por la fuente</t>
        </is>
      </c>
      <c r="K12" t="inlineStr">
        <is>
          <t>Weekly_Oil_Bulletin_Prices_History_maticni_4web.xlsx</t>
        </is>
      </c>
    </row>
    <row r="13">
      <c r="A13" s="53" t="n">
        <v>43892</v>
      </c>
      <c r="B13" t="inlineStr">
        <is>
          <t>2020-03-02</t>
        </is>
      </c>
      <c r="C13" s="45" t="n">
        <v>1.19006</v>
      </c>
      <c r="D13" t="inlineStr">
        <is>
          <t>€/l</t>
        </is>
      </c>
      <c r="E13" s="54" t="n">
        <v>0.058805</v>
      </c>
      <c r="F13" s="54" t="n">
        <v>0.115765</v>
      </c>
      <c r="G13" t="inlineStr">
        <is>
          <t>original (el Boletín publica con y sin impuestos)</t>
        </is>
      </c>
      <c r="H13" t="inlineStr">
        <is>
          <t>IVA e impuesto sobre hidrocarburos incluidos por la fuente</t>
        </is>
      </c>
      <c r="K13" t="inlineStr">
        <is>
          <t>Weekly_Oil_Bulletin_Prices_History_maticni_4web.xlsx</t>
        </is>
      </c>
    </row>
    <row r="14">
      <c r="A14" s="53" t="n">
        <v>43899</v>
      </c>
      <c r="B14" t="inlineStr">
        <is>
          <t>2020-03-09</t>
        </is>
      </c>
      <c r="C14" s="45" t="n">
        <v>1.17108</v>
      </c>
      <c r="D14" t="inlineStr">
        <is>
          <t>€/l</t>
        </is>
      </c>
      <c r="E14" s="54" t="n">
        <v>0.057279</v>
      </c>
      <c r="F14" s="54" t="n">
        <v>0.113918</v>
      </c>
      <c r="G14" t="inlineStr">
        <is>
          <t>original (el Boletín publica con y sin impuestos)</t>
        </is>
      </c>
      <c r="H14" t="inlineStr">
        <is>
          <t>IVA e impuesto sobre hidrocarburos incluidos por la fuente</t>
        </is>
      </c>
      <c r="K14" t="inlineStr">
        <is>
          <t>Weekly_Oil_Bulletin_Prices_History_maticni_4web.xlsx</t>
        </is>
      </c>
    </row>
    <row r="15">
      <c r="A15" s="53" t="n">
        <v>43906</v>
      </c>
      <c r="B15" t="inlineStr">
        <is>
          <t>2020-03-16</t>
        </is>
      </c>
      <c r="C15" s="45" t="n">
        <v>1.1278</v>
      </c>
      <c r="D15" t="inlineStr">
        <is>
          <t>€/l</t>
        </is>
      </c>
      <c r="E15" s="54" t="n">
        <v>0.053801</v>
      </c>
      <c r="F15" s="54" t="n">
        <v>0.109708</v>
      </c>
      <c r="G15" t="inlineStr">
        <is>
          <t>original (el Boletín publica con y sin impuestos)</t>
        </is>
      </c>
      <c r="H15" t="inlineStr">
        <is>
          <t>IVA e impuesto sobre hidrocarburos incluidos por la fuente</t>
        </is>
      </c>
      <c r="K15" t="inlineStr">
        <is>
          <t>Weekly_Oil_Bulletin_Prices_History_maticni_4web.xlsx</t>
        </is>
      </c>
    </row>
    <row r="16">
      <c r="A16" s="53" t="n">
        <v>43913</v>
      </c>
      <c r="B16" t="inlineStr">
        <is>
          <t>2020-03-23</t>
        </is>
      </c>
      <c r="C16" s="45" t="n">
        <v>1.08489</v>
      </c>
      <c r="D16" t="inlineStr">
        <is>
          <t>€/l</t>
        </is>
      </c>
      <c r="E16" s="54" t="n">
        <v>0.05035</v>
      </c>
      <c r="F16" s="54" t="n">
        <v>0.105534</v>
      </c>
      <c r="G16" t="inlineStr">
        <is>
          <t>original (el Boletín publica con y sin impuestos)</t>
        </is>
      </c>
      <c r="H16" t="inlineStr">
        <is>
          <t>IVA e impuesto sobre hidrocarburos incluidos por la fuente</t>
        </is>
      </c>
      <c r="K16" t="inlineStr">
        <is>
          <t>Weekly_Oil_Bulletin_Prices_History_maticni_4web.xlsx</t>
        </is>
      </c>
    </row>
    <row r="17">
      <c r="A17" s="53" t="n">
        <v>43920</v>
      </c>
      <c r="B17" t="inlineStr">
        <is>
          <t>2020-03-30</t>
        </is>
      </c>
      <c r="C17" s="45" t="n">
        <v>1.05741</v>
      </c>
      <c r="D17" t="inlineStr">
        <is>
          <t>€/l</t>
        </is>
      </c>
      <c r="E17" s="54" t="n">
        <v>0.048141</v>
      </c>
      <c r="F17" s="54" t="n">
        <v>0.102861</v>
      </c>
      <c r="G17" t="inlineStr">
        <is>
          <t>original (el Boletín publica con y sin impuestos)</t>
        </is>
      </c>
      <c r="H17" t="inlineStr">
        <is>
          <t>IVA e impuesto sobre hidrocarburos incluidos por la fuente</t>
        </is>
      </c>
      <c r="K17" t="inlineStr">
        <is>
          <t>Weekly_Oil_Bulletin_Prices_History_maticni_4web.xlsx</t>
        </is>
      </c>
    </row>
    <row r="18">
      <c r="A18" s="53" t="n">
        <v>43927</v>
      </c>
      <c r="B18" t="inlineStr">
        <is>
          <t>2020-04-06</t>
        </is>
      </c>
      <c r="C18" s="45" t="n">
        <v>1.03783</v>
      </c>
      <c r="D18" t="inlineStr">
        <is>
          <t>€/l</t>
        </is>
      </c>
      <c r="E18" s="54" t="n">
        <v>0.046567</v>
      </c>
      <c r="F18" s="54" t="n">
        <v>0.100956</v>
      </c>
      <c r="G18" t="inlineStr">
        <is>
          <t>original (el Boletín publica con y sin impuestos)</t>
        </is>
      </c>
      <c r="H18" t="inlineStr">
        <is>
          <t>IVA e impuesto sobre hidrocarburos incluidos por la fuente</t>
        </is>
      </c>
      <c r="K18" t="inlineStr">
        <is>
          <t>Weekly_Oil_Bulletin_Prices_History_maticni_4web.xlsx</t>
        </is>
      </c>
    </row>
    <row r="19">
      <c r="A19" s="53" t="n">
        <v>43941</v>
      </c>
      <c r="B19" t="inlineStr">
        <is>
          <t>2020-04-20</t>
        </is>
      </c>
      <c r="C19" s="45" t="n">
        <v>1.02221</v>
      </c>
      <c r="D19" t="inlineStr">
        <is>
          <t>€/l</t>
        </is>
      </c>
      <c r="E19" s="54" t="n">
        <v>0.045311</v>
      </c>
      <c r="F19" s="54" t="n">
        <v>0.099437</v>
      </c>
      <c r="G19" t="inlineStr">
        <is>
          <t>original (el Boletín publica con y sin impuestos)</t>
        </is>
      </c>
      <c r="H19" t="inlineStr">
        <is>
          <t>IVA e impuesto sobre hidrocarburos incluidos por la fuente</t>
        </is>
      </c>
      <c r="K19" t="inlineStr">
        <is>
          <t>Weekly_Oil_Bulletin_Prices_History_maticni_4web.xlsx</t>
        </is>
      </c>
    </row>
    <row r="20">
      <c r="A20" s="53" t="n">
        <v>43948</v>
      </c>
      <c r="B20" t="inlineStr">
        <is>
          <t>2020-04-27</t>
        </is>
      </c>
      <c r="C20" s="45" t="n">
        <v>0.9998</v>
      </c>
      <c r="D20" t="inlineStr">
        <is>
          <t>€/l</t>
        </is>
      </c>
      <c r="E20" s="54" t="n">
        <v>0.04351</v>
      </c>
      <c r="F20" s="54" t="n">
        <v>0.097257</v>
      </c>
      <c r="G20" t="inlineStr">
        <is>
          <t>original (el Boletín publica con y sin impuestos)</t>
        </is>
      </c>
      <c r="H20" t="inlineStr">
        <is>
          <t>IVA e impuesto sobre hidrocarburos incluidos por la fuente</t>
        </is>
      </c>
      <c r="K20" t="inlineStr">
        <is>
          <t>Weekly_Oil_Bulletin_Prices_History_maticni_4web.xlsx</t>
        </is>
      </c>
    </row>
    <row r="21">
      <c r="A21" s="53" t="n">
        <v>43955</v>
      </c>
      <c r="B21" t="inlineStr">
        <is>
          <t>2020-05-04</t>
        </is>
      </c>
      <c r="C21" s="45" t="n">
        <v>0.98142</v>
      </c>
      <c r="D21" t="inlineStr">
        <is>
          <t>€/l</t>
        </is>
      </c>
      <c r="E21" s="54" t="n">
        <v>0.042032</v>
      </c>
      <c r="F21" s="54" t="n">
        <v>0.095469</v>
      </c>
      <c r="G21" t="inlineStr">
        <is>
          <t>original (el Boletín publica con y sin impuestos)</t>
        </is>
      </c>
      <c r="H21" t="inlineStr">
        <is>
          <t>IVA e impuesto sobre hidrocarburos incluidos por la fuente</t>
        </is>
      </c>
      <c r="K21" t="inlineStr">
        <is>
          <t>Weekly_Oil_Bulletin_Prices_History_maticni_4web.xlsx</t>
        </is>
      </c>
    </row>
    <row r="22">
      <c r="A22" s="53" t="n">
        <v>43962</v>
      </c>
      <c r="B22" t="inlineStr">
        <is>
          <t>2020-05-11</t>
        </is>
      </c>
      <c r="C22" s="45" t="n">
        <v>0.9807</v>
      </c>
      <c r="D22" t="inlineStr">
        <is>
          <t>€/l</t>
        </is>
      </c>
      <c r="E22" s="54" t="n">
        <v>0.041975</v>
      </c>
      <c r="F22" s="54" t="n">
        <v>0.095399</v>
      </c>
      <c r="G22" t="inlineStr">
        <is>
          <t>original (el Boletín publica con y sin impuestos)</t>
        </is>
      </c>
      <c r="H22" t="inlineStr">
        <is>
          <t>IVA e impuesto sobre hidrocarburos incluidos por la fuente</t>
        </is>
      </c>
      <c r="K22" t="inlineStr">
        <is>
          <t>Weekly_Oil_Bulletin_Prices_History_maticni_4web.xlsx</t>
        </is>
      </c>
    </row>
    <row r="23">
      <c r="A23" s="53" t="n">
        <v>43969</v>
      </c>
      <c r="B23" t="inlineStr">
        <is>
          <t>2020-05-18</t>
        </is>
      </c>
      <c r="C23" s="45" t="n">
        <v>0.985</v>
      </c>
      <c r="D23" t="inlineStr">
        <is>
          <t>€/l</t>
        </is>
      </c>
      <c r="E23" s="54" t="n">
        <v>0.04232</v>
      </c>
      <c r="F23" s="54" t="n">
        <v>0.095817</v>
      </c>
      <c r="G23" t="inlineStr">
        <is>
          <t>original (el Boletín publica con y sin impuestos)</t>
        </is>
      </c>
      <c r="H23" t="inlineStr">
        <is>
          <t>IVA e impuesto sobre hidrocarburos incluidos por la fuente</t>
        </is>
      </c>
      <c r="K23" t="inlineStr">
        <is>
          <t>Weekly_Oil_Bulletin_Prices_History_maticni_4web.xlsx</t>
        </is>
      </c>
    </row>
    <row r="24">
      <c r="A24" s="53" t="n">
        <v>43976</v>
      </c>
      <c r="B24" t="inlineStr">
        <is>
          <t>2020-05-25</t>
        </is>
      </c>
      <c r="C24" s="45" t="n">
        <v>0.99796</v>
      </c>
      <c r="D24" t="inlineStr">
        <is>
          <t>€/l</t>
        </is>
      </c>
      <c r="E24" s="54" t="n">
        <v>0.043362</v>
      </c>
      <c r="F24" s="54" t="n">
        <v>0.097078</v>
      </c>
      <c r="G24" t="inlineStr">
        <is>
          <t>original (el Boletín publica con y sin impuestos)</t>
        </is>
      </c>
      <c r="H24" t="inlineStr">
        <is>
          <t>IVA e impuesto sobre hidrocarburos incluidos por la fuente</t>
        </is>
      </c>
      <c r="K24" t="inlineStr">
        <is>
          <t>Weekly_Oil_Bulletin_Prices_History_maticni_4web.xlsx</t>
        </is>
      </c>
    </row>
    <row r="25">
      <c r="A25" s="53" t="n">
        <v>43983</v>
      </c>
      <c r="B25" t="inlineStr">
        <is>
          <t>2020-06-01</t>
        </is>
      </c>
      <c r="C25" s="45" t="n">
        <v>1.00188</v>
      </c>
      <c r="D25" t="inlineStr">
        <is>
          <t>€/l</t>
        </is>
      </c>
      <c r="E25" s="54" t="n">
        <v>0.043677</v>
      </c>
      <c r="F25" s="54" t="n">
        <v>0.097459</v>
      </c>
      <c r="G25" t="inlineStr">
        <is>
          <t>original (el Boletín publica con y sin impuestos)</t>
        </is>
      </c>
      <c r="H25" t="inlineStr">
        <is>
          <t>IVA e impuesto sobre hidrocarburos incluidos por la fuente</t>
        </is>
      </c>
      <c r="K25" t="inlineStr">
        <is>
          <t>Weekly_Oil_Bulletin_Prices_History_maticni_4web.xlsx</t>
        </is>
      </c>
    </row>
    <row r="26">
      <c r="A26" s="53" t="n">
        <v>43990</v>
      </c>
      <c r="B26" t="inlineStr">
        <is>
          <t>2020-06-08</t>
        </is>
      </c>
      <c r="C26" s="45" t="n">
        <v>1.00795</v>
      </c>
      <c r="D26" t="inlineStr">
        <is>
          <t>€/l</t>
        </is>
      </c>
      <c r="E26" s="54" t="n">
        <v>0.044165</v>
      </c>
      <c r="F26" s="54" t="n">
        <v>0.09805</v>
      </c>
      <c r="G26" t="inlineStr">
        <is>
          <t>original (el Boletín publica con y sin impuestos)</t>
        </is>
      </c>
      <c r="H26" t="inlineStr">
        <is>
          <t>IVA e impuesto sobre hidrocarburos incluidos por la fuente</t>
        </is>
      </c>
      <c r="K26" t="inlineStr">
        <is>
          <t>Weekly_Oil_Bulletin_Prices_History_maticni_4web.xlsx</t>
        </is>
      </c>
    </row>
    <row r="27">
      <c r="A27" s="53" t="n">
        <v>43997</v>
      </c>
      <c r="B27" t="inlineStr">
        <is>
          <t>2020-06-15</t>
        </is>
      </c>
      <c r="C27" s="45" t="n">
        <v>1.01917</v>
      </c>
      <c r="D27" t="inlineStr">
        <is>
          <t>€/l</t>
        </is>
      </c>
      <c r="E27" s="54" t="n">
        <v>0.045067</v>
      </c>
      <c r="F27" s="54" t="n">
        <v>0.09914100000000001</v>
      </c>
      <c r="G27" t="inlineStr">
        <is>
          <t>original (el Boletín publica con y sin impuestos)</t>
        </is>
      </c>
      <c r="H27" t="inlineStr">
        <is>
          <t>IVA e impuesto sobre hidrocarburos incluidos por la fuente</t>
        </is>
      </c>
      <c r="K27" t="inlineStr">
        <is>
          <t>Weekly_Oil_Bulletin_Prices_History_maticni_4web.xlsx</t>
        </is>
      </c>
    </row>
    <row r="28">
      <c r="A28" s="53" t="n">
        <v>44004</v>
      </c>
      <c r="B28" t="inlineStr">
        <is>
          <t>2020-06-22</t>
        </is>
      </c>
      <c r="C28" s="45" t="n">
        <v>1.028</v>
      </c>
      <c r="D28" t="inlineStr">
        <is>
          <t>€/l</t>
        </is>
      </c>
      <c r="E28" s="54" t="n">
        <v>0.045777</v>
      </c>
      <c r="F28" s="54" t="n">
        <v>0.1</v>
      </c>
      <c r="G28" t="inlineStr">
        <is>
          <t>original (el Boletín publica con y sin impuestos)</t>
        </is>
      </c>
      <c r="H28" t="inlineStr">
        <is>
          <t>IVA e impuesto sobre hidrocarburos incluidos por la fuente</t>
        </is>
      </c>
      <c r="K28" t="inlineStr">
        <is>
          <t>Weekly_Oil_Bulletin_Prices_History_maticni_4web.xlsx</t>
        </is>
      </c>
    </row>
    <row r="29">
      <c r="A29" s="53" t="n">
        <v>44011</v>
      </c>
      <c r="B29" t="inlineStr">
        <is>
          <t>2020-06-29</t>
        </is>
      </c>
      <c r="C29" s="45" t="n">
        <v>1.04034</v>
      </c>
      <c r="D29" t="inlineStr">
        <is>
          <t>€/l</t>
        </is>
      </c>
      <c r="E29" s="54" t="n">
        <v>0.046769</v>
      </c>
      <c r="F29" s="54" t="n">
        <v>0.1012</v>
      </c>
      <c r="G29" t="inlineStr">
        <is>
          <t>original (el Boletín publica con y sin impuestos)</t>
        </is>
      </c>
      <c r="H29" t="inlineStr">
        <is>
          <t>IVA e impuesto sobre hidrocarburos incluidos por la fuente</t>
        </is>
      </c>
      <c r="K29" t="inlineStr">
        <is>
          <t>Weekly_Oil_Bulletin_Prices_History_maticni_4web.xlsx</t>
        </is>
      </c>
    </row>
    <row r="30">
      <c r="A30" s="53" t="n">
        <v>44018</v>
      </c>
      <c r="B30" t="inlineStr">
        <is>
          <t>2020-07-06</t>
        </is>
      </c>
      <c r="C30" s="45" t="n">
        <v>1.04577</v>
      </c>
      <c r="D30" t="inlineStr">
        <is>
          <t>€/l</t>
        </is>
      </c>
      <c r="E30" s="54" t="n">
        <v>0.047205</v>
      </c>
      <c r="F30" s="54" t="n">
        <v>0.101729</v>
      </c>
      <c r="G30" t="inlineStr">
        <is>
          <t>original (el Boletín publica con y sin impuestos)</t>
        </is>
      </c>
      <c r="H30" t="inlineStr">
        <is>
          <t>IVA e impuesto sobre hidrocarburos incluidos por la fuente</t>
        </is>
      </c>
      <c r="K30" t="inlineStr">
        <is>
          <t>Weekly_Oil_Bulletin_Prices_History_maticni_4web.xlsx</t>
        </is>
      </c>
    </row>
    <row r="31">
      <c r="A31" s="53" t="n">
        <v>44025</v>
      </c>
      <c r="B31" t="inlineStr">
        <is>
          <t>2020-07-13</t>
        </is>
      </c>
      <c r="C31" s="45" t="n">
        <v>1.0565</v>
      </c>
      <c r="D31" t="inlineStr">
        <is>
          <t>€/l</t>
        </is>
      </c>
      <c r="E31" s="54" t="n">
        <v>0.048068</v>
      </c>
      <c r="F31" s="54" t="n">
        <v>0.102772</v>
      </c>
      <c r="G31" t="inlineStr">
        <is>
          <t>original (el Boletín publica con y sin impuestos)</t>
        </is>
      </c>
      <c r="H31" t="inlineStr">
        <is>
          <t>IVA e impuesto sobre hidrocarburos incluidos por la fuente</t>
        </is>
      </c>
      <c r="K31" t="inlineStr">
        <is>
          <t>Weekly_Oil_Bulletin_Prices_History_maticni_4web.xlsx</t>
        </is>
      </c>
    </row>
    <row r="32">
      <c r="A32" s="53" t="n">
        <v>44032</v>
      </c>
      <c r="B32" t="inlineStr">
        <is>
          <t>2020-07-20</t>
        </is>
      </c>
      <c r="C32" s="45" t="n">
        <v>1.0605</v>
      </c>
      <c r="D32" t="inlineStr">
        <is>
          <t>€/l</t>
        </is>
      </c>
      <c r="E32" s="54" t="n">
        <v>0.04839</v>
      </c>
      <c r="F32" s="54" t="n">
        <v>0.103161</v>
      </c>
      <c r="G32" t="inlineStr">
        <is>
          <t>original (el Boletín publica con y sin impuestos)</t>
        </is>
      </c>
      <c r="H32" t="inlineStr">
        <is>
          <t>IVA e impuesto sobre hidrocarburos incluidos por la fuente</t>
        </is>
      </c>
      <c r="K32" t="inlineStr">
        <is>
          <t>Weekly_Oil_Bulletin_Prices_History_maticni_4web.xlsx</t>
        </is>
      </c>
    </row>
    <row r="33">
      <c r="A33" s="53" t="n">
        <v>44039</v>
      </c>
      <c r="B33" t="inlineStr">
        <is>
          <t>2020-07-27</t>
        </is>
      </c>
      <c r="C33" s="45" t="n">
        <v>1.06304</v>
      </c>
      <c r="D33" t="inlineStr">
        <is>
          <t>€/l</t>
        </is>
      </c>
      <c r="E33" s="54" t="n">
        <v>0.048594</v>
      </c>
      <c r="F33" s="54" t="n">
        <v>0.103409</v>
      </c>
      <c r="G33" t="inlineStr">
        <is>
          <t>original (el Boletín publica con y sin impuestos)</t>
        </is>
      </c>
      <c r="H33" t="inlineStr">
        <is>
          <t>IVA e impuesto sobre hidrocarburos incluidos por la fuente</t>
        </is>
      </c>
      <c r="K33" t="inlineStr">
        <is>
          <t>Weekly_Oil_Bulletin_Prices_History_maticni_4web.xlsx</t>
        </is>
      </c>
    </row>
    <row r="34">
      <c r="A34" s="53" t="n">
        <v>44046</v>
      </c>
      <c r="B34" t="inlineStr">
        <is>
          <t>2020-08-03</t>
        </is>
      </c>
      <c r="C34" s="45" t="n">
        <v>1.06096</v>
      </c>
      <c r="D34" t="inlineStr">
        <is>
          <t>€/l</t>
        </is>
      </c>
      <c r="E34" s="54" t="n">
        <v>0.048427</v>
      </c>
      <c r="F34" s="54" t="n">
        <v>0.103206</v>
      </c>
      <c r="G34" t="inlineStr">
        <is>
          <t>original (el Boletín publica con y sin impuestos)</t>
        </is>
      </c>
      <c r="H34" t="inlineStr">
        <is>
          <t>IVA e impuesto sobre hidrocarburos incluidos por la fuente</t>
        </is>
      </c>
      <c r="K34" t="inlineStr">
        <is>
          <t>Weekly_Oil_Bulletin_Prices_History_maticni_4web.xlsx</t>
        </is>
      </c>
    </row>
    <row r="35">
      <c r="A35" s="53" t="n">
        <v>44053</v>
      </c>
      <c r="B35" t="inlineStr">
        <is>
          <t>2020-08-10</t>
        </is>
      </c>
      <c r="C35" s="45" t="n">
        <v>1.05984</v>
      </c>
      <c r="D35" t="inlineStr">
        <is>
          <t>€/l</t>
        </is>
      </c>
      <c r="E35" s="54" t="n">
        <v>0.048337</v>
      </c>
      <c r="F35" s="54" t="n">
        <v>0.103097</v>
      </c>
      <c r="G35" t="inlineStr">
        <is>
          <t>original (el Boletín publica con y sin impuestos)</t>
        </is>
      </c>
      <c r="H35" t="inlineStr">
        <is>
          <t>IVA e impuesto sobre hidrocarburos incluidos por la fuente</t>
        </is>
      </c>
      <c r="K35" t="inlineStr">
        <is>
          <t>Weekly_Oil_Bulletin_Prices_History_maticni_4web.xlsx</t>
        </is>
      </c>
    </row>
    <row r="36">
      <c r="A36" s="53" t="n">
        <v>44060</v>
      </c>
      <c r="B36" t="inlineStr">
        <is>
          <t>2020-08-17</t>
        </is>
      </c>
      <c r="C36" s="45" t="n">
        <v>1.06122</v>
      </c>
      <c r="D36" t="inlineStr">
        <is>
          <t>€/l</t>
        </is>
      </c>
      <c r="E36" s="54" t="n">
        <v>0.048447</v>
      </c>
      <c r="F36" s="54" t="n">
        <v>0.103232</v>
      </c>
      <c r="G36" t="inlineStr">
        <is>
          <t>original (el Boletín publica con y sin impuestos)</t>
        </is>
      </c>
      <c r="H36" t="inlineStr">
        <is>
          <t>IVA e impuesto sobre hidrocarburos incluidos por la fuente</t>
        </is>
      </c>
      <c r="K36" t="inlineStr">
        <is>
          <t>Weekly_Oil_Bulletin_Prices_History_maticni_4web.xlsx</t>
        </is>
      </c>
    </row>
    <row r="37">
      <c r="A37" s="53" t="n">
        <v>44067</v>
      </c>
      <c r="B37" t="inlineStr">
        <is>
          <t>2020-08-24</t>
        </is>
      </c>
      <c r="C37" s="45" t="n">
        <v>1.06126</v>
      </c>
      <c r="D37" t="inlineStr">
        <is>
          <t>€/l</t>
        </is>
      </c>
      <c r="E37" s="54" t="n">
        <v>0.04845</v>
      </c>
      <c r="F37" s="54" t="n">
        <v>0.103235</v>
      </c>
      <c r="G37" t="inlineStr">
        <is>
          <t>original (el Boletín publica con y sin impuestos)</t>
        </is>
      </c>
      <c r="H37" t="inlineStr">
        <is>
          <t>IVA e impuesto sobre hidrocarburos incluidos por la fuente</t>
        </is>
      </c>
      <c r="K37" t="inlineStr">
        <is>
          <t>Weekly_Oil_Bulletin_Prices_History_maticni_4web.xlsx</t>
        </is>
      </c>
    </row>
    <row r="38">
      <c r="A38" s="53" t="n">
        <v>44074</v>
      </c>
      <c r="B38" t="inlineStr">
        <is>
          <t>2020-08-31</t>
        </is>
      </c>
      <c r="C38" s="45" t="n">
        <v>1.05943</v>
      </c>
      <c r="D38" t="inlineStr">
        <is>
          <t>€/l</t>
        </is>
      </c>
      <c r="E38" s="54" t="n">
        <v>0.048304</v>
      </c>
      <c r="F38" s="54" t="n">
        <v>0.103057</v>
      </c>
      <c r="G38" t="inlineStr">
        <is>
          <t>original (el Boletín publica con y sin impuestos)</t>
        </is>
      </c>
      <c r="H38" t="inlineStr">
        <is>
          <t>IVA e impuesto sobre hidrocarburos incluidos por la fuente</t>
        </is>
      </c>
      <c r="K38" t="inlineStr">
        <is>
          <t>Weekly_Oil_Bulletin_Prices_History_maticni_4web.xlsx</t>
        </is>
      </c>
    </row>
    <row r="39">
      <c r="A39" s="53" t="n">
        <v>44081</v>
      </c>
      <c r="B39" t="inlineStr">
        <is>
          <t>2020-09-07</t>
        </is>
      </c>
      <c r="C39" s="45" t="n">
        <v>1.05479</v>
      </c>
      <c r="D39" t="inlineStr">
        <is>
          <t>€/l</t>
        </is>
      </c>
      <c r="E39" s="54" t="n">
        <v>0.047931</v>
      </c>
      <c r="F39" s="54" t="n">
        <v>0.102606</v>
      </c>
      <c r="G39" t="inlineStr">
        <is>
          <t>original (el Boletín publica con y sin impuestos)</t>
        </is>
      </c>
      <c r="H39" t="inlineStr">
        <is>
          <t>IVA e impuesto sobre hidrocarburos incluidos por la fuente</t>
        </is>
      </c>
      <c r="K39" t="inlineStr">
        <is>
          <t>Weekly_Oil_Bulletin_Prices_History_maticni_4web.xlsx</t>
        </is>
      </c>
    </row>
    <row r="40">
      <c r="A40" s="53" t="n">
        <v>44088</v>
      </c>
      <c r="B40" t="inlineStr">
        <is>
          <t>2020-09-14</t>
        </is>
      </c>
      <c r="C40" s="45" t="n">
        <v>1.04011</v>
      </c>
      <c r="D40" t="inlineStr">
        <is>
          <t>€/l</t>
        </is>
      </c>
      <c r="E40" s="54" t="n">
        <v>0.046751</v>
      </c>
      <c r="F40" s="54" t="n">
        <v>0.101178</v>
      </c>
      <c r="G40" t="inlineStr">
        <is>
          <t>original (el Boletín publica con y sin impuestos)</t>
        </is>
      </c>
      <c r="H40" t="inlineStr">
        <is>
          <t>IVA e impuesto sobre hidrocarburos incluidos por la fuente</t>
        </is>
      </c>
      <c r="K40" t="inlineStr">
        <is>
          <t>Weekly_Oil_Bulletin_Prices_History_maticni_4web.xlsx</t>
        </is>
      </c>
    </row>
    <row r="41">
      <c r="A41" s="53" t="n">
        <v>44095</v>
      </c>
      <c r="B41" t="inlineStr">
        <is>
          <t>2020-09-21</t>
        </is>
      </c>
      <c r="C41" s="45" t="n">
        <v>1.03385</v>
      </c>
      <c r="D41" t="inlineStr">
        <is>
          <t>€/l</t>
        </is>
      </c>
      <c r="E41" s="54" t="n">
        <v>0.046247</v>
      </c>
      <c r="F41" s="54" t="n">
        <v>0.100569</v>
      </c>
      <c r="G41" t="inlineStr">
        <is>
          <t>original (el Boletín publica con y sin impuestos)</t>
        </is>
      </c>
      <c r="H41" t="inlineStr">
        <is>
          <t>IVA e impuesto sobre hidrocarburos incluidos por la fuente</t>
        </is>
      </c>
      <c r="K41" t="inlineStr">
        <is>
          <t>Weekly_Oil_Bulletin_Prices_History_maticni_4web.xlsx</t>
        </is>
      </c>
    </row>
    <row r="42">
      <c r="A42" s="53" t="n">
        <v>44102</v>
      </c>
      <c r="B42" t="inlineStr">
        <is>
          <t>2020-09-28</t>
        </is>
      </c>
      <c r="C42" s="45" t="n">
        <v>1.03046</v>
      </c>
      <c r="D42" t="inlineStr">
        <is>
          <t>€/l</t>
        </is>
      </c>
      <c r="E42" s="54" t="n">
        <v>0.045975</v>
      </c>
      <c r="F42" s="54" t="n">
        <v>0.100239</v>
      </c>
      <c r="G42" t="inlineStr">
        <is>
          <t>original (el Boletín publica con y sin impuestos)</t>
        </is>
      </c>
      <c r="H42" t="inlineStr">
        <is>
          <t>IVA e impuesto sobre hidrocarburos incluidos por la fuente</t>
        </is>
      </c>
      <c r="K42" t="inlineStr">
        <is>
          <t>Weekly_Oil_Bulletin_Prices_History_maticni_4web.xlsx</t>
        </is>
      </c>
    </row>
    <row r="43">
      <c r="A43" s="53" t="n">
        <v>44109</v>
      </c>
      <c r="B43" t="inlineStr">
        <is>
          <t>2020-10-05</t>
        </is>
      </c>
      <c r="C43" s="45" t="n">
        <v>1.02893</v>
      </c>
      <c r="D43" t="inlineStr">
        <is>
          <t>€/l</t>
        </is>
      </c>
      <c r="E43" s="54" t="n">
        <v>0.045852</v>
      </c>
      <c r="F43" s="54" t="n">
        <v>0.10009</v>
      </c>
      <c r="G43" t="inlineStr">
        <is>
          <t>original (el Boletín publica con y sin impuestos)</t>
        </is>
      </c>
      <c r="H43" t="inlineStr">
        <is>
          <t>IVA e impuesto sobre hidrocarburos incluidos por la fuente</t>
        </is>
      </c>
      <c r="K43" t="inlineStr">
        <is>
          <t>Weekly_Oil_Bulletin_Prices_History_maticni_4web.xlsx</t>
        </is>
      </c>
    </row>
    <row r="44">
      <c r="A44" s="53" t="n">
        <v>44116</v>
      </c>
      <c r="B44" t="inlineStr">
        <is>
          <t>2020-10-12</t>
        </is>
      </c>
      <c r="C44" s="45" t="n">
        <v>1.02987</v>
      </c>
      <c r="D44" t="inlineStr">
        <is>
          <t>€/l</t>
        </is>
      </c>
      <c r="E44" s="54" t="n">
        <v>0.045927</v>
      </c>
      <c r="F44" s="54" t="n">
        <v>0.100182</v>
      </c>
      <c r="G44" t="inlineStr">
        <is>
          <t>original (el Boletín publica con y sin impuestos)</t>
        </is>
      </c>
      <c r="H44" t="inlineStr">
        <is>
          <t>IVA e impuesto sobre hidrocarburos incluidos por la fuente</t>
        </is>
      </c>
      <c r="K44" t="inlineStr">
        <is>
          <t>Weekly_Oil_Bulletin_Prices_History_maticni_4web.xlsx</t>
        </is>
      </c>
    </row>
    <row r="45">
      <c r="A45" s="53" t="n">
        <v>44123</v>
      </c>
      <c r="B45" t="inlineStr">
        <is>
          <t>2020-10-19</t>
        </is>
      </c>
      <c r="C45" s="45" t="n">
        <v>1.02992</v>
      </c>
      <c r="D45" t="inlineStr">
        <is>
          <t>€/l</t>
        </is>
      </c>
      <c r="E45" s="54" t="n">
        <v>0.045931</v>
      </c>
      <c r="F45" s="54" t="n">
        <v>0.100187</v>
      </c>
      <c r="G45" t="inlineStr">
        <is>
          <t>original (el Boletín publica con y sin impuestos)</t>
        </is>
      </c>
      <c r="H45" t="inlineStr">
        <is>
          <t>IVA e impuesto sobre hidrocarburos incluidos por la fuente</t>
        </is>
      </c>
      <c r="K45" t="inlineStr">
        <is>
          <t>Weekly_Oil_Bulletin_Prices_History_maticni_4web.xlsx</t>
        </is>
      </c>
    </row>
    <row r="46">
      <c r="A46" s="53" t="n">
        <v>44130</v>
      </c>
      <c r="B46" t="inlineStr">
        <is>
          <t>2020-10-26</t>
        </is>
      </c>
      <c r="C46" s="45" t="n">
        <v>1.02558</v>
      </c>
      <c r="D46" t="inlineStr">
        <is>
          <t>€/l</t>
        </is>
      </c>
      <c r="E46" s="54" t="n">
        <v>0.045583</v>
      </c>
      <c r="F46" s="54" t="n">
        <v>0.09976500000000001</v>
      </c>
      <c r="G46" t="inlineStr">
        <is>
          <t>original (el Boletín publica con y sin impuestos)</t>
        </is>
      </c>
      <c r="H46" t="inlineStr">
        <is>
          <t>IVA e impuesto sobre hidrocarburos incluidos por la fuente</t>
        </is>
      </c>
      <c r="K46" t="inlineStr">
        <is>
          <t>Weekly_Oil_Bulletin_Prices_History_maticni_4web.xlsx</t>
        </is>
      </c>
    </row>
    <row r="47">
      <c r="A47" s="53" t="n">
        <v>44137</v>
      </c>
      <c r="B47" t="inlineStr">
        <is>
          <t>2020-11-02</t>
        </is>
      </c>
      <c r="C47" s="45" t="n">
        <v>1.01754</v>
      </c>
      <c r="D47" t="inlineStr">
        <is>
          <t>€/l</t>
        </is>
      </c>
      <c r="E47" s="54" t="n">
        <v>0.044936</v>
      </c>
      <c r="F47" s="54" t="n">
        <v>0.098982</v>
      </c>
      <c r="G47" t="inlineStr">
        <is>
          <t>original (el Boletín publica con y sin impuestos)</t>
        </is>
      </c>
      <c r="H47" t="inlineStr">
        <is>
          <t>IVA e impuesto sobre hidrocarburos incluidos por la fuente</t>
        </is>
      </c>
      <c r="K47" t="inlineStr">
        <is>
          <t>Weekly_Oil_Bulletin_Prices_History_maticni_4web.xlsx</t>
        </is>
      </c>
    </row>
    <row r="48">
      <c r="A48" s="53" t="n">
        <v>44144</v>
      </c>
      <c r="B48" t="inlineStr">
        <is>
          <t>2020-11-09</t>
        </is>
      </c>
      <c r="C48" s="45" t="n">
        <v>1.01427</v>
      </c>
      <c r="D48" t="inlineStr">
        <is>
          <t>€/l</t>
        </is>
      </c>
      <c r="E48" s="54" t="n">
        <v>0.044673</v>
      </c>
      <c r="F48" s="54" t="n">
        <v>0.098664</v>
      </c>
      <c r="G48" t="inlineStr">
        <is>
          <t>original (el Boletín publica con y sin impuestos)</t>
        </is>
      </c>
      <c r="H48" t="inlineStr">
        <is>
          <t>IVA e impuesto sobre hidrocarburos incluidos por la fuente</t>
        </is>
      </c>
      <c r="K48" t="inlineStr">
        <is>
          <t>Weekly_Oil_Bulletin_Prices_History_maticni_4web.xlsx</t>
        </is>
      </c>
    </row>
    <row r="49">
      <c r="A49" s="53" t="n">
        <v>44151</v>
      </c>
      <c r="B49" t="inlineStr">
        <is>
          <t>2020-11-16</t>
        </is>
      </c>
      <c r="C49" s="45" t="n">
        <v>1.02485</v>
      </c>
      <c r="D49" t="inlineStr">
        <is>
          <t>€/l</t>
        </is>
      </c>
      <c r="E49" s="54" t="n">
        <v>0.045523</v>
      </c>
      <c r="F49" s="54" t="n">
        <v>0.099694</v>
      </c>
      <c r="G49" t="inlineStr">
        <is>
          <t>original (el Boletín publica con y sin impuestos)</t>
        </is>
      </c>
      <c r="H49" t="inlineStr">
        <is>
          <t>IVA e impuesto sobre hidrocarburos incluidos por la fuente</t>
        </is>
      </c>
      <c r="K49" t="inlineStr">
        <is>
          <t>Weekly_Oil_Bulletin_Prices_History_maticni_4web.xlsx</t>
        </is>
      </c>
    </row>
    <row r="50">
      <c r="A50" s="53" t="n">
        <v>44158</v>
      </c>
      <c r="B50" t="inlineStr">
        <is>
          <t>2020-11-23</t>
        </is>
      </c>
      <c r="C50" s="45" t="n">
        <v>1.03186</v>
      </c>
      <c r="D50" t="inlineStr">
        <is>
          <t>€/l</t>
        </is>
      </c>
      <c r="E50" s="54" t="n">
        <v>0.046088</v>
      </c>
      <c r="F50" s="54" t="n">
        <v>0.100375</v>
      </c>
      <c r="G50" t="inlineStr">
        <is>
          <t>original (el Boletín publica con y sin impuestos)</t>
        </is>
      </c>
      <c r="H50" t="inlineStr">
        <is>
          <t>IVA e impuesto sobre hidrocarburos incluidos por la fuente</t>
        </is>
      </c>
      <c r="K50" t="inlineStr">
        <is>
          <t>Weekly_Oil_Bulletin_Prices_History_maticni_4web.xlsx</t>
        </is>
      </c>
    </row>
    <row r="51">
      <c r="A51" s="53" t="n">
        <v>44165</v>
      </c>
      <c r="B51" t="inlineStr">
        <is>
          <t>2020-11-30</t>
        </is>
      </c>
      <c r="C51" s="45" t="n">
        <v>1.04321</v>
      </c>
      <c r="D51" t="inlineStr">
        <is>
          <t>€/l</t>
        </is>
      </c>
      <c r="E51" s="54" t="n">
        <v>0.047</v>
      </c>
      <c r="F51" s="54" t="n">
        <v>0.10148</v>
      </c>
      <c r="G51" t="inlineStr">
        <is>
          <t>original (el Boletín publica con y sin impuestos)</t>
        </is>
      </c>
      <c r="H51" t="inlineStr">
        <is>
          <t>IVA e impuesto sobre hidrocarburos incluidos por la fuente</t>
        </is>
      </c>
      <c r="K51" t="inlineStr">
        <is>
          <t>Weekly_Oil_Bulletin_Prices_History_maticni_4web.xlsx</t>
        </is>
      </c>
    </row>
    <row r="52">
      <c r="A52" s="53" t="n">
        <v>44172</v>
      </c>
      <c r="B52" t="inlineStr">
        <is>
          <t>2020-12-07</t>
        </is>
      </c>
      <c r="C52" s="45" t="n">
        <v>1.04853</v>
      </c>
      <c r="D52" t="inlineStr">
        <is>
          <t>€/l</t>
        </is>
      </c>
      <c r="E52" s="54" t="n">
        <v>0.047427</v>
      </c>
      <c r="F52" s="54" t="n">
        <v>0.101997</v>
      </c>
      <c r="G52" t="inlineStr">
        <is>
          <t>original (el Boletín publica con y sin impuestos)</t>
        </is>
      </c>
      <c r="H52" t="inlineStr">
        <is>
          <t>IVA e impuesto sobre hidrocarburos incluidos por la fuente</t>
        </is>
      </c>
      <c r="K52" t="inlineStr">
        <is>
          <t>Weekly_Oil_Bulletin_Prices_History_maticni_4web.xlsx</t>
        </is>
      </c>
    </row>
    <row r="53">
      <c r="A53" s="53" t="n">
        <v>44179</v>
      </c>
      <c r="B53" t="inlineStr">
        <is>
          <t>2020-12-14</t>
        </is>
      </c>
      <c r="C53" s="45" t="n">
        <v>1.05785</v>
      </c>
      <c r="D53" t="inlineStr">
        <is>
          <t>€/l</t>
        </is>
      </c>
      <c r="E53" s="54" t="n">
        <v>0.048177</v>
      </c>
      <c r="F53" s="54" t="n">
        <v>0.102904</v>
      </c>
      <c r="G53" t="inlineStr">
        <is>
          <t>original (el Boletín publica con y sin impuestos)</t>
        </is>
      </c>
      <c r="H53" t="inlineStr">
        <is>
          <t>IVA e impuesto sobre hidrocarburos incluidos por la fuente</t>
        </is>
      </c>
      <c r="K53" t="inlineStr">
        <is>
          <t>Weekly_Oil_Bulletin_Prices_History_maticni_4web.xlsx</t>
        </is>
      </c>
    </row>
    <row r="54">
      <c r="A54" s="53" t="n">
        <v>44186</v>
      </c>
      <c r="B54" t="inlineStr">
        <is>
          <t>2020-12-21</t>
        </is>
      </c>
      <c r="C54" s="45" t="n">
        <v>1.06901</v>
      </c>
      <c r="D54" t="inlineStr">
        <is>
          <t>€/l</t>
        </is>
      </c>
      <c r="E54" s="54" t="n">
        <v>0.049074</v>
      </c>
      <c r="F54" s="54" t="n">
        <v>0.103989</v>
      </c>
      <c r="G54" t="inlineStr">
        <is>
          <t>original (el Boletín publica con y sin impuestos)</t>
        </is>
      </c>
      <c r="H54" t="inlineStr">
        <is>
          <t>IVA e impuesto sobre hidrocarburos incluidos por la fuente</t>
        </is>
      </c>
      <c r="K54" t="inlineStr">
        <is>
          <t>Weekly_Oil_Bulletin_Prices_History_maticni_4web.xlsx</t>
        </is>
      </c>
    </row>
    <row r="55">
      <c r="A55" s="53" t="n">
        <v>44207</v>
      </c>
      <c r="B55" t="inlineStr">
        <is>
          <t>2021-01-11</t>
        </is>
      </c>
      <c r="C55" s="45" t="n">
        <v>1.08533</v>
      </c>
      <c r="D55" t="inlineStr">
        <is>
          <t>€/l</t>
        </is>
      </c>
      <c r="E55" s="54" t="n">
        <v>0.050386</v>
      </c>
      <c r="F55" s="54" t="n">
        <v>0.105577</v>
      </c>
      <c r="G55" t="inlineStr">
        <is>
          <t>original (el Boletín publica con y sin impuestos)</t>
        </is>
      </c>
      <c r="H55" t="inlineStr">
        <is>
          <t>IVA e impuesto sobre hidrocarburos incluidos por la fuente</t>
        </is>
      </c>
      <c r="K55" t="inlineStr">
        <is>
          <t>Weekly_Oil_Bulletin_Prices_History_maticni_4web.xlsx</t>
        </is>
      </c>
    </row>
    <row r="56">
      <c r="A56" s="53" t="n">
        <v>44214</v>
      </c>
      <c r="B56" t="inlineStr">
        <is>
          <t>2021-01-18</t>
        </is>
      </c>
      <c r="C56" s="45" t="n">
        <v>1.09919</v>
      </c>
      <c r="D56" t="inlineStr">
        <is>
          <t>€/l</t>
        </is>
      </c>
      <c r="E56" s="54" t="n">
        <v>0.0515</v>
      </c>
      <c r="F56" s="54" t="n">
        <v>0.106925</v>
      </c>
      <c r="G56" t="inlineStr">
        <is>
          <t>original (el Boletín publica con y sin impuestos)</t>
        </is>
      </c>
      <c r="H56" t="inlineStr">
        <is>
          <t>IVA e impuesto sobre hidrocarburos incluidos por la fuente</t>
        </is>
      </c>
      <c r="K56" t="inlineStr">
        <is>
          <t>Weekly_Oil_Bulletin_Prices_History_maticni_4web.xlsx</t>
        </is>
      </c>
    </row>
    <row r="57">
      <c r="A57" s="53" t="n">
        <v>44221</v>
      </c>
      <c r="B57" t="inlineStr">
        <is>
          <t>2021-01-25</t>
        </is>
      </c>
      <c r="C57" s="45" t="n">
        <v>1.10661</v>
      </c>
      <c r="D57" t="inlineStr">
        <is>
          <t>€/l</t>
        </is>
      </c>
      <c r="E57" s="54" t="n">
        <v>0.052096</v>
      </c>
      <c r="F57" s="54" t="n">
        <v>0.107647</v>
      </c>
      <c r="G57" t="inlineStr">
        <is>
          <t>original (el Boletín publica con y sin impuestos)</t>
        </is>
      </c>
      <c r="H57" t="inlineStr">
        <is>
          <t>IVA e impuesto sobre hidrocarburos incluidos por la fuente</t>
        </is>
      </c>
      <c r="K57" t="inlineStr">
        <is>
          <t>Weekly_Oil_Bulletin_Prices_History_maticni_4web.xlsx</t>
        </is>
      </c>
    </row>
    <row r="58">
      <c r="A58" s="53" t="n">
        <v>44228</v>
      </c>
      <c r="B58" t="inlineStr">
        <is>
          <t>2021-02-01</t>
        </is>
      </c>
      <c r="C58" s="45" t="n">
        <v>1.10817</v>
      </c>
      <c r="D58" t="inlineStr">
        <is>
          <t>€/l</t>
        </is>
      </c>
      <c r="E58" s="54" t="n">
        <v>0.052222</v>
      </c>
      <c r="F58" s="54" t="n">
        <v>0.107799</v>
      </c>
      <c r="G58" t="inlineStr">
        <is>
          <t>original (el Boletín publica con y sin impuestos)</t>
        </is>
      </c>
      <c r="H58" t="inlineStr">
        <is>
          <t>IVA e impuesto sobre hidrocarburos incluidos por la fuente</t>
        </is>
      </c>
      <c r="K58" t="inlineStr">
        <is>
          <t>Weekly_Oil_Bulletin_Prices_History_maticni_4web.xlsx</t>
        </is>
      </c>
    </row>
    <row r="59">
      <c r="A59" s="53" t="n">
        <v>44235</v>
      </c>
      <c r="B59" t="inlineStr">
        <is>
          <t>2021-02-08</t>
        </is>
      </c>
      <c r="C59" s="45" t="n">
        <v>1.1193</v>
      </c>
      <c r="D59" t="inlineStr">
        <is>
          <t>€/l</t>
        </is>
      </c>
      <c r="E59" s="54" t="n">
        <v>0.053117</v>
      </c>
      <c r="F59" s="54" t="n">
        <v>0.108881</v>
      </c>
      <c r="G59" t="inlineStr">
        <is>
          <t>original (el Boletín publica con y sin impuestos)</t>
        </is>
      </c>
      <c r="H59" t="inlineStr">
        <is>
          <t>IVA e impuesto sobre hidrocarburos incluidos por la fuente</t>
        </is>
      </c>
      <c r="K59" t="inlineStr">
        <is>
          <t>Weekly_Oil_Bulletin_Prices_History_maticni_4web.xlsx</t>
        </is>
      </c>
    </row>
    <row r="60">
      <c r="A60" s="53" t="n">
        <v>44242</v>
      </c>
      <c r="B60" t="inlineStr">
        <is>
          <t>2021-02-15</t>
        </is>
      </c>
      <c r="C60" s="45" t="n">
        <v>1.13367</v>
      </c>
      <c r="D60" t="inlineStr">
        <is>
          <t>€/l</t>
        </is>
      </c>
      <c r="E60" s="54" t="n">
        <v>0.054272</v>
      </c>
      <c r="F60" s="54" t="n">
        <v>0.110279</v>
      </c>
      <c r="G60" t="inlineStr">
        <is>
          <t>original (el Boletín publica con y sin impuestos)</t>
        </is>
      </c>
      <c r="H60" t="inlineStr">
        <is>
          <t>IVA e impuesto sobre hidrocarburos incluidos por la fuente</t>
        </is>
      </c>
      <c r="K60" t="inlineStr">
        <is>
          <t>Weekly_Oil_Bulletin_Prices_History_maticni_4web.xlsx</t>
        </is>
      </c>
    </row>
    <row r="61">
      <c r="A61" s="53" t="n">
        <v>44249</v>
      </c>
      <c r="B61" t="inlineStr">
        <is>
          <t>2021-02-22</t>
        </is>
      </c>
      <c r="C61" s="45" t="n">
        <v>1.15063</v>
      </c>
      <c r="D61" t="inlineStr">
        <is>
          <t>€/l</t>
        </is>
      </c>
      <c r="E61" s="54" t="n">
        <v>0.055635</v>
      </c>
      <c r="F61" s="54" t="n">
        <v>0.111929</v>
      </c>
      <c r="G61" t="inlineStr">
        <is>
          <t>original (el Boletín publica con y sin impuestos)</t>
        </is>
      </c>
      <c r="H61" t="inlineStr">
        <is>
          <t>IVA e impuesto sobre hidrocarburos incluidos por la fuente</t>
        </is>
      </c>
      <c r="K61" t="inlineStr">
        <is>
          <t>Weekly_Oil_Bulletin_Prices_History_maticni_4web.xlsx</t>
        </is>
      </c>
    </row>
    <row r="62">
      <c r="A62" s="53" t="n">
        <v>44256</v>
      </c>
      <c r="B62" t="inlineStr">
        <is>
          <t>2021-03-01</t>
        </is>
      </c>
      <c r="C62" s="45" t="n">
        <v>1.16515</v>
      </c>
      <c r="D62" t="inlineStr">
        <is>
          <t>€/l</t>
        </is>
      </c>
      <c r="E62" s="54" t="n">
        <v>0.056803</v>
      </c>
      <c r="F62" s="54" t="n">
        <v>0.113341</v>
      </c>
      <c r="G62" t="inlineStr">
        <is>
          <t>original (el Boletín publica con y sin impuestos)</t>
        </is>
      </c>
      <c r="H62" t="inlineStr">
        <is>
          <t>IVA e impuesto sobre hidrocarburos incluidos por la fuente</t>
        </is>
      </c>
      <c r="K62" t="inlineStr">
        <is>
          <t>Weekly_Oil_Bulletin_Prices_History_maticni_4web.xlsx</t>
        </is>
      </c>
    </row>
    <row r="63">
      <c r="A63" s="53" t="n">
        <v>44263</v>
      </c>
      <c r="B63" t="inlineStr">
        <is>
          <t>2021-03-08</t>
        </is>
      </c>
      <c r="C63" s="45" t="n">
        <v>1.17329</v>
      </c>
      <c r="D63" t="inlineStr">
        <is>
          <t>€/l</t>
        </is>
      </c>
      <c r="E63" s="54" t="n">
        <v>0.057457</v>
      </c>
      <c r="F63" s="54" t="n">
        <v>0.114133</v>
      </c>
      <c r="G63" t="inlineStr">
        <is>
          <t>original (el Boletín publica con y sin impuestos)</t>
        </is>
      </c>
      <c r="H63" t="inlineStr">
        <is>
          <t>IVA e impuesto sobre hidrocarburos incluidos por la fuente</t>
        </is>
      </c>
      <c r="K63" t="inlineStr">
        <is>
          <t>Weekly_Oil_Bulletin_Prices_History_maticni_4web.xlsx</t>
        </is>
      </c>
    </row>
    <row r="64">
      <c r="A64" s="53" t="n">
        <v>44270</v>
      </c>
      <c r="B64" t="inlineStr">
        <is>
          <t>2021-03-15</t>
        </is>
      </c>
      <c r="C64" s="45" t="n">
        <v>1.18735</v>
      </c>
      <c r="D64" t="inlineStr">
        <is>
          <t>€/l</t>
        </is>
      </c>
      <c r="E64" s="54" t="n">
        <v>0.058588</v>
      </c>
      <c r="F64" s="54" t="n">
        <v>0.115501</v>
      </c>
      <c r="G64" t="inlineStr">
        <is>
          <t>original (el Boletín publica con y sin impuestos)</t>
        </is>
      </c>
      <c r="H64" t="inlineStr">
        <is>
          <t>IVA e impuesto sobre hidrocarburos incluidos por la fuente</t>
        </is>
      </c>
      <c r="K64" t="inlineStr">
        <is>
          <t>Weekly_Oil_Bulletin_Prices_History_maticni_4web.xlsx</t>
        </is>
      </c>
    </row>
    <row r="65">
      <c r="A65" s="53" t="n">
        <v>44277</v>
      </c>
      <c r="B65" t="inlineStr">
        <is>
          <t>2021-03-22</t>
        </is>
      </c>
      <c r="C65" s="45" t="n">
        <v>1.19273</v>
      </c>
      <c r="D65" t="inlineStr">
        <is>
          <t>€/l</t>
        </is>
      </c>
      <c r="E65" s="54" t="n">
        <v>0.05902</v>
      </c>
      <c r="F65" s="54" t="n">
        <v>0.116024</v>
      </c>
      <c r="G65" t="inlineStr">
        <is>
          <t>original (el Boletín publica con y sin impuestos)</t>
        </is>
      </c>
      <c r="H65" t="inlineStr">
        <is>
          <t>IVA e impuesto sobre hidrocarburos incluidos por la fuente</t>
        </is>
      </c>
      <c r="K65" t="inlineStr">
        <is>
          <t>Weekly_Oil_Bulletin_Prices_History_maticni_4web.xlsx</t>
        </is>
      </c>
    </row>
    <row r="66">
      <c r="A66" s="53" t="n">
        <v>44284</v>
      </c>
      <c r="B66" t="inlineStr">
        <is>
          <t>2021-03-29</t>
        </is>
      </c>
      <c r="C66" s="45" t="n">
        <v>1.18425</v>
      </c>
      <c r="D66" t="inlineStr">
        <is>
          <t>€/l</t>
        </is>
      </c>
      <c r="E66" s="54" t="n">
        <v>0.058339</v>
      </c>
      <c r="F66" s="54" t="n">
        <v>0.115199</v>
      </c>
      <c r="G66" t="inlineStr">
        <is>
          <t>original (el Boletín publica con y sin impuestos)</t>
        </is>
      </c>
      <c r="H66" t="inlineStr">
        <is>
          <t>IVA e impuesto sobre hidrocarburos incluidos por la fuente</t>
        </is>
      </c>
      <c r="K66" t="inlineStr">
        <is>
          <t>Weekly_Oil_Bulletin_Prices_History_maticni_4web.xlsx</t>
        </is>
      </c>
    </row>
    <row r="67">
      <c r="A67" s="53" t="n">
        <v>44298</v>
      </c>
      <c r="B67" t="inlineStr">
        <is>
          <t>2021-04-12</t>
        </is>
      </c>
      <c r="C67" s="45" t="n">
        <v>1.17902</v>
      </c>
      <c r="D67" t="inlineStr">
        <is>
          <t>€/l</t>
        </is>
      </c>
      <c r="E67" s="54" t="n">
        <v>0.057918</v>
      </c>
      <c r="F67" s="54" t="n">
        <v>0.114691</v>
      </c>
      <c r="G67" t="inlineStr">
        <is>
          <t>original (el Boletín publica con y sin impuestos)</t>
        </is>
      </c>
      <c r="H67" t="inlineStr">
        <is>
          <t>IVA e impuesto sobre hidrocarburos incluidos por la fuente</t>
        </is>
      </c>
      <c r="K67" t="inlineStr">
        <is>
          <t>Weekly_Oil_Bulletin_Prices_History_maticni_4web.xlsx</t>
        </is>
      </c>
    </row>
    <row r="68">
      <c r="A68" s="53" t="n">
        <v>44305</v>
      </c>
      <c r="B68" t="inlineStr">
        <is>
          <t>2021-04-19</t>
        </is>
      </c>
      <c r="C68" s="45" t="n">
        <v>1.17982</v>
      </c>
      <c r="D68" t="inlineStr">
        <is>
          <t>€/l</t>
        </is>
      </c>
      <c r="E68" s="54" t="n">
        <v>0.057982</v>
      </c>
      <c r="F68" s="54" t="n">
        <v>0.114768</v>
      </c>
      <c r="G68" t="inlineStr">
        <is>
          <t>original (el Boletín publica con y sin impuestos)</t>
        </is>
      </c>
      <c r="H68" t="inlineStr">
        <is>
          <t>IVA e impuesto sobre hidrocarburos incluidos por la fuente</t>
        </is>
      </c>
      <c r="K68" t="inlineStr">
        <is>
          <t>Weekly_Oil_Bulletin_Prices_History_maticni_4web.xlsx</t>
        </is>
      </c>
    </row>
    <row r="69">
      <c r="A69" s="53" t="n">
        <v>44312</v>
      </c>
      <c r="B69" t="inlineStr">
        <is>
          <t>2021-04-26</t>
        </is>
      </c>
      <c r="C69" s="45" t="n">
        <v>1.18348</v>
      </c>
      <c r="D69" t="inlineStr">
        <is>
          <t>€/l</t>
        </is>
      </c>
      <c r="E69" s="54" t="n">
        <v>0.058276</v>
      </c>
      <c r="F69" s="54" t="n">
        <v>0.115125</v>
      </c>
      <c r="G69" t="inlineStr">
        <is>
          <t>original (el Boletín publica con y sin impuestos)</t>
        </is>
      </c>
      <c r="H69" t="inlineStr">
        <is>
          <t>IVA e impuesto sobre hidrocarburos incluidos por la fuente</t>
        </is>
      </c>
      <c r="K69" t="inlineStr">
        <is>
          <t>Weekly_Oil_Bulletin_Prices_History_maticni_4web.xlsx</t>
        </is>
      </c>
    </row>
    <row r="70">
      <c r="A70" s="53" t="n">
        <v>44319</v>
      </c>
      <c r="B70" t="inlineStr">
        <is>
          <t>2021-05-03</t>
        </is>
      </c>
      <c r="C70" s="45" t="n">
        <v>1.18829</v>
      </c>
      <c r="D70" t="inlineStr">
        <is>
          <t>€/l</t>
        </is>
      </c>
      <c r="E70" s="54" t="n">
        <v>0.058663</v>
      </c>
      <c r="F70" s="54" t="n">
        <v>0.115592</v>
      </c>
      <c r="G70" t="inlineStr">
        <is>
          <t>original (el Boletín publica con y sin impuestos)</t>
        </is>
      </c>
      <c r="H70" t="inlineStr">
        <is>
          <t>IVA e impuesto sobre hidrocarburos incluidos por la fuente</t>
        </is>
      </c>
      <c r="K70" t="inlineStr">
        <is>
          <t>Weekly_Oil_Bulletin_Prices_History_maticni_4web.xlsx</t>
        </is>
      </c>
    </row>
    <row r="71">
      <c r="A71" s="53" t="n">
        <v>44326</v>
      </c>
      <c r="B71" t="inlineStr">
        <is>
          <t>2021-05-10</t>
        </is>
      </c>
      <c r="C71" s="45" t="n">
        <v>1.1998</v>
      </c>
      <c r="D71" t="inlineStr">
        <is>
          <t>€/l</t>
        </is>
      </c>
      <c r="E71" s="54" t="n">
        <v>0.059589</v>
      </c>
      <c r="F71" s="54" t="n">
        <v>0.116712</v>
      </c>
      <c r="G71" t="inlineStr">
        <is>
          <t>original (el Boletín publica con y sin impuestos)</t>
        </is>
      </c>
      <c r="H71" t="inlineStr">
        <is>
          <t>IVA e impuesto sobre hidrocarburos incluidos por la fuente</t>
        </is>
      </c>
      <c r="K71" t="inlineStr">
        <is>
          <t>Weekly_Oil_Bulletin_Prices_History_maticni_4web.xlsx</t>
        </is>
      </c>
    </row>
    <row r="72">
      <c r="A72" s="53" t="n">
        <v>44333</v>
      </c>
      <c r="B72" t="inlineStr">
        <is>
          <t>2021-05-17</t>
        </is>
      </c>
      <c r="C72" s="45" t="n">
        <v>1.208</v>
      </c>
      <c r="D72" t="inlineStr">
        <is>
          <t>€/l</t>
        </is>
      </c>
      <c r="E72" s="54" t="n">
        <v>0.060248</v>
      </c>
      <c r="F72" s="54" t="n">
        <v>0.11751</v>
      </c>
      <c r="G72" t="inlineStr">
        <is>
          <t>original (el Boletín publica con y sin impuestos)</t>
        </is>
      </c>
      <c r="H72" t="inlineStr">
        <is>
          <t>IVA e impuesto sobre hidrocarburos incluidos por la fuente</t>
        </is>
      </c>
      <c r="K72" t="inlineStr">
        <is>
          <t>Weekly_Oil_Bulletin_Prices_History_maticni_4web.xlsx</t>
        </is>
      </c>
    </row>
    <row r="73">
      <c r="A73" s="53" t="n">
        <v>44340</v>
      </c>
      <c r="B73" t="inlineStr">
        <is>
          <t>2021-05-24</t>
        </is>
      </c>
      <c r="C73" s="45" t="n">
        <v>1.21066</v>
      </c>
      <c r="D73" t="inlineStr">
        <is>
          <t>€/l</t>
        </is>
      </c>
      <c r="E73" s="54" t="n">
        <v>0.060462</v>
      </c>
      <c r="F73" s="54" t="n">
        <v>0.117768</v>
      </c>
      <c r="G73" t="inlineStr">
        <is>
          <t>original (el Boletín publica con y sin impuestos)</t>
        </is>
      </c>
      <c r="H73" t="inlineStr">
        <is>
          <t>IVA e impuesto sobre hidrocarburos incluidos por la fuente</t>
        </is>
      </c>
      <c r="K73" t="inlineStr">
        <is>
          <t>Weekly_Oil_Bulletin_Prices_History_maticni_4web.xlsx</t>
        </is>
      </c>
    </row>
    <row r="74">
      <c r="A74" s="53" t="n">
        <v>44347</v>
      </c>
      <c r="B74" t="inlineStr">
        <is>
          <t>2021-05-31</t>
        </is>
      </c>
      <c r="C74" s="45" t="n">
        <v>1.21241</v>
      </c>
      <c r="D74" t="inlineStr">
        <is>
          <t>€/l</t>
        </is>
      </c>
      <c r="E74" s="54" t="n">
        <v>0.060602</v>
      </c>
      <c r="F74" s="54" t="n">
        <v>0.117939</v>
      </c>
      <c r="G74" t="inlineStr">
        <is>
          <t>original (el Boletín publica con y sin impuestos)</t>
        </is>
      </c>
      <c r="H74" t="inlineStr">
        <is>
          <t>IVA e impuesto sobre hidrocarburos incluidos por la fuente</t>
        </is>
      </c>
      <c r="K74" t="inlineStr">
        <is>
          <t>Weekly_Oil_Bulletin_Prices_History_maticni_4web.xlsx</t>
        </is>
      </c>
    </row>
    <row r="75">
      <c r="A75" s="53" t="n">
        <v>44354</v>
      </c>
      <c r="B75" t="inlineStr">
        <is>
          <t>2021-06-07</t>
        </is>
      </c>
      <c r="C75" s="45" t="n">
        <v>1.22129</v>
      </c>
      <c r="D75" t="inlineStr">
        <is>
          <t>€/l</t>
        </is>
      </c>
      <c r="E75" s="54" t="n">
        <v>0.061316</v>
      </c>
      <c r="F75" s="54" t="n">
        <v>0.118803</v>
      </c>
      <c r="G75" t="inlineStr">
        <is>
          <t>original (el Boletín publica con y sin impuestos)</t>
        </is>
      </c>
      <c r="H75" t="inlineStr">
        <is>
          <t>IVA e impuesto sobre hidrocarburos incluidos por la fuente</t>
        </is>
      </c>
      <c r="K75" t="inlineStr">
        <is>
          <t>Weekly_Oil_Bulletin_Prices_History_maticni_4web.xlsx</t>
        </is>
      </c>
    </row>
    <row r="76">
      <c r="A76" s="53" t="n">
        <v>44361</v>
      </c>
      <c r="B76" t="inlineStr">
        <is>
          <t>2021-06-14</t>
        </is>
      </c>
      <c r="C76" s="45" t="n">
        <v>1.23168</v>
      </c>
      <c r="D76" t="inlineStr">
        <is>
          <t>€/l</t>
        </is>
      </c>
      <c r="E76" s="54" t="n">
        <v>0.062152</v>
      </c>
      <c r="F76" s="54" t="n">
        <v>0.119813</v>
      </c>
      <c r="G76" t="inlineStr">
        <is>
          <t>original (el Boletín publica con y sin impuestos)</t>
        </is>
      </c>
      <c r="H76" t="inlineStr">
        <is>
          <t>IVA e impuesto sobre hidrocarburos incluidos por la fuente</t>
        </is>
      </c>
      <c r="K76" t="inlineStr">
        <is>
          <t>Weekly_Oil_Bulletin_Prices_History_maticni_4web.xlsx</t>
        </is>
      </c>
    </row>
    <row r="77">
      <c r="A77" s="53" t="n">
        <v>44368</v>
      </c>
      <c r="B77" t="inlineStr">
        <is>
          <t>2021-06-21</t>
        </is>
      </c>
      <c r="C77" s="45" t="n">
        <v>1.23817</v>
      </c>
      <c r="D77" t="inlineStr">
        <is>
          <t>€/l</t>
        </is>
      </c>
      <c r="E77" s="54" t="n">
        <v>0.06267300000000001</v>
      </c>
      <c r="F77" s="54" t="n">
        <v>0.120445</v>
      </c>
      <c r="G77" t="inlineStr">
        <is>
          <t>original (el Boletín publica con y sin impuestos)</t>
        </is>
      </c>
      <c r="H77" t="inlineStr">
        <is>
          <t>IVA e impuesto sobre hidrocarburos incluidos por la fuente</t>
        </is>
      </c>
      <c r="K77" t="inlineStr">
        <is>
          <t>Weekly_Oil_Bulletin_Prices_History_maticni_4web.xlsx</t>
        </is>
      </c>
    </row>
    <row r="78">
      <c r="A78" s="53" t="n">
        <v>44375</v>
      </c>
      <c r="B78" t="inlineStr">
        <is>
          <t>2021-06-28</t>
        </is>
      </c>
      <c r="C78" s="45" t="n">
        <v>1.24655</v>
      </c>
      <c r="D78" t="inlineStr">
        <is>
          <t>€/l</t>
        </is>
      </c>
      <c r="E78" s="54" t="n">
        <v>0.063347</v>
      </c>
      <c r="F78" s="54" t="n">
        <v>0.12126</v>
      </c>
      <c r="G78" t="inlineStr">
        <is>
          <t>original (el Boletín publica con y sin impuestos)</t>
        </is>
      </c>
      <c r="H78" t="inlineStr">
        <is>
          <t>IVA e impuesto sobre hidrocarburos incluidos por la fuente</t>
        </is>
      </c>
      <c r="K78" t="inlineStr">
        <is>
          <t>Weekly_Oil_Bulletin_Prices_History_maticni_4web.xlsx</t>
        </is>
      </c>
    </row>
    <row r="79">
      <c r="A79" s="53" t="n">
        <v>44382</v>
      </c>
      <c r="B79" t="inlineStr">
        <is>
          <t>2021-07-05</t>
        </is>
      </c>
      <c r="C79" s="45" t="n">
        <v>1.25382</v>
      </c>
      <c r="D79" t="inlineStr">
        <is>
          <t>€/l</t>
        </is>
      </c>
      <c r="E79" s="54" t="n">
        <v>0.063931</v>
      </c>
      <c r="F79" s="54" t="n">
        <v>0.121967</v>
      </c>
      <c r="G79" t="inlineStr">
        <is>
          <t>original (el Boletín publica con y sin impuestos)</t>
        </is>
      </c>
      <c r="H79" t="inlineStr">
        <is>
          <t>IVA e impuesto sobre hidrocarburos incluidos por la fuente</t>
        </is>
      </c>
      <c r="K79" t="inlineStr">
        <is>
          <t>Weekly_Oil_Bulletin_Prices_History_maticni_4web.xlsx</t>
        </is>
      </c>
    </row>
    <row r="80">
      <c r="A80" s="53" t="n">
        <v>44389</v>
      </c>
      <c r="B80" t="inlineStr">
        <is>
          <t>2021-07-12</t>
        </is>
      </c>
      <c r="C80" s="45" t="n">
        <v>1.26257</v>
      </c>
      <c r="D80" t="inlineStr">
        <is>
          <t>€/l</t>
        </is>
      </c>
      <c r="E80" s="54" t="n">
        <v>0.064635</v>
      </c>
      <c r="F80" s="54" t="n">
        <v>0.122818</v>
      </c>
      <c r="G80" t="inlineStr">
        <is>
          <t>original (el Boletín publica con y sin impuestos)</t>
        </is>
      </c>
      <c r="H80" t="inlineStr">
        <is>
          <t>IVA e impuesto sobre hidrocarburos incluidos por la fuente</t>
        </is>
      </c>
      <c r="K80" t="inlineStr">
        <is>
          <t>Weekly_Oil_Bulletin_Prices_History_maticni_4web.xlsx</t>
        </is>
      </c>
    </row>
    <row r="81">
      <c r="A81" s="53" t="n">
        <v>44396</v>
      </c>
      <c r="B81" t="inlineStr">
        <is>
          <t>2021-07-19</t>
        </is>
      </c>
      <c r="C81" s="45" t="n">
        <v>1.26752</v>
      </c>
      <c r="D81" t="inlineStr">
        <is>
          <t>€/l</t>
        </is>
      </c>
      <c r="E81" s="54" t="n">
        <v>0.06503299999999999</v>
      </c>
      <c r="F81" s="54" t="n">
        <v>0.1233</v>
      </c>
      <c r="G81" t="inlineStr">
        <is>
          <t>original (el Boletín publica con y sin impuestos)</t>
        </is>
      </c>
      <c r="H81" t="inlineStr">
        <is>
          <t>IVA e impuesto sobre hidrocarburos incluidos por la fuente</t>
        </is>
      </c>
      <c r="K81" t="inlineStr">
        <is>
          <t>Weekly_Oil_Bulletin_Prices_History_maticni_4web.xlsx</t>
        </is>
      </c>
    </row>
    <row r="82">
      <c r="A82" s="53" t="n">
        <v>44403</v>
      </c>
      <c r="B82" t="inlineStr">
        <is>
          <t>2021-07-26</t>
        </is>
      </c>
      <c r="C82" s="45" t="n">
        <v>1.26372</v>
      </c>
      <c r="D82" t="inlineStr">
        <is>
          <t>€/l</t>
        </is>
      </c>
      <c r="E82" s="54" t="n">
        <v>0.06472799999999999</v>
      </c>
      <c r="F82" s="54" t="n">
        <v>0.12293</v>
      </c>
      <c r="G82" t="inlineStr">
        <is>
          <t>original (el Boletín publica con y sin impuestos)</t>
        </is>
      </c>
      <c r="H82" t="inlineStr">
        <is>
          <t>IVA e impuesto sobre hidrocarburos incluidos por la fuente</t>
        </is>
      </c>
      <c r="K82" t="inlineStr">
        <is>
          <t>Weekly_Oil_Bulletin_Prices_History_maticni_4web.xlsx</t>
        </is>
      </c>
    </row>
    <row r="83">
      <c r="A83" s="53" t="n">
        <v>44410</v>
      </c>
      <c r="B83" t="inlineStr">
        <is>
          <t>2021-08-02</t>
        </is>
      </c>
      <c r="C83" s="45" t="n">
        <v>1.26975</v>
      </c>
      <c r="D83" t="inlineStr">
        <is>
          <t>€/l</t>
        </is>
      </c>
      <c r="E83" s="54" t="n">
        <v>0.06521200000000001</v>
      </c>
      <c r="F83" s="54" t="n">
        <v>0.123517</v>
      </c>
      <c r="G83" t="inlineStr">
        <is>
          <t>original (el Boletín publica con y sin impuestos)</t>
        </is>
      </c>
      <c r="H83" t="inlineStr">
        <is>
          <t>IVA e impuesto sobre hidrocarburos incluidos por la fuente</t>
        </is>
      </c>
      <c r="K83" t="inlineStr">
        <is>
          <t>Weekly_Oil_Bulletin_Prices_History_maticni_4web.xlsx</t>
        </is>
      </c>
    </row>
    <row r="84">
      <c r="A84" s="53" t="n">
        <v>44417</v>
      </c>
      <c r="B84" t="inlineStr">
        <is>
          <t>2021-08-09</t>
        </is>
      </c>
      <c r="C84" s="45" t="n">
        <v>1.27044</v>
      </c>
      <c r="D84" t="inlineStr">
        <is>
          <t>€/l</t>
        </is>
      </c>
      <c r="E84" s="54" t="n">
        <v>0.06526800000000001</v>
      </c>
      <c r="F84" s="54" t="n">
        <v>0.123584</v>
      </c>
      <c r="G84" t="inlineStr">
        <is>
          <t>original (el Boletín publica con y sin impuestos)</t>
        </is>
      </c>
      <c r="H84" t="inlineStr">
        <is>
          <t>IVA e impuesto sobre hidrocarburos incluidos por la fuente</t>
        </is>
      </c>
      <c r="K84" t="inlineStr">
        <is>
          <t>Weekly_Oil_Bulletin_Prices_History_maticni_4web.xlsx</t>
        </is>
      </c>
    </row>
    <row r="85">
      <c r="A85" s="53" t="n">
        <v>44424</v>
      </c>
      <c r="B85" t="inlineStr">
        <is>
          <t>2021-08-16</t>
        </is>
      </c>
      <c r="C85" s="45" t="n">
        <v>1.26615</v>
      </c>
      <c r="D85" t="inlineStr">
        <is>
          <t>€/l</t>
        </is>
      </c>
      <c r="E85" s="54" t="n">
        <v>0.06492199999999999</v>
      </c>
      <c r="F85" s="54" t="n">
        <v>0.123166</v>
      </c>
      <c r="G85" t="inlineStr">
        <is>
          <t>original (el Boletín publica con y sin impuestos)</t>
        </is>
      </c>
      <c r="H85" t="inlineStr">
        <is>
          <t>IVA e impuesto sobre hidrocarburos incluidos por la fuente</t>
        </is>
      </c>
      <c r="K85" t="inlineStr">
        <is>
          <t>Weekly_Oil_Bulletin_Prices_History_maticni_4web.xlsx</t>
        </is>
      </c>
    </row>
    <row r="86">
      <c r="A86" s="53" t="n">
        <v>44431</v>
      </c>
      <c r="B86" t="inlineStr">
        <is>
          <t>2021-08-23</t>
        </is>
      </c>
      <c r="C86" s="45" t="n">
        <v>1.26041</v>
      </c>
      <c r="D86" t="inlineStr">
        <is>
          <t>€/l</t>
        </is>
      </c>
      <c r="E86" s="54" t="n">
        <v>0.064461</v>
      </c>
      <c r="F86" s="54" t="n">
        <v>0.122608</v>
      </c>
      <c r="G86" t="inlineStr">
        <is>
          <t>original (el Boletín publica con y sin impuestos)</t>
        </is>
      </c>
      <c r="H86" t="inlineStr">
        <is>
          <t>IVA e impuesto sobre hidrocarburos incluidos por la fuente</t>
        </is>
      </c>
      <c r="K86" t="inlineStr">
        <is>
          <t>Weekly_Oil_Bulletin_Prices_History_maticni_4web.xlsx</t>
        </is>
      </c>
    </row>
    <row r="87">
      <c r="A87" s="53" t="n">
        <v>44438</v>
      </c>
      <c r="B87" t="inlineStr">
        <is>
          <t>2021-08-30</t>
        </is>
      </c>
      <c r="C87" s="45" t="n">
        <v>1.25897</v>
      </c>
      <c r="D87" t="inlineStr">
        <is>
          <t>€/l</t>
        </is>
      </c>
      <c r="E87" s="54" t="n">
        <v>0.064345</v>
      </c>
      <c r="F87" s="54" t="n">
        <v>0.122468</v>
      </c>
      <c r="G87" t="inlineStr">
        <is>
          <t>original (el Boletín publica con y sin impuestos)</t>
        </is>
      </c>
      <c r="H87" t="inlineStr">
        <is>
          <t>IVA e impuesto sobre hidrocarburos incluidos por la fuente</t>
        </is>
      </c>
      <c r="K87" t="inlineStr">
        <is>
          <t>Weekly_Oil_Bulletin_Prices_History_maticni_4web.xlsx</t>
        </is>
      </c>
    </row>
    <row r="88">
      <c r="A88" s="53" t="n">
        <v>44445</v>
      </c>
      <c r="B88" t="inlineStr">
        <is>
          <t>2021-09-06</t>
        </is>
      </c>
      <c r="C88" s="45" t="n">
        <v>1.26564</v>
      </c>
      <c r="D88" t="inlineStr">
        <is>
          <t>€/l</t>
        </is>
      </c>
      <c r="E88" s="54" t="n">
        <v>0.06488099999999999</v>
      </c>
      <c r="F88" s="54" t="n">
        <v>0.123117</v>
      </c>
      <c r="G88" t="inlineStr">
        <is>
          <t>original (el Boletín publica con y sin impuestos)</t>
        </is>
      </c>
      <c r="H88" t="inlineStr">
        <is>
          <t>IVA e impuesto sobre hidrocarburos incluidos por la fuente</t>
        </is>
      </c>
      <c r="K88" t="inlineStr">
        <is>
          <t>Weekly_Oil_Bulletin_Prices_History_maticni_4web.xlsx</t>
        </is>
      </c>
    </row>
    <row r="89">
      <c r="A89" s="53" t="n">
        <v>44452</v>
      </c>
      <c r="B89" t="inlineStr">
        <is>
          <t>2021-09-13</t>
        </is>
      </c>
      <c r="C89" s="45" t="n">
        <v>1.27075</v>
      </c>
      <c r="D89" t="inlineStr">
        <is>
          <t>€/l</t>
        </is>
      </c>
      <c r="E89" s="54" t="n">
        <v>0.065293</v>
      </c>
      <c r="F89" s="54" t="n">
        <v>0.123614</v>
      </c>
      <c r="G89" t="inlineStr">
        <is>
          <t>original (el Boletín publica con y sin impuestos)</t>
        </is>
      </c>
      <c r="H89" t="inlineStr">
        <is>
          <t>IVA e impuesto sobre hidrocarburos incluidos por la fuente</t>
        </is>
      </c>
      <c r="K89" t="inlineStr">
        <is>
          <t>Weekly_Oil_Bulletin_Prices_History_maticni_4web.xlsx</t>
        </is>
      </c>
    </row>
    <row r="90">
      <c r="A90" s="53" t="n">
        <v>44459</v>
      </c>
      <c r="B90" t="inlineStr">
        <is>
          <t>2021-09-20</t>
        </is>
      </c>
      <c r="C90" s="45" t="n">
        <v>1.27986</v>
      </c>
      <c r="D90" t="inlineStr">
        <is>
          <t>€/l</t>
        </is>
      </c>
      <c r="E90" s="54" t="n">
        <v>0.066025</v>
      </c>
      <c r="F90" s="54" t="n">
        <v>0.1245</v>
      </c>
      <c r="G90" t="inlineStr">
        <is>
          <t>original (el Boletín publica con y sin impuestos)</t>
        </is>
      </c>
      <c r="H90" t="inlineStr">
        <is>
          <t>IVA e impuesto sobre hidrocarburos incluidos por la fuente</t>
        </is>
      </c>
      <c r="K90" t="inlineStr">
        <is>
          <t>Weekly_Oil_Bulletin_Prices_History_maticni_4web.xlsx</t>
        </is>
      </c>
    </row>
    <row r="91">
      <c r="A91" s="53" t="n">
        <v>44466</v>
      </c>
      <c r="B91" t="inlineStr">
        <is>
          <t>2021-09-27</t>
        </is>
      </c>
      <c r="C91" s="45" t="n">
        <v>1.29097</v>
      </c>
      <c r="D91" t="inlineStr">
        <is>
          <t>€/l</t>
        </is>
      </c>
      <c r="E91" s="54" t="n">
        <v>0.06691800000000001</v>
      </c>
      <c r="F91" s="54" t="n">
        <v>0.125581</v>
      </c>
      <c r="G91" t="inlineStr">
        <is>
          <t>original (el Boletín publica con y sin impuestos)</t>
        </is>
      </c>
      <c r="H91" t="inlineStr">
        <is>
          <t>IVA e impuesto sobre hidrocarburos incluidos por la fuente</t>
        </is>
      </c>
      <c r="K91" t="inlineStr">
        <is>
          <t>Weekly_Oil_Bulletin_Prices_History_maticni_4web.xlsx</t>
        </is>
      </c>
    </row>
    <row r="92">
      <c r="A92" s="53" t="n">
        <v>44473</v>
      </c>
      <c r="B92" t="inlineStr">
        <is>
          <t>2021-10-04</t>
        </is>
      </c>
      <c r="C92" s="45" t="n">
        <v>1.30947</v>
      </c>
      <c r="D92" t="inlineStr">
        <is>
          <t>€/l</t>
        </is>
      </c>
      <c r="E92" s="54" t="n">
        <v>0.06840599999999999</v>
      </c>
      <c r="F92" s="54" t="n">
        <v>0.12738</v>
      </c>
      <c r="G92" t="inlineStr">
        <is>
          <t>original (el Boletín publica con y sin impuestos)</t>
        </is>
      </c>
      <c r="H92" t="inlineStr">
        <is>
          <t>IVA e impuesto sobre hidrocarburos incluidos por la fuente</t>
        </is>
      </c>
      <c r="K92" t="inlineStr">
        <is>
          <t>Weekly_Oil_Bulletin_Prices_History_maticni_4web.xlsx</t>
        </is>
      </c>
    </row>
    <row r="93">
      <c r="A93" s="53" t="n">
        <v>44480</v>
      </c>
      <c r="B93" t="inlineStr">
        <is>
          <t>2021-10-11</t>
        </is>
      </c>
      <c r="C93" s="45" t="n">
        <v>1.33529</v>
      </c>
      <c r="D93" t="inlineStr">
        <is>
          <t>€/l</t>
        </is>
      </c>
      <c r="E93" s="54" t="n">
        <v>0.070482</v>
      </c>
      <c r="F93" s="54" t="n">
        <v>0.129892</v>
      </c>
      <c r="G93" t="inlineStr">
        <is>
          <t>original (el Boletín publica con y sin impuestos)</t>
        </is>
      </c>
      <c r="H93" t="inlineStr">
        <is>
          <t>IVA e impuesto sobre hidrocarburos incluidos por la fuente</t>
        </is>
      </c>
      <c r="K93" t="inlineStr">
        <is>
          <t>Weekly_Oil_Bulletin_Prices_History_maticni_4web.xlsx</t>
        </is>
      </c>
    </row>
    <row r="94">
      <c r="A94" s="53" t="n">
        <v>44487</v>
      </c>
      <c r="B94" t="inlineStr">
        <is>
          <t>2021-10-18</t>
        </is>
      </c>
      <c r="C94" s="45" t="n">
        <v>1.35786</v>
      </c>
      <c r="D94" t="inlineStr">
        <is>
          <t>€/l</t>
        </is>
      </c>
      <c r="E94" s="54" t="n">
        <v>0.072296</v>
      </c>
      <c r="F94" s="54" t="n">
        <v>0.132088</v>
      </c>
      <c r="G94" t="inlineStr">
        <is>
          <t>original (el Boletín publica con y sin impuestos)</t>
        </is>
      </c>
      <c r="H94" t="inlineStr">
        <is>
          <t>IVA e impuesto sobre hidrocarburos incluidos por la fuente</t>
        </is>
      </c>
      <c r="K94" t="inlineStr">
        <is>
          <t>Weekly_Oil_Bulletin_Prices_History_maticni_4web.xlsx</t>
        </is>
      </c>
    </row>
    <row r="95">
      <c r="A95" s="53" t="n">
        <v>44494</v>
      </c>
      <c r="B95" t="inlineStr">
        <is>
          <t>2021-10-25</t>
        </is>
      </c>
      <c r="C95" s="45" t="n">
        <v>1.37356</v>
      </c>
      <c r="D95" t="inlineStr">
        <is>
          <t>€/l</t>
        </is>
      </c>
      <c r="E95" s="54" t="n">
        <v>0.073557</v>
      </c>
      <c r="F95" s="54" t="n">
        <v>0.133615</v>
      </c>
      <c r="G95" t="inlineStr">
        <is>
          <t>original (el Boletín publica con y sin impuestos)</t>
        </is>
      </c>
      <c r="H95" t="inlineStr">
        <is>
          <t>IVA e impuesto sobre hidrocarburos incluidos por la fuente</t>
        </is>
      </c>
      <c r="K95" t="inlineStr">
        <is>
          <t>Weekly_Oil_Bulletin_Prices_History_maticni_4web.xlsx</t>
        </is>
      </c>
    </row>
    <row r="96">
      <c r="A96" s="53" t="n">
        <v>44501</v>
      </c>
      <c r="B96" t="inlineStr">
        <is>
          <t>2021-11-01</t>
        </is>
      </c>
      <c r="C96" s="45" t="n">
        <v>1.38195</v>
      </c>
      <c r="D96" t="inlineStr">
        <is>
          <t>€/l</t>
        </is>
      </c>
      <c r="E96" s="54" t="n">
        <v>0.07423200000000001</v>
      </c>
      <c r="F96" s="54" t="n">
        <v>0.134431</v>
      </c>
      <c r="G96" t="inlineStr">
        <is>
          <t>original (el Boletín publica con y sin impuestos)</t>
        </is>
      </c>
      <c r="H96" t="inlineStr">
        <is>
          <t>IVA e impuesto sobre hidrocarburos incluidos por la fuente</t>
        </is>
      </c>
      <c r="K96" t="inlineStr">
        <is>
          <t>Weekly_Oil_Bulletin_Prices_History_maticni_4web.xlsx</t>
        </is>
      </c>
    </row>
    <row r="97">
      <c r="A97" s="53" t="n">
        <v>44508</v>
      </c>
      <c r="B97" t="inlineStr">
        <is>
          <t>2021-11-08</t>
        </is>
      </c>
      <c r="C97" s="45" t="n">
        <v>1.38435</v>
      </c>
      <c r="D97" t="inlineStr">
        <is>
          <t>€/l</t>
        </is>
      </c>
      <c r="E97" s="54" t="n">
        <v>0.07442500000000001</v>
      </c>
      <c r="F97" s="54" t="n">
        <v>0.134664</v>
      </c>
      <c r="G97" t="inlineStr">
        <is>
          <t>original (el Boletín publica con y sin impuestos)</t>
        </is>
      </c>
      <c r="H97" t="inlineStr">
        <is>
          <t>IVA e impuesto sobre hidrocarburos incluidos por la fuente</t>
        </is>
      </c>
      <c r="K97" t="inlineStr">
        <is>
          <t>Weekly_Oil_Bulletin_Prices_History_maticni_4web.xlsx</t>
        </is>
      </c>
    </row>
    <row r="98">
      <c r="A98" s="53" t="n">
        <v>44515</v>
      </c>
      <c r="B98" t="inlineStr">
        <is>
          <t>2021-11-15</t>
        </is>
      </c>
      <c r="C98" s="45" t="n">
        <v>1.38564</v>
      </c>
      <c r="D98" t="inlineStr">
        <is>
          <t>€/l</t>
        </is>
      </c>
      <c r="E98" s="54" t="n">
        <v>0.074529</v>
      </c>
      <c r="F98" s="54" t="n">
        <v>0.13479</v>
      </c>
      <c r="G98" t="inlineStr">
        <is>
          <t>original (el Boletín publica con y sin impuestos)</t>
        </is>
      </c>
      <c r="H98" t="inlineStr">
        <is>
          <t>IVA e impuesto sobre hidrocarburos incluidos por la fuente</t>
        </is>
      </c>
      <c r="K98" t="inlineStr">
        <is>
          <t>Weekly_Oil_Bulletin_Prices_History_maticni_4web.xlsx</t>
        </is>
      </c>
    </row>
    <row r="99">
      <c r="A99" s="53" t="n">
        <v>44522</v>
      </c>
      <c r="B99" t="inlineStr">
        <is>
          <t>2021-11-22</t>
        </is>
      </c>
      <c r="C99" s="45" t="n">
        <v>1.38057</v>
      </c>
      <c r="D99" t="inlineStr">
        <is>
          <t>€/l</t>
        </is>
      </c>
      <c r="E99" s="54" t="n">
        <v>0.07412199999999999</v>
      </c>
      <c r="F99" s="54" t="n">
        <v>0.134297</v>
      </c>
      <c r="G99" t="inlineStr">
        <is>
          <t>original (el Boletín publica con y sin impuestos)</t>
        </is>
      </c>
      <c r="H99" t="inlineStr">
        <is>
          <t>IVA e impuesto sobre hidrocarburos incluidos por la fuente</t>
        </is>
      </c>
      <c r="K99" t="inlineStr">
        <is>
          <t>Weekly_Oil_Bulletin_Prices_History_maticni_4web.xlsx</t>
        </is>
      </c>
    </row>
    <row r="100">
      <c r="A100" s="53" t="n">
        <v>44529</v>
      </c>
      <c r="B100" t="inlineStr">
        <is>
          <t>2021-11-29</t>
        </is>
      </c>
      <c r="C100" s="45" t="n">
        <v>1.37655</v>
      </c>
      <c r="D100" t="inlineStr">
        <is>
          <t>€/l</t>
        </is>
      </c>
      <c r="E100" s="54" t="n">
        <v>0.073798</v>
      </c>
      <c r="F100" s="54" t="n">
        <v>0.133906</v>
      </c>
      <c r="G100" t="inlineStr">
        <is>
          <t>original (el Boletín publica con y sin impuestos)</t>
        </is>
      </c>
      <c r="H100" t="inlineStr">
        <is>
          <t>IVA e impuesto sobre hidrocarburos incluidos por la fuente</t>
        </is>
      </c>
      <c r="K100" t="inlineStr">
        <is>
          <t>Weekly_Oil_Bulletin_Prices_History_maticni_4web.xlsx</t>
        </is>
      </c>
    </row>
    <row r="101">
      <c r="A101" s="53" t="n">
        <v>44536</v>
      </c>
      <c r="B101" t="inlineStr">
        <is>
          <t>2021-12-06</t>
        </is>
      </c>
      <c r="C101" s="45" t="n">
        <v>1.35478</v>
      </c>
      <c r="D101" t="inlineStr">
        <is>
          <t>€/l</t>
        </is>
      </c>
      <c r="E101" s="54" t="n">
        <v>0.072048</v>
      </c>
      <c r="F101" s="54" t="n">
        <v>0.131788</v>
      </c>
      <c r="G101" t="inlineStr">
        <is>
          <t>original (el Boletín publica con y sin impuestos)</t>
        </is>
      </c>
      <c r="H101" t="inlineStr">
        <is>
          <t>IVA e impuesto sobre hidrocarburos incluidos por la fuente</t>
        </is>
      </c>
      <c r="K101" t="inlineStr">
        <is>
          <t>Weekly_Oil_Bulletin_Prices_History_maticni_4web.xlsx</t>
        </is>
      </c>
    </row>
    <row r="102">
      <c r="A102" s="53" t="n">
        <v>44543</v>
      </c>
      <c r="B102" t="inlineStr">
        <is>
          <t>2021-12-13</t>
        </is>
      </c>
      <c r="C102" s="45" t="n">
        <v>1.34664</v>
      </c>
      <c r="D102" t="inlineStr">
        <is>
          <t>€/l</t>
        </is>
      </c>
      <c r="E102" s="54" t="n">
        <v>0.071394</v>
      </c>
      <c r="F102" s="54" t="n">
        <v>0.130996</v>
      </c>
      <c r="G102" t="inlineStr">
        <is>
          <t>original (el Boletín publica con y sin impuestos)</t>
        </is>
      </c>
      <c r="H102" t="inlineStr">
        <is>
          <t>IVA e impuesto sobre hidrocarburos incluidos por la fuente</t>
        </is>
      </c>
      <c r="K102" t="inlineStr">
        <is>
          <t>Weekly_Oil_Bulletin_Prices_History_maticni_4web.xlsx</t>
        </is>
      </c>
    </row>
    <row r="103">
      <c r="A103" s="53" t="n">
        <v>44550</v>
      </c>
      <c r="B103" t="inlineStr">
        <is>
          <t>2021-12-20</t>
        </is>
      </c>
      <c r="C103" s="45" t="n">
        <v>1.34436</v>
      </c>
      <c r="D103" t="inlineStr">
        <is>
          <t>€/l</t>
        </is>
      </c>
      <c r="E103" s="54" t="n">
        <v>0.07121</v>
      </c>
      <c r="F103" s="54" t="n">
        <v>0.130774</v>
      </c>
      <c r="G103" t="inlineStr">
        <is>
          <t>original (el Boletín publica con y sin impuestos)</t>
        </is>
      </c>
      <c r="H103" t="inlineStr">
        <is>
          <t>IVA e impuesto sobre hidrocarburos incluidos por la fuente</t>
        </is>
      </c>
      <c r="K103" t="inlineStr">
        <is>
          <t>Weekly_Oil_Bulletin_Prices_History_maticni_4web.xlsx</t>
        </is>
      </c>
    </row>
    <row r="104">
      <c r="A104" s="53" t="n">
        <v>44564</v>
      </c>
      <c r="B104" t="inlineStr">
        <is>
          <t>2022-01-03</t>
        </is>
      </c>
      <c r="C104" s="45" t="n">
        <v>1.34715</v>
      </c>
      <c r="D104" t="inlineStr">
        <is>
          <t>€/l</t>
        </is>
      </c>
      <c r="E104" s="54" t="n">
        <v>0.071435</v>
      </c>
      <c r="F104" s="54" t="n">
        <v>0.131046</v>
      </c>
      <c r="G104" t="inlineStr">
        <is>
          <t>original (el Boletín publica con y sin impuestos)</t>
        </is>
      </c>
      <c r="H104" t="inlineStr">
        <is>
          <t>IVA e impuesto sobre hidrocarburos incluidos por la fuente</t>
        </is>
      </c>
      <c r="K104" t="inlineStr">
        <is>
          <t>Weekly_Oil_Bulletin_Prices_History_maticni_4web.xlsx</t>
        </is>
      </c>
    </row>
    <row r="105">
      <c r="A105" s="53" t="n">
        <v>44571</v>
      </c>
      <c r="B105" t="inlineStr">
        <is>
          <t>2022-01-10</t>
        </is>
      </c>
      <c r="C105" s="45" t="n">
        <v>1.35984</v>
      </c>
      <c r="D105" t="inlineStr">
        <is>
          <t>€/l</t>
        </is>
      </c>
      <c r="E105" s="54" t="n">
        <v>0.072454</v>
      </c>
      <c r="F105" s="54" t="n">
        <v>0.13228</v>
      </c>
      <c r="G105" t="inlineStr">
        <is>
          <t>original (el Boletín publica con y sin impuestos)</t>
        </is>
      </c>
      <c r="H105" t="inlineStr">
        <is>
          <t>IVA e impuesto sobre hidrocarburos incluidos por la fuente</t>
        </is>
      </c>
      <c r="K105" t="inlineStr">
        <is>
          <t>Weekly_Oil_Bulletin_Prices_History_maticni_4web.xlsx</t>
        </is>
      </c>
    </row>
    <row r="106">
      <c r="A106" s="53" t="n">
        <v>44578</v>
      </c>
      <c r="B106" t="inlineStr">
        <is>
          <t>2022-01-17</t>
        </is>
      </c>
      <c r="C106" s="45" t="n">
        <v>1.38066</v>
      </c>
      <c r="D106" t="inlineStr">
        <is>
          <t>€/l</t>
        </is>
      </c>
      <c r="E106" s="54" t="n">
        <v>0.074128</v>
      </c>
      <c r="F106" s="54" t="n">
        <v>0.134305</v>
      </c>
      <c r="G106" t="inlineStr">
        <is>
          <t>original (el Boletín publica con y sin impuestos)</t>
        </is>
      </c>
      <c r="H106" t="inlineStr">
        <is>
          <t>IVA e impuesto sobre hidrocarburos incluidos por la fuente</t>
        </is>
      </c>
      <c r="K106" t="inlineStr">
        <is>
          <t>Weekly_Oil_Bulletin_Prices_History_maticni_4web.xlsx</t>
        </is>
      </c>
    </row>
    <row r="107">
      <c r="A107" s="53" t="n">
        <v>44585</v>
      </c>
      <c r="B107" t="inlineStr">
        <is>
          <t>2022-01-24</t>
        </is>
      </c>
      <c r="C107" s="45" t="n">
        <v>1.40382</v>
      </c>
      <c r="D107" t="inlineStr">
        <is>
          <t>€/l</t>
        </is>
      </c>
      <c r="E107" s="54" t="n">
        <v>0.07599</v>
      </c>
      <c r="F107" s="54" t="n">
        <v>0.136558</v>
      </c>
      <c r="G107" t="inlineStr">
        <is>
          <t>original (el Boletín publica con y sin impuestos)</t>
        </is>
      </c>
      <c r="H107" t="inlineStr">
        <is>
          <t>IVA e impuesto sobre hidrocarburos incluidos por la fuente</t>
        </is>
      </c>
      <c r="K107" t="inlineStr">
        <is>
          <t>Weekly_Oil_Bulletin_Prices_History_maticni_4web.xlsx</t>
        </is>
      </c>
    </row>
    <row r="108">
      <c r="A108" s="53" t="n">
        <v>44592</v>
      </c>
      <c r="B108" t="inlineStr">
        <is>
          <t>2022-01-31</t>
        </is>
      </c>
      <c r="C108" s="45" t="n">
        <v>1.42217</v>
      </c>
      <c r="D108" t="inlineStr">
        <is>
          <t>€/l</t>
        </is>
      </c>
      <c r="E108" s="54" t="n">
        <v>0.07746599999999999</v>
      </c>
      <c r="F108" s="54" t="n">
        <v>0.138343</v>
      </c>
      <c r="G108" t="inlineStr">
        <is>
          <t>original (el Boletín publica con y sin impuestos)</t>
        </is>
      </c>
      <c r="H108" t="inlineStr">
        <is>
          <t>IVA e impuesto sobre hidrocarburos incluidos por la fuente</t>
        </is>
      </c>
      <c r="K108" t="inlineStr">
        <is>
          <t>Weekly_Oil_Bulletin_Prices_History_maticni_4web.xlsx</t>
        </is>
      </c>
    </row>
    <row r="109">
      <c r="A109" s="53" t="n">
        <v>44599</v>
      </c>
      <c r="B109" t="inlineStr">
        <is>
          <t>2022-02-07</t>
        </is>
      </c>
      <c r="C109" s="45" t="n">
        <v>1.44436</v>
      </c>
      <c r="D109" t="inlineStr">
        <is>
          <t>€/l</t>
        </is>
      </c>
      <c r="E109" s="54" t="n">
        <v>0.07925</v>
      </c>
      <c r="F109" s="54" t="n">
        <v>0.140502</v>
      </c>
      <c r="G109" t="inlineStr">
        <is>
          <t>original (el Boletín publica con y sin impuestos)</t>
        </is>
      </c>
      <c r="H109" t="inlineStr">
        <is>
          <t>IVA e impuesto sobre hidrocarburos incluidos por la fuente</t>
        </is>
      </c>
      <c r="K109" t="inlineStr">
        <is>
          <t>Weekly_Oil_Bulletin_Prices_History_maticni_4web.xlsx</t>
        </is>
      </c>
    </row>
    <row r="110">
      <c r="A110" s="53" t="n">
        <v>44606</v>
      </c>
      <c r="B110" t="inlineStr">
        <is>
          <t>2022-02-14</t>
        </is>
      </c>
      <c r="C110" s="45" t="n">
        <v>1.4627</v>
      </c>
      <c r="D110" t="inlineStr">
        <is>
          <t>€/l</t>
        </is>
      </c>
      <c r="E110" s="54" t="n">
        <v>0.080724</v>
      </c>
      <c r="F110" s="54" t="n">
        <v>0.142286</v>
      </c>
      <c r="G110" t="inlineStr">
        <is>
          <t>original (el Boletín publica con y sin impuestos)</t>
        </is>
      </c>
      <c r="H110" t="inlineStr">
        <is>
          <t>IVA e impuesto sobre hidrocarburos incluidos por la fuente</t>
        </is>
      </c>
      <c r="K110" t="inlineStr">
        <is>
          <t>Weekly_Oil_Bulletin_Prices_History_maticni_4web.xlsx</t>
        </is>
      </c>
    </row>
    <row r="111">
      <c r="A111" s="53" t="n">
        <v>44613</v>
      </c>
      <c r="B111" t="inlineStr">
        <is>
          <t>2022-02-21</t>
        </is>
      </c>
      <c r="C111" s="45" t="n">
        <v>1.47949</v>
      </c>
      <c r="D111" t="inlineStr">
        <is>
          <t>€/l</t>
        </is>
      </c>
      <c r="E111" s="54" t="n">
        <v>0.08207399999999999</v>
      </c>
      <c r="F111" s="54" t="n">
        <v>0.143919</v>
      </c>
      <c r="G111" t="inlineStr">
        <is>
          <t>original (el Boletín publica con y sin impuestos)</t>
        </is>
      </c>
      <c r="H111" t="inlineStr">
        <is>
          <t>IVA e impuesto sobre hidrocarburos incluidos por la fuente</t>
        </is>
      </c>
      <c r="K111" t="inlineStr">
        <is>
          <t>Weekly_Oil_Bulletin_Prices_History_maticni_4web.xlsx</t>
        </is>
      </c>
    </row>
    <row r="112">
      <c r="A112" s="53" t="n">
        <v>44620</v>
      </c>
      <c r="B112" t="inlineStr">
        <is>
          <t>2022-02-28</t>
        </is>
      </c>
      <c r="C112" s="45" t="n">
        <v>1.49679</v>
      </c>
      <c r="D112" t="inlineStr">
        <is>
          <t>€/l</t>
        </is>
      </c>
      <c r="E112" s="54" t="n">
        <v>0.083465</v>
      </c>
      <c r="F112" s="54" t="n">
        <v>0.145602</v>
      </c>
      <c r="G112" t="inlineStr">
        <is>
          <t>original (el Boletín publica con y sin impuestos)</t>
        </is>
      </c>
      <c r="H112" t="inlineStr">
        <is>
          <t>IVA e impuesto sobre hidrocarburos incluidos por la fuente</t>
        </is>
      </c>
      <c r="K112" t="inlineStr">
        <is>
          <t>Weekly_Oil_Bulletin_Prices_History_maticni_4web.xlsx</t>
        </is>
      </c>
    </row>
    <row r="113">
      <c r="A113" s="53" t="n">
        <v>44627</v>
      </c>
      <c r="B113" t="inlineStr">
        <is>
          <t>2022-03-07</t>
        </is>
      </c>
      <c r="C113" s="45" t="n">
        <v>1.58101</v>
      </c>
      <c r="D113" t="inlineStr">
        <is>
          <t>€/l</t>
        </is>
      </c>
      <c r="E113" s="54" t="n">
        <v>0.090235</v>
      </c>
      <c r="F113" s="54" t="n">
        <v>0.153795</v>
      </c>
      <c r="G113" t="inlineStr">
        <is>
          <t>original (el Boletín publica con y sin impuestos)</t>
        </is>
      </c>
      <c r="H113" t="inlineStr">
        <is>
          <t>IVA e impuesto sobre hidrocarburos incluidos por la fuente</t>
        </is>
      </c>
      <c r="K113" t="inlineStr">
        <is>
          <t>Weekly_Oil_Bulletin_Prices_History_maticni_4web.xlsx</t>
        </is>
      </c>
    </row>
    <row r="114">
      <c r="A114" s="53" t="n">
        <v>44634</v>
      </c>
      <c r="B114" t="inlineStr">
        <is>
          <t>2022-03-14</t>
        </is>
      </c>
      <c r="C114" s="45" t="n">
        <v>1.81736</v>
      </c>
      <c r="D114" t="inlineStr">
        <is>
          <t>€/l</t>
        </is>
      </c>
      <c r="E114" s="54" t="n">
        <v>0.109236</v>
      </c>
      <c r="F114" s="54" t="n">
        <v>0.176786</v>
      </c>
      <c r="G114" t="inlineStr">
        <is>
          <t>original (el Boletín publica con y sin impuestos)</t>
        </is>
      </c>
      <c r="H114" t="inlineStr">
        <is>
          <t>IVA e impuesto sobre hidrocarburos incluidos por la fuente</t>
        </is>
      </c>
      <c r="K114" t="inlineStr">
        <is>
          <t>Weekly_Oil_Bulletin_Prices_History_maticni_4web.xlsx</t>
        </is>
      </c>
    </row>
    <row r="115">
      <c r="A115" s="53" t="n">
        <v>44641</v>
      </c>
      <c r="B115" t="inlineStr">
        <is>
          <t>2022-03-21</t>
        </is>
      </c>
      <c r="C115" s="45" t="n">
        <v>1.79763</v>
      </c>
      <c r="D115" t="inlineStr">
        <is>
          <t>€/l</t>
        </is>
      </c>
      <c r="E115" s="54" t="n">
        <v>0.10765</v>
      </c>
      <c r="F115" s="54" t="n">
        <v>0.174867</v>
      </c>
      <c r="G115" t="inlineStr">
        <is>
          <t>original (el Boletín publica con y sin impuestos)</t>
        </is>
      </c>
      <c r="H115" t="inlineStr">
        <is>
          <t>IVA e impuesto sobre hidrocarburos incluidos por la fuente</t>
        </is>
      </c>
      <c r="K115" t="inlineStr">
        <is>
          <t>Weekly_Oil_Bulletin_Prices_History_maticni_4web.xlsx</t>
        </is>
      </c>
    </row>
    <row r="116">
      <c r="A116" s="53" t="n">
        <v>44648</v>
      </c>
      <c r="B116" t="inlineStr">
        <is>
          <t>2022-03-28</t>
        </is>
      </c>
      <c r="C116" s="45" t="n">
        <v>1.83719</v>
      </c>
      <c r="D116" t="inlineStr">
        <is>
          <t>€/l</t>
        </is>
      </c>
      <c r="E116" s="54" t="n">
        <v>0.110831</v>
      </c>
      <c r="F116" s="54" t="n">
        <v>0.178715</v>
      </c>
      <c r="G116" t="inlineStr">
        <is>
          <t>original (el Boletín publica con y sin impuestos)</t>
        </is>
      </c>
      <c r="H116" t="inlineStr">
        <is>
          <t>IVA e impuesto sobre hidrocarburos incluidos por la fuente</t>
        </is>
      </c>
      <c r="K116" t="inlineStr">
        <is>
          <t>Weekly_Oil_Bulletin_Prices_History_maticni_4web.xlsx</t>
        </is>
      </c>
    </row>
    <row r="117">
      <c r="A117" s="53" t="n">
        <v>44655</v>
      </c>
      <c r="B117" t="inlineStr">
        <is>
          <t>2022-04-04</t>
        </is>
      </c>
      <c r="C117" s="45" t="n">
        <v>1.84703</v>
      </c>
      <c r="D117" t="inlineStr">
        <is>
          <t>€/l</t>
        </is>
      </c>
      <c r="E117" s="54" t="n">
        <v>0.111622</v>
      </c>
      <c r="F117" s="54" t="n">
        <v>0.179672</v>
      </c>
      <c r="G117" t="inlineStr">
        <is>
          <t>original (el Boletín publica con y sin impuestos)</t>
        </is>
      </c>
      <c r="H117" t="inlineStr">
        <is>
          <t>IVA e impuesto sobre hidrocarburos incluidos por la fuente</t>
        </is>
      </c>
      <c r="K117" t="inlineStr">
        <is>
          <t>Weekly_Oil_Bulletin_Prices_History_maticni_4web.xlsx</t>
        </is>
      </c>
      <c r="L117" t="inlineStr">
        <is>
          <t>precio antes de la bonificación de 20 c€/l (RDL 6/2022), que el Boletín no descuenta</t>
        </is>
      </c>
    </row>
    <row r="118">
      <c r="A118" s="53" t="n">
        <v>44662</v>
      </c>
      <c r="B118" t="inlineStr">
        <is>
          <t>2022-04-11</t>
        </is>
      </c>
      <c r="C118" s="45" t="n">
        <v>1.81387</v>
      </c>
      <c r="D118" t="inlineStr">
        <is>
          <t>€/l</t>
        </is>
      </c>
      <c r="E118" s="54" t="n">
        <v>0.108956</v>
      </c>
      <c r="F118" s="54" t="n">
        <v>0.176446</v>
      </c>
      <c r="G118" t="inlineStr">
        <is>
          <t>original (el Boletín publica con y sin impuestos)</t>
        </is>
      </c>
      <c r="H118" t="inlineStr">
        <is>
          <t>IVA e impuesto sobre hidrocarburos incluidos por la fuente</t>
        </is>
      </c>
      <c r="K118" t="inlineStr">
        <is>
          <t>Weekly_Oil_Bulletin_Prices_History_maticni_4web.xlsx</t>
        </is>
      </c>
      <c r="L118" t="inlineStr">
        <is>
          <t>precio antes de la bonificación de 20 c€/l (RDL 6/2022), que el Boletín no descuenta</t>
        </is>
      </c>
    </row>
    <row r="119">
      <c r="A119" s="53" t="n">
        <v>44676</v>
      </c>
      <c r="B119" t="inlineStr">
        <is>
          <t>2022-04-25</t>
        </is>
      </c>
      <c r="C119" s="45" t="n">
        <v>1.84741</v>
      </c>
      <c r="D119" t="inlineStr">
        <is>
          <t>€/l</t>
        </is>
      </c>
      <c r="E119" s="54" t="n">
        <v>0.111653</v>
      </c>
      <c r="F119" s="54" t="n">
        <v>0.179709</v>
      </c>
      <c r="G119" t="inlineStr">
        <is>
          <t>original (el Boletín publica con y sin impuestos)</t>
        </is>
      </c>
      <c r="H119" t="inlineStr">
        <is>
          <t>IVA e impuesto sobre hidrocarburos incluidos por la fuente</t>
        </is>
      </c>
      <c r="K119" t="inlineStr">
        <is>
          <t>Weekly_Oil_Bulletin_Prices_History_maticni_4web.xlsx</t>
        </is>
      </c>
      <c r="L119" t="inlineStr">
        <is>
          <t>precio antes de la bonificación de 20 c€/l (RDL 6/2022), que el Boletín no descuenta</t>
        </is>
      </c>
    </row>
    <row r="120">
      <c r="A120" s="53" t="n">
        <v>44683</v>
      </c>
      <c r="B120" t="inlineStr">
        <is>
          <t>2022-05-02</t>
        </is>
      </c>
      <c r="C120" s="45" t="n">
        <v>1.87279</v>
      </c>
      <c r="D120" t="inlineStr">
        <is>
          <t>€/l</t>
        </is>
      </c>
      <c r="E120" s="54" t="n">
        <v>0.113693</v>
      </c>
      <c r="F120" s="54" t="n">
        <v>0.182178</v>
      </c>
      <c r="G120" t="inlineStr">
        <is>
          <t>original (el Boletín publica con y sin impuestos)</t>
        </is>
      </c>
      <c r="H120" t="inlineStr">
        <is>
          <t>IVA e impuesto sobre hidrocarburos incluidos por la fuente</t>
        </is>
      </c>
      <c r="K120" t="inlineStr">
        <is>
          <t>Weekly_Oil_Bulletin_Prices_History_maticni_4web.xlsx</t>
        </is>
      </c>
      <c r="L120" t="inlineStr">
        <is>
          <t>precio antes de la bonificación de 20 c€/l (RDL 6/2022), que el Boletín no descuenta</t>
        </is>
      </c>
    </row>
    <row r="121">
      <c r="A121" s="53" t="n">
        <v>44690</v>
      </c>
      <c r="B121" t="inlineStr">
        <is>
          <t>2022-05-09</t>
        </is>
      </c>
      <c r="C121" s="45" t="n">
        <v>1.91149</v>
      </c>
      <c r="D121" t="inlineStr">
        <is>
          <t>€/l</t>
        </is>
      </c>
      <c r="E121" s="54" t="n">
        <v>0.116804</v>
      </c>
      <c r="F121" s="54" t="n">
        <v>0.185943</v>
      </c>
      <c r="G121" t="inlineStr">
        <is>
          <t>original (el Boletín publica con y sin impuestos)</t>
        </is>
      </c>
      <c r="H121" t="inlineStr">
        <is>
          <t>IVA e impuesto sobre hidrocarburos incluidos por la fuente</t>
        </is>
      </c>
      <c r="K121" t="inlineStr">
        <is>
          <t>Weekly_Oil_Bulletin_Prices_History_maticni_4web.xlsx</t>
        </is>
      </c>
      <c r="L121" t="inlineStr">
        <is>
          <t>precio antes de la bonificación de 20 c€/l (RDL 6/2022), que el Boletín no descuenta</t>
        </is>
      </c>
    </row>
    <row r="122">
      <c r="A122" s="53" t="n">
        <v>44697</v>
      </c>
      <c r="B122" t="inlineStr">
        <is>
          <t>2022-05-16</t>
        </is>
      </c>
      <c r="C122" s="45" t="n">
        <v>1.88707</v>
      </c>
      <c r="D122" t="inlineStr">
        <is>
          <t>€/l</t>
        </is>
      </c>
      <c r="E122" s="54" t="n">
        <v>0.11484</v>
      </c>
      <c r="F122" s="54" t="n">
        <v>0.183567</v>
      </c>
      <c r="G122" t="inlineStr">
        <is>
          <t>original (el Boletín publica con y sin impuestos)</t>
        </is>
      </c>
      <c r="H122" t="inlineStr">
        <is>
          <t>IVA e impuesto sobre hidrocarburos incluidos por la fuente</t>
        </is>
      </c>
      <c r="K122" t="inlineStr">
        <is>
          <t>Weekly_Oil_Bulletin_Prices_History_maticni_4web.xlsx</t>
        </is>
      </c>
      <c r="L122" t="inlineStr">
        <is>
          <t>precio antes de la bonificación de 20 c€/l (RDL 6/2022), que el Boletín no descuenta</t>
        </is>
      </c>
    </row>
    <row r="123">
      <c r="A123" s="53" t="n">
        <v>44704</v>
      </c>
      <c r="B123" t="inlineStr">
        <is>
          <t>2022-05-23</t>
        </is>
      </c>
      <c r="C123" s="45" t="n">
        <v>1.86703</v>
      </c>
      <c r="D123" t="inlineStr">
        <is>
          <t>€/l</t>
        </is>
      </c>
      <c r="E123" s="54" t="n">
        <v>0.11323</v>
      </c>
      <c r="F123" s="54" t="n">
        <v>0.181618</v>
      </c>
      <c r="G123" t="inlineStr">
        <is>
          <t>original (el Boletín publica con y sin impuestos)</t>
        </is>
      </c>
      <c r="H123" t="inlineStr">
        <is>
          <t>IVA e impuesto sobre hidrocarburos incluidos por la fuente</t>
        </is>
      </c>
      <c r="K123" t="inlineStr">
        <is>
          <t>Weekly_Oil_Bulletin_Prices_History_maticni_4web.xlsx</t>
        </is>
      </c>
      <c r="L123" t="inlineStr">
        <is>
          <t>precio antes de la bonificación de 20 c€/l (RDL 6/2022), que el Boletín no descuenta</t>
        </is>
      </c>
    </row>
    <row r="124">
      <c r="A124" s="53" t="n">
        <v>44711</v>
      </c>
      <c r="B124" t="inlineStr">
        <is>
          <t>2022-05-30</t>
        </is>
      </c>
      <c r="C124" s="45" t="n">
        <v>1.85221</v>
      </c>
      <c r="D124" t="inlineStr">
        <is>
          <t>€/l</t>
        </is>
      </c>
      <c r="E124" s="54" t="n">
        <v>0.112038</v>
      </c>
      <c r="F124" s="54" t="n">
        <v>0.180176</v>
      </c>
      <c r="G124" t="inlineStr">
        <is>
          <t>original (el Boletín publica con y sin impuestos)</t>
        </is>
      </c>
      <c r="H124" t="inlineStr">
        <is>
          <t>IVA e impuesto sobre hidrocarburos incluidos por la fuente</t>
        </is>
      </c>
      <c r="K124" t="inlineStr">
        <is>
          <t>Weekly_Oil_Bulletin_Prices_History_maticni_4web.xlsx</t>
        </is>
      </c>
      <c r="L124" t="inlineStr">
        <is>
          <t>precio antes de la bonificación de 20 c€/l (RDL 6/2022), que el Boletín no descuenta</t>
        </is>
      </c>
    </row>
    <row r="125">
      <c r="A125" s="53" t="n">
        <v>44718</v>
      </c>
      <c r="B125" t="inlineStr">
        <is>
          <t>2022-06-06</t>
        </is>
      </c>
      <c r="C125" s="45" t="n">
        <v>1.9169</v>
      </c>
      <c r="D125" t="inlineStr">
        <is>
          <t>€/l</t>
        </is>
      </c>
      <c r="E125" s="54" t="n">
        <v>0.117238</v>
      </c>
      <c r="F125" s="54" t="n">
        <v>0.186469</v>
      </c>
      <c r="G125" t="inlineStr">
        <is>
          <t>original (el Boletín publica con y sin impuestos)</t>
        </is>
      </c>
      <c r="H125" t="inlineStr">
        <is>
          <t>IVA e impuesto sobre hidrocarburos incluidos por la fuente</t>
        </is>
      </c>
      <c r="K125" t="inlineStr">
        <is>
          <t>Weekly_Oil_Bulletin_Prices_History_maticni_4web.xlsx</t>
        </is>
      </c>
      <c r="L125" t="inlineStr">
        <is>
          <t>precio antes de la bonificación de 20 c€/l (RDL 6/2022), que el Boletín no descuenta</t>
        </is>
      </c>
    </row>
    <row r="126">
      <c r="A126" s="53" t="n">
        <v>44725</v>
      </c>
      <c r="B126" t="inlineStr">
        <is>
          <t>2022-06-13</t>
        </is>
      </c>
      <c r="C126" s="45" t="n">
        <v>2.00373</v>
      </c>
      <c r="D126" t="inlineStr">
        <is>
          <t>€/l</t>
        </is>
      </c>
      <c r="E126" s="54" t="n">
        <v>0.12422</v>
      </c>
      <c r="F126" s="54" t="n">
        <v>0.194915</v>
      </c>
      <c r="G126" t="inlineStr">
        <is>
          <t>original (el Boletín publica con y sin impuestos)</t>
        </is>
      </c>
      <c r="H126" t="inlineStr">
        <is>
          <t>IVA e impuesto sobre hidrocarburos incluidos por la fuente</t>
        </is>
      </c>
      <c r="K126" t="inlineStr">
        <is>
          <t>Weekly_Oil_Bulletin_Prices_History_maticni_4web.xlsx</t>
        </is>
      </c>
      <c r="L126" t="inlineStr">
        <is>
          <t>precio antes de la bonificación de 20 c€/l (RDL 6/2022), que el Boletín no descuenta</t>
        </is>
      </c>
    </row>
    <row r="127">
      <c r="A127" s="53" t="n">
        <v>44732</v>
      </c>
      <c r="B127" t="inlineStr">
        <is>
          <t>2022-06-20</t>
        </is>
      </c>
      <c r="C127" s="45" t="n">
        <v>2.07653</v>
      </c>
      <c r="D127" t="inlineStr">
        <is>
          <t>€/l</t>
        </is>
      </c>
      <c r="E127" s="54" t="n">
        <v>0.130072</v>
      </c>
      <c r="F127" s="54" t="n">
        <v>0.201997</v>
      </c>
      <c r="G127" t="inlineStr">
        <is>
          <t>original (el Boletín publica con y sin impuestos)</t>
        </is>
      </c>
      <c r="H127" t="inlineStr">
        <is>
          <t>IVA e impuesto sobre hidrocarburos incluidos por la fuente</t>
        </is>
      </c>
      <c r="K127" t="inlineStr">
        <is>
          <t>Weekly_Oil_Bulletin_Prices_History_maticni_4web.xlsx</t>
        </is>
      </c>
      <c r="L127" t="inlineStr">
        <is>
          <t>precio antes de la bonificación de 20 c€/l (RDL 6/2022), que el Boletín no descuenta</t>
        </is>
      </c>
    </row>
    <row r="128">
      <c r="A128" s="53" t="n">
        <v>44739</v>
      </c>
      <c r="B128" t="inlineStr">
        <is>
          <t>2022-06-27</t>
        </is>
      </c>
      <c r="C128" s="45" t="n">
        <v>2.10048</v>
      </c>
      <c r="D128" t="inlineStr">
        <is>
          <t>€/l</t>
        </is>
      </c>
      <c r="E128" s="54" t="n">
        <v>0.131997</v>
      </c>
      <c r="F128" s="54" t="n">
        <v>0.204327</v>
      </c>
      <c r="G128" t="inlineStr">
        <is>
          <t>original (el Boletín publica con y sin impuestos)</t>
        </is>
      </c>
      <c r="H128" t="inlineStr">
        <is>
          <t>IVA e impuesto sobre hidrocarburos incluidos por la fuente</t>
        </is>
      </c>
      <c r="K128" t="inlineStr">
        <is>
          <t>Weekly_Oil_Bulletin_Prices_History_maticni_4web.xlsx</t>
        </is>
      </c>
      <c r="L128" t="inlineStr">
        <is>
          <t>precio antes de la bonificación de 20 c€/l (RDL 6/2022), que el Boletín no descuenta</t>
        </is>
      </c>
    </row>
    <row r="129">
      <c r="A129" s="53" t="n">
        <v>44746</v>
      </c>
      <c r="B129" t="inlineStr">
        <is>
          <t>2022-07-04</t>
        </is>
      </c>
      <c r="C129" s="45" t="n">
        <v>2.07649</v>
      </c>
      <c r="D129" t="inlineStr">
        <is>
          <t>€/l</t>
        </is>
      </c>
      <c r="E129" s="54" t="n">
        <v>0.130069</v>
      </c>
      <c r="F129" s="54" t="n">
        <v>0.201993</v>
      </c>
      <c r="G129" t="inlineStr">
        <is>
          <t>original (el Boletín publica con y sin impuestos)</t>
        </is>
      </c>
      <c r="H129" t="inlineStr">
        <is>
          <t>IVA e impuesto sobre hidrocarburos incluidos por la fuente</t>
        </is>
      </c>
      <c r="K129" t="inlineStr">
        <is>
          <t>Weekly_Oil_Bulletin_Prices_History_maticni_4web.xlsx</t>
        </is>
      </c>
      <c r="L129" t="inlineStr">
        <is>
          <t>precio antes de la bonificación de 20 c€/l (RDL 6/2022), que el Boletín no descuenta</t>
        </is>
      </c>
    </row>
    <row r="130">
      <c r="A130" s="53" t="n">
        <v>44753</v>
      </c>
      <c r="B130" t="inlineStr">
        <is>
          <t>2022-07-11</t>
        </is>
      </c>
      <c r="C130" s="45" t="n">
        <v>2.0225</v>
      </c>
      <c r="D130" t="inlineStr">
        <is>
          <t>€/l</t>
        </is>
      </c>
      <c r="E130" s="54" t="n">
        <v>0.125729</v>
      </c>
      <c r="F130" s="54" t="n">
        <v>0.196741</v>
      </c>
      <c r="G130" t="inlineStr">
        <is>
          <t>original (el Boletín publica con y sin impuestos)</t>
        </is>
      </c>
      <c r="H130" t="inlineStr">
        <is>
          <t>IVA e impuesto sobre hidrocarburos incluidos por la fuente</t>
        </is>
      </c>
      <c r="K130" t="inlineStr">
        <is>
          <t>Weekly_Oil_Bulletin_Prices_History_maticni_4web.xlsx</t>
        </is>
      </c>
      <c r="L130" t="inlineStr">
        <is>
          <t>precio antes de la bonificación de 20 c€/l (RDL 6/2022), que el Boletín no descuenta</t>
        </is>
      </c>
    </row>
    <row r="131">
      <c r="A131" s="53" t="n">
        <v>44760</v>
      </c>
      <c r="B131" t="inlineStr">
        <is>
          <t>2022-07-18</t>
        </is>
      </c>
      <c r="C131" s="45" t="n">
        <v>1.97161</v>
      </c>
      <c r="D131" t="inlineStr">
        <is>
          <t>€/l</t>
        </is>
      </c>
      <c r="E131" s="54" t="n">
        <v>0.121637</v>
      </c>
      <c r="F131" s="54" t="n">
        <v>0.191791</v>
      </c>
      <c r="G131" t="inlineStr">
        <is>
          <t>original (el Boletín publica con y sin impuestos)</t>
        </is>
      </c>
      <c r="H131" t="inlineStr">
        <is>
          <t>IVA e impuesto sobre hidrocarburos incluidos por la fuente</t>
        </is>
      </c>
      <c r="K131" t="inlineStr">
        <is>
          <t>Weekly_Oil_Bulletin_Prices_History_maticni_4web.xlsx</t>
        </is>
      </c>
      <c r="L131" t="inlineStr">
        <is>
          <t>precio antes de la bonificación de 20 c€/l (RDL 6/2022), que el Boletín no descuenta</t>
        </is>
      </c>
    </row>
    <row r="132">
      <c r="A132" s="53" t="n">
        <v>44767</v>
      </c>
      <c r="B132" t="inlineStr">
        <is>
          <t>2022-07-25</t>
        </is>
      </c>
      <c r="C132" s="45" t="n">
        <v>1.93306</v>
      </c>
      <c r="D132" t="inlineStr">
        <is>
          <t>€/l</t>
        </is>
      </c>
      <c r="E132" s="54" t="n">
        <v>0.118538</v>
      </c>
      <c r="F132" s="54" t="n">
        <v>0.188041</v>
      </c>
      <c r="G132" t="inlineStr">
        <is>
          <t>original (el Boletín publica con y sin impuestos)</t>
        </is>
      </c>
      <c r="H132" t="inlineStr">
        <is>
          <t>IVA e impuesto sobre hidrocarburos incluidos por la fuente</t>
        </is>
      </c>
      <c r="K132" t="inlineStr">
        <is>
          <t>Weekly_Oil_Bulletin_Prices_History_maticni_4web.xlsx</t>
        </is>
      </c>
      <c r="L132" t="inlineStr">
        <is>
          <t>precio antes de la bonificación de 20 c€/l (RDL 6/2022), que el Boletín no descuenta</t>
        </is>
      </c>
    </row>
    <row r="133">
      <c r="A133" s="53" t="n">
        <v>44774</v>
      </c>
      <c r="B133" t="inlineStr">
        <is>
          <t>2022-08-01</t>
        </is>
      </c>
      <c r="C133" s="45" t="n">
        <v>1.89332</v>
      </c>
      <c r="D133" t="inlineStr">
        <is>
          <t>€/l</t>
        </is>
      </c>
      <c r="E133" s="54" t="n">
        <v>0.115343</v>
      </c>
      <c r="F133" s="54" t="n">
        <v>0.184175</v>
      </c>
      <c r="G133" t="inlineStr">
        <is>
          <t>original (el Boletín publica con y sin impuestos)</t>
        </is>
      </c>
      <c r="H133" t="inlineStr">
        <is>
          <t>IVA e impuesto sobre hidrocarburos incluidos por la fuente</t>
        </is>
      </c>
      <c r="K133" t="inlineStr">
        <is>
          <t>Weekly_Oil_Bulletin_Prices_History_maticni_4web.xlsx</t>
        </is>
      </c>
      <c r="L133" t="inlineStr">
        <is>
          <t>precio antes de la bonificación de 20 c€/l (RDL 6/2022), que el Boletín no descuenta</t>
        </is>
      </c>
    </row>
    <row r="134">
      <c r="A134" s="53" t="n">
        <v>44781</v>
      </c>
      <c r="B134" t="inlineStr">
        <is>
          <t>2022-08-08</t>
        </is>
      </c>
      <c r="C134" s="45" t="n">
        <v>1.85426</v>
      </c>
      <c r="D134" t="inlineStr">
        <is>
          <t>€/l</t>
        </is>
      </c>
      <c r="E134" s="54" t="n">
        <v>0.112203</v>
      </c>
      <c r="F134" s="54" t="n">
        <v>0.180375</v>
      </c>
      <c r="G134" t="inlineStr">
        <is>
          <t>original (el Boletín publica con y sin impuestos)</t>
        </is>
      </c>
      <c r="H134" t="inlineStr">
        <is>
          <t>IVA e impuesto sobre hidrocarburos incluidos por la fuente</t>
        </is>
      </c>
      <c r="K134" t="inlineStr">
        <is>
          <t>Weekly_Oil_Bulletin_Prices_History_maticni_4web.xlsx</t>
        </is>
      </c>
      <c r="L134" t="inlineStr">
        <is>
          <t>precio antes de la bonificación de 20 c€/l (RDL 6/2022), que el Boletín no descuenta</t>
        </is>
      </c>
    </row>
    <row r="135">
      <c r="A135" s="53" t="n">
        <v>44788</v>
      </c>
      <c r="B135" t="inlineStr">
        <is>
          <t>2022-08-15</t>
        </is>
      </c>
      <c r="C135" s="45" t="n">
        <v>1.80608</v>
      </c>
      <c r="D135" t="inlineStr">
        <is>
          <t>€/l</t>
        </is>
      </c>
      <c r="E135" s="54" t="n">
        <v>0.10833</v>
      </c>
      <c r="F135" s="54" t="n">
        <v>0.175689</v>
      </c>
      <c r="G135" t="inlineStr">
        <is>
          <t>original (el Boletín publica con y sin impuestos)</t>
        </is>
      </c>
      <c r="H135" t="inlineStr">
        <is>
          <t>IVA e impuesto sobre hidrocarburos incluidos por la fuente</t>
        </is>
      </c>
      <c r="K135" t="inlineStr">
        <is>
          <t>Weekly_Oil_Bulletin_Prices_History_maticni_4web.xlsx</t>
        </is>
      </c>
      <c r="L135" t="inlineStr">
        <is>
          <t>precio antes de la bonificación de 20 c€/l (RDL 6/2022), que el Boletín no descuenta</t>
        </is>
      </c>
    </row>
    <row r="136">
      <c r="A136" s="53" t="n">
        <v>44795</v>
      </c>
      <c r="B136" t="inlineStr">
        <is>
          <t>2022-08-22</t>
        </is>
      </c>
      <c r="C136" s="45" t="n">
        <v>1.81615</v>
      </c>
      <c r="D136" t="inlineStr">
        <is>
          <t>€/l</t>
        </is>
      </c>
      <c r="E136" s="54" t="n">
        <v>0.109139</v>
      </c>
      <c r="F136" s="54" t="n">
        <v>0.176668</v>
      </c>
      <c r="G136" t="inlineStr">
        <is>
          <t>original (el Boletín publica con y sin impuestos)</t>
        </is>
      </c>
      <c r="H136" t="inlineStr">
        <is>
          <t>IVA e impuesto sobre hidrocarburos incluidos por la fuente</t>
        </is>
      </c>
      <c r="K136" t="inlineStr">
        <is>
          <t>Weekly_Oil_Bulletin_Prices_History_maticni_4web.xlsx</t>
        </is>
      </c>
      <c r="L136" t="inlineStr">
        <is>
          <t>precio antes de la bonificación de 20 c€/l (RDL 6/2022), que el Boletín no descuenta</t>
        </is>
      </c>
    </row>
    <row r="137">
      <c r="A137" s="53" t="n">
        <v>44802</v>
      </c>
      <c r="B137" t="inlineStr">
        <is>
          <t>2022-08-29</t>
        </is>
      </c>
      <c r="C137" s="45" t="n">
        <v>1.88255</v>
      </c>
      <c r="D137" t="inlineStr">
        <is>
          <t>€/l</t>
        </is>
      </c>
      <c r="E137" s="54" t="n">
        <v>0.114478</v>
      </c>
      <c r="F137" s="54" t="n">
        <v>0.183127</v>
      </c>
      <c r="G137" t="inlineStr">
        <is>
          <t>original (el Boletín publica con y sin impuestos)</t>
        </is>
      </c>
      <c r="H137" t="inlineStr">
        <is>
          <t>IVA e impuesto sobre hidrocarburos incluidos por la fuente</t>
        </is>
      </c>
      <c r="K137" t="inlineStr">
        <is>
          <t>Weekly_Oil_Bulletin_Prices_History_maticni_4web.xlsx</t>
        </is>
      </c>
      <c r="L137" t="inlineStr">
        <is>
          <t>precio antes de la bonificación de 20 c€/l (RDL 6/2022), que el Boletín no descuenta</t>
        </is>
      </c>
    </row>
    <row r="138">
      <c r="A138" s="53" t="n">
        <v>44809</v>
      </c>
      <c r="B138" t="inlineStr">
        <is>
          <t>2022-09-05</t>
        </is>
      </c>
      <c r="C138" s="45" t="n">
        <v>1.92121</v>
      </c>
      <c r="D138" t="inlineStr">
        <is>
          <t>€/l</t>
        </is>
      </c>
      <c r="E138" s="54" t="n">
        <v>0.117586</v>
      </c>
      <c r="F138" s="54" t="n">
        <v>0.186888</v>
      </c>
      <c r="G138" t="inlineStr">
        <is>
          <t>original (el Boletín publica con y sin impuestos)</t>
        </is>
      </c>
      <c r="H138" t="inlineStr">
        <is>
          <t>IVA e impuesto sobre hidrocarburos incluidos por la fuente</t>
        </is>
      </c>
      <c r="K138" t="inlineStr">
        <is>
          <t>Weekly_Oil_Bulletin_Prices_History_maticni_4web.xlsx</t>
        </is>
      </c>
      <c r="L138" t="inlineStr">
        <is>
          <t>precio antes de la bonificación de 20 c€/l (RDL 6/2022), que el Boletín no descuenta</t>
        </is>
      </c>
    </row>
    <row r="139">
      <c r="A139" s="53" t="n">
        <v>44816</v>
      </c>
      <c r="B139" t="inlineStr">
        <is>
          <t>2022-09-12</t>
        </is>
      </c>
      <c r="C139" s="45" t="n">
        <v>1.90573</v>
      </c>
      <c r="D139" t="inlineStr">
        <is>
          <t>€/l</t>
        </is>
      </c>
      <c r="E139" s="54" t="n">
        <v>0.11634</v>
      </c>
      <c r="F139" s="54" t="n">
        <v>0.185382</v>
      </c>
      <c r="G139" t="inlineStr">
        <is>
          <t>original (el Boletín publica con y sin impuestos)</t>
        </is>
      </c>
      <c r="H139" t="inlineStr">
        <is>
          <t>IVA e impuesto sobre hidrocarburos incluidos por la fuente</t>
        </is>
      </c>
      <c r="K139" t="inlineStr">
        <is>
          <t>Weekly_Oil_Bulletin_Prices_History_maticni_4web.xlsx</t>
        </is>
      </c>
      <c r="L139" t="inlineStr">
        <is>
          <t>precio antes de la bonificación de 20 c€/l (RDL 6/2022), que el Boletín no descuenta</t>
        </is>
      </c>
    </row>
    <row r="140">
      <c r="A140" s="53" t="n">
        <v>44823</v>
      </c>
      <c r="B140" t="inlineStr">
        <is>
          <t>2022-09-19</t>
        </is>
      </c>
      <c r="C140" s="45" t="n">
        <v>1.86799</v>
      </c>
      <c r="D140" t="inlineStr">
        <is>
          <t>€/l</t>
        </is>
      </c>
      <c r="E140" s="54" t="n">
        <v>0.113306</v>
      </c>
      <c r="F140" s="54" t="n">
        <v>0.181711</v>
      </c>
      <c r="G140" t="inlineStr">
        <is>
          <t>original (el Boletín publica con y sin impuestos)</t>
        </is>
      </c>
      <c r="H140" t="inlineStr">
        <is>
          <t>IVA e impuesto sobre hidrocarburos incluidos por la fuente</t>
        </is>
      </c>
      <c r="K140" t="inlineStr">
        <is>
          <t>Weekly_Oil_Bulletin_Prices_History_maticni_4web.xlsx</t>
        </is>
      </c>
      <c r="L140" t="inlineStr">
        <is>
          <t>precio antes de la bonificación de 20 c€/l (RDL 6/2022), que el Boletín no descuenta</t>
        </is>
      </c>
    </row>
    <row r="141">
      <c r="A141" s="53" t="n">
        <v>44830</v>
      </c>
      <c r="B141" t="inlineStr">
        <is>
          <t>2022-09-26</t>
        </is>
      </c>
      <c r="C141" s="45" t="n">
        <v>1.82201</v>
      </c>
      <c r="D141" t="inlineStr">
        <is>
          <t>€/l</t>
        </is>
      </c>
      <c r="E141" s="54" t="n">
        <v>0.10961</v>
      </c>
      <c r="F141" s="54" t="n">
        <v>0.177238</v>
      </c>
      <c r="G141" t="inlineStr">
        <is>
          <t>original (el Boletín publica con y sin impuestos)</t>
        </is>
      </c>
      <c r="H141" t="inlineStr">
        <is>
          <t>IVA e impuesto sobre hidrocarburos incluidos por la fuente</t>
        </is>
      </c>
      <c r="K141" t="inlineStr">
        <is>
          <t>Weekly_Oil_Bulletin_Prices_History_maticni_4web.xlsx</t>
        </is>
      </c>
      <c r="L141" t="inlineStr">
        <is>
          <t>precio antes de la bonificación de 20 c€/l (RDL 6/2022), que el Boletín no descuenta</t>
        </is>
      </c>
    </row>
    <row r="142">
      <c r="A142" s="53" t="n">
        <v>44837</v>
      </c>
      <c r="B142" t="inlineStr">
        <is>
          <t>2022-10-03</t>
        </is>
      </c>
      <c r="C142" s="45" t="n">
        <v>1.80835</v>
      </c>
      <c r="D142" t="inlineStr">
        <is>
          <t>€/l</t>
        </is>
      </c>
      <c r="E142" s="54" t="n">
        <v>0.108512</v>
      </c>
      <c r="F142" s="54" t="n">
        <v>0.17591</v>
      </c>
      <c r="G142" t="inlineStr">
        <is>
          <t>original (el Boletín publica con y sin impuestos)</t>
        </is>
      </c>
      <c r="H142" t="inlineStr">
        <is>
          <t>IVA e impuesto sobre hidrocarburos incluidos por la fuente</t>
        </is>
      </c>
      <c r="K142" t="inlineStr">
        <is>
          <t>Weekly_Oil_Bulletin_Prices_History_maticni_4web.xlsx</t>
        </is>
      </c>
      <c r="L142" t="inlineStr">
        <is>
          <t>precio antes de la bonificación de 20 c€/l (RDL 6/2022), que el Boletín no descuenta</t>
        </is>
      </c>
    </row>
    <row r="143">
      <c r="A143" s="53" t="n">
        <v>44844</v>
      </c>
      <c r="B143" t="inlineStr">
        <is>
          <t>2022-10-10</t>
        </is>
      </c>
      <c r="C143" s="45" t="n">
        <v>1.8566</v>
      </c>
      <c r="D143" t="inlineStr">
        <is>
          <t>€/l</t>
        </is>
      </c>
      <c r="E143" s="54" t="n">
        <v>0.112391</v>
      </c>
      <c r="F143" s="54" t="n">
        <v>0.180603</v>
      </c>
      <c r="G143" t="inlineStr">
        <is>
          <t>original (el Boletín publica con y sin impuestos)</t>
        </is>
      </c>
      <c r="H143" t="inlineStr">
        <is>
          <t>IVA e impuesto sobre hidrocarburos incluidos por la fuente</t>
        </is>
      </c>
      <c r="K143" t="inlineStr">
        <is>
          <t>Weekly_Oil_Bulletin_Prices_History_maticni_4web.xlsx</t>
        </is>
      </c>
      <c r="L143" t="inlineStr">
        <is>
          <t>precio antes de la bonificación de 20 c€/l (RDL 6/2022), que el Boletín no descuenta</t>
        </is>
      </c>
    </row>
    <row r="144">
      <c r="A144" s="53" t="n">
        <v>44851</v>
      </c>
      <c r="B144" t="inlineStr">
        <is>
          <t>2022-10-17</t>
        </is>
      </c>
      <c r="C144" s="45" t="n">
        <v>1.9492</v>
      </c>
      <c r="D144" t="inlineStr">
        <is>
          <t>€/l</t>
        </is>
      </c>
      <c r="E144" s="54" t="n">
        <v>0.119836</v>
      </c>
      <c r="F144" s="54" t="n">
        <v>0.189611</v>
      </c>
      <c r="G144" t="inlineStr">
        <is>
          <t>original (el Boletín publica con y sin impuestos)</t>
        </is>
      </c>
      <c r="H144" t="inlineStr">
        <is>
          <t>IVA e impuesto sobre hidrocarburos incluidos por la fuente</t>
        </is>
      </c>
      <c r="K144" t="inlineStr">
        <is>
          <t>Weekly_Oil_Bulletin_Prices_History_maticni_4web.xlsx</t>
        </is>
      </c>
      <c r="L144" t="inlineStr">
        <is>
          <t>precio antes de la bonificación de 20 c€/l (RDL 6/2022), que el Boletín no descuenta</t>
        </is>
      </c>
    </row>
    <row r="145">
      <c r="A145" s="53" t="n">
        <v>44858</v>
      </c>
      <c r="B145" t="inlineStr">
        <is>
          <t>2022-10-24</t>
        </is>
      </c>
      <c r="C145" s="45" t="n">
        <v>1.9729</v>
      </c>
      <c r="D145" t="inlineStr">
        <is>
          <t>€/l</t>
        </is>
      </c>
      <c r="E145" s="54" t="n">
        <v>0.121741</v>
      </c>
      <c r="F145" s="54" t="n">
        <v>0.191916</v>
      </c>
      <c r="G145" t="inlineStr">
        <is>
          <t>original (el Boletín publica con y sin impuestos)</t>
        </is>
      </c>
      <c r="H145" t="inlineStr">
        <is>
          <t>IVA e impuesto sobre hidrocarburos incluidos por la fuente</t>
        </is>
      </c>
      <c r="K145" t="inlineStr">
        <is>
          <t>Weekly_Oil_Bulletin_Prices_History_maticni_4web.xlsx</t>
        </is>
      </c>
      <c r="L145" t="inlineStr">
        <is>
          <t>precio antes de la bonificación de 20 c€/l (RDL 6/2022), que el Boletín no descuenta</t>
        </is>
      </c>
    </row>
    <row r="146">
      <c r="A146" s="53" t="n">
        <v>44865</v>
      </c>
      <c r="B146" t="inlineStr">
        <is>
          <t>2022-10-31</t>
        </is>
      </c>
      <c r="C146" s="45" t="n">
        <v>1.97143</v>
      </c>
      <c r="D146" t="inlineStr">
        <is>
          <t>€/l</t>
        </is>
      </c>
      <c r="E146" s="54" t="n">
        <v>0.121623</v>
      </c>
      <c r="F146" s="54" t="n">
        <v>0.191773</v>
      </c>
      <c r="G146" t="inlineStr">
        <is>
          <t>original (el Boletín publica con y sin impuestos)</t>
        </is>
      </c>
      <c r="H146" t="inlineStr">
        <is>
          <t>IVA e impuesto sobre hidrocarburos incluidos por la fuente</t>
        </is>
      </c>
      <c r="K146" t="inlineStr">
        <is>
          <t>Weekly_Oil_Bulletin_Prices_History_maticni_4web.xlsx</t>
        </is>
      </c>
      <c r="L146" t="inlineStr">
        <is>
          <t>precio antes de la bonificación de 20 c€/l (RDL 6/2022), que el Boletín no descuenta</t>
        </is>
      </c>
    </row>
    <row r="147">
      <c r="A147" s="53" t="n">
        <v>44872</v>
      </c>
      <c r="B147" t="inlineStr">
        <is>
          <t>2022-11-07</t>
        </is>
      </c>
      <c r="C147" s="45" t="n">
        <v>1.96398</v>
      </c>
      <c r="D147" t="inlineStr">
        <is>
          <t>€/l</t>
        </is>
      </c>
      <c r="E147" s="54" t="n">
        <v>0.121023</v>
      </c>
      <c r="F147" s="54" t="n">
        <v>0.191049</v>
      </c>
      <c r="G147" t="inlineStr">
        <is>
          <t>original (el Boletín publica con y sin impuestos)</t>
        </is>
      </c>
      <c r="H147" t="inlineStr">
        <is>
          <t>IVA e impuesto sobre hidrocarburos incluidos por la fuente</t>
        </is>
      </c>
      <c r="K147" t="inlineStr">
        <is>
          <t>Weekly_Oil_Bulletin_Prices_History_maticni_4web.xlsx</t>
        </is>
      </c>
      <c r="L147" t="inlineStr">
        <is>
          <t>precio antes de la bonificación de 20 c€/l (RDL 6/2022), que el Boletín no descuenta</t>
        </is>
      </c>
    </row>
    <row r="148">
      <c r="A148" s="53" t="n">
        <v>44879</v>
      </c>
      <c r="B148" t="inlineStr">
        <is>
          <t>2022-11-14</t>
        </is>
      </c>
      <c r="C148" s="45" t="n">
        <v>1.9399</v>
      </c>
      <c r="D148" t="inlineStr">
        <is>
          <t>€/l</t>
        </is>
      </c>
      <c r="E148" s="54" t="n">
        <v>0.119088</v>
      </c>
      <c r="F148" s="54" t="n">
        <v>0.188706</v>
      </c>
      <c r="G148" t="inlineStr">
        <is>
          <t>original (el Boletín publica con y sin impuestos)</t>
        </is>
      </c>
      <c r="H148" t="inlineStr">
        <is>
          <t>IVA e impuesto sobre hidrocarburos incluidos por la fuente</t>
        </is>
      </c>
      <c r="K148" t="inlineStr">
        <is>
          <t>Weekly_Oil_Bulletin_Prices_History_maticni_4web.xlsx</t>
        </is>
      </c>
      <c r="L148" t="inlineStr">
        <is>
          <t>precio antes de la bonificación de 20 c€/l (RDL 6/2022), que el Boletín no descuenta</t>
        </is>
      </c>
    </row>
    <row r="149">
      <c r="A149" s="53" t="n">
        <v>44886</v>
      </c>
      <c r="B149" t="inlineStr">
        <is>
          <t>2022-11-21</t>
        </is>
      </c>
      <c r="C149" s="45" t="n">
        <v>1.87678</v>
      </c>
      <c r="D149" t="inlineStr">
        <is>
          <t>€/l</t>
        </is>
      </c>
      <c r="E149" s="54" t="n">
        <v>0.114014</v>
      </c>
      <c r="F149" s="54" t="n">
        <v>0.182566</v>
      </c>
      <c r="G149" t="inlineStr">
        <is>
          <t>original (el Boletín publica con y sin impuestos)</t>
        </is>
      </c>
      <c r="H149" t="inlineStr">
        <is>
          <t>IVA e impuesto sobre hidrocarburos incluidos por la fuente</t>
        </is>
      </c>
      <c r="K149" t="inlineStr">
        <is>
          <t>Weekly_Oil_Bulletin_Prices_History_maticni_4web.xlsx</t>
        </is>
      </c>
      <c r="L149" t="inlineStr">
        <is>
          <t>precio antes de la bonificación de 20 c€/l (RDL 6/2022), que el Boletín no descuenta</t>
        </is>
      </c>
    </row>
    <row r="150">
      <c r="A150" s="53" t="n">
        <v>44893</v>
      </c>
      <c r="B150" t="inlineStr">
        <is>
          <t>2022-11-28</t>
        </is>
      </c>
      <c r="C150" s="45" t="n">
        <v>1.82157</v>
      </c>
      <c r="D150" t="inlineStr">
        <is>
          <t>€/l</t>
        </is>
      </c>
      <c r="E150" s="54" t="n">
        <v>0.109575</v>
      </c>
      <c r="F150" s="54" t="n">
        <v>0.177196</v>
      </c>
      <c r="G150" t="inlineStr">
        <is>
          <t>original (el Boletín publica con y sin impuestos)</t>
        </is>
      </c>
      <c r="H150" t="inlineStr">
        <is>
          <t>IVA e impuesto sobre hidrocarburos incluidos por la fuente</t>
        </is>
      </c>
      <c r="K150" t="inlineStr">
        <is>
          <t>Weekly_Oil_Bulletin_Prices_History_maticni_4web.xlsx</t>
        </is>
      </c>
      <c r="L150" t="inlineStr">
        <is>
          <t>precio antes de la bonificación de 20 c€/l (RDL 6/2022), que el Boletín no descuenta</t>
        </is>
      </c>
    </row>
    <row r="151">
      <c r="A151" s="53" t="n">
        <v>44900</v>
      </c>
      <c r="B151" t="inlineStr">
        <is>
          <t>2022-12-05</t>
        </is>
      </c>
      <c r="C151" s="45" t="n">
        <v>1.76396</v>
      </c>
      <c r="D151" t="inlineStr">
        <is>
          <t>€/l</t>
        </is>
      </c>
      <c r="E151" s="54" t="n">
        <v>0.104944</v>
      </c>
      <c r="F151" s="54" t="n">
        <v>0.171591</v>
      </c>
      <c r="G151" t="inlineStr">
        <is>
          <t>original (el Boletín publica con y sin impuestos)</t>
        </is>
      </c>
      <c r="H151" t="inlineStr">
        <is>
          <t>IVA e impuesto sobre hidrocarburos incluidos por la fuente</t>
        </is>
      </c>
      <c r="K151" t="inlineStr">
        <is>
          <t>Weekly_Oil_Bulletin_Prices_History_maticni_4web.xlsx</t>
        </is>
      </c>
      <c r="L151" t="inlineStr">
        <is>
          <t>precio antes de la bonificación de 20 c€/l (RDL 6/2022), que el Boletín no descuenta</t>
        </is>
      </c>
    </row>
    <row r="152">
      <c r="A152" s="53" t="n">
        <v>44907</v>
      </c>
      <c r="B152" t="inlineStr">
        <is>
          <t>2022-12-12</t>
        </is>
      </c>
      <c r="C152" s="45" t="n">
        <v>1.71097</v>
      </c>
      <c r="D152" t="inlineStr">
        <is>
          <t>€/l</t>
        </is>
      </c>
      <c r="E152" s="54" t="n">
        <v>0.100683</v>
      </c>
      <c r="F152" s="54" t="n">
        <v>0.166437</v>
      </c>
      <c r="G152" t="inlineStr">
        <is>
          <t>original (el Boletín publica con y sin impuestos)</t>
        </is>
      </c>
      <c r="H152" t="inlineStr">
        <is>
          <t>IVA e impuesto sobre hidrocarburos incluidos por la fuente</t>
        </is>
      </c>
      <c r="K152" t="inlineStr">
        <is>
          <t>Weekly_Oil_Bulletin_Prices_History_maticni_4web.xlsx</t>
        </is>
      </c>
      <c r="L152" t="inlineStr">
        <is>
          <t>precio antes de la bonificación de 20 c€/l (RDL 6/2022), que el Boletín no descuenta</t>
        </is>
      </c>
    </row>
    <row r="153">
      <c r="A153" s="53" t="n">
        <v>44914</v>
      </c>
      <c r="B153" t="inlineStr">
        <is>
          <t>2022-12-19</t>
        </is>
      </c>
      <c r="C153" s="45" t="n">
        <v>1.66175</v>
      </c>
      <c r="D153" t="inlineStr">
        <is>
          <t>€/l</t>
        </is>
      </c>
      <c r="E153" s="54" t="n">
        <v>0.09672699999999999</v>
      </c>
      <c r="F153" s="54" t="n">
        <v>0.161649</v>
      </c>
      <c r="G153" t="inlineStr">
        <is>
          <t>original (el Boletín publica con y sin impuestos)</t>
        </is>
      </c>
      <c r="H153" t="inlineStr">
        <is>
          <t>IVA e impuesto sobre hidrocarburos incluidos por la fuente</t>
        </is>
      </c>
      <c r="K153" t="inlineStr">
        <is>
          <t>Weekly_Oil_Bulletin_Prices_History_maticni_4web.xlsx</t>
        </is>
      </c>
      <c r="L153" t="inlineStr">
        <is>
          <t>precio antes de la bonificación de 20 c€/l (RDL 6/2022), que el Boletín no descuenta</t>
        </is>
      </c>
    </row>
    <row r="154">
      <c r="A154" s="53" t="n">
        <v>44921</v>
      </c>
      <c r="B154" t="inlineStr">
        <is>
          <t>2022-12-26</t>
        </is>
      </c>
      <c r="C154" s="45" t="n">
        <v>1.64335</v>
      </c>
      <c r="D154" t="inlineStr">
        <is>
          <t>€/l</t>
        </is>
      </c>
      <c r="E154" s="54" t="n">
        <v>0.095247</v>
      </c>
      <c r="F154" s="54" t="n">
        <v>0.159859</v>
      </c>
      <c r="G154" t="inlineStr">
        <is>
          <t>original (el Boletín publica con y sin impuestos)</t>
        </is>
      </c>
      <c r="H154" t="inlineStr">
        <is>
          <t>IVA e impuesto sobre hidrocarburos incluidos por la fuente</t>
        </is>
      </c>
      <c r="K154" t="inlineStr">
        <is>
          <t>Weekly_Oil_Bulletin_Prices_History_maticni_4web.xlsx</t>
        </is>
      </c>
      <c r="L154" t="inlineStr">
        <is>
          <t>precio antes de la bonificación de 20 c€/l (RDL 6/2022), que el Boletín no descuenta</t>
        </is>
      </c>
    </row>
    <row r="155">
      <c r="A155" s="53" t="n">
        <v>44928</v>
      </c>
      <c r="B155" t="inlineStr">
        <is>
          <t>2023-01-02</t>
        </is>
      </c>
      <c r="C155" s="45" t="n">
        <v>1.66081</v>
      </c>
      <c r="D155" t="inlineStr">
        <is>
          <t>€/l</t>
        </is>
      </c>
      <c r="E155" s="54" t="n">
        <v>0.096651</v>
      </c>
      <c r="F155" s="54" t="n">
        <v>0.161557</v>
      </c>
      <c r="G155" t="inlineStr">
        <is>
          <t>original (el Boletín publica con y sin impuestos)</t>
        </is>
      </c>
      <c r="H155" t="inlineStr">
        <is>
          <t>IVA e impuesto sobre hidrocarburos incluidos por la fuente</t>
        </is>
      </c>
      <c r="K155" t="inlineStr">
        <is>
          <t>Weekly_Oil_Bulletin_Prices_History_maticni_4web.xlsx</t>
        </is>
      </c>
    </row>
    <row r="156">
      <c r="A156" s="53" t="n">
        <v>44935</v>
      </c>
      <c r="B156" t="inlineStr">
        <is>
          <t>2023-01-09</t>
        </is>
      </c>
      <c r="C156" s="45" t="n">
        <v>1.68194</v>
      </c>
      <c r="D156" t="inlineStr">
        <is>
          <t>€/l</t>
        </is>
      </c>
      <c r="E156" s="54" t="n">
        <v>0.09834900000000001</v>
      </c>
      <c r="F156" s="54" t="n">
        <v>0.163613</v>
      </c>
      <c r="G156" t="inlineStr">
        <is>
          <t>original (el Boletín publica con y sin impuestos)</t>
        </is>
      </c>
      <c r="H156" t="inlineStr">
        <is>
          <t>IVA e impuesto sobre hidrocarburos incluidos por la fuente</t>
        </is>
      </c>
      <c r="K156" t="inlineStr">
        <is>
          <t>Weekly_Oil_Bulletin_Prices_History_maticni_4web.xlsx</t>
        </is>
      </c>
    </row>
    <row r="157">
      <c r="A157" s="53" t="n">
        <v>44942</v>
      </c>
      <c r="B157" t="inlineStr">
        <is>
          <t>2023-01-16</t>
        </is>
      </c>
      <c r="C157" s="45" t="n">
        <v>1.67908</v>
      </c>
      <c r="D157" t="inlineStr">
        <is>
          <t>€/l</t>
        </is>
      </c>
      <c r="E157" s="54" t="n">
        <v>0.09812</v>
      </c>
      <c r="F157" s="54" t="n">
        <v>0.163335</v>
      </c>
      <c r="G157" t="inlineStr">
        <is>
          <t>original (el Boletín publica con y sin impuestos)</t>
        </is>
      </c>
      <c r="H157" t="inlineStr">
        <is>
          <t>IVA e impuesto sobre hidrocarburos incluidos por la fuente</t>
        </is>
      </c>
      <c r="K157" t="inlineStr">
        <is>
          <t>Weekly_Oil_Bulletin_Prices_History_maticni_4web.xlsx</t>
        </is>
      </c>
    </row>
    <row r="158">
      <c r="A158" s="53" t="n">
        <v>44949</v>
      </c>
      <c r="B158" t="inlineStr">
        <is>
          <t>2023-01-23</t>
        </is>
      </c>
      <c r="C158" s="45" t="n">
        <v>1.68831</v>
      </c>
      <c r="D158" t="inlineStr">
        <is>
          <t>€/l</t>
        </is>
      </c>
      <c r="E158" s="54" t="n">
        <v>0.09886200000000001</v>
      </c>
      <c r="F158" s="54" t="n">
        <v>0.164232</v>
      </c>
      <c r="G158" t="inlineStr">
        <is>
          <t>original (el Boletín publica con y sin impuestos)</t>
        </is>
      </c>
      <c r="H158" t="inlineStr">
        <is>
          <t>IVA e impuesto sobre hidrocarburos incluidos por la fuente</t>
        </is>
      </c>
      <c r="K158" t="inlineStr">
        <is>
          <t>Weekly_Oil_Bulletin_Prices_History_maticni_4web.xlsx</t>
        </is>
      </c>
    </row>
    <row r="159">
      <c r="A159" s="53" t="n">
        <v>44956</v>
      </c>
      <c r="B159" t="inlineStr">
        <is>
          <t>2023-01-30</t>
        </is>
      </c>
      <c r="C159" s="45" t="n">
        <v>1.70404</v>
      </c>
      <c r="D159" t="inlineStr">
        <is>
          <t>€/l</t>
        </is>
      </c>
      <c r="E159" s="54" t="n">
        <v>0.100126</v>
      </c>
      <c r="F159" s="54" t="n">
        <v>0.165763</v>
      </c>
      <c r="G159" t="inlineStr">
        <is>
          <t>original (el Boletín publica con y sin impuestos)</t>
        </is>
      </c>
      <c r="H159" t="inlineStr">
        <is>
          <t>IVA e impuesto sobre hidrocarburos incluidos por la fuente</t>
        </is>
      </c>
      <c r="K159" t="inlineStr">
        <is>
          <t>Weekly_Oil_Bulletin_Prices_History_maticni_4web.xlsx</t>
        </is>
      </c>
    </row>
    <row r="160">
      <c r="A160" s="53" t="n">
        <v>44963</v>
      </c>
      <c r="B160" t="inlineStr">
        <is>
          <t>2023-02-06</t>
        </is>
      </c>
      <c r="C160" s="45" t="n">
        <v>1.67742</v>
      </c>
      <c r="D160" t="inlineStr">
        <is>
          <t>€/l</t>
        </is>
      </c>
      <c r="E160" s="54" t="n">
        <v>0.097986</v>
      </c>
      <c r="F160" s="54" t="n">
        <v>0.163173</v>
      </c>
      <c r="G160" t="inlineStr">
        <is>
          <t>original (el Boletín publica con y sin impuestos)</t>
        </is>
      </c>
      <c r="H160" t="inlineStr">
        <is>
          <t>IVA e impuesto sobre hidrocarburos incluidos por la fuente</t>
        </is>
      </c>
      <c r="K160" t="inlineStr">
        <is>
          <t>Weekly_Oil_Bulletin_Prices_History_maticni_4web.xlsx</t>
        </is>
      </c>
    </row>
    <row r="161">
      <c r="A161" s="53" t="n">
        <v>44970</v>
      </c>
      <c r="B161" t="inlineStr">
        <is>
          <t>2023-02-13</t>
        </is>
      </c>
      <c r="C161" s="45" t="n">
        <v>1.62875</v>
      </c>
      <c r="D161" t="inlineStr">
        <is>
          <t>€/l</t>
        </is>
      </c>
      <c r="E161" s="54" t="n">
        <v>0.094073</v>
      </c>
      <c r="F161" s="54" t="n">
        <v>0.158439</v>
      </c>
      <c r="G161" t="inlineStr">
        <is>
          <t>original (el Boletín publica con y sin impuestos)</t>
        </is>
      </c>
      <c r="H161" t="inlineStr">
        <is>
          <t>IVA e impuesto sobre hidrocarburos incluidos por la fuente</t>
        </is>
      </c>
      <c r="K161" t="inlineStr">
        <is>
          <t>Weekly_Oil_Bulletin_Prices_History_maticni_4web.xlsx</t>
        </is>
      </c>
    </row>
    <row r="162">
      <c r="A162" s="53" t="n">
        <v>44977</v>
      </c>
      <c r="B162" t="inlineStr">
        <is>
          <t>2023-02-20</t>
        </is>
      </c>
      <c r="C162" s="45" t="n">
        <v>1.6114</v>
      </c>
      <c r="D162" t="inlineStr">
        <is>
          <t>€/l</t>
        </is>
      </c>
      <c r="E162" s="54" t="n">
        <v>0.092679</v>
      </c>
      <c r="F162" s="54" t="n">
        <v>0.156751</v>
      </c>
      <c r="G162" t="inlineStr">
        <is>
          <t>original (el Boletín publica con y sin impuestos)</t>
        </is>
      </c>
      <c r="H162" t="inlineStr">
        <is>
          <t>IVA e impuesto sobre hidrocarburos incluidos por la fuente</t>
        </is>
      </c>
      <c r="K162" t="inlineStr">
        <is>
          <t>Weekly_Oil_Bulletin_Prices_History_maticni_4web.xlsx</t>
        </is>
      </c>
    </row>
    <row r="163">
      <c r="A163" s="53" t="n">
        <v>44984</v>
      </c>
      <c r="B163" t="inlineStr">
        <is>
          <t>2023-02-27</t>
        </is>
      </c>
      <c r="C163" s="45" t="n">
        <v>1.5891</v>
      </c>
      <c r="D163" t="inlineStr">
        <is>
          <t>€/l</t>
        </is>
      </c>
      <c r="E163" s="54" t="n">
        <v>0.09088599999999999</v>
      </c>
      <c r="F163" s="54" t="n">
        <v>0.154582</v>
      </c>
      <c r="G163" t="inlineStr">
        <is>
          <t>original (el Boletín publica con y sin impuestos)</t>
        </is>
      </c>
      <c r="H163" t="inlineStr">
        <is>
          <t>IVA e impuesto sobre hidrocarburos incluidos por la fuente</t>
        </is>
      </c>
      <c r="K163" t="inlineStr">
        <is>
          <t>Weekly_Oil_Bulletin_Prices_History_maticni_4web.xlsx</t>
        </is>
      </c>
    </row>
    <row r="164">
      <c r="A164" s="53" t="n">
        <v>44991</v>
      </c>
      <c r="B164" t="inlineStr">
        <is>
          <t>2023-03-06</t>
        </is>
      </c>
      <c r="C164" s="45" t="n">
        <v>1.5888</v>
      </c>
      <c r="D164" t="inlineStr">
        <is>
          <t>€/l</t>
        </is>
      </c>
      <c r="E164" s="54" t="n">
        <v>0.090862</v>
      </c>
      <c r="F164" s="54" t="n">
        <v>0.154553</v>
      </c>
      <c r="G164" t="inlineStr">
        <is>
          <t>original (el Boletín publica con y sin impuestos)</t>
        </is>
      </c>
      <c r="H164" t="inlineStr">
        <is>
          <t>IVA e impuesto sobre hidrocarburos incluidos por la fuente</t>
        </is>
      </c>
      <c r="K164" t="inlineStr">
        <is>
          <t>Weekly_Oil_Bulletin_Prices_History_maticni_4web.xlsx</t>
        </is>
      </c>
    </row>
    <row r="165">
      <c r="A165" s="53" t="n">
        <v>44998</v>
      </c>
      <c r="B165" t="inlineStr">
        <is>
          <t>2023-03-13</t>
        </is>
      </c>
      <c r="C165" s="45" t="n">
        <v>1.59266</v>
      </c>
      <c r="D165" t="inlineStr">
        <is>
          <t>€/l</t>
        </is>
      </c>
      <c r="E165" s="54" t="n">
        <v>0.091172</v>
      </c>
      <c r="F165" s="54" t="n">
        <v>0.154928</v>
      </c>
      <c r="G165" t="inlineStr">
        <is>
          <t>original (el Boletín publica con y sin impuestos)</t>
        </is>
      </c>
      <c r="H165" t="inlineStr">
        <is>
          <t>IVA e impuesto sobre hidrocarburos incluidos por la fuente</t>
        </is>
      </c>
      <c r="K165" t="inlineStr">
        <is>
          <t>Weekly_Oil_Bulletin_Prices_History_maticni_4web.xlsx</t>
        </is>
      </c>
    </row>
    <row r="166">
      <c r="A166" s="53" t="n">
        <v>45005</v>
      </c>
      <c r="B166" t="inlineStr">
        <is>
          <t>2023-03-20</t>
        </is>
      </c>
      <c r="C166" s="45" t="n">
        <v>1.57104</v>
      </c>
      <c r="D166" t="inlineStr">
        <is>
          <t>€/l</t>
        </is>
      </c>
      <c r="E166" s="54" t="n">
        <v>0.089434</v>
      </c>
      <c r="F166" s="54" t="n">
        <v>0.152825</v>
      </c>
      <c r="G166" t="inlineStr">
        <is>
          <t>original (el Boletín publica con y sin impuestos)</t>
        </is>
      </c>
      <c r="H166" t="inlineStr">
        <is>
          <t>IVA e impuesto sobre hidrocarburos incluidos por la fuente</t>
        </is>
      </c>
      <c r="K166" t="inlineStr">
        <is>
          <t>Weekly_Oil_Bulletin_Prices_History_maticni_4web.xlsx</t>
        </is>
      </c>
    </row>
    <row r="167">
      <c r="A167" s="53" t="n">
        <v>45012</v>
      </c>
      <c r="B167" t="inlineStr">
        <is>
          <t>2023-03-27</t>
        </is>
      </c>
      <c r="C167" s="45" t="n">
        <v>1.54589</v>
      </c>
      <c r="D167" t="inlineStr">
        <is>
          <t>€/l</t>
        </is>
      </c>
      <c r="E167" s="54" t="n">
        <v>0.087412</v>
      </c>
      <c r="F167" s="54" t="n">
        <v>0.150378</v>
      </c>
      <c r="G167" t="inlineStr">
        <is>
          <t>original (el Boletín publica con y sin impuestos)</t>
        </is>
      </c>
      <c r="H167" t="inlineStr">
        <is>
          <t>IVA e impuesto sobre hidrocarburos incluidos por la fuente</t>
        </is>
      </c>
      <c r="K167" t="inlineStr">
        <is>
          <t>Weekly_Oil_Bulletin_Prices_History_maticni_4web.xlsx</t>
        </is>
      </c>
    </row>
    <row r="168">
      <c r="A168" s="53" t="n">
        <v>45019</v>
      </c>
      <c r="B168" t="inlineStr">
        <is>
          <t>2023-04-03</t>
        </is>
      </c>
      <c r="C168" s="45" t="n">
        <v>1.52996</v>
      </c>
      <c r="D168" t="inlineStr">
        <is>
          <t>€/l</t>
        </is>
      </c>
      <c r="E168" s="54" t="n">
        <v>0.086131</v>
      </c>
      <c r="F168" s="54" t="n">
        <v>0.148829</v>
      </c>
      <c r="G168" t="inlineStr">
        <is>
          <t>original (el Boletín publica con y sin impuestos)</t>
        </is>
      </c>
      <c r="H168" t="inlineStr">
        <is>
          <t>IVA e impuesto sobre hidrocarburos incluidos por la fuente</t>
        </is>
      </c>
      <c r="K168" t="inlineStr">
        <is>
          <t>Weekly_Oil_Bulletin_Prices_History_maticni_4web.xlsx</t>
        </is>
      </c>
    </row>
    <row r="169">
      <c r="A169" s="53" t="n">
        <v>45026</v>
      </c>
      <c r="B169" t="inlineStr">
        <is>
          <t>2023-04-10</t>
        </is>
      </c>
      <c r="C169" s="45" t="n">
        <v>1.52372</v>
      </c>
      <c r="D169" t="inlineStr">
        <is>
          <t>€/l</t>
        </is>
      </c>
      <c r="E169" s="54" t="n">
        <v>0.085629</v>
      </c>
      <c r="F169" s="54" t="n">
        <v>0.148222</v>
      </c>
      <c r="G169" t="inlineStr">
        <is>
          <t>original (el Boletín publica con y sin impuestos)</t>
        </is>
      </c>
      <c r="H169" t="inlineStr">
        <is>
          <t>IVA e impuesto sobre hidrocarburos incluidos por la fuente</t>
        </is>
      </c>
      <c r="K169" t="inlineStr">
        <is>
          <t>Weekly_Oil_Bulletin_Prices_History_maticni_4web.xlsx</t>
        </is>
      </c>
    </row>
    <row r="170">
      <c r="A170" s="53" t="n">
        <v>45033</v>
      </c>
      <c r="B170" t="inlineStr">
        <is>
          <t>2023-04-17</t>
        </is>
      </c>
      <c r="C170" s="45" t="n">
        <v>1.51975</v>
      </c>
      <c r="D170" t="inlineStr">
        <is>
          <t>€/l</t>
        </is>
      </c>
      <c r="E170" s="54" t="n">
        <v>0.08531</v>
      </c>
      <c r="F170" s="54" t="n">
        <v>0.147836</v>
      </c>
      <c r="G170" t="inlineStr">
        <is>
          <t>original (el Boletín publica con y sin impuestos)</t>
        </is>
      </c>
      <c r="H170" t="inlineStr">
        <is>
          <t>IVA e impuesto sobre hidrocarburos incluidos por la fuente</t>
        </is>
      </c>
      <c r="K170" t="inlineStr">
        <is>
          <t>Weekly_Oil_Bulletin_Prices_History_maticni_4web.xlsx</t>
        </is>
      </c>
    </row>
    <row r="171">
      <c r="A171" s="53" t="n">
        <v>45040</v>
      </c>
      <c r="B171" t="inlineStr">
        <is>
          <t>2023-04-24</t>
        </is>
      </c>
      <c r="C171" s="45" t="n">
        <v>1.49646</v>
      </c>
      <c r="D171" t="inlineStr">
        <is>
          <t>€/l</t>
        </is>
      </c>
      <c r="E171" s="54" t="n">
        <v>0.083438</v>
      </c>
      <c r="F171" s="54" t="n">
        <v>0.14557</v>
      </c>
      <c r="G171" t="inlineStr">
        <is>
          <t>original (el Boletín publica con y sin impuestos)</t>
        </is>
      </c>
      <c r="H171" t="inlineStr">
        <is>
          <t>IVA e impuesto sobre hidrocarburos incluidos por la fuente</t>
        </is>
      </c>
      <c r="K171" t="inlineStr">
        <is>
          <t>Weekly_Oil_Bulletin_Prices_History_maticni_4web.xlsx</t>
        </is>
      </c>
    </row>
    <row r="172">
      <c r="A172" s="53" t="n">
        <v>45047</v>
      </c>
      <c r="B172" t="inlineStr">
        <is>
          <t>2023-05-01</t>
        </is>
      </c>
      <c r="C172" s="45" t="n">
        <v>1.46469</v>
      </c>
      <c r="D172" t="inlineStr">
        <is>
          <t>€/l</t>
        </is>
      </c>
      <c r="E172" s="54" t="n">
        <v>0.080884</v>
      </c>
      <c r="F172" s="54" t="n">
        <v>0.14248</v>
      </c>
      <c r="G172" t="inlineStr">
        <is>
          <t>original (el Boletín publica con y sin impuestos)</t>
        </is>
      </c>
      <c r="H172" t="inlineStr">
        <is>
          <t>IVA e impuesto sobre hidrocarburos incluidos por la fuente</t>
        </is>
      </c>
      <c r="K172" t="inlineStr">
        <is>
          <t>Weekly_Oil_Bulletin_Prices_History_maticni_4web.xlsx</t>
        </is>
      </c>
    </row>
    <row r="173">
      <c r="A173" s="53" t="n">
        <v>45054</v>
      </c>
      <c r="B173" t="inlineStr">
        <is>
          <t>2023-05-08</t>
        </is>
      </c>
      <c r="C173" s="45" t="n">
        <v>1.43372</v>
      </c>
      <c r="D173" t="inlineStr">
        <is>
          <t>€/l</t>
        </is>
      </c>
      <c r="E173" s="54" t="n">
        <v>0.07839400000000001</v>
      </c>
      <c r="F173" s="54" t="n">
        <v>0.139467</v>
      </c>
      <c r="G173" t="inlineStr">
        <is>
          <t>original (el Boletín publica con y sin impuestos)</t>
        </is>
      </c>
      <c r="H173" t="inlineStr">
        <is>
          <t>IVA e impuesto sobre hidrocarburos incluidos por la fuente</t>
        </is>
      </c>
      <c r="K173" t="inlineStr">
        <is>
          <t>Weekly_Oil_Bulletin_Prices_History_maticni_4web.xlsx</t>
        </is>
      </c>
    </row>
    <row r="174">
      <c r="A174" s="53" t="n">
        <v>45061</v>
      </c>
      <c r="B174" t="inlineStr">
        <is>
          <t>2023-05-15</t>
        </is>
      </c>
      <c r="C174" s="45" t="n">
        <v>1.41199</v>
      </c>
      <c r="D174" t="inlineStr">
        <is>
          <t>€/l</t>
        </is>
      </c>
      <c r="E174" s="54" t="n">
        <v>0.07664700000000001</v>
      </c>
      <c r="F174" s="54" t="n">
        <v>0.137353</v>
      </c>
      <c r="G174" t="inlineStr">
        <is>
          <t>original (el Boletín publica con y sin impuestos)</t>
        </is>
      </c>
      <c r="H174" t="inlineStr">
        <is>
          <t>IVA e impuesto sobre hidrocarburos incluidos por la fuente</t>
        </is>
      </c>
      <c r="K174" t="inlineStr">
        <is>
          <t>Weekly_Oil_Bulletin_Prices_History_maticni_4web.xlsx</t>
        </is>
      </c>
    </row>
    <row r="175">
      <c r="A175" s="53" t="n">
        <v>45068</v>
      </c>
      <c r="B175" t="inlineStr">
        <is>
          <t>2023-05-22</t>
        </is>
      </c>
      <c r="C175" s="45" t="n">
        <v>1.4091</v>
      </c>
      <c r="D175" t="inlineStr">
        <is>
          <t>€/l</t>
        </is>
      </c>
      <c r="E175" s="54" t="n">
        <v>0.076415</v>
      </c>
      <c r="F175" s="54" t="n">
        <v>0.137072</v>
      </c>
      <c r="G175" t="inlineStr">
        <is>
          <t>original (el Boletín publica con y sin impuestos)</t>
        </is>
      </c>
      <c r="H175" t="inlineStr">
        <is>
          <t>IVA e impuesto sobre hidrocarburos incluidos por la fuente</t>
        </is>
      </c>
      <c r="K175" t="inlineStr">
        <is>
          <t>Weekly_Oil_Bulletin_Prices_History_maticni_4web.xlsx</t>
        </is>
      </c>
    </row>
    <row r="176">
      <c r="A176" s="53" t="n">
        <v>45075</v>
      </c>
      <c r="B176" t="inlineStr">
        <is>
          <t>2023-05-29</t>
        </is>
      </c>
      <c r="C176" s="45" t="n">
        <v>1.41584</v>
      </c>
      <c r="D176" t="inlineStr">
        <is>
          <t>€/l</t>
        </is>
      </c>
      <c r="E176" s="54" t="n">
        <v>0.076957</v>
      </c>
      <c r="F176" s="54" t="n">
        <v>0.137728</v>
      </c>
      <c r="G176" t="inlineStr">
        <is>
          <t>original (el Boletín publica con y sin impuestos)</t>
        </is>
      </c>
      <c r="H176" t="inlineStr">
        <is>
          <t>IVA e impuesto sobre hidrocarburos incluidos por la fuente</t>
        </is>
      </c>
      <c r="K176" t="inlineStr">
        <is>
          <t>Weekly_Oil_Bulletin_Prices_History_maticni_4web.xlsx</t>
        </is>
      </c>
    </row>
    <row r="177">
      <c r="A177" s="53" t="n">
        <v>45082</v>
      </c>
      <c r="B177" t="inlineStr">
        <is>
          <t>2023-06-05</t>
        </is>
      </c>
      <c r="C177" s="45" t="n">
        <v>1.41719</v>
      </c>
      <c r="D177" t="inlineStr">
        <is>
          <t>€/l</t>
        </is>
      </c>
      <c r="E177" s="54" t="n">
        <v>0.07706499999999999</v>
      </c>
      <c r="F177" s="54" t="n">
        <v>0.137859</v>
      </c>
      <c r="G177" t="inlineStr">
        <is>
          <t>original (el Boletín publica con y sin impuestos)</t>
        </is>
      </c>
      <c r="H177" t="inlineStr">
        <is>
          <t>IVA e impuesto sobre hidrocarburos incluidos por la fuente</t>
        </is>
      </c>
      <c r="K177" t="inlineStr">
        <is>
          <t>Weekly_Oil_Bulletin_Prices_History_maticni_4web.xlsx</t>
        </is>
      </c>
    </row>
    <row r="178">
      <c r="A178" s="53" t="n">
        <v>45089</v>
      </c>
      <c r="B178" t="inlineStr">
        <is>
          <t>2023-06-12</t>
        </is>
      </c>
      <c r="C178" s="45" t="n">
        <v>1.42416</v>
      </c>
      <c r="D178" t="inlineStr">
        <is>
          <t>€/l</t>
        </is>
      </c>
      <c r="E178" s="54" t="n">
        <v>0.077625</v>
      </c>
      <c r="F178" s="54" t="n">
        <v>0.138537</v>
      </c>
      <c r="G178" t="inlineStr">
        <is>
          <t>original (el Boletín publica con y sin impuestos)</t>
        </is>
      </c>
      <c r="H178" t="inlineStr">
        <is>
          <t>IVA e impuesto sobre hidrocarburos incluidos por la fuente</t>
        </is>
      </c>
      <c r="K178" t="inlineStr">
        <is>
          <t>Weekly_Oil_Bulletin_Prices_History_maticni_4web.xlsx</t>
        </is>
      </c>
    </row>
    <row r="179">
      <c r="A179" s="53" t="n">
        <v>45096</v>
      </c>
      <c r="B179" t="inlineStr">
        <is>
          <t>2023-06-19</t>
        </is>
      </c>
      <c r="C179" s="45" t="n">
        <v>1.42715</v>
      </c>
      <c r="D179" t="inlineStr">
        <is>
          <t>€/l</t>
        </is>
      </c>
      <c r="E179" s="54" t="n">
        <v>0.077866</v>
      </c>
      <c r="F179" s="54" t="n">
        <v>0.138828</v>
      </c>
      <c r="G179" t="inlineStr">
        <is>
          <t>original (el Boletín publica con y sin impuestos)</t>
        </is>
      </c>
      <c r="H179" t="inlineStr">
        <is>
          <t>IVA e impuesto sobre hidrocarburos incluidos por la fuente</t>
        </is>
      </c>
      <c r="K179" t="inlineStr">
        <is>
          <t>Weekly_Oil_Bulletin_Prices_History_maticni_4web.xlsx</t>
        </is>
      </c>
    </row>
    <row r="180">
      <c r="A180" s="53" t="n">
        <v>45103</v>
      </c>
      <c r="B180" t="inlineStr">
        <is>
          <t>2023-06-26</t>
        </is>
      </c>
      <c r="C180" s="45" t="n">
        <v>1.44139</v>
      </c>
      <c r="D180" t="inlineStr">
        <is>
          <t>€/l</t>
        </is>
      </c>
      <c r="E180" s="54" t="n">
        <v>0.079011</v>
      </c>
      <c r="F180" s="54" t="n">
        <v>0.140213</v>
      </c>
      <c r="G180" t="inlineStr">
        <is>
          <t>original (el Boletín publica con y sin impuestos)</t>
        </is>
      </c>
      <c r="H180" t="inlineStr">
        <is>
          <t>IVA e impuesto sobre hidrocarburos incluidos por la fuente</t>
        </is>
      </c>
      <c r="K180" t="inlineStr">
        <is>
          <t>Weekly_Oil_Bulletin_Prices_History_maticni_4web.xlsx</t>
        </is>
      </c>
    </row>
    <row r="181">
      <c r="A181" s="53" t="n">
        <v>45110</v>
      </c>
      <c r="B181" t="inlineStr">
        <is>
          <t>2023-07-03</t>
        </is>
      </c>
      <c r="C181" s="45" t="n">
        <v>1.43757</v>
      </c>
      <c r="D181" t="inlineStr">
        <is>
          <t>€/l</t>
        </is>
      </c>
      <c r="E181" s="54" t="n">
        <v>0.078703</v>
      </c>
      <c r="F181" s="54" t="n">
        <v>0.139841</v>
      </c>
      <c r="G181" t="inlineStr">
        <is>
          <t>original (el Boletín publica con y sin impuestos)</t>
        </is>
      </c>
      <c r="H181" t="inlineStr">
        <is>
          <t>IVA e impuesto sobre hidrocarburos incluidos por la fuente</t>
        </is>
      </c>
      <c r="K181" t="inlineStr">
        <is>
          <t>Weekly_Oil_Bulletin_Prices_History_maticni_4web.xlsx</t>
        </is>
      </c>
    </row>
    <row r="182">
      <c r="A182" s="53" t="n">
        <v>45117</v>
      </c>
      <c r="B182" t="inlineStr">
        <is>
          <t>2023-07-10</t>
        </is>
      </c>
      <c r="C182" s="45" t="n">
        <v>1.43965</v>
      </c>
      <c r="D182" t="inlineStr">
        <is>
          <t>€/l</t>
        </is>
      </c>
      <c r="E182" s="54" t="n">
        <v>0.078871</v>
      </c>
      <c r="F182" s="54" t="n">
        <v>0.140044</v>
      </c>
      <c r="G182" t="inlineStr">
        <is>
          <t>original (el Boletín publica con y sin impuestos)</t>
        </is>
      </c>
      <c r="H182" t="inlineStr">
        <is>
          <t>IVA e impuesto sobre hidrocarburos incluidos por la fuente</t>
        </is>
      </c>
      <c r="K182" t="inlineStr">
        <is>
          <t>Weekly_Oil_Bulletin_Prices_History_maticni_4web.xlsx</t>
        </is>
      </c>
    </row>
    <row r="183">
      <c r="A183" s="53" t="n">
        <v>45124</v>
      </c>
      <c r="B183" t="inlineStr">
        <is>
          <t>2023-07-17</t>
        </is>
      </c>
      <c r="C183" s="45" t="n">
        <v>1.45348</v>
      </c>
      <c r="D183" t="inlineStr">
        <is>
          <t>€/l</t>
        </is>
      </c>
      <c r="E183" s="54" t="n">
        <v>0.079982</v>
      </c>
      <c r="F183" s="54" t="n">
        <v>0.141389</v>
      </c>
      <c r="G183" t="inlineStr">
        <is>
          <t>original (el Boletín publica con y sin impuestos)</t>
        </is>
      </c>
      <c r="H183" t="inlineStr">
        <is>
          <t>IVA e impuesto sobre hidrocarburos incluidos por la fuente</t>
        </is>
      </c>
      <c r="K183" t="inlineStr">
        <is>
          <t>Weekly_Oil_Bulletin_Prices_History_maticni_4web.xlsx</t>
        </is>
      </c>
    </row>
    <row r="184">
      <c r="A184" s="53" t="n">
        <v>45131</v>
      </c>
      <c r="B184" t="inlineStr">
        <is>
          <t>2023-07-24</t>
        </is>
      </c>
      <c r="C184" s="45" t="n">
        <v>1.46531</v>
      </c>
      <c r="D184" t="inlineStr">
        <is>
          <t>€/l</t>
        </is>
      </c>
      <c r="E184" s="54" t="n">
        <v>0.08093400000000001</v>
      </c>
      <c r="F184" s="54" t="n">
        <v>0.14254</v>
      </c>
      <c r="G184" t="inlineStr">
        <is>
          <t>original (el Boletín publica con y sin impuestos)</t>
        </is>
      </c>
      <c r="H184" t="inlineStr">
        <is>
          <t>IVA e impuesto sobre hidrocarburos incluidos por la fuente</t>
        </is>
      </c>
      <c r="K184" t="inlineStr">
        <is>
          <t>Weekly_Oil_Bulletin_Prices_History_maticni_4web.xlsx</t>
        </is>
      </c>
    </row>
    <row r="185">
      <c r="A185" s="53" t="n">
        <v>45138</v>
      </c>
      <c r="B185" t="inlineStr">
        <is>
          <t>2023-07-31</t>
        </is>
      </c>
      <c r="C185" s="45" t="n">
        <v>1.50179</v>
      </c>
      <c r="D185" t="inlineStr">
        <is>
          <t>€/l</t>
        </is>
      </c>
      <c r="E185" s="54" t="n">
        <v>0.083867</v>
      </c>
      <c r="F185" s="54" t="n">
        <v>0.146089</v>
      </c>
      <c r="G185" t="inlineStr">
        <is>
          <t>original (el Boletín publica con y sin impuestos)</t>
        </is>
      </c>
      <c r="H185" t="inlineStr">
        <is>
          <t>IVA e impuesto sobre hidrocarburos incluidos por la fuente</t>
        </is>
      </c>
      <c r="K185" t="inlineStr">
        <is>
          <t>Weekly_Oil_Bulletin_Prices_History_maticni_4web.xlsx</t>
        </is>
      </c>
    </row>
    <row r="186">
      <c r="A186" s="53" t="n">
        <v>45145</v>
      </c>
      <c r="B186" t="inlineStr">
        <is>
          <t>2023-08-07</t>
        </is>
      </c>
      <c r="C186" s="45" t="n">
        <v>1.55266</v>
      </c>
      <c r="D186" t="inlineStr">
        <is>
          <t>€/l</t>
        </is>
      </c>
      <c r="E186" s="54" t="n">
        <v>0.08795600000000001</v>
      </c>
      <c r="F186" s="54" t="n">
        <v>0.151037</v>
      </c>
      <c r="G186" t="inlineStr">
        <is>
          <t>original (el Boletín publica con y sin impuestos)</t>
        </is>
      </c>
      <c r="H186" t="inlineStr">
        <is>
          <t>IVA e impuesto sobre hidrocarburos incluidos por la fuente</t>
        </is>
      </c>
      <c r="K186" t="inlineStr">
        <is>
          <t>Weekly_Oil_Bulletin_Prices_History_maticni_4web.xlsx</t>
        </is>
      </c>
    </row>
    <row r="187">
      <c r="A187" s="53" t="n">
        <v>45152</v>
      </c>
      <c r="B187" t="inlineStr">
        <is>
          <t>2023-08-14</t>
        </is>
      </c>
      <c r="C187" s="45" t="n">
        <v>1.58619</v>
      </c>
      <c r="D187" t="inlineStr">
        <is>
          <t>€/l</t>
        </is>
      </c>
      <c r="E187" s="54" t="n">
        <v>0.090652</v>
      </c>
      <c r="F187" s="54" t="n">
        <v>0.154299</v>
      </c>
      <c r="G187" t="inlineStr">
        <is>
          <t>original (el Boletín publica con y sin impuestos)</t>
        </is>
      </c>
      <c r="H187" t="inlineStr">
        <is>
          <t>IVA e impuesto sobre hidrocarburos incluidos por la fuente</t>
        </is>
      </c>
      <c r="K187" t="inlineStr">
        <is>
          <t>Weekly_Oil_Bulletin_Prices_History_maticni_4web.xlsx</t>
        </is>
      </c>
    </row>
    <row r="188">
      <c r="A188" s="53" t="n">
        <v>45159</v>
      </c>
      <c r="B188" t="inlineStr">
        <is>
          <t>2023-08-21</t>
        </is>
      </c>
      <c r="C188" s="45" t="n">
        <v>1.60191</v>
      </c>
      <c r="D188" t="inlineStr">
        <is>
          <t>€/l</t>
        </is>
      </c>
      <c r="E188" s="54" t="n">
        <v>0.091915</v>
      </c>
      <c r="F188" s="54" t="n">
        <v>0.155828</v>
      </c>
      <c r="G188" t="inlineStr">
        <is>
          <t>original (el Boletín publica con y sin impuestos)</t>
        </is>
      </c>
      <c r="H188" t="inlineStr">
        <is>
          <t>IVA e impuesto sobre hidrocarburos incluidos por la fuente</t>
        </is>
      </c>
      <c r="K188" t="inlineStr">
        <is>
          <t>Weekly_Oil_Bulletin_Prices_History_maticni_4web.xlsx</t>
        </is>
      </c>
    </row>
    <row r="189">
      <c r="A189" s="53" t="n">
        <v>45166</v>
      </c>
      <c r="B189" t="inlineStr">
        <is>
          <t>2023-08-28</t>
        </is>
      </c>
      <c r="C189" s="45" t="n">
        <v>1.61226</v>
      </c>
      <c r="D189" t="inlineStr">
        <is>
          <t>€/l</t>
        </is>
      </c>
      <c r="E189" s="54" t="n">
        <v>0.092748</v>
      </c>
      <c r="F189" s="54" t="n">
        <v>0.156835</v>
      </c>
      <c r="G189" t="inlineStr">
        <is>
          <t>original (el Boletín publica con y sin impuestos)</t>
        </is>
      </c>
      <c r="H189" t="inlineStr">
        <is>
          <t>IVA e impuesto sobre hidrocarburos incluidos por la fuente</t>
        </is>
      </c>
      <c r="K189" t="inlineStr">
        <is>
          <t>Weekly_Oil_Bulletin_Prices_History_maticni_4web.xlsx</t>
        </is>
      </c>
    </row>
    <row r="190">
      <c r="A190" s="53" t="n">
        <v>45173</v>
      </c>
      <c r="B190" t="inlineStr">
        <is>
          <t>2023-09-04</t>
        </is>
      </c>
      <c r="C190" s="45" t="n">
        <v>1.62282</v>
      </c>
      <c r="D190" t="inlineStr">
        <is>
          <t>€/l</t>
        </is>
      </c>
      <c r="E190" s="54" t="n">
        <v>0.093596</v>
      </c>
      <c r="F190" s="54" t="n">
        <v>0.157862</v>
      </c>
      <c r="G190" t="inlineStr">
        <is>
          <t>original (el Boletín publica con y sin impuestos)</t>
        </is>
      </c>
      <c r="H190" t="inlineStr">
        <is>
          <t>IVA e impuesto sobre hidrocarburos incluidos por la fuente</t>
        </is>
      </c>
      <c r="K190" t="inlineStr">
        <is>
          <t>Weekly_Oil_Bulletin_Prices_History_maticni_4web.xlsx</t>
        </is>
      </c>
    </row>
    <row r="191">
      <c r="A191" s="53" t="n">
        <v>45180</v>
      </c>
      <c r="B191" t="inlineStr">
        <is>
          <t>2023-09-11</t>
        </is>
      </c>
      <c r="C191" s="45" t="n">
        <v>1.63415</v>
      </c>
      <c r="D191" t="inlineStr">
        <is>
          <t>€/l</t>
        </is>
      </c>
      <c r="E191" s="54" t="n">
        <v>0.09450799999999999</v>
      </c>
      <c r="F191" s="54" t="n">
        <v>0.158964</v>
      </c>
      <c r="G191" t="inlineStr">
        <is>
          <t>original (el Boletín publica con y sin impuestos)</t>
        </is>
      </c>
      <c r="H191" t="inlineStr">
        <is>
          <t>IVA e impuesto sobre hidrocarburos incluidos por la fuente</t>
        </is>
      </c>
      <c r="K191" t="inlineStr">
        <is>
          <t>Weekly_Oil_Bulletin_Prices_History_maticni_4web.xlsx</t>
        </is>
      </c>
    </row>
    <row r="192">
      <c r="A192" s="53" t="n">
        <v>45187</v>
      </c>
      <c r="B192" t="inlineStr">
        <is>
          <t>2023-09-18</t>
        </is>
      </c>
      <c r="C192" s="45" t="n">
        <v>1.66826</v>
      </c>
      <c r="D192" t="inlineStr">
        <is>
          <t>€/l</t>
        </is>
      </c>
      <c r="E192" s="54" t="n">
        <v>0.09725</v>
      </c>
      <c r="F192" s="54" t="n">
        <v>0.162282</v>
      </c>
      <c r="G192" t="inlineStr">
        <is>
          <t>original (el Boletín publica con y sin impuestos)</t>
        </is>
      </c>
      <c r="H192" t="inlineStr">
        <is>
          <t>IVA e impuesto sobre hidrocarburos incluidos por la fuente</t>
        </is>
      </c>
      <c r="K192" t="inlineStr">
        <is>
          <t>Weekly_Oil_Bulletin_Prices_History_maticni_4web.xlsx</t>
        </is>
      </c>
    </row>
    <row r="193">
      <c r="A193" s="53" t="n">
        <v>45194</v>
      </c>
      <c r="B193" t="inlineStr">
        <is>
          <t>2023-09-25</t>
        </is>
      </c>
      <c r="C193" s="45" t="n">
        <v>1.68591</v>
      </c>
      <c r="D193" t="inlineStr">
        <is>
          <t>€/l</t>
        </is>
      </c>
      <c r="E193" s="54" t="n">
        <v>0.09866800000000001</v>
      </c>
      <c r="F193" s="54" t="n">
        <v>0.163999</v>
      </c>
      <c r="G193" t="inlineStr">
        <is>
          <t>original (el Boletín publica con y sin impuestos)</t>
        </is>
      </c>
      <c r="H193" t="inlineStr">
        <is>
          <t>IVA e impuesto sobre hidrocarburos incluidos por la fuente</t>
        </is>
      </c>
      <c r="K193" t="inlineStr">
        <is>
          <t>Weekly_Oil_Bulletin_Prices_History_maticni_4web.xlsx</t>
        </is>
      </c>
    </row>
    <row r="194">
      <c r="A194" s="53" t="n">
        <v>45201</v>
      </c>
      <c r="B194" t="inlineStr">
        <is>
          <t>2023-10-02</t>
        </is>
      </c>
      <c r="C194" s="45" t="n">
        <v>1.6877</v>
      </c>
      <c r="D194" t="inlineStr">
        <is>
          <t>€/l</t>
        </is>
      </c>
      <c r="E194" s="54" t="n">
        <v>0.098812</v>
      </c>
      <c r="F194" s="54" t="n">
        <v>0.164173</v>
      </c>
      <c r="G194" t="inlineStr">
        <is>
          <t>original (el Boletín publica con y sin impuestos)</t>
        </is>
      </c>
      <c r="H194" t="inlineStr">
        <is>
          <t>IVA e impuesto sobre hidrocarburos incluidos por la fuente</t>
        </is>
      </c>
      <c r="K194" t="inlineStr">
        <is>
          <t>Weekly_Oil_Bulletin_Prices_History_maticni_4web.xlsx</t>
        </is>
      </c>
    </row>
    <row r="195">
      <c r="A195" s="53" t="n">
        <v>45208</v>
      </c>
      <c r="B195" t="inlineStr">
        <is>
          <t>2023-10-09</t>
        </is>
      </c>
      <c r="C195" s="45" t="n">
        <v>1.68277</v>
      </c>
      <c r="D195" t="inlineStr">
        <is>
          <t>€/l</t>
        </is>
      </c>
      <c r="E195" s="54" t="n">
        <v>0.098416</v>
      </c>
      <c r="F195" s="54" t="n">
        <v>0.163694</v>
      </c>
      <c r="G195" t="inlineStr">
        <is>
          <t>original (el Boletín publica con y sin impuestos)</t>
        </is>
      </c>
      <c r="H195" t="inlineStr">
        <is>
          <t>IVA e impuesto sobre hidrocarburos incluidos por la fuente</t>
        </is>
      </c>
      <c r="K195" t="inlineStr">
        <is>
          <t>Weekly_Oil_Bulletin_Prices_History_maticni_4web.xlsx</t>
        </is>
      </c>
    </row>
    <row r="196">
      <c r="A196" s="53" t="n">
        <v>45215</v>
      </c>
      <c r="B196" t="inlineStr">
        <is>
          <t>2023-10-16</t>
        </is>
      </c>
      <c r="C196" s="45" t="n">
        <v>1.65688</v>
      </c>
      <c r="D196" t="inlineStr">
        <is>
          <t>€/l</t>
        </is>
      </c>
      <c r="E196" s="54" t="n">
        <v>0.096335</v>
      </c>
      <c r="F196" s="54" t="n">
        <v>0.161175</v>
      </c>
      <c r="G196" t="inlineStr">
        <is>
          <t>original (el Boletín publica con y sin impuestos)</t>
        </is>
      </c>
      <c r="H196" t="inlineStr">
        <is>
          <t>IVA e impuesto sobre hidrocarburos incluidos por la fuente</t>
        </is>
      </c>
      <c r="K196" t="inlineStr">
        <is>
          <t>Weekly_Oil_Bulletin_Prices_History_maticni_4web.xlsx</t>
        </is>
      </c>
    </row>
    <row r="197">
      <c r="A197" s="53" t="n">
        <v>45222</v>
      </c>
      <c r="B197" t="inlineStr">
        <is>
          <t>2023-10-23</t>
        </is>
      </c>
      <c r="C197" s="45" t="n">
        <v>1.65407</v>
      </c>
      <c r="D197" t="inlineStr">
        <is>
          <t>€/l</t>
        </is>
      </c>
      <c r="E197" s="54" t="n">
        <v>0.096109</v>
      </c>
      <c r="F197" s="54" t="n">
        <v>0.160902</v>
      </c>
      <c r="G197" t="inlineStr">
        <is>
          <t>original (el Boletín publica con y sin impuestos)</t>
        </is>
      </c>
      <c r="H197" t="inlineStr">
        <is>
          <t>IVA e impuesto sobre hidrocarburos incluidos por la fuente</t>
        </is>
      </c>
      <c r="K197" t="inlineStr">
        <is>
          <t>Weekly_Oil_Bulletin_Prices_History_maticni_4web.xlsx</t>
        </is>
      </c>
    </row>
    <row r="198">
      <c r="A198" s="53" t="n">
        <v>45229</v>
      </c>
      <c r="B198" t="inlineStr">
        <is>
          <t>2023-10-30</t>
        </is>
      </c>
      <c r="C198" s="45" t="n">
        <v>1.64578</v>
      </c>
      <c r="D198" t="inlineStr">
        <is>
          <t>€/l</t>
        </is>
      </c>
      <c r="E198" s="54" t="n">
        <v>0.095443</v>
      </c>
      <c r="F198" s="54" t="n">
        <v>0.160095</v>
      </c>
      <c r="G198" t="inlineStr">
        <is>
          <t>original (el Boletín publica con y sin impuestos)</t>
        </is>
      </c>
      <c r="H198" t="inlineStr">
        <is>
          <t>IVA e impuesto sobre hidrocarburos incluidos por la fuente</t>
        </is>
      </c>
      <c r="K198" t="inlineStr">
        <is>
          <t>Weekly_Oil_Bulletin_Prices_History_maticni_4web.xlsx</t>
        </is>
      </c>
    </row>
    <row r="199">
      <c r="A199" s="53" t="n">
        <v>45236</v>
      </c>
      <c r="B199" t="inlineStr">
        <is>
          <t>2023-11-06</t>
        </is>
      </c>
      <c r="C199" s="45" t="n">
        <v>1.64081</v>
      </c>
      <c r="D199" t="inlineStr">
        <is>
          <t>€/l</t>
        </is>
      </c>
      <c r="E199" s="54" t="n">
        <v>0.095043</v>
      </c>
      <c r="F199" s="54" t="n">
        <v>0.159612</v>
      </c>
      <c r="G199" t="inlineStr">
        <is>
          <t>original (el Boletín publica con y sin impuestos)</t>
        </is>
      </c>
      <c r="H199" t="inlineStr">
        <is>
          <t>IVA e impuesto sobre hidrocarburos incluidos por la fuente</t>
        </is>
      </c>
      <c r="K199" t="inlineStr">
        <is>
          <t>Weekly_Oil_Bulletin_Prices_History_maticni_4web.xlsx</t>
        </is>
      </c>
    </row>
    <row r="200">
      <c r="A200" s="53" t="n">
        <v>45243</v>
      </c>
      <c r="B200" t="inlineStr">
        <is>
          <t>2023-11-13</t>
        </is>
      </c>
      <c r="C200" s="45" t="n">
        <v>1.60709</v>
      </c>
      <c r="D200" t="inlineStr">
        <is>
          <t>€/l</t>
        </is>
      </c>
      <c r="E200" s="54" t="n">
        <v>0.092332</v>
      </c>
      <c r="F200" s="54" t="n">
        <v>0.156332</v>
      </c>
      <c r="G200" t="inlineStr">
        <is>
          <t>original (el Boletín publica con y sin impuestos)</t>
        </is>
      </c>
      <c r="H200" t="inlineStr">
        <is>
          <t>IVA e impuesto sobre hidrocarburos incluidos por la fuente</t>
        </is>
      </c>
      <c r="K200" t="inlineStr">
        <is>
          <t>Weekly_Oil_Bulletin_Prices_History_maticni_4web.xlsx</t>
        </is>
      </c>
    </row>
    <row r="201">
      <c r="A201" s="53" t="n">
        <v>45250</v>
      </c>
      <c r="B201" t="inlineStr">
        <is>
          <t>2023-11-20</t>
        </is>
      </c>
      <c r="C201" s="45" t="n">
        <v>1.57708</v>
      </c>
      <c r="D201" t="inlineStr">
        <is>
          <t>€/l</t>
        </is>
      </c>
      <c r="E201" s="54" t="n">
        <v>0.089919</v>
      </c>
      <c r="F201" s="54" t="n">
        <v>0.153412</v>
      </c>
      <c r="G201" t="inlineStr">
        <is>
          <t>original (el Boletín publica con y sin impuestos)</t>
        </is>
      </c>
      <c r="H201" t="inlineStr">
        <is>
          <t>IVA e impuesto sobre hidrocarburos incluidos por la fuente</t>
        </is>
      </c>
      <c r="K201" t="inlineStr">
        <is>
          <t>Weekly_Oil_Bulletin_Prices_History_maticni_4web.xlsx</t>
        </is>
      </c>
    </row>
    <row r="202">
      <c r="A202" s="53" t="n">
        <v>45257</v>
      </c>
      <c r="B202" t="inlineStr">
        <is>
          <t>2023-11-27</t>
        </is>
      </c>
      <c r="C202" s="45" t="n">
        <v>1.55859</v>
      </c>
      <c r="D202" t="inlineStr">
        <is>
          <t>€/l</t>
        </is>
      </c>
      <c r="E202" s="54" t="n">
        <v>0.088433</v>
      </c>
      <c r="F202" s="54" t="n">
        <v>0.151614</v>
      </c>
      <c r="G202" t="inlineStr">
        <is>
          <t>original (el Boletín publica con y sin impuestos)</t>
        </is>
      </c>
      <c r="H202" t="inlineStr">
        <is>
          <t>IVA e impuesto sobre hidrocarburos incluidos por la fuente</t>
        </is>
      </c>
      <c r="K202" t="inlineStr">
        <is>
          <t>Weekly_Oil_Bulletin_Prices_History_maticni_4web.xlsx</t>
        </is>
      </c>
    </row>
    <row r="203">
      <c r="A203" s="53" t="n">
        <v>45264</v>
      </c>
      <c r="B203" t="inlineStr">
        <is>
          <t>2023-12-04</t>
        </is>
      </c>
      <c r="C203" s="45" t="n">
        <v>1.54308</v>
      </c>
      <c r="D203" t="inlineStr">
        <is>
          <t>€/l</t>
        </is>
      </c>
      <c r="E203" s="54" t="n">
        <v>0.087186</v>
      </c>
      <c r="F203" s="54" t="n">
        <v>0.150105</v>
      </c>
      <c r="G203" t="inlineStr">
        <is>
          <t>original (el Boletín publica con y sin impuestos)</t>
        </is>
      </c>
      <c r="H203" t="inlineStr">
        <is>
          <t>IVA e impuesto sobre hidrocarburos incluidos por la fuente</t>
        </is>
      </c>
      <c r="K203" t="inlineStr">
        <is>
          <t>Weekly_Oil_Bulletin_Prices_History_maticni_4web.xlsx</t>
        </is>
      </c>
    </row>
    <row r="204">
      <c r="A204" s="53" t="n">
        <v>45271</v>
      </c>
      <c r="B204" t="inlineStr">
        <is>
          <t>2023-12-11</t>
        </is>
      </c>
      <c r="C204" s="45" t="n">
        <v>1.52659</v>
      </c>
      <c r="D204" t="inlineStr">
        <is>
          <t>€/l</t>
        </is>
      </c>
      <c r="E204" s="54" t="n">
        <v>0.08586000000000001</v>
      </c>
      <c r="F204" s="54" t="n">
        <v>0.148501</v>
      </c>
      <c r="G204" t="inlineStr">
        <is>
          <t>original (el Boletín publica con y sin impuestos)</t>
        </is>
      </c>
      <c r="H204" t="inlineStr">
        <is>
          <t>IVA e impuesto sobre hidrocarburos incluidos por la fuente</t>
        </is>
      </c>
      <c r="K204" t="inlineStr">
        <is>
          <t>Weekly_Oil_Bulletin_Prices_History_maticni_4web.xlsx</t>
        </is>
      </c>
    </row>
    <row r="205">
      <c r="A205" s="53" t="n">
        <v>45278</v>
      </c>
      <c r="B205" t="inlineStr">
        <is>
          <t>2023-12-18</t>
        </is>
      </c>
      <c r="C205" s="45" t="n">
        <v>1.50166</v>
      </c>
      <c r="D205" t="inlineStr">
        <is>
          <t>€/l</t>
        </is>
      </c>
      <c r="E205" s="54" t="n">
        <v>0.083856</v>
      </c>
      <c r="F205" s="54" t="n">
        <v>0.146076</v>
      </c>
      <c r="G205" t="inlineStr">
        <is>
          <t>original (el Boletín publica con y sin impuestos)</t>
        </is>
      </c>
      <c r="H205" t="inlineStr">
        <is>
          <t>IVA e impuesto sobre hidrocarburos incluidos por la fuente</t>
        </is>
      </c>
      <c r="K205" t="inlineStr">
        <is>
          <t>Weekly_Oil_Bulletin_Prices_History_maticni_4web.xlsx</t>
        </is>
      </c>
    </row>
    <row r="206">
      <c r="A206" s="53" t="n">
        <v>45285</v>
      </c>
      <c r="B206" t="inlineStr">
        <is>
          <t>2023-12-25</t>
        </is>
      </c>
      <c r="C206" s="45" t="n">
        <v>1.49296</v>
      </c>
      <c r="D206" t="inlineStr">
        <is>
          <t>€/l</t>
        </is>
      </c>
      <c r="E206" s="54" t="n">
        <v>0.08315699999999999</v>
      </c>
      <c r="F206" s="54" t="n">
        <v>0.14523</v>
      </c>
      <c r="G206" t="inlineStr">
        <is>
          <t>original (el Boletín publica con y sin impuestos)</t>
        </is>
      </c>
      <c r="H206" t="inlineStr">
        <is>
          <t>IVA e impuesto sobre hidrocarburos incluidos por la fuente</t>
        </is>
      </c>
      <c r="K206" t="inlineStr">
        <is>
          <t>Weekly_Oil_Bulletin_Prices_History_maticni_4web.xlsx</t>
        </is>
      </c>
    </row>
    <row r="207">
      <c r="A207" s="53" t="n">
        <v>45292</v>
      </c>
      <c r="B207" t="inlineStr">
        <is>
          <t>2024-01-01</t>
        </is>
      </c>
      <c r="C207" s="45" t="n">
        <v>1.49365</v>
      </c>
      <c r="D207" t="inlineStr">
        <is>
          <t>€/l</t>
        </is>
      </c>
      <c r="E207" s="54" t="n">
        <v>0.08321199999999999</v>
      </c>
      <c r="F207" s="54" t="n">
        <v>0.145297</v>
      </c>
      <c r="G207" t="inlineStr">
        <is>
          <t>original (el Boletín publica con y sin impuestos)</t>
        </is>
      </c>
      <c r="H207" t="inlineStr">
        <is>
          <t>IVA e impuesto sobre hidrocarburos incluidos por la fuente</t>
        </is>
      </c>
      <c r="K207" t="inlineStr">
        <is>
          <t>Weekly_Oil_Bulletin_Prices_History_maticni_4web.xlsx</t>
        </is>
      </c>
    </row>
    <row r="208">
      <c r="A208" s="53" t="n">
        <v>45299</v>
      </c>
      <c r="B208" t="inlineStr">
        <is>
          <t>2024-01-08</t>
        </is>
      </c>
      <c r="C208" s="45" t="n">
        <v>1.48802</v>
      </c>
      <c r="D208" t="inlineStr">
        <is>
          <t>€/l</t>
        </is>
      </c>
      <c r="E208" s="54" t="n">
        <v>0.08276</v>
      </c>
      <c r="F208" s="54" t="n">
        <v>0.144749</v>
      </c>
      <c r="G208" t="inlineStr">
        <is>
          <t>original (el Boletín publica con y sin impuestos)</t>
        </is>
      </c>
      <c r="H208" t="inlineStr">
        <is>
          <t>IVA e impuesto sobre hidrocarburos incluidos por la fuente</t>
        </is>
      </c>
      <c r="K208" t="inlineStr">
        <is>
          <t>Weekly_Oil_Bulletin_Prices_History_maticni_4web.xlsx</t>
        </is>
      </c>
    </row>
    <row r="209">
      <c r="A209" s="53" t="n">
        <v>45306</v>
      </c>
      <c r="B209" t="inlineStr">
        <is>
          <t>2024-01-15</t>
        </is>
      </c>
      <c r="C209" s="45" t="n">
        <v>1.48388</v>
      </c>
      <c r="D209" t="inlineStr">
        <is>
          <t>€/l</t>
        </is>
      </c>
      <c r="E209" s="54" t="n">
        <v>0.082427</v>
      </c>
      <c r="F209" s="54" t="n">
        <v>0.144346</v>
      </c>
      <c r="G209" t="inlineStr">
        <is>
          <t>original (el Boletín publica con y sin impuestos)</t>
        </is>
      </c>
      <c r="H209" t="inlineStr">
        <is>
          <t>IVA e impuesto sobre hidrocarburos incluidos por la fuente</t>
        </is>
      </c>
      <c r="K209" t="inlineStr">
        <is>
          <t>Weekly_Oil_Bulletin_Prices_History_maticni_4web.xlsx</t>
        </is>
      </c>
    </row>
    <row r="210">
      <c r="A210" s="53" t="n">
        <v>45313</v>
      </c>
      <c r="B210" t="inlineStr">
        <is>
          <t>2024-01-22</t>
        </is>
      </c>
      <c r="C210" s="45" t="n">
        <v>1.48682</v>
      </c>
      <c r="D210" t="inlineStr">
        <is>
          <t>€/l</t>
        </is>
      </c>
      <c r="E210" s="54" t="n">
        <v>0.082663</v>
      </c>
      <c r="F210" s="54" t="n">
        <v>0.144632</v>
      </c>
      <c r="G210" t="inlineStr">
        <is>
          <t>original (el Boletín publica con y sin impuestos)</t>
        </is>
      </c>
      <c r="H210" t="inlineStr">
        <is>
          <t>IVA e impuesto sobre hidrocarburos incluidos por la fuente</t>
        </is>
      </c>
      <c r="K210" t="inlineStr">
        <is>
          <t>Weekly_Oil_Bulletin_Prices_History_maticni_4web.xlsx</t>
        </is>
      </c>
    </row>
    <row r="211">
      <c r="A211" s="53" t="n">
        <v>45320</v>
      </c>
      <c r="B211" t="inlineStr">
        <is>
          <t>2024-01-29</t>
        </is>
      </c>
      <c r="C211" s="45" t="n">
        <v>1.49581</v>
      </c>
      <c r="D211" t="inlineStr">
        <is>
          <t>€/l</t>
        </is>
      </c>
      <c r="E211" s="54" t="n">
        <v>0.083386</v>
      </c>
      <c r="F211" s="54" t="n">
        <v>0.145507</v>
      </c>
      <c r="G211" t="inlineStr">
        <is>
          <t>original (el Boletín publica con y sin impuestos)</t>
        </is>
      </c>
      <c r="H211" t="inlineStr">
        <is>
          <t>IVA e impuesto sobre hidrocarburos incluidos por la fuente</t>
        </is>
      </c>
      <c r="K211" t="inlineStr">
        <is>
          <t>Weekly_Oil_Bulletin_Prices_History_maticni_4web.xlsx</t>
        </is>
      </c>
    </row>
    <row r="212">
      <c r="A212" s="53" t="n">
        <v>45327</v>
      </c>
      <c r="B212" t="inlineStr">
        <is>
          <t>2024-02-05</t>
        </is>
      </c>
      <c r="C212" s="45" t="n">
        <v>1.51295</v>
      </c>
      <c r="D212" t="inlineStr">
        <is>
          <t>€/l</t>
        </is>
      </c>
      <c r="E212" s="54" t="n">
        <v>0.08476400000000001</v>
      </c>
      <c r="F212" s="54" t="n">
        <v>0.147174</v>
      </c>
      <c r="G212" t="inlineStr">
        <is>
          <t>original (el Boletín publica con y sin impuestos)</t>
        </is>
      </c>
      <c r="H212" t="inlineStr">
        <is>
          <t>IVA e impuesto sobre hidrocarburos incluidos por la fuente</t>
        </is>
      </c>
      <c r="K212" t="inlineStr">
        <is>
          <t>Weekly_Oil_Bulletin_Prices_History_maticni_4web.xlsx</t>
        </is>
      </c>
    </row>
    <row r="213">
      <c r="A213" s="53" t="n">
        <v>45334</v>
      </c>
      <c r="B213" t="inlineStr">
        <is>
          <t>2024-02-12</t>
        </is>
      </c>
      <c r="C213" s="45" t="n">
        <v>1.52789</v>
      </c>
      <c r="D213" t="inlineStr">
        <is>
          <t>€/l</t>
        </is>
      </c>
      <c r="E213" s="54" t="n">
        <v>0.085965</v>
      </c>
      <c r="F213" s="54" t="n">
        <v>0.148627</v>
      </c>
      <c r="G213" t="inlineStr">
        <is>
          <t>original (el Boletín publica con y sin impuestos)</t>
        </is>
      </c>
      <c r="H213" t="inlineStr">
        <is>
          <t>IVA e impuesto sobre hidrocarburos incluidos por la fuente</t>
        </is>
      </c>
      <c r="K213" t="inlineStr">
        <is>
          <t>Weekly_Oil_Bulletin_Prices_History_maticni_4web.xlsx</t>
        </is>
      </c>
    </row>
    <row r="214">
      <c r="A214" s="53" t="n">
        <v>45341</v>
      </c>
      <c r="B214" t="inlineStr">
        <is>
          <t>2024-02-19</t>
        </is>
      </c>
      <c r="C214" s="45" t="n">
        <v>1.55829</v>
      </c>
      <c r="D214" t="inlineStr">
        <is>
          <t>€/l</t>
        </is>
      </c>
      <c r="E214" s="54" t="n">
        <v>0.088409</v>
      </c>
      <c r="F214" s="54" t="n">
        <v>0.151585</v>
      </c>
      <c r="G214" t="inlineStr">
        <is>
          <t>original (el Boletín publica con y sin impuestos)</t>
        </is>
      </c>
      <c r="H214" t="inlineStr">
        <is>
          <t>IVA e impuesto sobre hidrocarburos incluidos por la fuente</t>
        </is>
      </c>
      <c r="K214" t="inlineStr">
        <is>
          <t>Weekly_Oil_Bulletin_Prices_History_maticni_4web.xlsx</t>
        </is>
      </c>
    </row>
    <row r="215">
      <c r="A215" s="53" t="n">
        <v>45348</v>
      </c>
      <c r="B215" t="inlineStr">
        <is>
          <t>2024-02-26</t>
        </is>
      </c>
      <c r="C215" s="45" t="n">
        <v>1.56132</v>
      </c>
      <c r="D215" t="inlineStr">
        <is>
          <t>€/l</t>
        </is>
      </c>
      <c r="E215" s="54" t="n">
        <v>0.088653</v>
      </c>
      <c r="F215" s="54" t="n">
        <v>0.151879</v>
      </c>
      <c r="G215" t="inlineStr">
        <is>
          <t>original (el Boletín publica con y sin impuestos)</t>
        </is>
      </c>
      <c r="H215" t="inlineStr">
        <is>
          <t>IVA e impuesto sobre hidrocarburos incluidos por la fuente</t>
        </is>
      </c>
      <c r="K215" t="inlineStr">
        <is>
          <t>Weekly_Oil_Bulletin_Prices_History_maticni_4web.xlsx</t>
        </is>
      </c>
    </row>
    <row r="216">
      <c r="A216" s="53" t="n">
        <v>45355</v>
      </c>
      <c r="B216" t="inlineStr">
        <is>
          <t>2024-03-04</t>
        </is>
      </c>
      <c r="C216" s="45" t="n">
        <v>1.55225</v>
      </c>
      <c r="D216" t="inlineStr">
        <is>
          <t>€/l</t>
        </is>
      </c>
      <c r="E216" s="54" t="n">
        <v>0.087923</v>
      </c>
      <c r="F216" s="54" t="n">
        <v>0.150997</v>
      </c>
      <c r="G216" t="inlineStr">
        <is>
          <t>original (el Boletín publica con y sin impuestos)</t>
        </is>
      </c>
      <c r="H216" t="inlineStr">
        <is>
          <t>IVA e impuesto sobre hidrocarburos incluidos por la fuente</t>
        </is>
      </c>
      <c r="K216" t="inlineStr">
        <is>
          <t>Weekly_Oil_Bulletin_Prices_History_maticni_4web.xlsx</t>
        </is>
      </c>
    </row>
    <row r="217">
      <c r="A217" s="53" t="n">
        <v>45362</v>
      </c>
      <c r="B217" t="inlineStr">
        <is>
          <t>2024-03-11</t>
        </is>
      </c>
      <c r="C217" s="45" t="n">
        <v>1.54249</v>
      </c>
      <c r="D217" t="inlineStr">
        <is>
          <t>€/l</t>
        </is>
      </c>
      <c r="E217" s="54" t="n">
        <v>0.08713899999999999</v>
      </c>
      <c r="F217" s="54" t="n">
        <v>0.150048</v>
      </c>
      <c r="G217" t="inlineStr">
        <is>
          <t>original (el Boletín publica con y sin impuestos)</t>
        </is>
      </c>
      <c r="H217" t="inlineStr">
        <is>
          <t>IVA e impuesto sobre hidrocarburos incluidos por la fuente</t>
        </is>
      </c>
      <c r="K217" t="inlineStr">
        <is>
          <t>Weekly_Oil_Bulletin_Prices_History_maticni_4web.xlsx</t>
        </is>
      </c>
    </row>
    <row r="218">
      <c r="A218" s="53" t="n">
        <v>45369</v>
      </c>
      <c r="B218" t="inlineStr">
        <is>
          <t>2024-03-18</t>
        </is>
      </c>
      <c r="C218" s="45" t="n">
        <v>1.53237</v>
      </c>
      <c r="D218" t="inlineStr">
        <is>
          <t>€/l</t>
        </is>
      </c>
      <c r="E218" s="54" t="n">
        <v>0.086325</v>
      </c>
      <c r="F218" s="54" t="n">
        <v>0.149063</v>
      </c>
      <c r="G218" t="inlineStr">
        <is>
          <t>original (el Boletín publica con y sin impuestos)</t>
        </is>
      </c>
      <c r="H218" t="inlineStr">
        <is>
          <t>IVA e impuesto sobre hidrocarburos incluidos por la fuente</t>
        </is>
      </c>
      <c r="K218" t="inlineStr">
        <is>
          <t>Weekly_Oil_Bulletin_Prices_History_maticni_4web.xlsx</t>
        </is>
      </c>
    </row>
    <row r="219">
      <c r="A219" s="53" t="n">
        <v>45376</v>
      </c>
      <c r="B219" t="inlineStr">
        <is>
          <t>2024-03-25</t>
        </is>
      </c>
      <c r="C219" s="45" t="n">
        <v>1.5401</v>
      </c>
      <c r="D219" t="inlineStr">
        <is>
          <t>€/l</t>
        </is>
      </c>
      <c r="E219" s="54" t="n">
        <v>0.086946</v>
      </c>
      <c r="F219" s="54" t="n">
        <v>0.149815</v>
      </c>
      <c r="G219" t="inlineStr">
        <is>
          <t>original (el Boletín publica con y sin impuestos)</t>
        </is>
      </c>
      <c r="H219" t="inlineStr">
        <is>
          <t>IVA e impuesto sobre hidrocarburos incluidos por la fuente</t>
        </is>
      </c>
      <c r="K219" t="inlineStr">
        <is>
          <t>Weekly_Oil_Bulletin_Prices_History_maticni_4web.xlsx</t>
        </is>
      </c>
    </row>
    <row r="220">
      <c r="A220" s="53" t="n">
        <v>45383</v>
      </c>
      <c r="B220" t="inlineStr">
        <is>
          <t>2024-04-01</t>
        </is>
      </c>
      <c r="C220" s="45" t="n">
        <v>1.54186</v>
      </c>
      <c r="D220" t="inlineStr">
        <is>
          <t>€/l</t>
        </is>
      </c>
      <c r="E220" s="54" t="n">
        <v>0.087088</v>
      </c>
      <c r="F220" s="54" t="n">
        <v>0.149986</v>
      </c>
      <c r="G220" t="inlineStr">
        <is>
          <t>original (el Boletín publica con y sin impuestos)</t>
        </is>
      </c>
      <c r="H220" t="inlineStr">
        <is>
          <t>IVA e impuesto sobre hidrocarburos incluidos por la fuente</t>
        </is>
      </c>
      <c r="K220" t="inlineStr">
        <is>
          <t>Weekly_Oil_Bulletin_Prices_History_maticni_4web.xlsx</t>
        </is>
      </c>
    </row>
    <row r="221">
      <c r="A221" s="53" t="n">
        <v>45390</v>
      </c>
      <c r="B221" t="inlineStr">
        <is>
          <t>2024-04-08</t>
        </is>
      </c>
      <c r="C221" s="45" t="n">
        <v>1.55158</v>
      </c>
      <c r="D221" t="inlineStr">
        <is>
          <t>€/l</t>
        </is>
      </c>
      <c r="E221" s="54" t="n">
        <v>0.08787</v>
      </c>
      <c r="F221" s="54" t="n">
        <v>0.150932</v>
      </c>
      <c r="G221" t="inlineStr">
        <is>
          <t>original (el Boletín publica con y sin impuestos)</t>
        </is>
      </c>
      <c r="H221" t="inlineStr">
        <is>
          <t>IVA e impuesto sobre hidrocarburos incluidos por la fuente</t>
        </is>
      </c>
      <c r="K221" t="inlineStr">
        <is>
          <t>Weekly_Oil_Bulletin_Prices_History_maticni_4web.xlsx</t>
        </is>
      </c>
    </row>
    <row r="222">
      <c r="A222" s="53" t="n">
        <v>45397</v>
      </c>
      <c r="B222" t="inlineStr">
        <is>
          <t>2024-04-15</t>
        </is>
      </c>
      <c r="C222" s="45" t="n">
        <v>1.56052</v>
      </c>
      <c r="D222" t="inlineStr">
        <is>
          <t>€/l</t>
        </is>
      </c>
      <c r="E222" s="54" t="n">
        <v>0.088589</v>
      </c>
      <c r="F222" s="54" t="n">
        <v>0.151802</v>
      </c>
      <c r="G222" t="inlineStr">
        <is>
          <t>original (el Boletín publica con y sin impuestos)</t>
        </is>
      </c>
      <c r="H222" t="inlineStr">
        <is>
          <t>IVA e impuesto sobre hidrocarburos incluidos por la fuente</t>
        </is>
      </c>
      <c r="K222" t="inlineStr">
        <is>
          <t>Weekly_Oil_Bulletin_Prices_History_maticni_4web.xlsx</t>
        </is>
      </c>
    </row>
    <row r="223">
      <c r="A223" s="53" t="n">
        <v>45404</v>
      </c>
      <c r="B223" t="inlineStr">
        <is>
          <t>2024-04-22</t>
        </is>
      </c>
      <c r="C223" s="45" t="n">
        <v>1.55875</v>
      </c>
      <c r="D223" t="inlineStr">
        <is>
          <t>€/l</t>
        </is>
      </c>
      <c r="E223" s="54" t="n">
        <v>0.088446</v>
      </c>
      <c r="F223" s="54" t="n">
        <v>0.151629</v>
      </c>
      <c r="G223" t="inlineStr">
        <is>
          <t>original (el Boletín publica con y sin impuestos)</t>
        </is>
      </c>
      <c r="H223" t="inlineStr">
        <is>
          <t>IVA e impuesto sobre hidrocarburos incluidos por la fuente</t>
        </is>
      </c>
      <c r="K223" t="inlineStr">
        <is>
          <t>Weekly_Oil_Bulletin_Prices_History_maticni_4web.xlsx</t>
        </is>
      </c>
    </row>
    <row r="224">
      <c r="A224" s="53" t="n">
        <v>45411</v>
      </c>
      <c r="B224" t="inlineStr">
        <is>
          <t>2024-04-29</t>
        </is>
      </c>
      <c r="C224" s="45" t="n">
        <v>1.54172</v>
      </c>
      <c r="D224" t="inlineStr">
        <is>
          <t>€/l</t>
        </is>
      </c>
      <c r="E224" s="54" t="n">
        <v>0.087077</v>
      </c>
      <c r="F224" s="54" t="n">
        <v>0.149973</v>
      </c>
      <c r="G224" t="inlineStr">
        <is>
          <t>original (el Boletín publica con y sin impuestos)</t>
        </is>
      </c>
      <c r="H224" t="inlineStr">
        <is>
          <t>IVA e impuesto sobre hidrocarburos incluidos por la fuente</t>
        </is>
      </c>
      <c r="K224" t="inlineStr">
        <is>
          <t>Weekly_Oil_Bulletin_Prices_History_maticni_4web.xlsx</t>
        </is>
      </c>
    </row>
    <row r="225">
      <c r="A225" s="53" t="n">
        <v>45418</v>
      </c>
      <c r="B225" t="inlineStr">
        <is>
          <t>2024-05-06</t>
        </is>
      </c>
      <c r="C225" s="45" t="n">
        <v>1.53116</v>
      </c>
      <c r="D225" t="inlineStr">
        <is>
          <t>€/l</t>
        </is>
      </c>
      <c r="E225" s="54" t="n">
        <v>0.086228</v>
      </c>
      <c r="F225" s="54" t="n">
        <v>0.148946</v>
      </c>
      <c r="G225" t="inlineStr">
        <is>
          <t>original (el Boletín publica con y sin impuestos)</t>
        </is>
      </c>
      <c r="H225" t="inlineStr">
        <is>
          <t>IVA e impuesto sobre hidrocarburos incluidos por la fuente</t>
        </is>
      </c>
      <c r="K225" t="inlineStr">
        <is>
          <t>Weekly_Oil_Bulletin_Prices_History_maticni_4web.xlsx</t>
        </is>
      </c>
    </row>
    <row r="226">
      <c r="A226" s="53" t="n">
        <v>45425</v>
      </c>
      <c r="B226" t="inlineStr">
        <is>
          <t>2024-05-13</t>
        </is>
      </c>
      <c r="C226" s="45" t="n">
        <v>1.51233</v>
      </c>
      <c r="D226" t="inlineStr">
        <is>
          <t>€/l</t>
        </is>
      </c>
      <c r="E226" s="54" t="n">
        <v>0.084714</v>
      </c>
      <c r="F226" s="54" t="n">
        <v>0.147114</v>
      </c>
      <c r="G226" t="inlineStr">
        <is>
          <t>original (el Boletín publica con y sin impuestos)</t>
        </is>
      </c>
      <c r="H226" t="inlineStr">
        <is>
          <t>IVA e impuesto sobre hidrocarburos incluidos por la fuente</t>
        </is>
      </c>
      <c r="K226" t="inlineStr">
        <is>
          <t>Weekly_Oil_Bulletin_Prices_History_maticni_4web.xlsx</t>
        </is>
      </c>
    </row>
    <row r="227">
      <c r="A227" s="53" t="n">
        <v>45432</v>
      </c>
      <c r="B227" t="inlineStr">
        <is>
          <t>2024-05-20</t>
        </is>
      </c>
      <c r="C227" s="45" t="n">
        <v>1.49538</v>
      </c>
      <c r="D227" t="inlineStr">
        <is>
          <t>€/l</t>
        </is>
      </c>
      <c r="E227" s="54" t="n">
        <v>0.08335099999999999</v>
      </c>
      <c r="F227" s="54" t="n">
        <v>0.145465</v>
      </c>
      <c r="G227" t="inlineStr">
        <is>
          <t>original (el Boletín publica con y sin impuestos)</t>
        </is>
      </c>
      <c r="H227" t="inlineStr">
        <is>
          <t>IVA e impuesto sobre hidrocarburos incluidos por la fuente</t>
        </is>
      </c>
      <c r="K227" t="inlineStr">
        <is>
          <t>Weekly_Oil_Bulletin_Prices_History_maticni_4web.xlsx</t>
        </is>
      </c>
    </row>
    <row r="228">
      <c r="A228" s="53" t="n">
        <v>45439</v>
      </c>
      <c r="B228" t="inlineStr">
        <is>
          <t>2024-05-27</t>
        </is>
      </c>
      <c r="C228" s="45" t="n">
        <v>1.48446</v>
      </c>
      <c r="D228" t="inlineStr">
        <is>
          <t>€/l</t>
        </is>
      </c>
      <c r="E228" s="54" t="n">
        <v>0.08247400000000001</v>
      </c>
      <c r="F228" s="54" t="n">
        <v>0.144403</v>
      </c>
      <c r="G228" t="inlineStr">
        <is>
          <t>original (el Boletín publica con y sin impuestos)</t>
        </is>
      </c>
      <c r="H228" t="inlineStr">
        <is>
          <t>IVA e impuesto sobre hidrocarburos incluidos por la fuente</t>
        </is>
      </c>
      <c r="K228" t="inlineStr">
        <is>
          <t>Weekly_Oil_Bulletin_Prices_History_maticni_4web.xlsx</t>
        </is>
      </c>
    </row>
    <row r="229">
      <c r="A229" s="53" t="n">
        <v>45446</v>
      </c>
      <c r="B229" t="inlineStr">
        <is>
          <t>2024-06-03</t>
        </is>
      </c>
      <c r="C229" s="45" t="n">
        <v>1.47482</v>
      </c>
      <c r="D229" t="inlineStr">
        <is>
          <t>€/l</t>
        </is>
      </c>
      <c r="E229" s="54" t="n">
        <v>0.08169800000000001</v>
      </c>
      <c r="F229" s="54" t="n">
        <v>0.143465</v>
      </c>
      <c r="G229" t="inlineStr">
        <is>
          <t>original (el Boletín publica con y sin impuestos)</t>
        </is>
      </c>
      <c r="H229" t="inlineStr">
        <is>
          <t>IVA e impuesto sobre hidrocarburos incluidos por la fuente</t>
        </is>
      </c>
      <c r="K229" t="inlineStr">
        <is>
          <t>Weekly_Oil_Bulletin_Prices_History_maticni_4web.xlsx</t>
        </is>
      </c>
    </row>
    <row r="230">
      <c r="A230" s="53" t="n">
        <v>45453</v>
      </c>
      <c r="B230" t="inlineStr">
        <is>
          <t>2024-06-10</t>
        </is>
      </c>
      <c r="C230" s="45" t="n">
        <v>1.45723</v>
      </c>
      <c r="D230" t="inlineStr">
        <is>
          <t>€/l</t>
        </is>
      </c>
      <c r="E230" s="54" t="n">
        <v>0.08028399999999999</v>
      </c>
      <c r="F230" s="54" t="n">
        <v>0.141754</v>
      </c>
      <c r="G230" t="inlineStr">
        <is>
          <t>original (el Boletín publica con y sin impuestos)</t>
        </is>
      </c>
      <c r="H230" t="inlineStr">
        <is>
          <t>IVA e impuesto sobre hidrocarburos incluidos por la fuente</t>
        </is>
      </c>
      <c r="K230" t="inlineStr">
        <is>
          <t>Weekly_Oil_Bulletin_Prices_History_maticni_4web.xlsx</t>
        </is>
      </c>
    </row>
    <row r="231">
      <c r="A231" s="53" t="n">
        <v>45460</v>
      </c>
      <c r="B231" t="inlineStr">
        <is>
          <t>2024-06-17</t>
        </is>
      </c>
      <c r="C231" s="45" t="n">
        <v>1.45351</v>
      </c>
      <c r="D231" t="inlineStr">
        <is>
          <t>€/l</t>
        </is>
      </c>
      <c r="E231" s="54" t="n">
        <v>0.079985</v>
      </c>
      <c r="F231" s="54" t="n">
        <v>0.141392</v>
      </c>
      <c r="G231" t="inlineStr">
        <is>
          <t>original (el Boletín publica con y sin impuestos)</t>
        </is>
      </c>
      <c r="H231" t="inlineStr">
        <is>
          <t>IVA e impuesto sobre hidrocarburos incluidos por la fuente</t>
        </is>
      </c>
      <c r="K231" t="inlineStr">
        <is>
          <t>Weekly_Oil_Bulletin_Prices_History_maticni_4web.xlsx</t>
        </is>
      </c>
    </row>
    <row r="232">
      <c r="A232" s="53" t="n">
        <v>45467</v>
      </c>
      <c r="B232" t="inlineStr">
        <is>
          <t>2024-06-24</t>
        </is>
      </c>
      <c r="C232" s="45" t="n">
        <v>1.47049</v>
      </c>
      <c r="D232" t="inlineStr">
        <is>
          <t>€/l</t>
        </is>
      </c>
      <c r="E232" s="54" t="n">
        <v>0.08135000000000001</v>
      </c>
      <c r="F232" s="54" t="n">
        <v>0.143044</v>
      </c>
      <c r="G232" t="inlineStr">
        <is>
          <t>original (el Boletín publica con y sin impuestos)</t>
        </is>
      </c>
      <c r="H232" t="inlineStr">
        <is>
          <t>IVA e impuesto sobre hidrocarburos incluidos por la fuente</t>
        </is>
      </c>
      <c r="K232" t="inlineStr">
        <is>
          <t>Weekly_Oil_Bulletin_Prices_History_maticni_4web.xlsx</t>
        </is>
      </c>
    </row>
    <row r="233">
      <c r="A233" s="53" t="n">
        <v>45474</v>
      </c>
      <c r="B233" t="inlineStr">
        <is>
          <t>2024-07-01</t>
        </is>
      </c>
      <c r="C233" s="45" t="n">
        <v>1.4882</v>
      </c>
      <c r="D233" t="inlineStr">
        <is>
          <t>€/l</t>
        </is>
      </c>
      <c r="E233" s="54" t="n">
        <v>0.082774</v>
      </c>
      <c r="F233" s="54" t="n">
        <v>0.144767</v>
      </c>
      <c r="G233" t="inlineStr">
        <is>
          <t>original (el Boletín publica con y sin impuestos)</t>
        </is>
      </c>
      <c r="H233" t="inlineStr">
        <is>
          <t>IVA e impuesto sobre hidrocarburos incluidos por la fuente</t>
        </is>
      </c>
      <c r="K233" t="inlineStr">
        <is>
          <t>Weekly_Oil_Bulletin_Prices_History_maticni_4web.xlsx</t>
        </is>
      </c>
    </row>
    <row r="234">
      <c r="A234" s="53" t="n">
        <v>45481</v>
      </c>
      <c r="B234" t="inlineStr">
        <is>
          <t>2024-07-08</t>
        </is>
      </c>
      <c r="C234" s="45" t="n">
        <v>1.49979</v>
      </c>
      <c r="D234" t="inlineStr">
        <is>
          <t>€/l</t>
        </is>
      </c>
      <c r="E234" s="54" t="n">
        <v>0.083706</v>
      </c>
      <c r="F234" s="54" t="n">
        <v>0.145894</v>
      </c>
      <c r="G234" t="inlineStr">
        <is>
          <t>original (el Boletín publica con y sin impuestos)</t>
        </is>
      </c>
      <c r="H234" t="inlineStr">
        <is>
          <t>IVA e impuesto sobre hidrocarburos incluidos por la fuente</t>
        </is>
      </c>
      <c r="K234" t="inlineStr">
        <is>
          <t>Weekly_Oil_Bulletin_Prices_History_maticni_4web.xlsx</t>
        </is>
      </c>
    </row>
    <row r="235">
      <c r="A235" s="53" t="n">
        <v>45488</v>
      </c>
      <c r="B235" t="inlineStr">
        <is>
          <t>2024-07-15</t>
        </is>
      </c>
      <c r="C235" s="45" t="n">
        <v>1.50003</v>
      </c>
      <c r="D235" t="inlineStr">
        <is>
          <t>€/l</t>
        </is>
      </c>
      <c r="E235" s="54" t="n">
        <v>0.08372499999999999</v>
      </c>
      <c r="F235" s="54" t="n">
        <v>0.145917</v>
      </c>
      <c r="G235" t="inlineStr">
        <is>
          <t>original (el Boletín publica con y sin impuestos)</t>
        </is>
      </c>
      <c r="H235" t="inlineStr">
        <is>
          <t>IVA e impuesto sobre hidrocarburos incluidos por la fuente</t>
        </is>
      </c>
      <c r="K235" t="inlineStr">
        <is>
          <t>Weekly_Oil_Bulletin_Prices_History_maticni_4web.xlsx</t>
        </is>
      </c>
    </row>
    <row r="236">
      <c r="A236" s="53" t="n">
        <v>45495</v>
      </c>
      <c r="B236" t="inlineStr">
        <is>
          <t>2024-07-22</t>
        </is>
      </c>
      <c r="C236" s="45" t="n">
        <v>1.49258</v>
      </c>
      <c r="D236" t="inlineStr">
        <is>
          <t>€/l</t>
        </is>
      </c>
      <c r="E236" s="54" t="n">
        <v>0.08312600000000001</v>
      </c>
      <c r="F236" s="54" t="n">
        <v>0.145193</v>
      </c>
      <c r="G236" t="inlineStr">
        <is>
          <t>original (el Boletín publica con y sin impuestos)</t>
        </is>
      </c>
      <c r="H236" t="inlineStr">
        <is>
          <t>IVA e impuesto sobre hidrocarburos incluidos por la fuente</t>
        </is>
      </c>
      <c r="K236" t="inlineStr">
        <is>
          <t>Weekly_Oil_Bulletin_Prices_History_maticni_4web.xlsx</t>
        </is>
      </c>
    </row>
    <row r="237">
      <c r="A237" s="53" t="n">
        <v>45502</v>
      </c>
      <c r="B237" t="inlineStr">
        <is>
          <t>2024-07-29</t>
        </is>
      </c>
      <c r="C237" s="45" t="n">
        <v>1.48325</v>
      </c>
      <c r="D237" t="inlineStr">
        <is>
          <t>€/l</t>
        </is>
      </c>
      <c r="E237" s="54" t="n">
        <v>0.082376</v>
      </c>
      <c r="F237" s="54" t="n">
        <v>0.144285</v>
      </c>
      <c r="G237" t="inlineStr">
        <is>
          <t>original (el Boletín publica con y sin impuestos)</t>
        </is>
      </c>
      <c r="H237" t="inlineStr">
        <is>
          <t>IVA e impuesto sobre hidrocarburos incluidos por la fuente</t>
        </is>
      </c>
      <c r="K237" t="inlineStr">
        <is>
          <t>Weekly_Oil_Bulletin_Prices_History_maticni_4web.xlsx</t>
        </is>
      </c>
    </row>
    <row r="238">
      <c r="A238" s="53" t="n">
        <v>45509</v>
      </c>
      <c r="B238" t="inlineStr">
        <is>
          <t>2024-08-05</t>
        </is>
      </c>
      <c r="C238" s="45" t="n">
        <v>1.47361</v>
      </c>
      <c r="D238" t="inlineStr">
        <is>
          <t>€/l</t>
        </is>
      </c>
      <c r="E238" s="54" t="n">
        <v>0.084926</v>
      </c>
      <c r="F238" s="54" t="n">
        <v>0.143347</v>
      </c>
      <c r="G238" t="inlineStr">
        <is>
          <t>original (el Boletín publica con y sin impuestos)</t>
        </is>
      </c>
      <c r="H238" t="inlineStr">
        <is>
          <t>IVA e impuesto sobre hidrocarburos incluidos por la fuente</t>
        </is>
      </c>
      <c r="K238" t="inlineStr">
        <is>
          <t>Weekly_Oil_Bulletin_Prices_History_maticni_4web.xlsx</t>
        </is>
      </c>
    </row>
    <row r="239">
      <c r="A239" s="53" t="n">
        <v>45516</v>
      </c>
      <c r="B239" t="inlineStr">
        <is>
          <t>2024-08-12</t>
        </is>
      </c>
      <c r="C239" s="45" t="n">
        <v>1.45936</v>
      </c>
      <c r="D239" t="inlineStr">
        <is>
          <t>€/l</t>
        </is>
      </c>
      <c r="E239" s="54" t="n">
        <v>0.080455</v>
      </c>
      <c r="F239" s="54" t="n">
        <v>0.141961</v>
      </c>
      <c r="G239" t="inlineStr">
        <is>
          <t>original (el Boletín publica con y sin impuestos)</t>
        </is>
      </c>
      <c r="H239" t="inlineStr">
        <is>
          <t>IVA e impuesto sobre hidrocarburos incluidos por la fuente</t>
        </is>
      </c>
      <c r="K239" t="inlineStr">
        <is>
          <t>Weekly_Oil_Bulletin_Prices_History_maticni_4web.xlsx</t>
        </is>
      </c>
    </row>
    <row r="240">
      <c r="A240" s="53" t="n">
        <v>45523</v>
      </c>
      <c r="B240" t="inlineStr">
        <is>
          <t>2024-08-19</t>
        </is>
      </c>
      <c r="C240" s="45" t="n">
        <v>1.45327</v>
      </c>
      <c r="D240" t="inlineStr">
        <is>
          <t>€/l</t>
        </is>
      </c>
      <c r="E240" s="54" t="n">
        <v>0.079966</v>
      </c>
      <c r="F240" s="54" t="n">
        <v>0.141369</v>
      </c>
      <c r="G240" t="inlineStr">
        <is>
          <t>original (el Boletín publica con y sin impuestos)</t>
        </is>
      </c>
      <c r="H240" t="inlineStr">
        <is>
          <t>IVA e impuesto sobre hidrocarburos incluidos por la fuente</t>
        </is>
      </c>
      <c r="K240" t="inlineStr">
        <is>
          <t>Weekly_Oil_Bulletin_Prices_History_maticni_4web.xlsx</t>
        </is>
      </c>
    </row>
    <row r="241">
      <c r="A241" s="53" t="n">
        <v>45530</v>
      </c>
      <c r="B241" t="inlineStr">
        <is>
          <t>2024-08-26</t>
        </is>
      </c>
      <c r="C241" s="45" t="n">
        <v>1.43774</v>
      </c>
      <c r="D241" t="inlineStr">
        <is>
          <t>€/l</t>
        </is>
      </c>
      <c r="E241" s="54" t="n">
        <v>0.078717</v>
      </c>
      <c r="F241" s="54" t="n">
        <v>0.139858</v>
      </c>
      <c r="G241" t="inlineStr">
        <is>
          <t>original (el Boletín publica con y sin impuestos)</t>
        </is>
      </c>
      <c r="H241" t="inlineStr">
        <is>
          <t>IVA e impuesto sobre hidrocarburos incluidos por la fuente</t>
        </is>
      </c>
      <c r="K241" t="inlineStr">
        <is>
          <t>Weekly_Oil_Bulletin_Prices_History_maticni_4web.xlsx</t>
        </is>
      </c>
    </row>
    <row r="242">
      <c r="A242" s="53" t="n">
        <v>45537</v>
      </c>
      <c r="B242" t="inlineStr">
        <is>
          <t>2024-09-02</t>
        </is>
      </c>
      <c r="C242" s="45" t="n">
        <v>1.42424</v>
      </c>
      <c r="D242" t="inlineStr">
        <is>
          <t>€/l</t>
        </is>
      </c>
      <c r="E242" s="54" t="n">
        <v>0.07763200000000001</v>
      </c>
      <c r="F242" s="54" t="n">
        <v>0.138545</v>
      </c>
      <c r="G242" t="inlineStr">
        <is>
          <t>original (el Boletín publica con y sin impuestos)</t>
        </is>
      </c>
      <c r="H242" t="inlineStr">
        <is>
          <t>IVA e impuesto sobre hidrocarburos incluidos por la fuente</t>
        </is>
      </c>
      <c r="K242" t="inlineStr">
        <is>
          <t>Weekly_Oil_Bulletin_Prices_History_maticni_4web.xlsx</t>
        </is>
      </c>
    </row>
    <row r="243">
      <c r="A243" s="53" t="n">
        <v>45544</v>
      </c>
      <c r="B243" t="inlineStr">
        <is>
          <t>2024-09-09</t>
        </is>
      </c>
      <c r="C243" s="45" t="n">
        <v>1.40602</v>
      </c>
      <c r="D243" t="inlineStr">
        <is>
          <t>€/l</t>
        </is>
      </c>
      <c r="E243" s="54" t="n">
        <v>0.076167</v>
      </c>
      <c r="F243" s="54" t="n">
        <v>0.136772</v>
      </c>
      <c r="G243" t="inlineStr">
        <is>
          <t>original (el Boletín publica con y sin impuestos)</t>
        </is>
      </c>
      <c r="H243" t="inlineStr">
        <is>
          <t>IVA e impuesto sobre hidrocarburos incluidos por la fuente</t>
        </is>
      </c>
      <c r="K243" t="inlineStr">
        <is>
          <t>Weekly_Oil_Bulletin_Prices_History_maticni_4web.xlsx</t>
        </is>
      </c>
    </row>
    <row r="244">
      <c r="A244" s="53" t="n">
        <v>45551</v>
      </c>
      <c r="B244" t="inlineStr">
        <is>
          <t>2024-09-16</t>
        </is>
      </c>
      <c r="C244" s="45" t="n">
        <v>1.38038</v>
      </c>
      <c r="D244" t="inlineStr">
        <is>
          <t>€/l</t>
        </is>
      </c>
      <c r="E244" s="54" t="n">
        <v>0.07410600000000001</v>
      </c>
      <c r="F244" s="54" t="n">
        <v>0.134278</v>
      </c>
      <c r="G244" t="inlineStr">
        <is>
          <t>original (el Boletín publica con y sin impuestos)</t>
        </is>
      </c>
      <c r="H244" t="inlineStr">
        <is>
          <t>IVA e impuesto sobre hidrocarburos incluidos por la fuente</t>
        </is>
      </c>
      <c r="K244" t="inlineStr">
        <is>
          <t>Weekly_Oil_Bulletin_Prices_History_maticni_4web.xlsx</t>
        </is>
      </c>
    </row>
    <row r="245">
      <c r="A245" s="53" t="n">
        <v>45558</v>
      </c>
      <c r="B245" t="inlineStr">
        <is>
          <t>2024-09-23</t>
        </is>
      </c>
      <c r="C245" s="45" t="n">
        <v>1.36742</v>
      </c>
      <c r="D245" t="inlineStr">
        <is>
          <t>€/l</t>
        </is>
      </c>
      <c r="E245" s="54" t="n">
        <v>0.073064</v>
      </c>
      <c r="F245" s="54" t="n">
        <v>0.133018</v>
      </c>
      <c r="G245" t="inlineStr">
        <is>
          <t>original (el Boletín publica con y sin impuestos)</t>
        </is>
      </c>
      <c r="H245" t="inlineStr">
        <is>
          <t>IVA e impuesto sobre hidrocarburos incluidos por la fuente</t>
        </is>
      </c>
      <c r="K245" t="inlineStr">
        <is>
          <t>Weekly_Oil_Bulletin_Prices_History_maticni_4web.xlsx</t>
        </is>
      </c>
    </row>
    <row r="246">
      <c r="A246" s="53" t="n">
        <v>45565</v>
      </c>
      <c r="B246" t="inlineStr">
        <is>
          <t>2024-09-30</t>
        </is>
      </c>
      <c r="C246" s="45" t="n">
        <v>1.3624</v>
      </c>
      <c r="D246" t="inlineStr">
        <is>
          <t>€/l</t>
        </is>
      </c>
      <c r="E246" s="54" t="n">
        <v>0.072661</v>
      </c>
      <c r="F246" s="54" t="n">
        <v>0.132529</v>
      </c>
      <c r="G246" t="inlineStr">
        <is>
          <t>original (el Boletín publica con y sin impuestos)</t>
        </is>
      </c>
      <c r="H246" t="inlineStr">
        <is>
          <t>IVA e impuesto sobre hidrocarburos incluidos por la fuente</t>
        </is>
      </c>
      <c r="K246" t="inlineStr">
        <is>
          <t>Weekly_Oil_Bulletin_Prices_History_maticni_4web.xlsx</t>
        </is>
      </c>
    </row>
    <row r="247">
      <c r="A247" s="53" t="n">
        <v>45572</v>
      </c>
      <c r="B247" t="inlineStr">
        <is>
          <t>2024-10-07</t>
        </is>
      </c>
      <c r="C247" s="45" t="n">
        <v>1.36242</v>
      </c>
      <c r="D247" t="inlineStr">
        <is>
          <t>€/l</t>
        </is>
      </c>
      <c r="E247" s="54" t="n">
        <v>0.072662</v>
      </c>
      <c r="F247" s="54" t="n">
        <v>0.132531</v>
      </c>
      <c r="G247" t="inlineStr">
        <is>
          <t>original (el Boletín publica con y sin impuestos)</t>
        </is>
      </c>
      <c r="H247" t="inlineStr">
        <is>
          <t>IVA e impuesto sobre hidrocarburos incluidos por la fuente</t>
        </is>
      </c>
      <c r="K247" t="inlineStr">
        <is>
          <t>Weekly_Oil_Bulletin_Prices_History_maticni_4web.xlsx</t>
        </is>
      </c>
    </row>
    <row r="248">
      <c r="A248" s="53" t="n">
        <v>45579</v>
      </c>
      <c r="B248" t="inlineStr">
        <is>
          <t>2024-10-14</t>
        </is>
      </c>
      <c r="C248" s="45" t="n">
        <v>1.38379</v>
      </c>
      <c r="D248" t="inlineStr">
        <is>
          <t>€/l</t>
        </is>
      </c>
      <c r="E248" s="54" t="n">
        <v>0.07438</v>
      </c>
      <c r="F248" s="54" t="n">
        <v>0.13461</v>
      </c>
      <c r="G248" t="inlineStr">
        <is>
          <t>original (el Boletín publica con y sin impuestos)</t>
        </is>
      </c>
      <c r="H248" t="inlineStr">
        <is>
          <t>IVA e impuesto sobre hidrocarburos incluidos por la fuente</t>
        </is>
      </c>
      <c r="K248" t="inlineStr">
        <is>
          <t>Weekly_Oil_Bulletin_Prices_History_maticni_4web.xlsx</t>
        </is>
      </c>
    </row>
    <row r="249">
      <c r="A249" s="53" t="n">
        <v>45586</v>
      </c>
      <c r="B249" t="inlineStr">
        <is>
          <t>2024-10-21</t>
        </is>
      </c>
      <c r="C249" s="45" t="n">
        <v>1.39253</v>
      </c>
      <c r="D249" t="inlineStr">
        <is>
          <t>€/l</t>
        </is>
      </c>
      <c r="E249" s="54" t="n">
        <v>0.075083</v>
      </c>
      <c r="F249" s="54" t="n">
        <v>0.13546</v>
      </c>
      <c r="G249" t="inlineStr">
        <is>
          <t>original (el Boletín publica con y sin impuestos)</t>
        </is>
      </c>
      <c r="H249" t="inlineStr">
        <is>
          <t>IVA e impuesto sobre hidrocarburos incluidos por la fuente</t>
        </is>
      </c>
      <c r="K249" t="inlineStr">
        <is>
          <t>Weekly_Oil_Bulletin_Prices_History_maticni_4web.xlsx</t>
        </is>
      </c>
    </row>
    <row r="250">
      <c r="A250" s="53" t="n">
        <v>45593</v>
      </c>
      <c r="B250" t="inlineStr">
        <is>
          <t>2024-10-28</t>
        </is>
      </c>
      <c r="C250" s="45" t="n">
        <v>1.39286</v>
      </c>
      <c r="D250" t="inlineStr">
        <is>
          <t>€/l</t>
        </is>
      </c>
      <c r="E250" s="54" t="n">
        <v>0.075109</v>
      </c>
      <c r="F250" s="54" t="n">
        <v>0.135492</v>
      </c>
      <c r="G250" t="inlineStr">
        <is>
          <t>original (el Boletín publica con y sin impuestos)</t>
        </is>
      </c>
      <c r="H250" t="inlineStr">
        <is>
          <t>IVA e impuesto sobre hidrocarburos incluidos por la fuente</t>
        </is>
      </c>
      <c r="K250" t="inlineStr">
        <is>
          <t>Weekly_Oil_Bulletin_Prices_History_maticni_4web.xlsx</t>
        </is>
      </c>
    </row>
    <row r="251">
      <c r="A251" s="53" t="n">
        <v>45600</v>
      </c>
      <c r="B251" t="inlineStr">
        <is>
          <t>2024-11-04</t>
        </is>
      </c>
      <c r="C251" s="45" t="n">
        <v>1.39146</v>
      </c>
      <c r="D251" t="inlineStr">
        <is>
          <t>€/l</t>
        </is>
      </c>
      <c r="E251" s="54" t="n">
        <v>0.07499699999999999</v>
      </c>
      <c r="F251" s="54" t="n">
        <v>0.135356</v>
      </c>
      <c r="G251" t="inlineStr">
        <is>
          <t>original (el Boletín publica con y sin impuestos)</t>
        </is>
      </c>
      <c r="H251" t="inlineStr">
        <is>
          <t>IVA e impuesto sobre hidrocarburos incluidos por la fuente</t>
        </is>
      </c>
      <c r="K251" t="inlineStr">
        <is>
          <t>Weekly_Oil_Bulletin_Prices_History_maticni_4web.xlsx</t>
        </is>
      </c>
    </row>
    <row r="252">
      <c r="A252" s="53" t="n">
        <v>45607</v>
      </c>
      <c r="B252" t="inlineStr">
        <is>
          <t>2024-11-11</t>
        </is>
      </c>
      <c r="C252" s="45" t="n">
        <v>1.39927</v>
      </c>
      <c r="D252" t="inlineStr">
        <is>
          <t>€/l</t>
        </is>
      </c>
      <c r="E252" s="54" t="n">
        <v>0.07499699999999999</v>
      </c>
      <c r="F252" s="54" t="n">
        <v>0.136116</v>
      </c>
      <c r="G252" t="inlineStr">
        <is>
          <t>original (el Boletín publica con y sin impuestos)</t>
        </is>
      </c>
      <c r="H252" t="inlineStr">
        <is>
          <t>IVA e impuesto sobre hidrocarburos incluidos por la fuente</t>
        </is>
      </c>
      <c r="K252" t="inlineStr">
        <is>
          <t>Weekly_Oil_Bulletin_Prices_History_maticni_4web.xlsx</t>
        </is>
      </c>
    </row>
    <row r="253">
      <c r="A253" s="53" t="n">
        <v>45614</v>
      </c>
      <c r="B253" t="inlineStr">
        <is>
          <t>2024-11-18</t>
        </is>
      </c>
      <c r="C253" s="45" t="n">
        <v>1.40618</v>
      </c>
      <c r="D253" t="inlineStr">
        <is>
          <t>€/l</t>
        </is>
      </c>
      <c r="E253" s="54" t="n">
        <v>0.07618</v>
      </c>
      <c r="F253" s="54" t="n">
        <v>0.136788</v>
      </c>
      <c r="G253" t="inlineStr">
        <is>
          <t>original (el Boletín publica con y sin impuestos)</t>
        </is>
      </c>
      <c r="H253" t="inlineStr">
        <is>
          <t>IVA e impuesto sobre hidrocarburos incluidos por la fuente</t>
        </is>
      </c>
      <c r="K253" t="inlineStr">
        <is>
          <t>Weekly_Oil_Bulletin_Prices_History_maticni_4web.xlsx</t>
        </is>
      </c>
    </row>
    <row r="254">
      <c r="A254" s="53" t="n">
        <v>45621</v>
      </c>
      <c r="B254" t="inlineStr">
        <is>
          <t>2024-11-25</t>
        </is>
      </c>
      <c r="C254" s="45" t="n">
        <v>1.42023</v>
      </c>
      <c r="D254" t="inlineStr">
        <is>
          <t>€/l</t>
        </is>
      </c>
      <c r="E254" s="54" t="n">
        <v>0.077309</v>
      </c>
      <c r="F254" s="54" t="n">
        <v>0.138155</v>
      </c>
      <c r="G254" t="inlineStr">
        <is>
          <t>original (el Boletín publica con y sin impuestos)</t>
        </is>
      </c>
      <c r="H254" t="inlineStr">
        <is>
          <t>IVA e impuesto sobre hidrocarburos incluidos por la fuente</t>
        </is>
      </c>
      <c r="K254" t="inlineStr">
        <is>
          <t>Weekly_Oil_Bulletin_Prices_History_maticni_4web.xlsx</t>
        </is>
      </c>
    </row>
    <row r="255">
      <c r="A255" s="53" t="n">
        <v>45628</v>
      </c>
      <c r="B255" t="inlineStr">
        <is>
          <t>2024-12-02</t>
        </is>
      </c>
      <c r="C255" s="45" t="n">
        <v>1.43108</v>
      </c>
      <c r="D255" t="inlineStr">
        <is>
          <t>€/l</t>
        </is>
      </c>
      <c r="E255" s="54" t="n">
        <v>0.078182</v>
      </c>
      <c r="F255" s="54" t="n">
        <v>0.13921</v>
      </c>
      <c r="G255" t="inlineStr">
        <is>
          <t>original (el Boletín publica con y sin impuestos)</t>
        </is>
      </c>
      <c r="H255" t="inlineStr">
        <is>
          <t>IVA e impuesto sobre hidrocarburos incluidos por la fuente</t>
        </is>
      </c>
      <c r="K255" t="inlineStr">
        <is>
          <t>Weekly_Oil_Bulletin_Prices_History_maticni_4web.xlsx</t>
        </is>
      </c>
    </row>
    <row r="256">
      <c r="A256" s="53" t="n">
        <v>45635</v>
      </c>
      <c r="B256" t="inlineStr">
        <is>
          <t>2024-12-09</t>
        </is>
      </c>
      <c r="C256" s="45" t="n">
        <v>1.43154</v>
      </c>
      <c r="D256" t="inlineStr">
        <is>
          <t>€/l</t>
        </is>
      </c>
      <c r="E256" s="54" t="n">
        <v>0.078219</v>
      </c>
      <c r="F256" s="54" t="n">
        <v>0.139255</v>
      </c>
      <c r="G256" t="inlineStr">
        <is>
          <t>original (el Boletín publica con y sin impuestos)</t>
        </is>
      </c>
      <c r="H256" t="inlineStr">
        <is>
          <t>IVA e impuesto sobre hidrocarburos incluidos por la fuente</t>
        </is>
      </c>
      <c r="K256" t="inlineStr">
        <is>
          <t>Weekly_Oil_Bulletin_Prices_History_maticni_4web.xlsx</t>
        </is>
      </c>
    </row>
    <row r="257">
      <c r="A257" s="53" t="n">
        <v>45642</v>
      </c>
      <c r="B257" t="inlineStr">
        <is>
          <t>2024-12-16</t>
        </is>
      </c>
      <c r="C257" s="45" t="n">
        <v>1.43237</v>
      </c>
      <c r="D257" t="inlineStr">
        <is>
          <t>€/l</t>
        </is>
      </c>
      <c r="E257" s="54" t="n">
        <v>0.07828599999999999</v>
      </c>
      <c r="F257" s="54" t="n">
        <v>0.139336</v>
      </c>
      <c r="G257" t="inlineStr">
        <is>
          <t>original (el Boletín publica con y sin impuestos)</t>
        </is>
      </c>
      <c r="H257" t="inlineStr">
        <is>
          <t>IVA e impuesto sobre hidrocarburos incluidos por la fuente</t>
        </is>
      </c>
      <c r="K257" t="inlineStr">
        <is>
          <t>Weekly_Oil_Bulletin_Prices_History_maticni_4web.xlsx</t>
        </is>
      </c>
    </row>
    <row r="258">
      <c r="A258" s="53" t="n">
        <v>45649</v>
      </c>
      <c r="B258" t="inlineStr">
        <is>
          <t>2024-12-23</t>
        </is>
      </c>
      <c r="C258" s="45" t="n">
        <v>1.43858</v>
      </c>
      <c r="D258" t="inlineStr">
        <is>
          <t>€/l</t>
        </is>
      </c>
      <c r="E258" s="54" t="n">
        <v>0.07878499999999999</v>
      </c>
      <c r="F258" s="54" t="n">
        <v>0.13994</v>
      </c>
      <c r="G258" t="inlineStr">
        <is>
          <t>original (el Boletín publica con y sin impuestos)</t>
        </is>
      </c>
      <c r="H258" t="inlineStr">
        <is>
          <t>IVA e impuesto sobre hidrocarburos incluidos por la fuente</t>
        </is>
      </c>
      <c r="K258" t="inlineStr">
        <is>
          <t>Weekly_Oil_Bulletin_Prices_History_maticni_4web.xlsx</t>
        </is>
      </c>
    </row>
    <row r="259">
      <c r="A259" s="53" t="n">
        <v>45656</v>
      </c>
      <c r="B259" t="inlineStr">
        <is>
          <t>2024-12-30</t>
        </is>
      </c>
      <c r="C259" s="45" t="n">
        <v>1.44269</v>
      </c>
      <c r="D259" t="inlineStr">
        <is>
          <t>€/l</t>
        </is>
      </c>
      <c r="E259" s="54" t="n">
        <v>0.07911600000000001</v>
      </c>
      <c r="F259" s="54" t="n">
        <v>0.140339</v>
      </c>
      <c r="G259" t="inlineStr">
        <is>
          <t>original (el Boletín publica con y sin impuestos)</t>
        </is>
      </c>
      <c r="H259" t="inlineStr">
        <is>
          <t>IVA e impuesto sobre hidrocarburos incluidos por la fuente</t>
        </is>
      </c>
      <c r="K259" t="inlineStr">
        <is>
          <t>Weekly_Oil_Bulletin_Prices_History_maticni_4web.xlsx</t>
        </is>
      </c>
    </row>
    <row r="260">
      <c r="A260" s="53" t="n">
        <v>45663</v>
      </c>
      <c r="B260" t="inlineStr">
        <is>
          <t>2025-01-06</t>
        </is>
      </c>
      <c r="C260" s="45" t="n">
        <v>1.45458</v>
      </c>
      <c r="D260" t="inlineStr">
        <is>
          <t>€/l</t>
        </is>
      </c>
      <c r="E260" s="54" t="n">
        <v>0.080071</v>
      </c>
      <c r="F260" s="54" t="n">
        <v>0.141496</v>
      </c>
      <c r="G260" t="inlineStr">
        <is>
          <t>original (el Boletín publica con y sin impuestos)</t>
        </is>
      </c>
      <c r="H260" t="inlineStr">
        <is>
          <t>IVA e impuesto sobre hidrocarburos incluidos por la fuente</t>
        </is>
      </c>
      <c r="K260" t="inlineStr">
        <is>
          <t>Weekly_Oil_Bulletin_Prices_History_maticni_4web.xlsx</t>
        </is>
      </c>
    </row>
    <row r="261">
      <c r="A261" s="53" t="n">
        <v>45670</v>
      </c>
      <c r="B261" t="inlineStr">
        <is>
          <t>2025-01-13</t>
        </is>
      </c>
      <c r="C261" s="45" t="n">
        <v>1.47156</v>
      </c>
      <c r="D261" t="inlineStr">
        <is>
          <t>€/l</t>
        </is>
      </c>
      <c r="E261" s="54" t="n">
        <v>0.081437</v>
      </c>
      <c r="F261" s="54" t="n">
        <v>0.143148</v>
      </c>
      <c r="G261" t="inlineStr">
        <is>
          <t>original (el Boletín publica con y sin impuestos)</t>
        </is>
      </c>
      <c r="H261" t="inlineStr">
        <is>
          <t>IVA e impuesto sobre hidrocarburos incluidos por la fuente</t>
        </is>
      </c>
      <c r="K261" t="inlineStr">
        <is>
          <t>Weekly_Oil_Bulletin_Prices_History_maticni_4web.xlsx</t>
        </is>
      </c>
    </row>
    <row r="262">
      <c r="A262" s="53" t="n">
        <v>45677</v>
      </c>
      <c r="B262" t="inlineStr">
        <is>
          <t>2025-01-20</t>
        </is>
      </c>
      <c r="C262" s="45" t="n">
        <v>1.499</v>
      </c>
      <c r="D262" t="inlineStr">
        <is>
          <t>€/l</t>
        </is>
      </c>
      <c r="E262" s="54" t="n">
        <v>0.08364199999999999</v>
      </c>
      <c r="F262" s="54" t="n">
        <v>0.145817</v>
      </c>
      <c r="G262" t="inlineStr">
        <is>
          <t>original (el Boletín publica con y sin impuestos)</t>
        </is>
      </c>
      <c r="H262" t="inlineStr">
        <is>
          <t>IVA e impuesto sobre hidrocarburos incluidos por la fuente</t>
        </is>
      </c>
      <c r="K262" t="inlineStr">
        <is>
          <t>Weekly_Oil_Bulletin_Prices_History_maticni_4web.xlsx</t>
        </is>
      </c>
    </row>
    <row r="263">
      <c r="A263" s="53" t="n">
        <v>45684</v>
      </c>
      <c r="B263" t="inlineStr">
        <is>
          <t>2025-01-27</t>
        </is>
      </c>
      <c r="C263" s="45" t="n">
        <v>1.50866</v>
      </c>
      <c r="D263" t="inlineStr">
        <is>
          <t>€/l</t>
        </is>
      </c>
      <c r="E263" s="54" t="n">
        <v>0.08441899999999999</v>
      </c>
      <c r="F263" s="54" t="n">
        <v>0.146757</v>
      </c>
      <c r="G263" t="inlineStr">
        <is>
          <t>original (el Boletín publica con y sin impuestos)</t>
        </is>
      </c>
      <c r="H263" t="inlineStr">
        <is>
          <t>IVA e impuesto sobre hidrocarburos incluidos por la fuente</t>
        </is>
      </c>
      <c r="K263" t="inlineStr">
        <is>
          <t>Weekly_Oil_Bulletin_Prices_History_maticni_4web.xlsx</t>
        </is>
      </c>
    </row>
    <row r="264">
      <c r="A264" s="53" t="n">
        <v>45691</v>
      </c>
      <c r="B264" t="inlineStr">
        <is>
          <t>2025-02-03</t>
        </is>
      </c>
      <c r="C264" s="45" t="n">
        <v>1.50144</v>
      </c>
      <c r="D264" t="inlineStr">
        <is>
          <t>€/l</t>
        </is>
      </c>
      <c r="E264" s="54" t="n">
        <v>0.083839</v>
      </c>
      <c r="F264" s="54" t="n">
        <v>0.146054</v>
      </c>
      <c r="G264" t="inlineStr">
        <is>
          <t>original (el Boletín publica con y sin impuestos)</t>
        </is>
      </c>
      <c r="H264" t="inlineStr">
        <is>
          <t>IVA e impuesto sobre hidrocarburos incluidos por la fuente</t>
        </is>
      </c>
      <c r="K264" t="inlineStr">
        <is>
          <t>Weekly_Oil_Bulletin_Prices_History_maticni_4web.xlsx</t>
        </is>
      </c>
    </row>
    <row r="265">
      <c r="A265" s="53" t="n">
        <v>45698</v>
      </c>
      <c r="B265" t="inlineStr">
        <is>
          <t>2025-02-10</t>
        </is>
      </c>
      <c r="C265" s="45" t="n">
        <v>1.4991</v>
      </c>
      <c r="D265" t="inlineStr">
        <is>
          <t>€/l</t>
        </is>
      </c>
      <c r="E265" s="54" t="n">
        <v>0.083651</v>
      </c>
      <c r="F265" s="54" t="n">
        <v>0.145827</v>
      </c>
      <c r="G265" t="inlineStr">
        <is>
          <t>original (el Boletín publica con y sin impuestos)</t>
        </is>
      </c>
      <c r="H265" t="inlineStr">
        <is>
          <t>IVA e impuesto sobre hidrocarburos incluidos por la fuente</t>
        </is>
      </c>
      <c r="K265" t="inlineStr">
        <is>
          <t>Weekly_Oil_Bulletin_Prices_History_maticni_4web.xlsx</t>
        </is>
      </c>
    </row>
    <row r="266">
      <c r="A266" s="53" t="n">
        <v>45705</v>
      </c>
      <c r="B266" t="inlineStr">
        <is>
          <t>2025-02-17</t>
        </is>
      </c>
      <c r="C266" s="45" t="n">
        <v>1.50065</v>
      </c>
      <c r="D266" t="inlineStr">
        <is>
          <t>€/l</t>
        </is>
      </c>
      <c r="E266" s="54" t="n">
        <v>0.083775</v>
      </c>
      <c r="F266" s="54" t="n">
        <v>0.145978</v>
      </c>
      <c r="G266" t="inlineStr">
        <is>
          <t>original (el Boletín publica con y sin impuestos)</t>
        </is>
      </c>
      <c r="H266" t="inlineStr">
        <is>
          <t>IVA e impuesto sobre hidrocarburos incluidos por la fuente</t>
        </is>
      </c>
      <c r="K266" t="inlineStr">
        <is>
          <t>Weekly_Oil_Bulletin_Prices_History_maticni_4web.xlsx</t>
        </is>
      </c>
    </row>
    <row r="267">
      <c r="A267" s="53" t="n">
        <v>45712</v>
      </c>
      <c r="B267" t="inlineStr">
        <is>
          <t>2025-02-24</t>
        </is>
      </c>
      <c r="C267" s="45" t="n">
        <v>1.49861</v>
      </c>
      <c r="D267" t="inlineStr">
        <is>
          <t>€/l</t>
        </is>
      </c>
      <c r="E267" s="54" t="n">
        <v>0.083611</v>
      </c>
      <c r="F267" s="54" t="n">
        <v>0.145779</v>
      </c>
      <c r="G267" t="inlineStr">
        <is>
          <t>original (el Boletín publica con y sin impuestos)</t>
        </is>
      </c>
      <c r="H267" t="inlineStr">
        <is>
          <t>IVA e impuesto sobre hidrocarburos incluidos por la fuente</t>
        </is>
      </c>
      <c r="K267" t="inlineStr">
        <is>
          <t>Weekly_Oil_Bulletin_Prices_History_maticni_4web.xlsx</t>
        </is>
      </c>
    </row>
    <row r="268">
      <c r="A268" s="53" t="n">
        <v>45719</v>
      </c>
      <c r="B268" t="inlineStr">
        <is>
          <t>2025-03-03</t>
        </is>
      </c>
      <c r="C268" s="45" t="n">
        <v>1.4903</v>
      </c>
      <c r="D268" t="inlineStr">
        <is>
          <t>€/l</t>
        </is>
      </c>
      <c r="E268" s="54" t="n">
        <v>0.082943</v>
      </c>
      <c r="F268" s="54" t="n">
        <v>0.144971</v>
      </c>
      <c r="G268" t="inlineStr">
        <is>
          <t>original (el Boletín publica con y sin impuestos)</t>
        </is>
      </c>
      <c r="H268" t="inlineStr">
        <is>
          <t>IVA e impuesto sobre hidrocarburos incluidos por la fuente</t>
        </is>
      </c>
      <c r="K268" t="inlineStr">
        <is>
          <t>Weekly_Oil_Bulletin_Prices_History_maticni_4web.xlsx</t>
        </is>
      </c>
    </row>
    <row r="269">
      <c r="A269" s="53" t="n">
        <v>45726</v>
      </c>
      <c r="B269" t="inlineStr">
        <is>
          <t>2025-03-10</t>
        </is>
      </c>
      <c r="C269" s="45" t="n">
        <v>1.47297</v>
      </c>
      <c r="D269" t="inlineStr">
        <is>
          <t>€/l</t>
        </is>
      </c>
      <c r="E269" s="54" t="n">
        <v>0.08155</v>
      </c>
      <c r="F269" s="54" t="n">
        <v>0.143285</v>
      </c>
      <c r="G269" t="inlineStr">
        <is>
          <t>original (el Boletín publica con y sin impuestos)</t>
        </is>
      </c>
      <c r="H269" t="inlineStr">
        <is>
          <t>IVA e impuesto sobre hidrocarburos incluidos por la fuente</t>
        </is>
      </c>
      <c r="K269" t="inlineStr">
        <is>
          <t>Weekly_Oil_Bulletin_Prices_History_maticni_4web.xlsx</t>
        </is>
      </c>
    </row>
    <row r="270">
      <c r="A270" s="53" t="n">
        <v>45733</v>
      </c>
      <c r="B270" t="inlineStr">
        <is>
          <t>2025-03-17</t>
        </is>
      </c>
      <c r="C270" s="45" t="n">
        <v>1.45079</v>
      </c>
      <c r="D270" t="inlineStr">
        <is>
          <t>€/l</t>
        </is>
      </c>
      <c r="E270" s="54" t="n">
        <v>0.079767</v>
      </c>
      <c r="F270" s="54" t="n">
        <v>0.141127</v>
      </c>
      <c r="G270" t="inlineStr">
        <is>
          <t>original (el Boletín publica con y sin impuestos)</t>
        </is>
      </c>
      <c r="H270" t="inlineStr">
        <is>
          <t>IVA e impuesto sobre hidrocarburos incluidos por la fuente</t>
        </is>
      </c>
      <c r="K270" t="inlineStr">
        <is>
          <t>Weekly_Oil_Bulletin_Prices_History_maticni_4web.xlsx</t>
        </is>
      </c>
    </row>
    <row r="271">
      <c r="A271" s="53" t="n">
        <v>45740</v>
      </c>
      <c r="B271" t="inlineStr">
        <is>
          <t>2025-03-24</t>
        </is>
      </c>
      <c r="C271" s="45" t="n">
        <v>1.44012</v>
      </c>
      <c r="D271" t="inlineStr">
        <is>
          <t>€/l</t>
        </is>
      </c>
      <c r="E271" s="54" t="n">
        <v>0.07890900000000001</v>
      </c>
      <c r="F271" s="54" t="n">
        <v>0.140089</v>
      </c>
      <c r="G271" t="inlineStr">
        <is>
          <t>original (el Boletín publica con y sin impuestos)</t>
        </is>
      </c>
      <c r="H271" t="inlineStr">
        <is>
          <t>IVA e impuesto sobre hidrocarburos incluidos por la fuente</t>
        </is>
      </c>
      <c r="K271" t="inlineStr">
        <is>
          <t>Weekly_Oil_Bulletin_Prices_History_maticni_4web.xlsx</t>
        </is>
      </c>
    </row>
    <row r="272">
      <c r="A272" s="53" t="n">
        <v>45747</v>
      </c>
      <c r="B272" t="inlineStr">
        <is>
          <t>2025-03-31</t>
        </is>
      </c>
      <c r="C272" s="45" t="n">
        <v>1.43962</v>
      </c>
      <c r="D272" t="inlineStr">
        <is>
          <t>€/l</t>
        </is>
      </c>
      <c r="E272" s="54" t="n">
        <v>0.07886899999999999</v>
      </c>
      <c r="F272" s="54" t="n">
        <v>0.140041</v>
      </c>
      <c r="G272" t="inlineStr">
        <is>
          <t>original (el Boletín publica con y sin impuestos)</t>
        </is>
      </c>
      <c r="H272" t="inlineStr">
        <is>
          <t>IVA e impuesto sobre hidrocarburos incluidos por la fuente</t>
        </is>
      </c>
      <c r="K272" t="inlineStr">
        <is>
          <t>Weekly_Oil_Bulletin_Prices_History_maticni_4web.xlsx</t>
        </is>
      </c>
    </row>
    <row r="273">
      <c r="A273" s="53" t="n">
        <v>45754</v>
      </c>
      <c r="B273" t="inlineStr">
        <is>
          <t>2025-04-07</t>
        </is>
      </c>
      <c r="C273" s="45" t="n">
        <v>1.4407</v>
      </c>
      <c r="D273" t="inlineStr">
        <is>
          <t>€/l</t>
        </is>
      </c>
      <c r="E273" s="54" t="n">
        <v>0.078955</v>
      </c>
      <c r="F273" s="54" t="n">
        <v>0.140146</v>
      </c>
      <c r="G273" t="inlineStr">
        <is>
          <t>original (el Boletín publica con y sin impuestos)</t>
        </is>
      </c>
      <c r="H273" t="inlineStr">
        <is>
          <t>IVA e impuesto sobre hidrocarburos incluidos por la fuente</t>
        </is>
      </c>
      <c r="K273" t="inlineStr">
        <is>
          <t>Weekly_Oil_Bulletin_Prices_History_maticni_4web.xlsx</t>
        </is>
      </c>
    </row>
    <row r="274">
      <c r="A274" s="53" t="n">
        <v>45761</v>
      </c>
      <c r="B274" t="inlineStr">
        <is>
          <t>2025-04-14</t>
        </is>
      </c>
      <c r="C274" s="45" t="n">
        <v>1.41415</v>
      </c>
      <c r="D274" t="inlineStr">
        <is>
          <t>€/l</t>
        </is>
      </c>
      <c r="E274" s="54" t="n">
        <v>0.076821</v>
      </c>
      <c r="F274" s="54" t="n">
        <v>0.137563</v>
      </c>
      <c r="G274" t="inlineStr">
        <is>
          <t>original (el Boletín publica con y sin impuestos)</t>
        </is>
      </c>
      <c r="H274" t="inlineStr">
        <is>
          <t>IVA e impuesto sobre hidrocarburos incluidos por la fuente</t>
        </is>
      </c>
      <c r="K274" t="inlineStr">
        <is>
          <t>Weekly_Oil_Bulletin_Prices_History_maticni_4web.xlsx</t>
        </is>
      </c>
    </row>
    <row r="275">
      <c r="A275" s="53" t="n">
        <v>45768</v>
      </c>
      <c r="B275" t="inlineStr">
        <is>
          <t>2025-04-21</t>
        </is>
      </c>
      <c r="C275" s="45" t="n">
        <v>1.3935</v>
      </c>
      <c r="D275" t="inlineStr">
        <is>
          <t>€/l</t>
        </is>
      </c>
      <c r="E275" s="54" t="n">
        <v>0.07516100000000001</v>
      </c>
      <c r="F275" s="54" t="n">
        <v>0.135554</v>
      </c>
      <c r="G275" t="inlineStr">
        <is>
          <t>original (el Boletín publica con y sin impuestos)</t>
        </is>
      </c>
      <c r="H275" t="inlineStr">
        <is>
          <t>IVA e impuesto sobre hidrocarburos incluidos por la fuente</t>
        </is>
      </c>
      <c r="K275" t="inlineStr">
        <is>
          <t>Weekly_Oil_Bulletin_Prices_History_maticni_4web.xlsx</t>
        </is>
      </c>
    </row>
    <row r="276">
      <c r="A276" s="53" t="n">
        <v>45775</v>
      </c>
      <c r="B276" t="inlineStr">
        <is>
          <t>2025-04-28</t>
        </is>
      </c>
      <c r="C276" s="45" t="n">
        <v>1.38371</v>
      </c>
      <c r="D276" t="inlineStr">
        <is>
          <t>€/l</t>
        </is>
      </c>
      <c r="E276" s="54" t="n">
        <v>0.074374</v>
      </c>
      <c r="F276" s="54" t="n">
        <v>0.134602</v>
      </c>
      <c r="G276" t="inlineStr">
        <is>
          <t>original (el Boletín publica con y sin impuestos)</t>
        </is>
      </c>
      <c r="H276" t="inlineStr">
        <is>
          <t>IVA e impuesto sobre hidrocarburos incluidos por la fuente</t>
        </is>
      </c>
      <c r="K276" t="inlineStr">
        <is>
          <t>Weekly_Oil_Bulletin_Prices_History_maticni_4web.xlsx</t>
        </is>
      </c>
    </row>
    <row r="277">
      <c r="A277" s="53" t="n">
        <v>45782</v>
      </c>
      <c r="B277" t="inlineStr">
        <is>
          <t>2025-05-05</t>
        </is>
      </c>
      <c r="C277" s="45" t="n">
        <v>1.3778</v>
      </c>
      <c r="D277" t="inlineStr">
        <is>
          <t>€/l</t>
        </is>
      </c>
      <c r="E277" s="54" t="n">
        <v>0.07389900000000001</v>
      </c>
      <c r="F277" s="54" t="n">
        <v>0.134027</v>
      </c>
      <c r="G277" t="inlineStr">
        <is>
          <t>original (el Boletín publica con y sin impuestos)</t>
        </is>
      </c>
      <c r="H277" t="inlineStr">
        <is>
          <t>IVA e impuesto sobre hidrocarburos incluidos por la fuente</t>
        </is>
      </c>
      <c r="K277" t="inlineStr">
        <is>
          <t>Weekly_Oil_Bulletin_Prices_History_maticni_4web.xlsx</t>
        </is>
      </c>
    </row>
    <row r="278">
      <c r="A278" s="53" t="n">
        <v>45789</v>
      </c>
      <c r="B278" t="inlineStr">
        <is>
          <t>2025-05-12</t>
        </is>
      </c>
      <c r="C278" s="45" t="n">
        <v>1.36645</v>
      </c>
      <c r="D278" t="inlineStr">
        <is>
          <t>€/l</t>
        </is>
      </c>
      <c r="E278" s="54" t="n">
        <v>0.072986</v>
      </c>
      <c r="F278" s="54" t="n">
        <v>0.132923</v>
      </c>
      <c r="G278" t="inlineStr">
        <is>
          <t>original (el Boletín publica con y sin impuestos)</t>
        </is>
      </c>
      <c r="H278" t="inlineStr">
        <is>
          <t>IVA e impuesto sobre hidrocarburos incluidos por la fuente</t>
        </is>
      </c>
      <c r="K278" t="inlineStr">
        <is>
          <t>Weekly_Oil_Bulletin_Prices_History_maticni_4web.xlsx</t>
        </is>
      </c>
    </row>
    <row r="279">
      <c r="A279" s="53" t="n">
        <v>45796</v>
      </c>
      <c r="B279" t="inlineStr">
        <is>
          <t>2025-05-19</t>
        </is>
      </c>
      <c r="C279" s="45" t="n">
        <v>1.36491</v>
      </c>
      <c r="D279" t="inlineStr">
        <is>
          <t>€/l</t>
        </is>
      </c>
      <c r="E279" s="54" t="n">
        <v>0.072862</v>
      </c>
      <c r="F279" s="54" t="n">
        <v>0.132773</v>
      </c>
      <c r="G279" t="inlineStr">
        <is>
          <t>original (el Boletín publica con y sin impuestos)</t>
        </is>
      </c>
      <c r="H279" t="inlineStr">
        <is>
          <t>IVA e impuesto sobre hidrocarburos incluidos por la fuente</t>
        </is>
      </c>
      <c r="K279" t="inlineStr">
        <is>
          <t>Weekly_Oil_Bulletin_Prices_History_maticni_4web.xlsx</t>
        </is>
      </c>
    </row>
    <row r="280">
      <c r="A280" s="53" t="n">
        <v>45803</v>
      </c>
      <c r="B280" t="inlineStr">
        <is>
          <t>2025-05-26</t>
        </is>
      </c>
      <c r="C280" s="45" t="n">
        <v>1.36545</v>
      </c>
      <c r="D280" t="inlineStr">
        <is>
          <t>€/l</t>
        </is>
      </c>
      <c r="E280" s="54" t="n">
        <v>0.072906</v>
      </c>
      <c r="F280" s="54" t="n">
        <v>0.132826</v>
      </c>
      <c r="G280" t="inlineStr">
        <is>
          <t>original (el Boletín publica con y sin impuestos)</t>
        </is>
      </c>
      <c r="H280" t="inlineStr">
        <is>
          <t>IVA e impuesto sobre hidrocarburos incluidos por la fuente</t>
        </is>
      </c>
      <c r="K280" t="inlineStr">
        <is>
          <t>Weekly_Oil_Bulletin_Prices_History_maticni_4web.xlsx</t>
        </is>
      </c>
    </row>
    <row r="281">
      <c r="A281" s="53" t="n">
        <v>45810</v>
      </c>
      <c r="B281" t="inlineStr">
        <is>
          <t>2025-06-02</t>
        </is>
      </c>
      <c r="C281" s="45" t="n">
        <v>1.36199</v>
      </c>
      <c r="D281" t="inlineStr">
        <is>
          <t>€/l</t>
        </is>
      </c>
      <c r="E281" s="54" t="n">
        <v>0.072627</v>
      </c>
      <c r="F281" s="54" t="n">
        <v>0.132489</v>
      </c>
      <c r="G281" t="inlineStr">
        <is>
          <t>original (el Boletín publica con y sin impuestos)</t>
        </is>
      </c>
      <c r="H281" t="inlineStr">
        <is>
          <t>IVA e impuesto sobre hidrocarburos incluidos por la fuente</t>
        </is>
      </c>
      <c r="K281" t="inlineStr">
        <is>
          <t>Weekly_Oil_Bulletin_Prices_History_maticni_4web.xlsx</t>
        </is>
      </c>
    </row>
    <row r="282">
      <c r="A282" s="53" t="n">
        <v>45817</v>
      </c>
      <c r="B282" t="inlineStr">
        <is>
          <t>2025-06-09</t>
        </is>
      </c>
      <c r="C282" s="45" t="n">
        <v>1.35846</v>
      </c>
      <c r="D282" t="inlineStr">
        <is>
          <t>€/l</t>
        </is>
      </c>
      <c r="E282" s="54" t="n">
        <v>0.072343</v>
      </c>
      <c r="F282" s="54" t="n">
        <v>0.132146</v>
      </c>
      <c r="G282" t="inlineStr">
        <is>
          <t>original (el Boletín publica con y sin impuestos)</t>
        </is>
      </c>
      <c r="H282" t="inlineStr">
        <is>
          <t>IVA e impuesto sobre hidrocarburos incluidos por la fuente</t>
        </is>
      </c>
      <c r="K282" t="inlineStr">
        <is>
          <t>Weekly_Oil_Bulletin_Prices_History_maticni_4web.xlsx</t>
        </is>
      </c>
    </row>
    <row r="283">
      <c r="A283" s="53" t="n">
        <v>45824</v>
      </c>
      <c r="B283" t="inlineStr">
        <is>
          <t>2025-06-16</t>
        </is>
      </c>
      <c r="C283" s="45" t="n">
        <v>1.36444</v>
      </c>
      <c r="D283" t="inlineStr">
        <is>
          <t>€/l</t>
        </is>
      </c>
      <c r="E283" s="54" t="n">
        <v>0.072825</v>
      </c>
      <c r="F283" s="54" t="n">
        <v>0.132728</v>
      </c>
      <c r="G283" t="inlineStr">
        <is>
          <t>original (el Boletín publica con y sin impuestos)</t>
        </is>
      </c>
      <c r="H283" t="inlineStr">
        <is>
          <t>IVA e impuesto sobre hidrocarburos incluidos por la fuente</t>
        </is>
      </c>
      <c r="K283" t="inlineStr">
        <is>
          <t>Weekly_Oil_Bulletin_Prices_History_maticni_4web.xlsx</t>
        </is>
      </c>
    </row>
    <row r="284">
      <c r="A284" s="53" t="n">
        <v>45831</v>
      </c>
      <c r="B284" t="inlineStr">
        <is>
          <t>2025-06-23</t>
        </is>
      </c>
      <c r="C284" s="45" t="n">
        <v>1.4009</v>
      </c>
      <c r="D284" t="inlineStr">
        <is>
          <t>€/l</t>
        </is>
      </c>
      <c r="E284" s="54" t="n">
        <v>0.075756</v>
      </c>
      <c r="F284" s="54" t="n">
        <v>0.136274</v>
      </c>
      <c r="G284" t="inlineStr">
        <is>
          <t>original (el Boletín publica con y sin impuestos)</t>
        </is>
      </c>
      <c r="H284" t="inlineStr">
        <is>
          <t>IVA e impuesto sobre hidrocarburos incluidos por la fuente</t>
        </is>
      </c>
      <c r="K284" t="inlineStr">
        <is>
          <t>Weekly_Oil_Bulletin_Prices_History_maticni_4web.xlsx</t>
        </is>
      </c>
    </row>
    <row r="285">
      <c r="A285" s="53" t="n">
        <v>45838</v>
      </c>
      <c r="B285" t="inlineStr">
        <is>
          <t>2025-06-30</t>
        </is>
      </c>
      <c r="C285" s="45" t="n">
        <v>1.42543</v>
      </c>
      <c r="D285" t="inlineStr">
        <is>
          <t>€/l</t>
        </is>
      </c>
      <c r="E285" s="54" t="n">
        <v>0.07772800000000001</v>
      </c>
      <c r="F285" s="54" t="n">
        <v>0.138661</v>
      </c>
      <c r="G285" t="inlineStr">
        <is>
          <t>original (el Boletín publica con y sin impuestos)</t>
        </is>
      </c>
      <c r="H285" t="inlineStr">
        <is>
          <t>IVA e impuesto sobre hidrocarburos incluidos por la fuente</t>
        </is>
      </c>
      <c r="K285" t="inlineStr">
        <is>
          <t>Weekly_Oil_Bulletin_Prices_History_maticni_4web.xlsx</t>
        </is>
      </c>
    </row>
    <row r="286">
      <c r="A286" s="53" t="n">
        <v>45845</v>
      </c>
      <c r="B286" t="inlineStr">
        <is>
          <t>2025-07-07</t>
        </is>
      </c>
      <c r="C286" s="45" t="n">
        <v>1.41804</v>
      </c>
      <c r="D286" t="inlineStr">
        <is>
          <t>€/l</t>
        </is>
      </c>
      <c r="E286" s="54" t="n">
        <v>0.07713299999999999</v>
      </c>
      <c r="F286" s="54" t="n">
        <v>0.137942</v>
      </c>
      <c r="G286" t="inlineStr">
        <is>
          <t>original (el Boletín publica con y sin impuestos)</t>
        </is>
      </c>
      <c r="H286" t="inlineStr">
        <is>
          <t>IVA e impuesto sobre hidrocarburos incluidos por la fuente</t>
        </is>
      </c>
      <c r="K286" t="inlineStr">
        <is>
          <t>Weekly_Oil_Bulletin_Prices_History_maticni_4web.xlsx</t>
        </is>
      </c>
    </row>
    <row r="287">
      <c r="A287" s="53" t="n">
        <v>45852</v>
      </c>
      <c r="B287" t="inlineStr">
        <is>
          <t>2025-07-14</t>
        </is>
      </c>
      <c r="C287" s="45" t="n">
        <v>1.42443</v>
      </c>
      <c r="D287" t="inlineStr">
        <is>
          <t>€/l</t>
        </is>
      </c>
      <c r="E287" s="54" t="n">
        <v>0.07764699999999999</v>
      </c>
      <c r="F287" s="54" t="n">
        <v>0.138563</v>
      </c>
      <c r="G287" t="inlineStr">
        <is>
          <t>original (el Boletín publica con y sin impuestos)</t>
        </is>
      </c>
      <c r="H287" t="inlineStr">
        <is>
          <t>IVA e impuesto sobre hidrocarburos incluidos por la fuente</t>
        </is>
      </c>
      <c r="K287" t="inlineStr">
        <is>
          <t>Weekly_Oil_Bulletin_Prices_History_maticni_4web.xlsx</t>
        </is>
      </c>
    </row>
    <row r="288">
      <c r="A288" s="53" t="n">
        <v>45859</v>
      </c>
      <c r="B288" t="inlineStr">
        <is>
          <t>2025-07-21</t>
        </is>
      </c>
      <c r="C288" s="45" t="n">
        <v>1.43234</v>
      </c>
      <c r="D288" t="inlineStr">
        <is>
          <t>€/l</t>
        </is>
      </c>
      <c r="E288" s="54" t="n">
        <v>0.07828300000000001</v>
      </c>
      <c r="F288" s="54" t="n">
        <v>0.139333</v>
      </c>
      <c r="G288" t="inlineStr">
        <is>
          <t>original (el Boletín publica con y sin impuestos)</t>
        </is>
      </c>
      <c r="H288" t="inlineStr">
        <is>
          <t>IVA e impuesto sobre hidrocarburos incluidos por la fuente</t>
        </is>
      </c>
      <c r="K288" t="inlineStr">
        <is>
          <t>Weekly_Oil_Bulletin_Prices_History_maticni_4web.xlsx</t>
        </is>
      </c>
    </row>
    <row r="289">
      <c r="A289" s="53" t="n">
        <v>45866</v>
      </c>
      <c r="B289" t="inlineStr">
        <is>
          <t>2025-07-28</t>
        </is>
      </c>
      <c r="C289" s="45" t="n">
        <v>1.43562</v>
      </c>
      <c r="D289" t="inlineStr">
        <is>
          <t>€/l</t>
        </is>
      </c>
      <c r="E289" s="54" t="n">
        <v>0.07854700000000001</v>
      </c>
      <c r="F289" s="54" t="n">
        <v>0.139652</v>
      </c>
      <c r="G289" t="inlineStr">
        <is>
          <t>original (el Boletín publica con y sin impuestos)</t>
        </is>
      </c>
      <c r="H289" t="inlineStr">
        <is>
          <t>IVA e impuesto sobre hidrocarburos incluidos por la fuente</t>
        </is>
      </c>
      <c r="K289" t="inlineStr">
        <is>
          <t>Weekly_Oil_Bulletin_Prices_History_maticni_4web.xlsx</t>
        </is>
      </c>
    </row>
    <row r="290">
      <c r="A290" s="53" t="n">
        <v>45873</v>
      </c>
      <c r="B290" t="inlineStr">
        <is>
          <t>2025-08-04</t>
        </is>
      </c>
      <c r="C290" s="45" t="n">
        <v>1.43207</v>
      </c>
      <c r="D290" t="inlineStr">
        <is>
          <t>€/l</t>
        </is>
      </c>
      <c r="E290" s="54" t="n">
        <v>0.078262</v>
      </c>
      <c r="F290" s="54" t="n">
        <v>0.139306</v>
      </c>
      <c r="G290" t="inlineStr">
        <is>
          <t>original (el Boletín publica con y sin impuestos)</t>
        </is>
      </c>
      <c r="H290" t="inlineStr">
        <is>
          <t>IVA e impuesto sobre hidrocarburos incluidos por la fuente</t>
        </is>
      </c>
      <c r="K290" t="inlineStr">
        <is>
          <t>Weekly_Oil_Bulletin_Prices_History_maticni_4web.xlsx</t>
        </is>
      </c>
    </row>
    <row r="291">
      <c r="A291" s="53" t="n">
        <v>45880</v>
      </c>
      <c r="B291" t="inlineStr">
        <is>
          <t>2025-08-11</t>
        </is>
      </c>
      <c r="C291" s="45" t="n">
        <v>1.42399</v>
      </c>
      <c r="D291" t="inlineStr">
        <is>
          <t>€/l</t>
        </is>
      </c>
      <c r="E291" s="54" t="n">
        <v>0.077612</v>
      </c>
      <c r="F291" s="54" t="n">
        <v>0.13852</v>
      </c>
      <c r="G291" t="inlineStr">
        <is>
          <t>original (el Boletín publica con y sin impuestos)</t>
        </is>
      </c>
      <c r="H291" t="inlineStr">
        <is>
          <t>IVA e impuesto sobre hidrocarburos incluidos por la fuente</t>
        </is>
      </c>
      <c r="K291" t="inlineStr">
        <is>
          <t>Weekly_Oil_Bulletin_Prices_History_maticni_4web.xlsx</t>
        </is>
      </c>
    </row>
    <row r="292">
      <c r="A292" s="53" t="n">
        <v>45887</v>
      </c>
      <c r="B292" t="inlineStr">
        <is>
          <t>2025-08-18</t>
        </is>
      </c>
      <c r="C292" s="45" t="n">
        <v>1.41433</v>
      </c>
      <c r="D292" t="inlineStr">
        <is>
          <t>€/l</t>
        </is>
      </c>
      <c r="E292" s="54" t="n">
        <v>0.076836</v>
      </c>
      <c r="F292" s="54" t="n">
        <v>0.137581</v>
      </c>
      <c r="G292" t="inlineStr">
        <is>
          <t>original (el Boletín publica con y sin impuestos)</t>
        </is>
      </c>
      <c r="H292" t="inlineStr">
        <is>
          <t>IVA e impuesto sobre hidrocarburos incluidos por la fuente</t>
        </is>
      </c>
      <c r="K292" t="inlineStr">
        <is>
          <t>Weekly_Oil_Bulletin_Prices_History_maticni_4web.xlsx</t>
        </is>
      </c>
    </row>
    <row r="293">
      <c r="A293" s="53" t="n">
        <v>45894</v>
      </c>
      <c r="B293" t="inlineStr">
        <is>
          <t>2025-08-25</t>
        </is>
      </c>
      <c r="C293" s="45" t="n">
        <v>1.4078</v>
      </c>
      <c r="D293" t="inlineStr">
        <is>
          <t>€/l</t>
        </is>
      </c>
      <c r="E293" s="54" t="n">
        <v>0.07631</v>
      </c>
      <c r="F293" s="54" t="n">
        <v>0.136946</v>
      </c>
      <c r="G293" t="inlineStr">
        <is>
          <t>original (el Boletín publica con y sin impuestos)</t>
        </is>
      </c>
      <c r="H293" t="inlineStr">
        <is>
          <t>IVA e impuesto sobre hidrocarburos incluidos por la fuente</t>
        </is>
      </c>
      <c r="K293" t="inlineStr">
        <is>
          <t>Weekly_Oil_Bulletin_Prices_History_maticni_4web.xlsx</t>
        </is>
      </c>
    </row>
    <row r="294">
      <c r="A294" s="53" t="n">
        <v>45901</v>
      </c>
      <c r="B294" t="inlineStr">
        <is>
          <t>2025-09-01</t>
        </is>
      </c>
      <c r="C294" s="45" t="n">
        <v>1.40682</v>
      </c>
      <c r="D294" t="inlineStr">
        <is>
          <t>€/l</t>
        </is>
      </c>
      <c r="E294" s="54" t="n">
        <v>0.07623199999999999</v>
      </c>
      <c r="F294" s="54" t="n">
        <v>0.13685</v>
      </c>
      <c r="G294" t="inlineStr">
        <is>
          <t>original (el Boletín publica con y sin impuestos)</t>
        </is>
      </c>
      <c r="H294" t="inlineStr">
        <is>
          <t>IVA e impuesto sobre hidrocarburos incluidos por la fuente</t>
        </is>
      </c>
      <c r="K294" t="inlineStr">
        <is>
          <t>Weekly_Oil_Bulletin_Prices_History_maticni_4web.xlsx</t>
        </is>
      </c>
    </row>
    <row r="295">
      <c r="A295" s="53" t="n">
        <v>45908</v>
      </c>
      <c r="B295" t="inlineStr">
        <is>
          <t>2025-09-08</t>
        </is>
      </c>
      <c r="C295" s="45" t="n">
        <v>1.40905</v>
      </c>
      <c r="D295" t="inlineStr">
        <is>
          <t>€/l</t>
        </is>
      </c>
      <c r="E295" s="54" t="n">
        <v>0.07641100000000001</v>
      </c>
      <c r="F295" s="54" t="n">
        <v>0.137067</v>
      </c>
      <c r="G295" t="inlineStr">
        <is>
          <t>original (el Boletín publica con y sin impuestos)</t>
        </is>
      </c>
      <c r="H295" t="inlineStr">
        <is>
          <t>IVA e impuesto sobre hidrocarburos incluidos por la fuente</t>
        </is>
      </c>
      <c r="K295" t="inlineStr">
        <is>
          <t>Weekly_Oil_Bulletin_Prices_History_maticni_4web.xlsx</t>
        </is>
      </c>
    </row>
    <row r="296">
      <c r="A296" s="53" t="n">
        <v>45915</v>
      </c>
      <c r="B296" t="inlineStr">
        <is>
          <t>2025-09-15</t>
        </is>
      </c>
      <c r="C296" s="45" t="n">
        <v>1.41012</v>
      </c>
      <c r="D296" t="inlineStr">
        <is>
          <t>€/l</t>
        </is>
      </c>
      <c r="E296" s="54" t="n">
        <v>0.076497</v>
      </c>
      <c r="F296" s="54" t="n">
        <v>0.137171</v>
      </c>
      <c r="G296" t="inlineStr">
        <is>
          <t>original (el Boletín publica con y sin impuestos)</t>
        </is>
      </c>
      <c r="H296" t="inlineStr">
        <is>
          <t>IVA e impuesto sobre hidrocarburos incluidos por la fuente</t>
        </is>
      </c>
      <c r="K296" t="inlineStr">
        <is>
          <t>Weekly_Oil_Bulletin_Prices_History_maticni_4web.xlsx</t>
        </is>
      </c>
    </row>
    <row r="297">
      <c r="A297" s="53" t="n">
        <v>45922</v>
      </c>
      <c r="B297" t="inlineStr">
        <is>
          <t>2025-09-22</t>
        </is>
      </c>
      <c r="C297" s="45" t="n">
        <v>1.41193</v>
      </c>
      <c r="D297" t="inlineStr">
        <is>
          <t>€/l</t>
        </is>
      </c>
      <c r="E297" s="54" t="n">
        <v>0.076642</v>
      </c>
      <c r="F297" s="54" t="n">
        <v>0.137347</v>
      </c>
      <c r="G297" t="inlineStr">
        <is>
          <t>original (el Boletín publica con y sin impuestos)</t>
        </is>
      </c>
      <c r="H297" t="inlineStr">
        <is>
          <t>IVA e impuesto sobre hidrocarburos incluidos por la fuente</t>
        </is>
      </c>
      <c r="K297" t="inlineStr">
        <is>
          <t>Weekly_Oil_Bulletin_Prices_History_maticni_4web.xlsx</t>
        </is>
      </c>
    </row>
    <row r="298">
      <c r="A298" s="53" t="n">
        <v>45929</v>
      </c>
      <c r="B298" t="inlineStr">
        <is>
          <t>2025-09-29</t>
        </is>
      </c>
      <c r="C298" s="45" t="n">
        <v>1.41132</v>
      </c>
      <c r="D298" t="inlineStr">
        <is>
          <t>€/l</t>
        </is>
      </c>
      <c r="E298" s="54" t="n">
        <v>0.07659299999999999</v>
      </c>
      <c r="F298" s="54" t="n">
        <v>0.137288</v>
      </c>
      <c r="G298" t="inlineStr">
        <is>
          <t>original (el Boletín publica con y sin impuestos)</t>
        </is>
      </c>
      <c r="H298" t="inlineStr">
        <is>
          <t>IVA e impuesto sobre hidrocarburos incluidos por la fuente</t>
        </is>
      </c>
      <c r="K298" t="inlineStr">
        <is>
          <t>Weekly_Oil_Bulletin_Prices_History_maticni_4web.xlsx</t>
        </is>
      </c>
    </row>
    <row r="299">
      <c r="A299" s="53" t="n">
        <v>45936</v>
      </c>
      <c r="B299" t="inlineStr">
        <is>
          <t>2025-10-06</t>
        </is>
      </c>
      <c r="C299" s="45" t="n">
        <v>1.4127</v>
      </c>
      <c r="D299" t="inlineStr">
        <is>
          <t>€/l</t>
        </is>
      </c>
      <c r="E299" s="54" t="n">
        <v>0.07670399999999999</v>
      </c>
      <c r="F299" s="54" t="n">
        <v>0.137422</v>
      </c>
      <c r="G299" t="inlineStr">
        <is>
          <t>original (el Boletín publica con y sin impuestos)</t>
        </is>
      </c>
      <c r="H299" t="inlineStr">
        <is>
          <t>IVA e impuesto sobre hidrocarburos incluidos por la fuente</t>
        </is>
      </c>
      <c r="K299" t="inlineStr">
        <is>
          <t>Weekly_Oil_Bulletin_Prices_History_maticni_4web.xlsx</t>
        </is>
      </c>
    </row>
    <row r="300">
      <c r="A300" s="53" t="n">
        <v>45943</v>
      </c>
      <c r="B300" t="inlineStr">
        <is>
          <t>2025-10-13</t>
        </is>
      </c>
      <c r="C300" s="45" t="n">
        <v>1.40474</v>
      </c>
      <c r="D300" t="inlineStr">
        <is>
          <t>€/l</t>
        </is>
      </c>
      <c r="E300" s="54" t="n">
        <v>0.07606499999999999</v>
      </c>
      <c r="F300" s="54" t="n">
        <v>0.136648</v>
      </c>
      <c r="G300" t="inlineStr">
        <is>
          <t>original (el Boletín publica con y sin impuestos)</t>
        </is>
      </c>
      <c r="H300" t="inlineStr">
        <is>
          <t>IVA e impuesto sobre hidrocarburos incluidos por la fuente</t>
        </is>
      </c>
      <c r="K300" t="inlineStr">
        <is>
          <t>Weekly_Oil_Bulletin_Prices_History_maticni_4web.xlsx</t>
        </is>
      </c>
    </row>
    <row r="301">
      <c r="A301" s="53" t="n">
        <v>45950</v>
      </c>
      <c r="B301" t="inlineStr">
        <is>
          <t>2025-10-20</t>
        </is>
      </c>
      <c r="C301" s="45" t="n">
        <v>1.39685</v>
      </c>
      <c r="D301" t="inlineStr">
        <is>
          <t>€/l</t>
        </is>
      </c>
      <c r="E301" s="54" t="n">
        <v>0.07543</v>
      </c>
      <c r="F301" s="54" t="n">
        <v>0.13588</v>
      </c>
      <c r="G301" t="inlineStr">
        <is>
          <t>original (el Boletín publica con y sin impuestos)</t>
        </is>
      </c>
      <c r="H301" t="inlineStr">
        <is>
          <t>IVA e impuesto sobre hidrocarburos incluidos por la fuente</t>
        </is>
      </c>
      <c r="K301" t="inlineStr">
        <is>
          <t>Weekly_Oil_Bulletin_Prices_History_maticni_4web.xlsx</t>
        </is>
      </c>
    </row>
    <row r="302">
      <c r="A302" s="53" t="n">
        <v>45957</v>
      </c>
      <c r="B302" t="inlineStr">
        <is>
          <t>2025-10-27</t>
        </is>
      </c>
      <c r="C302" s="45" t="n">
        <v>1.39467</v>
      </c>
      <c r="D302" t="inlineStr">
        <is>
          <t>€/l</t>
        </is>
      </c>
      <c r="E302" s="54" t="n">
        <v>0.075255</v>
      </c>
      <c r="F302" s="54" t="n">
        <v>0.135668</v>
      </c>
      <c r="G302" t="inlineStr">
        <is>
          <t>original (el Boletín publica con y sin impuestos)</t>
        </is>
      </c>
      <c r="H302" t="inlineStr">
        <is>
          <t>IVA e impuesto sobre hidrocarburos incluidos por la fuente</t>
        </is>
      </c>
      <c r="K302" t="inlineStr">
        <is>
          <t>Weekly_Oil_Bulletin_Prices_History_maticni_4web.xlsx</t>
        </is>
      </c>
    </row>
    <row r="303">
      <c r="A303" s="53" t="n">
        <v>45964</v>
      </c>
      <c r="B303" t="inlineStr">
        <is>
          <t>2025-11-03</t>
        </is>
      </c>
      <c r="C303" s="45" t="n">
        <v>1.40859</v>
      </c>
      <c r="D303" t="inlineStr">
        <is>
          <t>€/l</t>
        </is>
      </c>
      <c r="E303" s="54" t="n">
        <v>0.076374</v>
      </c>
      <c r="F303" s="54" t="n">
        <v>0.137022</v>
      </c>
      <c r="G303" t="inlineStr">
        <is>
          <t>original (el Boletín publica con y sin impuestos)</t>
        </is>
      </c>
      <c r="H303" t="inlineStr">
        <is>
          <t>IVA e impuesto sobre hidrocarburos incluidos por la fuente</t>
        </is>
      </c>
      <c r="K303" t="inlineStr">
        <is>
          <t>Weekly_Oil_Bulletin_Prices_History_maticni_4web.xlsx</t>
        </is>
      </c>
    </row>
    <row r="304">
      <c r="A304" s="53" t="n">
        <v>45971</v>
      </c>
      <c r="B304" t="inlineStr">
        <is>
          <t>2025-11-10</t>
        </is>
      </c>
      <c r="C304" s="45" t="n">
        <v>1.42528</v>
      </c>
      <c r="D304" t="inlineStr">
        <is>
          <t>€/l</t>
        </is>
      </c>
      <c r="E304" s="54" t="n">
        <v>0.07771599999999999</v>
      </c>
      <c r="F304" s="54" t="n">
        <v>0.138646</v>
      </c>
      <c r="G304" t="inlineStr">
        <is>
          <t>original (el Boletín publica con y sin impuestos)</t>
        </is>
      </c>
      <c r="H304" t="inlineStr">
        <is>
          <t>IVA e impuesto sobre hidrocarburos incluidos por la fuente</t>
        </is>
      </c>
      <c r="K304" t="inlineStr">
        <is>
          <t>Weekly_Oil_Bulletin_Prices_History_maticni_4web.xlsx</t>
        </is>
      </c>
    </row>
    <row r="305">
      <c r="A305" s="53" t="n">
        <v>45978</v>
      </c>
      <c r="B305" t="inlineStr">
        <is>
          <t>2025-11-17</t>
        </is>
      </c>
      <c r="C305" s="45" t="n">
        <v>1.4435</v>
      </c>
      <c r="D305" t="inlineStr">
        <is>
          <t>€/l</t>
        </is>
      </c>
      <c r="E305" s="54" t="n">
        <v>0.07918</v>
      </c>
      <c r="F305" s="54" t="n">
        <v>0.140418</v>
      </c>
      <c r="G305" t="inlineStr">
        <is>
          <t>original (el Boletín publica con y sin impuestos)</t>
        </is>
      </c>
      <c r="H305" t="inlineStr">
        <is>
          <t>IVA e impuesto sobre hidrocarburos incluidos por la fuente</t>
        </is>
      </c>
      <c r="K305" t="inlineStr">
        <is>
          <t>Weekly_Oil_Bulletin_Prices_History_maticni_4web.xlsx</t>
        </is>
      </c>
    </row>
    <row r="306">
      <c r="A306" s="53" t="n">
        <v>45985</v>
      </c>
      <c r="B306" t="inlineStr">
        <is>
          <t>2025-11-24</t>
        </is>
      </c>
      <c r="C306" s="45" t="n">
        <v>1.45624</v>
      </c>
      <c r="D306" t="inlineStr">
        <is>
          <t>€/l</t>
        </is>
      </c>
      <c r="E306" s="54" t="n">
        <v>0.080205</v>
      </c>
      <c r="F306" s="54" t="n">
        <v>0.141658</v>
      </c>
      <c r="G306" t="inlineStr">
        <is>
          <t>original (el Boletín publica con y sin impuestos)</t>
        </is>
      </c>
      <c r="H306" t="inlineStr">
        <is>
          <t>IVA e impuesto sobre hidrocarburos incluidos por la fuente</t>
        </is>
      </c>
      <c r="K306" t="inlineStr">
        <is>
          <t>Weekly_Oil_Bulletin_Prices_History_maticni_4web.xlsx</t>
        </is>
      </c>
    </row>
    <row r="307">
      <c r="A307" s="53" t="n">
        <v>45992</v>
      </c>
      <c r="B307" t="inlineStr">
        <is>
          <t>2025-12-01</t>
        </is>
      </c>
      <c r="C307" s="45" t="n">
        <v>1.45141</v>
      </c>
      <c r="D307" t="inlineStr">
        <is>
          <t>€/l</t>
        </is>
      </c>
      <c r="E307" s="54" t="n">
        <v>0.079816</v>
      </c>
      <c r="F307" s="54" t="n">
        <v>0.141188</v>
      </c>
      <c r="G307" t="inlineStr">
        <is>
          <t>original (el Boletín publica con y sin impuestos)</t>
        </is>
      </c>
      <c r="H307" t="inlineStr">
        <is>
          <t>IVA e impuesto sobre hidrocarburos incluidos por la fuente</t>
        </is>
      </c>
      <c r="K307" t="inlineStr">
        <is>
          <t>Weekly_Oil_Bulletin_Prices_History_maticni_4web.xlsx</t>
        </is>
      </c>
    </row>
    <row r="308">
      <c r="A308" s="53" t="n">
        <v>45999</v>
      </c>
      <c r="B308" t="inlineStr">
        <is>
          <t>2025-12-08</t>
        </is>
      </c>
      <c r="C308" s="45" t="n">
        <v>1.4373</v>
      </c>
      <c r="D308" t="inlineStr">
        <is>
          <t>€/l</t>
        </is>
      </c>
      <c r="E308" s="54" t="n">
        <v>0.078682</v>
      </c>
      <c r="F308" s="54" t="n">
        <v>0.139815</v>
      </c>
      <c r="G308" t="inlineStr">
        <is>
          <t>original (el Boletín publica con y sin impuestos)</t>
        </is>
      </c>
      <c r="H308" t="inlineStr">
        <is>
          <t>IVA e impuesto sobre hidrocarburos incluidos por la fuente</t>
        </is>
      </c>
      <c r="K308" t="inlineStr">
        <is>
          <t>Weekly_Oil_Bulletin_Prices_History_maticni_4web.xlsx</t>
        </is>
      </c>
    </row>
    <row r="309">
      <c r="A309" s="53" t="n">
        <v>46006</v>
      </c>
      <c r="B309" t="inlineStr">
        <is>
          <t>2025-12-15</t>
        </is>
      </c>
      <c r="C309" s="45" t="n">
        <v>1.42168</v>
      </c>
      <c r="D309" t="inlineStr">
        <is>
          <t>€/l</t>
        </is>
      </c>
      <c r="E309" s="54" t="n">
        <v>0.07742599999999999</v>
      </c>
      <c r="F309" s="54" t="n">
        <v>0.138296</v>
      </c>
      <c r="G309" t="inlineStr">
        <is>
          <t>original (el Boletín publica con y sin impuestos)</t>
        </is>
      </c>
      <c r="H309" t="inlineStr">
        <is>
          <t>IVA e impuesto sobre hidrocarburos incluidos por la fuente</t>
        </is>
      </c>
      <c r="K309" t="inlineStr">
        <is>
          <t>Weekly_Oil_Bulletin_Prices_History_maticni_4web.xlsx</t>
        </is>
      </c>
    </row>
    <row r="310">
      <c r="A310" s="53" t="n">
        <v>46013</v>
      </c>
      <c r="B310" t="inlineStr">
        <is>
          <t>2025-12-22</t>
        </is>
      </c>
      <c r="C310" s="45" t="n">
        <v>1.40002</v>
      </c>
      <c r="D310" t="inlineStr">
        <is>
          <t>€/l</t>
        </is>
      </c>
      <c r="E310" s="54" t="n">
        <v>0.075685</v>
      </c>
      <c r="F310" s="54" t="n">
        <v>0.136189</v>
      </c>
      <c r="G310" t="inlineStr">
        <is>
          <t>original (el Boletín publica con y sin impuestos)</t>
        </is>
      </c>
      <c r="H310" t="inlineStr">
        <is>
          <t>IVA e impuesto sobre hidrocarburos incluidos por la fuente</t>
        </is>
      </c>
      <c r="K310" t="inlineStr">
        <is>
          <t>Weekly_Oil_Bulletin_Prices_History_maticni_4web.xlsx</t>
        </is>
      </c>
    </row>
    <row r="311">
      <c r="A311" s="53" t="n">
        <v>46020</v>
      </c>
      <c r="B311" t="inlineStr">
        <is>
          <t>2025-12-29</t>
        </is>
      </c>
      <c r="C311" s="45" t="n">
        <v>1.38776</v>
      </c>
      <c r="D311" t="inlineStr">
        <is>
          <t>€/l</t>
        </is>
      </c>
      <c r="E311" s="54" t="n">
        <v>0.074699</v>
      </c>
      <c r="F311" s="54" t="n">
        <v>0.134996</v>
      </c>
      <c r="G311" t="inlineStr">
        <is>
          <t>original (el Boletín publica con y sin impuestos)</t>
        </is>
      </c>
      <c r="H311" t="inlineStr">
        <is>
          <t>IVA e impuesto sobre hidrocarburos incluidos por la fuente</t>
        </is>
      </c>
      <c r="K311" t="inlineStr">
        <is>
          <t>Weekly_Oil_Bulletin_Prices_History_maticni_4web.xlsx</t>
        </is>
      </c>
    </row>
    <row r="312">
      <c r="A312" s="53" t="n">
        <v>46027</v>
      </c>
      <c r="B312" t="inlineStr">
        <is>
          <t>2026-01-05</t>
        </is>
      </c>
      <c r="C312" s="45" t="n">
        <v>1.38537</v>
      </c>
      <c r="D312" t="inlineStr">
        <is>
          <t>€/l</t>
        </is>
      </c>
      <c r="E312" s="54" t="n">
        <v>0.074507</v>
      </c>
      <c r="F312" s="54" t="n">
        <v>0.134763</v>
      </c>
      <c r="G312" t="inlineStr">
        <is>
          <t>original (el Boletín publica con y sin impuestos)</t>
        </is>
      </c>
      <c r="H312" t="inlineStr">
        <is>
          <t>IVA e impuesto sobre hidrocarburos incluidos por la fuente</t>
        </is>
      </c>
      <c r="K312" t="inlineStr">
        <is>
          <t>Weekly_Oil_Bulletin_Prices_History_maticni_4web.xlsx</t>
        </is>
      </c>
    </row>
    <row r="313">
      <c r="A313" s="53" t="n">
        <v>46034</v>
      </c>
      <c r="B313" t="inlineStr">
        <is>
          <t>2026-01-12</t>
        </is>
      </c>
      <c r="C313" s="45" t="n">
        <v>1.38362</v>
      </c>
      <c r="D313" t="inlineStr">
        <is>
          <t>€/l</t>
        </is>
      </c>
      <c r="E313" s="54" t="n">
        <v>0.074367</v>
      </c>
      <c r="F313" s="54" t="n">
        <v>0.134593</v>
      </c>
      <c r="G313" t="inlineStr">
        <is>
          <t>original (el Boletín publica con y sin impuestos)</t>
        </is>
      </c>
      <c r="H313" t="inlineStr">
        <is>
          <t>IVA e impuesto sobre hidrocarburos incluidos por la fuente</t>
        </is>
      </c>
      <c r="K313" t="inlineStr">
        <is>
          <t>Weekly_Oil_Bulletin_Prices_History_maticni_4web.xlsx</t>
        </is>
      </c>
    </row>
    <row r="314">
      <c r="A314" s="53" t="n">
        <v>46041</v>
      </c>
      <c r="B314" t="inlineStr">
        <is>
          <t>2026-01-19</t>
        </is>
      </c>
      <c r="C314" s="45" t="n">
        <v>1.38736</v>
      </c>
      <c r="D314" t="inlineStr">
        <is>
          <t>€/l</t>
        </is>
      </c>
      <c r="E314" s="54" t="n">
        <v>0.074667</v>
      </c>
      <c r="F314" s="54" t="n">
        <v>0.134957</v>
      </c>
      <c r="G314" t="inlineStr">
        <is>
          <t>original (el Boletín publica con y sin impuestos)</t>
        </is>
      </c>
      <c r="H314" t="inlineStr">
        <is>
          <t>IVA e impuesto sobre hidrocarburos incluidos por la fuente</t>
        </is>
      </c>
      <c r="K314" t="inlineStr">
        <is>
          <t>Weekly_Oil_Bulletin_Prices_History_maticni_4web.xlsx</t>
        </is>
      </c>
    </row>
    <row r="315">
      <c r="A315" s="53" t="n">
        <v>46048</v>
      </c>
      <c r="B315" t="inlineStr">
        <is>
          <t>2026-01-26</t>
        </is>
      </c>
      <c r="C315" s="45" t="n">
        <v>1.3955</v>
      </c>
      <c r="D315" t="inlineStr">
        <is>
          <t>€/l</t>
        </is>
      </c>
      <c r="E315" s="54" t="n">
        <v>0.075321</v>
      </c>
      <c r="F315" s="54" t="n">
        <v>0.135749</v>
      </c>
      <c r="G315" t="inlineStr">
        <is>
          <t>original (el Boletín publica con y sin impuestos)</t>
        </is>
      </c>
      <c r="H315" t="inlineStr">
        <is>
          <t>IVA e impuesto sobre hidrocarburos incluidos por la fuente</t>
        </is>
      </c>
      <c r="K315" t="inlineStr">
        <is>
          <t>Weekly_Oil_Bulletin_Prices_History_maticni_4web.xlsx</t>
        </is>
      </c>
    </row>
    <row r="316">
      <c r="A316" s="53" t="n">
        <v>46055</v>
      </c>
      <c r="B316" t="inlineStr">
        <is>
          <t>2026-02-02</t>
        </is>
      </c>
      <c r="C316" s="45" t="n">
        <v>1.40342</v>
      </c>
      <c r="D316" t="inlineStr">
        <is>
          <t>€/l</t>
        </is>
      </c>
      <c r="E316" s="54" t="n">
        <v>0.075958</v>
      </c>
      <c r="F316" s="54" t="n">
        <v>0.136519</v>
      </c>
      <c r="G316" t="inlineStr">
        <is>
          <t>original (el Boletín publica con y sin impuestos)</t>
        </is>
      </c>
      <c r="H316" t="inlineStr">
        <is>
          <t>IVA e impuesto sobre hidrocarburos incluidos por la fuente</t>
        </is>
      </c>
      <c r="K316" t="inlineStr">
        <is>
          <t>Weekly_Oil_Bulletin_Prices_History_maticni_4web.xlsx</t>
        </is>
      </c>
    </row>
    <row r="317">
      <c r="A317" s="53" t="n">
        <v>46062</v>
      </c>
      <c r="B317" t="inlineStr">
        <is>
          <t>2026-02-09</t>
        </is>
      </c>
      <c r="C317" s="45" t="n">
        <v>1.41206</v>
      </c>
      <c r="D317" t="inlineStr">
        <is>
          <t>€/l</t>
        </is>
      </c>
      <c r="E317" s="54" t="n">
        <v>0.076653</v>
      </c>
      <c r="F317" s="54" t="n">
        <v>0.13736</v>
      </c>
      <c r="G317" t="inlineStr">
        <is>
          <t>original (el Boletín publica con y sin impuestos)</t>
        </is>
      </c>
      <c r="H317" t="inlineStr">
        <is>
          <t>IVA e impuesto sobre hidrocarburos incluidos por la fuente</t>
        </is>
      </c>
      <c r="K317" t="inlineStr">
        <is>
          <t>Weekly_Oil_Bulletin_Prices_History_maticni_4web.xlsx</t>
        </is>
      </c>
    </row>
    <row r="318">
      <c r="A318" s="53" t="n">
        <v>46069</v>
      </c>
      <c r="B318" t="inlineStr">
        <is>
          <t>2026-02-16</t>
        </is>
      </c>
      <c r="C318" s="45" t="n">
        <v>1.41697</v>
      </c>
      <c r="D318" t="inlineStr">
        <is>
          <t>€/l</t>
        </is>
      </c>
      <c r="E318" s="54" t="n">
        <v>0.07704800000000001</v>
      </c>
      <c r="F318" s="54" t="n">
        <v>0.137837</v>
      </c>
      <c r="G318" t="inlineStr">
        <is>
          <t>original (el Boletín publica con y sin impuestos)</t>
        </is>
      </c>
      <c r="H318" t="inlineStr">
        <is>
          <t>IVA e impuesto sobre hidrocarburos incluidos por la fuente</t>
        </is>
      </c>
      <c r="K318" t="inlineStr">
        <is>
          <t>Weekly_Oil_Bulletin_Prices_History_maticni_4web.xlsx</t>
        </is>
      </c>
    </row>
    <row r="319">
      <c r="A319" s="53" t="n">
        <v>46076</v>
      </c>
      <c r="B319" t="inlineStr">
        <is>
          <t>2026-02-23</t>
        </is>
      </c>
      <c r="C319" s="45" t="n">
        <v>1.42317</v>
      </c>
      <c r="D319" t="inlineStr">
        <is>
          <t>€/l</t>
        </is>
      </c>
      <c r="E319" s="54" t="n">
        <v>0.077546</v>
      </c>
      <c r="F319" s="54" t="n">
        <v>0.138441</v>
      </c>
      <c r="G319" t="inlineStr">
        <is>
          <t>original (el Boletín publica con y sin impuestos)</t>
        </is>
      </c>
      <c r="H319" t="inlineStr">
        <is>
          <t>IVA e impuesto sobre hidrocarburos incluidos por la fuente</t>
        </is>
      </c>
      <c r="K319" t="inlineStr">
        <is>
          <t>Weekly_Oil_Bulletin_Prices_History_maticni_4web.xlsx</t>
        </is>
      </c>
    </row>
    <row r="320">
      <c r="A320" s="53" t="n">
        <v>46083</v>
      </c>
      <c r="B320" t="inlineStr">
        <is>
          <t>2026-03-02</t>
        </is>
      </c>
      <c r="C320" s="45" t="n">
        <v>1.44112</v>
      </c>
      <c r="D320" t="inlineStr">
        <is>
          <t>€/l</t>
        </is>
      </c>
      <c r="E320" s="54" t="n">
        <v>0.078989</v>
      </c>
      <c r="F320" s="54" t="n">
        <v>0.140187</v>
      </c>
      <c r="G320" t="inlineStr">
        <is>
          <t>original (el Boletín publica con y sin impuestos)</t>
        </is>
      </c>
      <c r="H320" t="inlineStr">
        <is>
          <t>IVA e impuesto sobre hidrocarburos incluidos por la fuente</t>
        </is>
      </c>
      <c r="K320" t="inlineStr">
        <is>
          <t>Weekly_Oil_Bulletin_Prices_History_maticni_4web.xlsx</t>
        </is>
      </c>
    </row>
    <row r="321">
      <c r="A321" s="53" t="n">
        <v>46090</v>
      </c>
      <c r="B321" t="inlineStr">
        <is>
          <t>2026-03-09</t>
        </is>
      </c>
      <c r="C321" s="45" t="n">
        <v>1.64547</v>
      </c>
      <c r="D321" t="inlineStr">
        <is>
          <t>€/l</t>
        </is>
      </c>
      <c r="E321" s="54" t="n">
        <v>0.095417</v>
      </c>
      <c r="F321" s="54" t="n">
        <v>0.160065</v>
      </c>
      <c r="G321" t="inlineStr">
        <is>
          <t>original (el Boletín publica con y sin impuestos)</t>
        </is>
      </c>
      <c r="H321" t="inlineStr">
        <is>
          <t>IVA e impuesto sobre hidrocarburos incluidos por la fuente</t>
        </is>
      </c>
      <c r="K321" t="inlineStr">
        <is>
          <t>Weekly_Oil_Bulletin_Prices_History_maticni_4web.xlsx</t>
        </is>
      </c>
    </row>
    <row r="322">
      <c r="A322" s="53" t="n">
        <v>46097</v>
      </c>
      <c r="B322" t="inlineStr">
        <is>
          <t>2026-03-16</t>
        </is>
      </c>
      <c r="C322" s="45" t="n">
        <v>1.83679</v>
      </c>
      <c r="D322" t="inlineStr">
        <is>
          <t>€/l</t>
        </is>
      </c>
      <c r="E322" s="54" t="n">
        <v>0.110798</v>
      </c>
      <c r="F322" s="54" t="n">
        <v>0.178676</v>
      </c>
      <c r="G322" t="inlineStr">
        <is>
          <t>original (el Boletín publica con y sin impuestos)</t>
        </is>
      </c>
      <c r="H322" t="inlineStr">
        <is>
          <t>IVA e impuesto sobre hidrocarburos incluidos por la fuente</t>
        </is>
      </c>
      <c r="K322" t="inlineStr">
        <is>
          <t>Weekly_Oil_Bulletin_Prices_History_maticni_4web.xlsx</t>
        </is>
      </c>
    </row>
    <row r="323">
      <c r="A323" s="53" t="n">
        <v>46104</v>
      </c>
      <c r="B323" t="inlineStr">
        <is>
          <t>2026-03-23</t>
        </is>
      </c>
      <c r="C323" s="45" t="n">
        <v>1.88334</v>
      </c>
      <c r="D323" t="inlineStr">
        <is>
          <t>€/l</t>
        </is>
      </c>
      <c r="E323" s="54" t="n">
        <v>0.120011</v>
      </c>
      <c r="F323" s="54" t="n">
        <v>0.183204</v>
      </c>
      <c r="G323" t="inlineStr">
        <is>
          <t>original (el Boletín publica con y sin impuestos)</t>
        </is>
      </c>
      <c r="H323" t="inlineStr">
        <is>
          <t>IVA e impuesto sobre hidrocarburos incluidos por la fuente</t>
        </is>
      </c>
      <c r="K323" t="inlineStr">
        <is>
          <t>Weekly_Oil_Bulletin_Prices_History_maticni_4web.xlsx</t>
        </is>
      </c>
    </row>
    <row r="324">
      <c r="A324" s="53" t="n">
        <v>46111</v>
      </c>
      <c r="B324" t="inlineStr">
        <is>
          <t>2026-03-30</t>
        </is>
      </c>
      <c r="C324" s="45" t="n">
        <v>1.77706</v>
      </c>
      <c r="D324" t="inlineStr">
        <is>
          <t>€/l</t>
        </is>
      </c>
      <c r="E324" s="54" t="n">
        <v>0.12505</v>
      </c>
      <c r="F324" s="54" t="n">
        <v>0.172866</v>
      </c>
      <c r="G324" t="inlineStr">
        <is>
          <t>original (el Boletín publica con y sin impuestos)</t>
        </is>
      </c>
      <c r="H324" t="inlineStr">
        <is>
          <t>IVA e impuesto sobre hidrocarburos incluidos por la fuente</t>
        </is>
      </c>
      <c r="K324" t="inlineStr">
        <is>
          <t>Weekly_Oil_Bulletin_Prices_History_maticni_4web.xlsx</t>
        </is>
      </c>
    </row>
    <row r="325">
      <c r="A325" s="53" t="n">
        <v>46118</v>
      </c>
      <c r="B325" t="inlineStr">
        <is>
          <t>2026-04-06</t>
        </is>
      </c>
      <c r="C325" s="45" t="n">
        <v>1.81308</v>
      </c>
      <c r="D325" t="inlineStr">
        <is>
          <t>€/l</t>
        </is>
      </c>
      <c r="E325" s="54" t="n">
        <v>0.128235</v>
      </c>
      <c r="F325" s="54" t="n">
        <v>0.176369</v>
      </c>
      <c r="G325" t="inlineStr">
        <is>
          <t>original (el Boletín publica con y sin impuestos)</t>
        </is>
      </c>
      <c r="H325" t="inlineStr">
        <is>
          <t>IVA e impuesto sobre hidrocarburos incluidos por la fuente</t>
        </is>
      </c>
      <c r="K325" t="inlineStr">
        <is>
          <t>Weekly_Oil_Bulletin_Prices_History_maticni_4web.xlsx</t>
        </is>
      </c>
    </row>
    <row r="326">
      <c r="A326" s="53" t="n">
        <v>46125</v>
      </c>
      <c r="B326" t="inlineStr">
        <is>
          <t>2026-04-13</t>
        </is>
      </c>
      <c r="C326" s="45" t="n">
        <v>1.88475</v>
      </c>
      <c r="D326" t="inlineStr">
        <is>
          <t>€/l</t>
        </is>
      </c>
      <c r="E326" s="54" t="n">
        <v>0.134573</v>
      </c>
      <c r="F326" s="54" t="n">
        <v>0.183341</v>
      </c>
      <c r="G326" t="inlineStr">
        <is>
          <t>original (el Boletín publica con y sin impuestos)</t>
        </is>
      </c>
      <c r="H326" t="inlineStr">
        <is>
          <t>IVA e impuesto sobre hidrocarburos incluidos por la fuente</t>
        </is>
      </c>
      <c r="K326" t="inlineStr">
        <is>
          <t>Weekly_Oil_Bulletin_Prices_History_maticni_4web.xlsx</t>
        </is>
      </c>
    </row>
    <row r="327">
      <c r="A327" s="53" t="n">
        <v>46132</v>
      </c>
      <c r="B327" t="inlineStr">
        <is>
          <t>2026-04-20</t>
        </is>
      </c>
      <c r="C327" s="45" t="n">
        <v>1.80768</v>
      </c>
      <c r="D327" t="inlineStr">
        <is>
          <t>€/l</t>
        </is>
      </c>
      <c r="E327" s="54" t="n">
        <v>0.127757</v>
      </c>
      <c r="F327" s="54" t="n">
        <v>0.175844</v>
      </c>
      <c r="G327" t="inlineStr">
        <is>
          <t>original (el Boletín publica con y sin impuestos)</t>
        </is>
      </c>
      <c r="H327" t="inlineStr">
        <is>
          <t>IVA e impuesto sobre hidrocarburos incluidos por la fuente</t>
        </is>
      </c>
      <c r="K327" t="inlineStr">
        <is>
          <t>Weekly_Oil_Bulletin_Prices_History_maticni_4web.xlsx</t>
        </is>
      </c>
    </row>
    <row r="328">
      <c r="A328" s="53" t="n">
        <v>46139</v>
      </c>
      <c r="B328" t="inlineStr">
        <is>
          <t>2026-04-27</t>
        </is>
      </c>
      <c r="C328" s="45" t="n">
        <v>1.72728</v>
      </c>
      <c r="D328" t="inlineStr">
        <is>
          <t>€/l</t>
        </is>
      </c>
      <c r="E328" s="54" t="n">
        <v>0.120647</v>
      </c>
      <c r="F328" s="54" t="n">
        <v>0.168023</v>
      </c>
      <c r="G328" t="inlineStr">
        <is>
          <t>original (el Boletín publica con y sin impuestos)</t>
        </is>
      </c>
      <c r="H328" t="inlineStr">
        <is>
          <t>IVA e impuesto sobre hidrocarburos incluidos por la fuente</t>
        </is>
      </c>
      <c r="K328" t="inlineStr">
        <is>
          <t>Weekly_Oil_Bulletin_Prices_History_maticni_4web.xlsx</t>
        </is>
      </c>
    </row>
    <row r="329">
      <c r="A329" s="53" t="n">
        <v>46146</v>
      </c>
      <c r="B329" t="inlineStr">
        <is>
          <t>2026-05-04</t>
        </is>
      </c>
      <c r="C329" s="45" t="n">
        <v>1.73489</v>
      </c>
      <c r="D329" t="inlineStr">
        <is>
          <t>€/l</t>
        </is>
      </c>
      <c r="E329" s="54" t="n">
        <v>0.121321</v>
      </c>
      <c r="F329" s="54" t="n">
        <v>0.168764</v>
      </c>
      <c r="G329" t="inlineStr">
        <is>
          <t>original (el Boletín publica con y sin impuestos)</t>
        </is>
      </c>
      <c r="H329" t="inlineStr">
        <is>
          <t>IVA e impuesto sobre hidrocarburos incluidos por la fuente</t>
        </is>
      </c>
      <c r="K329" t="inlineStr">
        <is>
          <t>Weekly_Oil_Bulletin_Prices_History_maticni_4web.xlsx</t>
        </is>
      </c>
    </row>
    <row r="330">
      <c r="A330" s="53" t="n">
        <v>46153</v>
      </c>
      <c r="B330" t="inlineStr">
        <is>
          <t>2026-05-11</t>
        </is>
      </c>
      <c r="C330" s="45" t="n">
        <v>1.71786</v>
      </c>
      <c r="D330" t="inlineStr">
        <is>
          <t>€/l</t>
        </is>
      </c>
      <c r="E330" s="54" t="n">
        <v>0.119814</v>
      </c>
      <c r="F330" s="54" t="n">
        <v>0.167107</v>
      </c>
      <c r="G330" t="inlineStr">
        <is>
          <t>original (el Boletín publica con y sin impuestos)</t>
        </is>
      </c>
      <c r="H330" t="inlineStr">
        <is>
          <t>IVA e impuesto sobre hidrocarburos incluidos por la fuente</t>
        </is>
      </c>
      <c r="K330" t="inlineStr">
        <is>
          <t>Weekly_Oil_Bulletin_Prices_History_maticni_4web.xlsx</t>
        </is>
      </c>
    </row>
    <row r="331">
      <c r="A331" s="53" t="n">
        <v>46160</v>
      </c>
      <c r="B331" t="inlineStr">
        <is>
          <t>2026-05-18</t>
        </is>
      </c>
      <c r="C331" s="45" t="n">
        <v>1.68524</v>
      </c>
      <c r="D331" t="inlineStr">
        <is>
          <t>€/l</t>
        </is>
      </c>
      <c r="E331" s="54" t="n">
        <v>0.11693</v>
      </c>
      <c r="F331" s="54" t="n">
        <v>0.163934</v>
      </c>
      <c r="G331" t="inlineStr">
        <is>
          <t>original (el Boletín publica con y sin impuestos)</t>
        </is>
      </c>
      <c r="H331" t="inlineStr">
        <is>
          <t>IVA e impuesto sobre hidrocarburos incluidos por la fuente</t>
        </is>
      </c>
      <c r="K331" t="inlineStr">
        <is>
          <t>Weekly_Oil_Bulletin_Prices_History_maticni_4web.xlsx</t>
        </is>
      </c>
    </row>
    <row r="332">
      <c r="A332" s="53" t="n">
        <v>46167</v>
      </c>
      <c r="B332" t="inlineStr">
        <is>
          <t>2026-05-25</t>
        </is>
      </c>
      <c r="C332" s="45" t="n">
        <v>1.68599</v>
      </c>
      <c r="D332" t="inlineStr">
        <is>
          <t>€/l</t>
        </is>
      </c>
      <c r="E332" s="54" t="n">
        <v>0.116996</v>
      </c>
      <c r="F332" s="54" t="n">
        <v>0.164007</v>
      </c>
      <c r="G332" t="inlineStr">
        <is>
          <t>original (el Boletín publica con y sin impuestos)</t>
        </is>
      </c>
      <c r="H332" t="inlineStr">
        <is>
          <t>IVA e impuesto sobre hidrocarburos incluidos por la fuente</t>
        </is>
      </c>
      <c r="K332" t="inlineStr">
        <is>
          <t>Weekly_Oil_Bulletin_Prices_History_maticni_4web.xlsx</t>
        </is>
      </c>
    </row>
    <row r="333">
      <c r="A333" s="53" t="n">
        <v>46174</v>
      </c>
      <c r="B333" t="inlineStr">
        <is>
          <t>2026-06-01</t>
        </is>
      </c>
      <c r="C333" s="45" t="n">
        <v>1.64891</v>
      </c>
      <c r="D333" t="inlineStr">
        <is>
          <t>€/l</t>
        </is>
      </c>
      <c r="E333" s="54" t="n">
        <v>0.113717</v>
      </c>
      <c r="F333" s="54" t="n">
        <v>0.1604</v>
      </c>
      <c r="G333" t="inlineStr">
        <is>
          <t>original (el Boletín publica con y sin impuestos)</t>
        </is>
      </c>
      <c r="H333" t="inlineStr">
        <is>
          <t>IVA e impuesto sobre hidrocarburos incluidos por la fuente</t>
        </is>
      </c>
      <c r="K333" t="inlineStr">
        <is>
          <t>Weekly_Oil_Bulletin_Prices_History_maticni_4web.xlsx</t>
        </is>
      </c>
    </row>
    <row r="334">
      <c r="A334" s="53" t="n">
        <v>46181</v>
      </c>
      <c r="B334" t="inlineStr">
        <is>
          <t>2026-06-08</t>
        </is>
      </c>
      <c r="C334" s="45" t="n">
        <v>1.6153</v>
      </c>
      <c r="D334" t="inlineStr">
        <is>
          <t>€/l</t>
        </is>
      </c>
      <c r="E334" s="54" t="n">
        <v>0.110745</v>
      </c>
      <c r="F334" s="54" t="n">
        <v>0.157131</v>
      </c>
      <c r="G334" t="inlineStr">
        <is>
          <t>original (el Boletín publica con y sin impuestos)</t>
        </is>
      </c>
      <c r="H334" t="inlineStr">
        <is>
          <t>IVA e impuesto sobre hidrocarburos incluidos por la fuente</t>
        </is>
      </c>
      <c r="K334" t="inlineStr">
        <is>
          <t>Weekly_Oil_Bulletin_Prices_History_maticni_4web.xlsx</t>
        </is>
      </c>
    </row>
    <row r="335">
      <c r="A335" s="53" t="n">
        <v>46188</v>
      </c>
      <c r="B335" t="inlineStr">
        <is>
          <t>2026-06-15</t>
        </is>
      </c>
      <c r="C335" s="45" t="n">
        <v>1.59249</v>
      </c>
      <c r="D335" t="inlineStr">
        <is>
          <t>€/l</t>
        </is>
      </c>
      <c r="E335" s="54" t="n">
        <v>0.108727</v>
      </c>
      <c r="F335" s="54" t="n">
        <v>0.154911</v>
      </c>
      <c r="G335" t="inlineStr">
        <is>
          <t>original (el Boletín publica con y sin impuestos)</t>
        </is>
      </c>
      <c r="H335" t="inlineStr">
        <is>
          <t>IVA e impuesto sobre hidrocarburos incluidos por la fuente</t>
        </is>
      </c>
      <c r="K335" t="inlineStr">
        <is>
          <t>Weekly_Oil_Bulletin_Prices_History_maticni_4web.xlsx</t>
        </is>
      </c>
    </row>
    <row r="336">
      <c r="A336" s="53" t="n">
        <v>46195</v>
      </c>
      <c r="B336" t="inlineStr">
        <is>
          <t>2026-06-22</t>
        </is>
      </c>
      <c r="C336" s="45" t="n">
        <v>1.53848</v>
      </c>
      <c r="D336" t="inlineStr">
        <is>
          <t>€/l</t>
        </is>
      </c>
      <c r="E336" s="54" t="n">
        <v>0.103951</v>
      </c>
      <c r="F336" s="54" t="n">
        <v>0.149657</v>
      </c>
      <c r="G336" t="inlineStr">
        <is>
          <t>original (el Boletín publica con y sin impuestos)</t>
        </is>
      </c>
      <c r="H336" t="inlineStr">
        <is>
          <t>IVA e impuesto sobre hidrocarburos incluidos por la fuente</t>
        </is>
      </c>
      <c r="K336" t="inlineStr">
        <is>
          <t>Weekly_Oil_Bulletin_Prices_History_maticni_4web.xlsx</t>
        </is>
      </c>
    </row>
    <row r="337">
      <c r="A337" s="53" t="n">
        <v>46202</v>
      </c>
      <c r="B337" t="inlineStr">
        <is>
          <t>2026-06-29</t>
        </is>
      </c>
      <c r="C337" s="45" t="n">
        <v>1.5035</v>
      </c>
      <c r="D337" t="inlineStr">
        <is>
          <t>€/l</t>
        </is>
      </c>
      <c r="E337" s="54" t="n">
        <v>0.100858</v>
      </c>
      <c r="F337" s="54" t="n">
        <v>0.146255</v>
      </c>
      <c r="G337" t="inlineStr">
        <is>
          <t>original (el Boletín publica con y sin impuestos)</t>
        </is>
      </c>
      <c r="H337" t="inlineStr">
        <is>
          <t>IVA e impuesto sobre hidrocarburos incluidos por la fuente</t>
        </is>
      </c>
      <c r="K337" t="inlineStr">
        <is>
          <t>Weekly_Oil_Bulletin_Prices_History_maticni_4web.xlsx</t>
        </is>
      </c>
    </row>
    <row r="338">
      <c r="A338" s="53" t="n">
        <v>46209</v>
      </c>
      <c r="B338" t="inlineStr">
        <is>
          <t>2026-07-06</t>
        </is>
      </c>
      <c r="C338" s="45" t="n">
        <v>1.53503</v>
      </c>
      <c r="D338" t="inlineStr">
        <is>
          <t>€/l</t>
        </is>
      </c>
      <c r="E338" s="54" t="n">
        <v>0.10145</v>
      </c>
      <c r="F338" s="54" t="n">
        <v>0.149322</v>
      </c>
      <c r="G338" t="inlineStr">
        <is>
          <t>original (el Boletín publica con y sin impuestos)</t>
        </is>
      </c>
      <c r="H338" t="inlineStr">
        <is>
          <t>IVA e impuesto sobre hidrocarburos incluidos por la fuente</t>
        </is>
      </c>
      <c r="K338" t="inlineStr">
        <is>
          <t>Weekly_Oil_Bulletin_Prices_History_maticni_4web.xlsx</t>
        </is>
      </c>
    </row>
    <row r="339">
      <c r="A339" s="53" t="n">
        <v>46216</v>
      </c>
      <c r="B339" t="inlineStr">
        <is>
          <t>2026-07-13</t>
        </is>
      </c>
      <c r="C339" s="45" t="n">
        <v>1.54904</v>
      </c>
      <c r="D339" t="inlineStr">
        <is>
          <t>€/l</t>
        </is>
      </c>
      <c r="E339" s="54" t="n">
        <v>0.102257</v>
      </c>
      <c r="F339" s="54" t="n">
        <v>0.150685</v>
      </c>
      <c r="G339" t="inlineStr">
        <is>
          <t>original (el Boletín publica con y sin impuestos)</t>
        </is>
      </c>
      <c r="H339" t="inlineStr">
        <is>
          <t>IVA e impuesto sobre hidrocarburos incluidos por la fuente</t>
        </is>
      </c>
      <c r="K339" t="inlineStr">
        <is>
          <t>Weekly_Oil_Bulletin_Prices_History_maticni_4web.xlsx</t>
        </is>
      </c>
    </row>
    <row r="340">
      <c r="A340" s="53" t="n">
        <v>46223</v>
      </c>
      <c r="B340" t="inlineStr">
        <is>
          <t>2026-07-20</t>
        </is>
      </c>
      <c r="C340" s="45" t="n">
        <v>1.62243</v>
      </c>
      <c r="D340" t="inlineStr">
        <is>
          <t>€/l</t>
        </is>
      </c>
      <c r="E340" s="54" t="n">
        <v>0.108157</v>
      </c>
      <c r="F340" s="54" t="n">
        <v>0.157824</v>
      </c>
      <c r="G340" t="inlineStr">
        <is>
          <t>original (el Boletín publica con y sin impuestos)</t>
        </is>
      </c>
      <c r="H340" t="inlineStr">
        <is>
          <t>IVA e impuesto sobre hidrocarburos incluidos por la fuente</t>
        </is>
      </c>
      <c r="K340" t="inlineStr">
        <is>
          <t>Weekly_Oil_Bulletin_Prices_History_maticni_4web.xlsx</t>
        </is>
      </c>
    </row>
    <row r="341">
      <c r="A341" s="53" t="n">
        <v>46230</v>
      </c>
      <c r="B341" t="inlineStr">
        <is>
          <t>2026-07-27</t>
        </is>
      </c>
      <c r="C341" s="45" t="n">
        <v>1.72227</v>
      </c>
      <c r="D341" t="inlineStr">
        <is>
          <t>€/l</t>
        </is>
      </c>
      <c r="E341" s="54" t="n">
        <v>0.116183</v>
      </c>
      <c r="F341" s="54" t="n">
        <v>0.167536</v>
      </c>
      <c r="G341" t="inlineStr">
        <is>
          <t>original (el Boletín publica con y sin impuestos)</t>
        </is>
      </c>
      <c r="H341" t="inlineStr">
        <is>
          <t>IVA e impuesto sobre hidrocarburos incluidos por la fuente</t>
        </is>
      </c>
      <c r="K341" t="inlineStr">
        <is>
          <t>Weekly_Oil_Bulletin_Prices_History_maticni_4web.xlsx</t>
        </is>
      </c>
    </row>
    <row r="342">
      <c r="A342" s="53" t="n">
        <v>46237</v>
      </c>
      <c r="B342" t="inlineStr">
        <is>
          <t>2026-08-03</t>
        </is>
      </c>
      <c r="C342" s="45" t="n">
        <v>1.79391</v>
      </c>
      <c r="D342" t="inlineStr">
        <is>
          <t>€/l</t>
        </is>
      </c>
      <c r="E342" s="54" t="n">
        <v>0.119859</v>
      </c>
      <c r="F342" s="54" t="n">
        <v>0.174505</v>
      </c>
      <c r="G342" t="inlineStr">
        <is>
          <t>original (el Boletín publica con y sin impuestos)</t>
        </is>
      </c>
      <c r="H342" t="inlineStr">
        <is>
          <t>IVA e impuesto sobre hidrocarburos incluidos por la fuente</t>
        </is>
      </c>
      <c r="K342" t="inlineStr">
        <is>
          <t>Weekly_Oil_Bulletin_Prices_History_maticni_4web.xlsx</t>
        </is>
      </c>
    </row>
    <row r="343">
      <c r="A343" s="53" t="n">
        <v>46244</v>
      </c>
      <c r="B343" t="inlineStr">
        <is>
          <t>2026-08-10</t>
        </is>
      </c>
      <c r="C343" s="45" t="n">
        <v>1.82157</v>
      </c>
      <c r="D343" t="inlineStr">
        <is>
          <t>€/l</t>
        </is>
      </c>
      <c r="E343" s="54" t="n">
        <v>0.119303</v>
      </c>
      <c r="F343" s="54" t="n">
        <v>0.177196</v>
      </c>
      <c r="G343" t="inlineStr">
        <is>
          <t>original (el Boletín publica con y sin impuestos)</t>
        </is>
      </c>
      <c r="H343" t="inlineStr">
        <is>
          <t>IVA e impuesto sobre hidrocarburos incluidos por la fuente</t>
        </is>
      </c>
      <c r="K343" t="inlineStr">
        <is>
          <t>Weekly_Oil_Bulletin_Prices_History_maticni_4web.xlsx</t>
        </is>
      </c>
    </row>
    <row r="344">
      <c r="A344" s="53" t="n">
        <v>46251</v>
      </c>
      <c r="B344" t="inlineStr">
        <is>
          <t>2026-08-17</t>
        </is>
      </c>
      <c r="C344" s="45" t="n">
        <v>1.82881</v>
      </c>
      <c r="D344" t="inlineStr">
        <is>
          <t>€/l</t>
        </is>
      </c>
      <c r="E344" s="54" t="n">
        <v>0.119885</v>
      </c>
      <c r="F344" s="54" t="n">
        <v>0.1779</v>
      </c>
      <c r="G344" t="inlineStr">
        <is>
          <t>original (el Boletín publica con y sin impuestos)</t>
        </is>
      </c>
      <c r="H344" t="inlineStr">
        <is>
          <t>IVA e impuesto sobre hidrocarburos incluidos por la fuente</t>
        </is>
      </c>
      <c r="K344" t="inlineStr">
        <is>
          <t>Weekly_Oil_Bulletin_Prices_History_maticni_4web.xlsx</t>
        </is>
      </c>
    </row>
    <row r="345">
      <c r="A345" s="53" t="n">
        <v>46258</v>
      </c>
      <c r="B345" t="inlineStr">
        <is>
          <t>2026-08-24</t>
        </is>
      </c>
      <c r="C345" s="45" t="n">
        <v>1.861</v>
      </c>
      <c r="D345" t="inlineStr">
        <is>
          <t>€/l</t>
        </is>
      </c>
      <c r="E345" s="54" t="n">
        <v>0.122473</v>
      </c>
      <c r="F345" s="54" t="n">
        <v>0.181031</v>
      </c>
      <c r="G345" t="inlineStr">
        <is>
          <t>original (el Boletín publica con y sin impuestos)</t>
        </is>
      </c>
      <c r="H345" t="inlineStr">
        <is>
          <t>IVA e impuesto sobre hidrocarburos incluidos por la fuente</t>
        </is>
      </c>
      <c r="K345" t="inlineStr">
        <is>
          <t>Weekly_Oil_Bulletin_Prices_History_maticni_4web.xlsx</t>
        </is>
      </c>
    </row>
    <row r="346">
      <c r="A346" s="53" t="n">
        <v>46265</v>
      </c>
      <c r="B346" t="inlineStr">
        <is>
          <t>2026-08-31</t>
        </is>
      </c>
      <c r="C346" s="45" t="n">
        <v>1.86541</v>
      </c>
      <c r="D346" t="inlineStr">
        <is>
          <t>€/l</t>
        </is>
      </c>
      <c r="E346" s="54" t="n">
        <v>0.122827</v>
      </c>
      <c r="F346" s="54" t="n">
        <v>0.18146</v>
      </c>
      <c r="G346" t="inlineStr">
        <is>
          <t>original (el Boletín publica con y sin impuestos)</t>
        </is>
      </c>
      <c r="H346" t="inlineStr">
        <is>
          <t>IVA e impuesto sobre hidrocarburos incluidos por la fuente</t>
        </is>
      </c>
      <c r="K346" t="inlineStr">
        <is>
          <t>Weekly_Oil_Bulletin_Prices_History_maticni_4web.xlsx</t>
        </is>
      </c>
    </row>
    <row r="347">
      <c r="A347" s="53" t="n">
        <v>46272</v>
      </c>
      <c r="B347" t="inlineStr">
        <is>
          <t>2026-09-07</t>
        </is>
      </c>
      <c r="C347" s="45" t="n">
        <v>1.79545</v>
      </c>
      <c r="D347" t="inlineStr">
        <is>
          <t>€/l</t>
        </is>
      </c>
      <c r="E347" s="54" t="n">
        <v>0.12693</v>
      </c>
      <c r="F347" s="54" t="n">
        <v>0.174655</v>
      </c>
      <c r="G347" t="inlineStr">
        <is>
          <t>original (el Boletín publica con y sin impuestos)</t>
        </is>
      </c>
      <c r="H347" t="inlineStr">
        <is>
          <t>IVA e impuesto sobre hidrocarburos incluidos por la fuente</t>
        </is>
      </c>
      <c r="K347" t="inlineStr">
        <is>
          <t>Weekly_Oil_Bulletin_Prices_History_maticni_4web.xlsx</t>
        </is>
      </c>
    </row>
    <row r="348">
      <c r="A348" s="53" t="n">
        <v>46279</v>
      </c>
      <c r="B348" t="inlineStr">
        <is>
          <t>2026-09-14</t>
        </is>
      </c>
      <c r="C348" s="45" t="n">
        <v>1.83403</v>
      </c>
      <c r="D348" t="inlineStr">
        <is>
          <t>€/l</t>
        </is>
      </c>
      <c r="E348" s="54" t="n">
        <v>0.130031</v>
      </c>
      <c r="F348" s="54" t="n">
        <v>0.178407</v>
      </c>
      <c r="G348" t="inlineStr">
        <is>
          <t>original (el Boletín publica con y sin impuestos)</t>
        </is>
      </c>
      <c r="H348" t="inlineStr">
        <is>
          <t>IVA e impuesto sobre hidrocarburos incluidos por la fuente</t>
        </is>
      </c>
      <c r="K348" t="inlineStr">
        <is>
          <t>Weekly_Oil_Bulletin_Prices_History_maticni_4web.xlsx</t>
        </is>
      </c>
    </row>
    <row r="349">
      <c r="A349" s="53" t="n">
        <v>46286</v>
      </c>
      <c r="B349" t="inlineStr">
        <is>
          <t>2026-09-21</t>
        </is>
      </c>
      <c r="C349" s="45" t="n">
        <v>1.91806</v>
      </c>
      <c r="D349" t="inlineStr">
        <is>
          <t>€/l</t>
        </is>
      </c>
      <c r="E349" s="54" t="n">
        <v>0.136788</v>
      </c>
      <c r="F349" s="54" t="n">
        <v>0.186582</v>
      </c>
      <c r="G349" t="inlineStr">
        <is>
          <t>original (el Boletín publica con y sin impuestos)</t>
        </is>
      </c>
      <c r="H349" t="inlineStr">
        <is>
          <t>IVA e impuesto sobre hidrocarburos incluidos por la fuente</t>
        </is>
      </c>
      <c r="K349" t="inlineStr">
        <is>
          <t>Weekly_Oil_Bulletin_Prices_History_maticni_4web.xlsx</t>
        </is>
      </c>
    </row>
    <row r="350">
      <c r="A350" s="53" t="n">
        <v>46293</v>
      </c>
      <c r="B350" t="inlineStr">
        <is>
          <t>2026-09-28</t>
        </is>
      </c>
      <c r="C350" s="45" t="n">
        <v>1.93443</v>
      </c>
      <c r="D350" t="inlineStr">
        <is>
          <t>€/l</t>
        </is>
      </c>
      <c r="E350" s="54" t="n">
        <v>0.138103</v>
      </c>
      <c r="F350" s="54" t="n">
        <v>0.188174</v>
      </c>
      <c r="G350" t="inlineStr">
        <is>
          <t>original (el Boletín publica con y sin impuestos)</t>
        </is>
      </c>
      <c r="H350" t="inlineStr">
        <is>
          <t>IVA e impuesto sobre hidrocarburos incluidos por la fuente</t>
        </is>
      </c>
      <c r="K350" t="inlineStr">
        <is>
          <t>Weekly_Oil_Bulletin_Prices_History_maticni_4web.xlsx</t>
        </is>
      </c>
    </row>
    <row r="351">
      <c r="A351" s="53" t="n">
        <v>46300</v>
      </c>
      <c r="B351" t="inlineStr">
        <is>
          <t>2026-10-05</t>
        </is>
      </c>
      <c r="C351" s="45" t="n">
        <v>1.91764</v>
      </c>
      <c r="D351" t="inlineStr">
        <is>
          <t>€/l</t>
        </is>
      </c>
      <c r="E351" s="54" t="n">
        <v>0.136753</v>
      </c>
      <c r="F351" s="54" t="n">
        <v>0.186541</v>
      </c>
      <c r="G351" t="inlineStr">
        <is>
          <t>original (el Boletín publica con y sin impuestos)</t>
        </is>
      </c>
      <c r="H351" t="inlineStr">
        <is>
          <t>IVA e impuesto sobre hidrocarburos incluidos por la fuente</t>
        </is>
      </c>
      <c r="K351" t="inlineStr">
        <is>
          <t>Weekly_Oil_Bulletin_Prices_History_maticni_4web.xlsx</t>
        </is>
      </c>
    </row>
    <row r="352">
      <c r="A352" s="53" t="n">
        <v>46307</v>
      </c>
      <c r="B352" t="inlineStr">
        <is>
          <t>2026-10-12</t>
        </is>
      </c>
      <c r="C352" s="45" t="n">
        <v>1.88937</v>
      </c>
      <c r="D352" t="inlineStr">
        <is>
          <t>€/l</t>
        </is>
      </c>
      <c r="E352" s="54" t="n">
        <v>0.134481</v>
      </c>
      <c r="F352" s="54" t="n">
        <v>0.183791</v>
      </c>
      <c r="G352" t="inlineStr">
        <is>
          <t>original (el Boletín publica con y sin impuestos)</t>
        </is>
      </c>
      <c r="H352" t="inlineStr">
        <is>
          <t>IVA e impuesto sobre hidrocarburos incluidos por la fuente</t>
        </is>
      </c>
      <c r="K352" t="inlineStr">
        <is>
          <t>Weekly_Oil_Bulletin_Prices_History_maticni_4web.xlsx</t>
        </is>
      </c>
    </row>
    <row r="353">
      <c r="A353" s="53" t="n">
        <v>46314</v>
      </c>
      <c r="B353" t="inlineStr">
        <is>
          <t>2026-10-19</t>
        </is>
      </c>
      <c r="C353" s="45" t="n">
        <v>1.88922</v>
      </c>
      <c r="D353" t="inlineStr">
        <is>
          <t>€/l</t>
        </is>
      </c>
      <c r="E353" s="54" t="n">
        <v>0.134469</v>
      </c>
      <c r="F353" s="54" t="n">
        <v>0.183776</v>
      </c>
      <c r="G353" t="inlineStr">
        <is>
          <t>original (el Boletín publica con y sin impuestos)</t>
        </is>
      </c>
      <c r="H353" t="inlineStr">
        <is>
          <t>IVA e impuesto sobre hidrocarburos incluidos por la fuente</t>
        </is>
      </c>
      <c r="K353" t="inlineStr">
        <is>
          <t>Weekly_Oil_Bulletin_Prices_History_maticni_4web.xlsx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97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16" customWidth="1" min="4" max="4"/>
    <col width="13" customWidth="1" min="5" max="5"/>
    <col width="13" customWidth="1" min="6" max="6"/>
    <col width="24" customWidth="1" min="7" max="7"/>
    <col width="55" customWidth="1" min="8" max="8"/>
    <col width="30" customWidth="1" min="9" max="9"/>
    <col width="15" customWidth="1" min="10" max="10"/>
    <col width="30" customWidth="1" min="11" max="11"/>
    <col width="55" customWidth="1" min="12" max="12"/>
  </cols>
  <sheetData>
    <row r="1">
      <c r="A1" s="25" t="inlineStr">
        <is>
          <t>4. Electricidad PVPC: término de energía, tarifa 2.0TD (Península)</t>
        </is>
      </c>
    </row>
    <row r="2">
      <c r="A2" s="2" t="inlineStr">
        <is>
          <t>Fuente: REE/ESIOS, indicador 1001 (término de facturación de energía activa del PVPC 2.0TD, Península). Unidad original: €/MWh. Frecuencia: diaria (media aritmética de los valores horarios o cuarto-horarios del día). Impuestos del dato original: sin impuestos. Conversión: €/MWh ÷ 1.000 = €/kWh; con impuestos: (precio + cuota IEE) × (1 + IVA) vigentes en la fecha</t>
        </is>
      </c>
    </row>
    <row r="4">
      <c r="A4" t="inlineStr">
        <is>
          <t>Fecha</t>
        </is>
      </c>
      <c r="B4" t="inlineStr">
        <is>
          <t>Periodo</t>
        </is>
      </c>
      <c r="C4" t="inlineStr">
        <is>
          <t>Valor original</t>
        </is>
      </c>
      <c r="D4" t="inlineStr">
        <is>
          <t>Unidad</t>
        </is>
      </c>
      <c r="E4" t="inlineStr">
        <is>
          <t>€/kWh sin impuestos</t>
        </is>
      </c>
      <c r="F4" t="inlineStr">
        <is>
          <t>€/kWh con impuestos</t>
        </is>
      </c>
      <c r="G4" t="inlineStr">
        <is>
          <t>Origen del precio con impuestos</t>
        </is>
      </c>
      <c r="H4" t="inlineStr">
        <is>
          <t>Impuestos aplicados</t>
        </is>
      </c>
      <c r="I4" t="inlineStr">
        <is>
          <t>Pendiente</t>
        </is>
      </c>
      <c r="J4" t="inlineStr">
        <is>
          <t>Fecha de publicación</t>
        </is>
      </c>
      <c r="K4" t="inlineStr">
        <is>
          <t>Referencia (fichero / BOE / PDF)</t>
        </is>
      </c>
      <c r="L4" t="inlineStr">
        <is>
          <t>Nota</t>
        </is>
      </c>
    </row>
    <row r="5">
      <c r="A5" s="53" t="n">
        <v>44348</v>
      </c>
      <c r="B5" t="inlineStr">
        <is>
          <t>2021-06-01</t>
        </is>
      </c>
      <c r="C5" s="45" t="n">
        <v>166.7713</v>
      </c>
      <c r="D5" t="inlineStr">
        <is>
          <t>€/MWh</t>
        </is>
      </c>
      <c r="E5" s="54" t="n">
        <v>0.166771</v>
      </c>
      <c r="F5" s="54" t="n">
        <v>0.21211</v>
      </c>
      <c r="G5" t="inlineStr">
        <is>
          <t>calculado</t>
        </is>
      </c>
      <c r="H5" t="inlineStr">
        <is>
          <t>IEE 5.1127 % con cuota mínima 1 €/MWh (Ley 38/1992 art. 99) + IVA 21 % (Ley 37/1992 art. 90)</t>
        </is>
      </c>
      <c r="J5" t="inlineStr">
        <is>
          <t>2021-05-31</t>
        </is>
      </c>
      <c r="K5" t="inlineStr">
        <is>
          <t>ESIOS 1001 geo 8741</t>
        </is>
      </c>
      <c r="L5" t="inlineStr">
        <is>
          <t>24 valores; mín 114.84, máx 248.08 €/MWh</t>
        </is>
      </c>
    </row>
    <row r="6">
      <c r="A6" s="53" t="n">
        <v>44349</v>
      </c>
      <c r="B6" t="inlineStr">
        <is>
          <t>2021-06-02</t>
        </is>
      </c>
      <c r="C6" s="45" t="n">
        <v>164.775</v>
      </c>
      <c r="D6" t="inlineStr">
        <is>
          <t>€/MWh</t>
        </is>
      </c>
      <c r="E6" s="54" t="n">
        <v>0.164775</v>
      </c>
      <c r="F6" s="54" t="n">
        <v>0.209571</v>
      </c>
      <c r="G6" t="inlineStr">
        <is>
          <t>calculado</t>
        </is>
      </c>
      <c r="H6" t="inlineStr">
        <is>
          <t>IEE 5.1127 % con cuota mínima 1 €/MWh (Ley 38/1992 art. 99) + IVA 21 % (Ley 37/1992 art. 90)</t>
        </is>
      </c>
      <c r="J6" t="inlineStr">
        <is>
          <t>2021-06-01</t>
        </is>
      </c>
      <c r="K6" t="inlineStr">
        <is>
          <t>ESIOS 1001 geo 8741</t>
        </is>
      </c>
      <c r="L6" t="inlineStr">
        <is>
          <t>24 valores; mín 111.85, máx 245.00 €/MWh</t>
        </is>
      </c>
    </row>
    <row r="7">
      <c r="A7" s="53" t="n">
        <v>44350</v>
      </c>
      <c r="B7" t="inlineStr">
        <is>
          <t>2021-06-03</t>
        </is>
      </c>
      <c r="C7" s="45" t="n">
        <v>159.23</v>
      </c>
      <c r="D7" t="inlineStr">
        <is>
          <t>€/MWh</t>
        </is>
      </c>
      <c r="E7" s="54" t="n">
        <v>0.15923</v>
      </c>
      <c r="F7" s="54" t="n">
        <v>0.202519</v>
      </c>
      <c r="G7" t="inlineStr">
        <is>
          <t>calculado</t>
        </is>
      </c>
      <c r="H7" t="inlineStr">
        <is>
          <t>IEE 5.1127 % con cuota mínima 1 €/MWh (Ley 38/1992 art. 99) + IVA 21 % (Ley 37/1992 art. 90)</t>
        </is>
      </c>
      <c r="J7" t="inlineStr">
        <is>
          <t>2021-06-02</t>
        </is>
      </c>
      <c r="K7" t="inlineStr">
        <is>
          <t>ESIOS 1001 geo 8741</t>
        </is>
      </c>
      <c r="L7" t="inlineStr">
        <is>
          <t>24 valores; mín 102.96, máx 242.13 €/MWh</t>
        </is>
      </c>
    </row>
    <row r="8">
      <c r="A8" s="53" t="n">
        <v>44351</v>
      </c>
      <c r="B8" t="inlineStr">
        <is>
          <t>2021-06-04</t>
        </is>
      </c>
      <c r="C8" s="45" t="n">
        <v>160.5546</v>
      </c>
      <c r="D8" t="inlineStr">
        <is>
          <t>€/MWh</t>
        </is>
      </c>
      <c r="E8" s="54" t="n">
        <v>0.160555</v>
      </c>
      <c r="F8" s="54" t="n">
        <v>0.204204</v>
      </c>
      <c r="G8" t="inlineStr">
        <is>
          <t>calculado</t>
        </is>
      </c>
      <c r="H8" t="inlineStr">
        <is>
          <t>IEE 5.1127 % con cuota mínima 1 €/MWh (Ley 38/1992 art. 99) + IVA 21 % (Ley 37/1992 art. 90)</t>
        </is>
      </c>
      <c r="J8" t="inlineStr">
        <is>
          <t>2021-06-03</t>
        </is>
      </c>
      <c r="K8" t="inlineStr">
        <is>
          <t>ESIOS 1001 geo 8741</t>
        </is>
      </c>
      <c r="L8" t="inlineStr">
        <is>
          <t>24 valores; mín 102.52, máx 239.39 €/MWh</t>
        </is>
      </c>
    </row>
    <row r="9">
      <c r="A9" s="53" t="n">
        <v>44352</v>
      </c>
      <c r="B9" t="inlineStr">
        <is>
          <t>2021-06-05</t>
        </is>
      </c>
      <c r="C9" s="45" t="n">
        <v>101.65</v>
      </c>
      <c r="D9" t="inlineStr">
        <is>
          <t>€/MWh</t>
        </is>
      </c>
      <c r="E9" s="54" t="n">
        <v>0.10165</v>
      </c>
      <c r="F9" s="54" t="n">
        <v>0.129285</v>
      </c>
      <c r="G9" t="inlineStr">
        <is>
          <t>calculado</t>
        </is>
      </c>
      <c r="H9" t="inlineStr">
        <is>
          <t>IEE 5.1127 % con cuota mínima 1 €/MWh (Ley 38/1992 art. 99) + IVA 21 % (Ley 37/1992 art. 90)</t>
        </is>
      </c>
      <c r="J9" t="inlineStr">
        <is>
          <t>2021-06-04</t>
        </is>
      </c>
      <c r="K9" t="inlineStr">
        <is>
          <t>ESIOS 1001 geo 8741</t>
        </is>
      </c>
      <c r="L9" t="inlineStr">
        <is>
          <t>24 valores; mín 93.76, máx 111.30 €/MWh</t>
        </is>
      </c>
    </row>
    <row r="10">
      <c r="A10" s="53" t="n">
        <v>44353</v>
      </c>
      <c r="B10" t="inlineStr">
        <is>
          <t>2021-06-06</t>
        </is>
      </c>
      <c r="C10" s="45" t="n">
        <v>96.0046</v>
      </c>
      <c r="D10" t="inlineStr">
        <is>
          <t>€/MWh</t>
        </is>
      </c>
      <c r="E10" s="54" t="n">
        <v>0.09600499999999999</v>
      </c>
      <c r="F10" s="54" t="n">
        <v>0.122105</v>
      </c>
      <c r="G10" t="inlineStr">
        <is>
          <t>calculado</t>
        </is>
      </c>
      <c r="H10" t="inlineStr">
        <is>
          <t>IEE 5.1127 % con cuota mínima 1 €/MWh (Ley 38/1992 art. 99) + IVA 21 % (Ley 37/1992 art. 90)</t>
        </is>
      </c>
      <c r="J10" t="inlineStr">
        <is>
          <t>2021-06-05</t>
        </is>
      </c>
      <c r="K10" t="inlineStr">
        <is>
          <t>ESIOS 1001 geo 8741</t>
        </is>
      </c>
      <c r="L10" t="inlineStr">
        <is>
          <t>24 valores; mín 61.50, máx 114.14 €/MWh</t>
        </is>
      </c>
    </row>
    <row r="11">
      <c r="A11" s="53" t="n">
        <v>44354</v>
      </c>
      <c r="B11" t="inlineStr">
        <is>
          <t>2021-06-07</t>
        </is>
      </c>
      <c r="C11" s="45" t="n">
        <v>160.1188</v>
      </c>
      <c r="D11" t="inlineStr">
        <is>
          <t>€/MWh</t>
        </is>
      </c>
      <c r="E11" s="54" t="n">
        <v>0.160119</v>
      </c>
      <c r="F11" s="54" t="n">
        <v>0.203649</v>
      </c>
      <c r="G11" t="inlineStr">
        <is>
          <t>calculado</t>
        </is>
      </c>
      <c r="H11" t="inlineStr">
        <is>
          <t>IEE 5.1127 % con cuota mínima 1 €/MWh (Ley 38/1992 art. 99) + IVA 21 % (Ley 37/1992 art. 90)</t>
        </is>
      </c>
      <c r="J11" t="inlineStr">
        <is>
          <t>2021-06-06</t>
        </is>
      </c>
      <c r="K11" t="inlineStr">
        <is>
          <t>ESIOS 1001 geo 8741</t>
        </is>
      </c>
      <c r="L11" t="inlineStr">
        <is>
          <t>24 valores; mín 94.41, máx 244.94 €/MWh</t>
        </is>
      </c>
    </row>
    <row r="12">
      <c r="A12" s="53" t="n">
        <v>44355</v>
      </c>
      <c r="B12" t="inlineStr">
        <is>
          <t>2021-06-08</t>
        </is>
      </c>
      <c r="C12" s="45" t="n">
        <v>161.8713</v>
      </c>
      <c r="D12" t="inlineStr">
        <is>
          <t>€/MWh</t>
        </is>
      </c>
      <c r="E12" s="54" t="n">
        <v>0.161871</v>
      </c>
      <c r="F12" s="54" t="n">
        <v>0.205878</v>
      </c>
      <c r="G12" t="inlineStr">
        <is>
          <t>calculado</t>
        </is>
      </c>
      <c r="H12" t="inlineStr">
        <is>
          <t>IEE 5.1127 % con cuota mínima 1 €/MWh (Ley 38/1992 art. 99) + IVA 21 % (Ley 37/1992 art. 90)</t>
        </is>
      </c>
      <c r="J12" t="inlineStr">
        <is>
          <t>2021-06-07</t>
        </is>
      </c>
      <c r="K12" t="inlineStr">
        <is>
          <t>ESIOS 1001 geo 8741</t>
        </is>
      </c>
      <c r="L12" t="inlineStr">
        <is>
          <t>24 valores; mín 105.46, máx 241.82 €/MWh</t>
        </is>
      </c>
    </row>
    <row r="13">
      <c r="A13" s="53" t="n">
        <v>44356</v>
      </c>
      <c r="B13" t="inlineStr">
        <is>
          <t>2021-06-09</t>
        </is>
      </c>
      <c r="C13" s="45" t="n">
        <v>161.1729</v>
      </c>
      <c r="D13" t="inlineStr">
        <is>
          <t>€/MWh</t>
        </is>
      </c>
      <c r="E13" s="54" t="n">
        <v>0.161173</v>
      </c>
      <c r="F13" s="54" t="n">
        <v>0.20499</v>
      </c>
      <c r="G13" t="inlineStr">
        <is>
          <t>calculado</t>
        </is>
      </c>
      <c r="H13" t="inlineStr">
        <is>
          <t>IEE 5.1127 % con cuota mínima 1 €/MWh (Ley 38/1992 art. 99) + IVA 21 % (Ley 37/1992 art. 90)</t>
        </is>
      </c>
      <c r="J13" t="inlineStr">
        <is>
          <t>2021-06-08</t>
        </is>
      </c>
      <c r="K13" t="inlineStr">
        <is>
          <t>ESIOS 1001 geo 8741</t>
        </is>
      </c>
      <c r="L13" t="inlineStr">
        <is>
          <t>24 valores; mín 101.76, máx 241.90 €/MWh</t>
        </is>
      </c>
    </row>
    <row r="14">
      <c r="A14" s="53" t="n">
        <v>44357</v>
      </c>
      <c r="B14" t="inlineStr">
        <is>
          <t>2021-06-10</t>
        </is>
      </c>
      <c r="C14" s="45" t="n">
        <v>162.5275</v>
      </c>
      <c r="D14" t="inlineStr">
        <is>
          <t>€/MWh</t>
        </is>
      </c>
      <c r="E14" s="54" t="n">
        <v>0.162527</v>
      </c>
      <c r="F14" s="54" t="n">
        <v>0.206713</v>
      </c>
      <c r="G14" t="inlineStr">
        <is>
          <t>calculado</t>
        </is>
      </c>
      <c r="H14" t="inlineStr">
        <is>
          <t>IEE 5.1127 % con cuota mínima 1 €/MWh (Ley 38/1992 art. 99) + IVA 21 % (Ley 37/1992 art. 90)</t>
        </is>
      </c>
      <c r="J14" t="inlineStr">
        <is>
          <t>2021-06-09</t>
        </is>
      </c>
      <c r="K14" t="inlineStr">
        <is>
          <t>ESIOS 1001 geo 8741</t>
        </is>
      </c>
      <c r="L14" t="inlineStr">
        <is>
          <t>24 valores; mín 100.41, máx 243.48 €/MWh</t>
        </is>
      </c>
    </row>
    <row r="15">
      <c r="A15" s="53" t="n">
        <v>44358</v>
      </c>
      <c r="B15" t="inlineStr">
        <is>
          <t>2021-06-11</t>
        </is>
      </c>
      <c r="C15" s="45" t="n">
        <v>161.7896</v>
      </c>
      <c r="D15" t="inlineStr">
        <is>
          <t>€/MWh</t>
        </is>
      </c>
      <c r="E15" s="54" t="n">
        <v>0.16179</v>
      </c>
      <c r="F15" s="54" t="n">
        <v>0.205774</v>
      </c>
      <c r="G15" t="inlineStr">
        <is>
          <t>calculado</t>
        </is>
      </c>
      <c r="H15" t="inlineStr">
        <is>
          <t>IEE 5.1127 % con cuota mínima 1 €/MWh (Ley 38/1992 art. 99) + IVA 21 % (Ley 37/1992 art. 90)</t>
        </is>
      </c>
      <c r="J15" t="inlineStr">
        <is>
          <t>2021-06-10</t>
        </is>
      </c>
      <c r="K15" t="inlineStr">
        <is>
          <t>ESIOS 1001 geo 8741</t>
        </is>
      </c>
      <c r="L15" t="inlineStr">
        <is>
          <t>24 valores; mín 96.14, máx 244.23 €/MWh</t>
        </is>
      </c>
    </row>
    <row r="16">
      <c r="A16" s="53" t="n">
        <v>44359</v>
      </c>
      <c r="B16" t="inlineStr">
        <is>
          <t>2021-06-12</t>
        </is>
      </c>
      <c r="C16" s="45" t="n">
        <v>102.7267</v>
      </c>
      <c r="D16" t="inlineStr">
        <is>
          <t>€/MWh</t>
        </is>
      </c>
      <c r="E16" s="54" t="n">
        <v>0.102727</v>
      </c>
      <c r="F16" s="54" t="n">
        <v>0.130654</v>
      </c>
      <c r="G16" t="inlineStr">
        <is>
          <t>calculado</t>
        </is>
      </c>
      <c r="H16" t="inlineStr">
        <is>
          <t>IEE 5.1127 % con cuota mínima 1 €/MWh (Ley 38/1992 art. 99) + IVA 21 % (Ley 37/1992 art. 90)</t>
        </is>
      </c>
      <c r="J16" t="inlineStr">
        <is>
          <t>2021-06-11</t>
        </is>
      </c>
      <c r="K16" t="inlineStr">
        <is>
          <t>ESIOS 1001 geo 8741</t>
        </is>
      </c>
      <c r="L16" t="inlineStr">
        <is>
          <t>24 valores; mín 91.21, máx 119.33 €/MWh</t>
        </is>
      </c>
    </row>
    <row r="17">
      <c r="A17" s="53" t="n">
        <v>44360</v>
      </c>
      <c r="B17" t="inlineStr">
        <is>
          <t>2021-06-13</t>
        </is>
      </c>
      <c r="C17" s="45" t="n">
        <v>106.3629</v>
      </c>
      <c r="D17" t="inlineStr">
        <is>
          <t>€/MWh</t>
        </is>
      </c>
      <c r="E17" s="54" t="n">
        <v>0.106363</v>
      </c>
      <c r="F17" s="54" t="n">
        <v>0.135279</v>
      </c>
      <c r="G17" t="inlineStr">
        <is>
          <t>calculado</t>
        </is>
      </c>
      <c r="H17" t="inlineStr">
        <is>
          <t>IEE 5.1127 % con cuota mínima 1 €/MWh (Ley 38/1992 art. 99) + IVA 21 % (Ley 37/1992 art. 90)</t>
        </is>
      </c>
      <c r="J17" t="inlineStr">
        <is>
          <t>2021-06-12</t>
        </is>
      </c>
      <c r="K17" t="inlineStr">
        <is>
          <t>ESIOS 1001 geo 8741</t>
        </is>
      </c>
      <c r="L17" t="inlineStr">
        <is>
          <t>24 valores; mín 94.22, máx 123.26 €/MWh</t>
        </is>
      </c>
    </row>
    <row r="18">
      <c r="A18" s="53" t="n">
        <v>44361</v>
      </c>
      <c r="B18" t="inlineStr">
        <is>
          <t>2021-06-14</t>
        </is>
      </c>
      <c r="C18" s="45" t="n">
        <v>169.0283</v>
      </c>
      <c r="D18" t="inlineStr">
        <is>
          <t>€/MWh</t>
        </is>
      </c>
      <c r="E18" s="54" t="n">
        <v>0.169028</v>
      </c>
      <c r="F18" s="54" t="n">
        <v>0.214981</v>
      </c>
      <c r="G18" t="inlineStr">
        <is>
          <t>calculado</t>
        </is>
      </c>
      <c r="H18" t="inlineStr">
        <is>
          <t>IEE 5.1127 % con cuota mínima 1 €/MWh (Ley 38/1992 art. 99) + IVA 21 % (Ley 37/1992 art. 90)</t>
        </is>
      </c>
      <c r="J18" t="inlineStr">
        <is>
          <t>2021-06-13</t>
        </is>
      </c>
      <c r="K18" t="inlineStr">
        <is>
          <t>ESIOS 1001 geo 8741</t>
        </is>
      </c>
      <c r="L18" t="inlineStr">
        <is>
          <t>24 valores; mín 112.99, máx 253.83 €/MWh</t>
        </is>
      </c>
    </row>
    <row r="19">
      <c r="A19" s="53" t="n">
        <v>44362</v>
      </c>
      <c r="B19" t="inlineStr">
        <is>
          <t>2021-06-15</t>
        </is>
      </c>
      <c r="C19" s="45" t="n">
        <v>171.17</v>
      </c>
      <c r="D19" t="inlineStr">
        <is>
          <t>€/MWh</t>
        </is>
      </c>
      <c r="E19" s="54" t="n">
        <v>0.17117</v>
      </c>
      <c r="F19" s="54" t="n">
        <v>0.217705</v>
      </c>
      <c r="G19" t="inlineStr">
        <is>
          <t>calculado</t>
        </is>
      </c>
      <c r="H19" t="inlineStr">
        <is>
          <t>IEE 5.1127 % con cuota mínima 1 €/MWh (Ley 38/1992 art. 99) + IVA 21 % (Ley 37/1992 art. 90)</t>
        </is>
      </c>
      <c r="J19" t="inlineStr">
        <is>
          <t>2021-06-14</t>
        </is>
      </c>
      <c r="K19" t="inlineStr">
        <is>
          <t>ESIOS 1001 geo 8741</t>
        </is>
      </c>
      <c r="L19" t="inlineStr">
        <is>
          <t>24 valores; mín 107.80, máx 255.74 €/MWh</t>
        </is>
      </c>
    </row>
    <row r="20">
      <c r="A20" s="53" t="n">
        <v>44363</v>
      </c>
      <c r="B20" t="inlineStr">
        <is>
          <t>2021-06-16</t>
        </is>
      </c>
      <c r="C20" s="45" t="n">
        <v>175.74</v>
      </c>
      <c r="D20" t="inlineStr">
        <is>
          <t>€/MWh</t>
        </is>
      </c>
      <c r="E20" s="54" t="n">
        <v>0.17574</v>
      </c>
      <c r="F20" s="54" t="n">
        <v>0.223517</v>
      </c>
      <c r="G20" t="inlineStr">
        <is>
          <t>calculado</t>
        </is>
      </c>
      <c r="H20" t="inlineStr">
        <is>
          <t>IEE 5.1127 % con cuota mínima 1 €/MWh (Ley 38/1992 art. 99) + IVA 21 % (Ley 37/1992 art. 90)</t>
        </is>
      </c>
      <c r="J20" t="inlineStr">
        <is>
          <t>2021-06-15</t>
        </is>
      </c>
      <c r="K20" t="inlineStr">
        <is>
          <t>ESIOS 1001 geo 8741</t>
        </is>
      </c>
      <c r="L20" t="inlineStr">
        <is>
          <t>24 valores; mín 121.72, máx 262.40 €/MWh</t>
        </is>
      </c>
    </row>
    <row r="21">
      <c r="A21" s="53" t="n">
        <v>44364</v>
      </c>
      <c r="B21" t="inlineStr">
        <is>
          <t>2021-06-17</t>
        </is>
      </c>
      <c r="C21" s="45" t="n">
        <v>173.1283</v>
      </c>
      <c r="D21" t="inlineStr">
        <is>
          <t>€/MWh</t>
        </is>
      </c>
      <c r="E21" s="54" t="n">
        <v>0.173128</v>
      </c>
      <c r="F21" s="54" t="n">
        <v>0.220196</v>
      </c>
      <c r="G21" t="inlineStr">
        <is>
          <t>calculado</t>
        </is>
      </c>
      <c r="H21" t="inlineStr">
        <is>
          <t>IEE 5.1127 % con cuota mínima 1 €/MWh (Ley 38/1992 art. 99) + IVA 21 % (Ley 37/1992 art. 90)</t>
        </is>
      </c>
      <c r="J21" t="inlineStr">
        <is>
          <t>2021-06-16</t>
        </is>
      </c>
      <c r="K21" t="inlineStr">
        <is>
          <t>ESIOS 1001 geo 8741</t>
        </is>
      </c>
      <c r="L21" t="inlineStr">
        <is>
          <t>24 valores; mín 119.20, máx 257.80 €/MWh</t>
        </is>
      </c>
    </row>
    <row r="22">
      <c r="A22" s="53" t="n">
        <v>44365</v>
      </c>
      <c r="B22" t="inlineStr">
        <is>
          <t>2021-06-18</t>
        </is>
      </c>
      <c r="C22" s="45" t="n">
        <v>172.395</v>
      </c>
      <c r="D22" t="inlineStr">
        <is>
          <t>€/MWh</t>
        </is>
      </c>
      <c r="E22" s="54" t="n">
        <v>0.172395</v>
      </c>
      <c r="F22" s="54" t="n">
        <v>0.219263</v>
      </c>
      <c r="G22" t="inlineStr">
        <is>
          <t>calculado</t>
        </is>
      </c>
      <c r="H22" t="inlineStr">
        <is>
          <t>IEE 5.1127 % con cuota mínima 1 €/MWh (Ley 38/1992 art. 99) + IVA 21 % (Ley 37/1992 art. 90)</t>
        </is>
      </c>
      <c r="J22" t="inlineStr">
        <is>
          <t>2021-06-17</t>
        </is>
      </c>
      <c r="K22" t="inlineStr">
        <is>
          <t>ESIOS 1001 geo 8741</t>
        </is>
      </c>
      <c r="L22" t="inlineStr">
        <is>
          <t>24 valores; mín 115.62, máx 251.68 €/MWh</t>
        </is>
      </c>
    </row>
    <row r="23">
      <c r="A23" s="53" t="n">
        <v>44366</v>
      </c>
      <c r="B23" t="inlineStr">
        <is>
          <t>2021-06-19</t>
        </is>
      </c>
      <c r="C23" s="45" t="n">
        <v>112.9533</v>
      </c>
      <c r="D23" t="inlineStr">
        <is>
          <t>€/MWh</t>
        </is>
      </c>
      <c r="E23" s="54" t="n">
        <v>0.112953</v>
      </c>
      <c r="F23" s="54" t="n">
        <v>0.143661</v>
      </c>
      <c r="G23" t="inlineStr">
        <is>
          <t>calculado</t>
        </is>
      </c>
      <c r="H23" t="inlineStr">
        <is>
          <t>IEE 5.1127 % con cuota mínima 1 €/MWh (Ley 38/1992 art. 99) + IVA 21 % (Ley 37/1992 art. 90)</t>
        </is>
      </c>
      <c r="J23" t="inlineStr">
        <is>
          <t>2021-06-18</t>
        </is>
      </c>
      <c r="K23" t="inlineStr">
        <is>
          <t>ESIOS 1001 geo 8741</t>
        </is>
      </c>
      <c r="L23" t="inlineStr">
        <is>
          <t>24 valores; mín 87.69, máx 121.92 €/MWh</t>
        </is>
      </c>
    </row>
    <row r="24">
      <c r="A24" s="53" t="n">
        <v>44367</v>
      </c>
      <c r="B24" t="inlineStr">
        <is>
          <t>2021-06-20</t>
        </is>
      </c>
      <c r="C24" s="45" t="n">
        <v>76.90000000000001</v>
      </c>
      <c r="D24" t="inlineStr">
        <is>
          <t>€/MWh</t>
        </is>
      </c>
      <c r="E24" s="54" t="n">
        <v>0.0769</v>
      </c>
      <c r="F24" s="54" t="n">
        <v>0.097806</v>
      </c>
      <c r="G24" t="inlineStr">
        <is>
          <t>calculado</t>
        </is>
      </c>
      <c r="H24" t="inlineStr">
        <is>
          <t>IEE 5.1127 % con cuota mínima 1 €/MWh (Ley 38/1992 art. 99) + IVA 21 % (Ley 37/1992 art. 90)</t>
        </is>
      </c>
      <c r="J24" t="inlineStr">
        <is>
          <t>2021-06-19</t>
        </is>
      </c>
      <c r="K24" t="inlineStr">
        <is>
          <t>ESIOS 1001 geo 8741</t>
        </is>
      </c>
      <c r="L24" t="inlineStr">
        <is>
          <t>24 valores; mín 22.42, máx 115.53 €/MWh</t>
        </is>
      </c>
    </row>
    <row r="25">
      <c r="A25" s="53" t="n">
        <v>44368</v>
      </c>
      <c r="B25" t="inlineStr">
        <is>
          <t>2021-06-21</t>
        </is>
      </c>
      <c r="C25" s="45" t="n">
        <v>163.2025</v>
      </c>
      <c r="D25" t="inlineStr">
        <is>
          <t>€/MWh</t>
        </is>
      </c>
      <c r="E25" s="54" t="n">
        <v>0.163203</v>
      </c>
      <c r="F25" s="54" t="n">
        <v>0.207571</v>
      </c>
      <c r="G25" t="inlineStr">
        <is>
          <t>calculado</t>
        </is>
      </c>
      <c r="H25" t="inlineStr">
        <is>
          <t>IEE 5.1127 % con cuota mínima 1 €/MWh (Ley 38/1992 art. 99) + IVA 21 % (Ley 37/1992 art. 90)</t>
        </is>
      </c>
      <c r="J25" t="inlineStr">
        <is>
          <t>2021-06-20</t>
        </is>
      </c>
      <c r="K25" t="inlineStr">
        <is>
          <t>ESIOS 1001 geo 8741</t>
        </is>
      </c>
      <c r="L25" t="inlineStr">
        <is>
          <t>24 valores; mín 91.19, máx 251.17 €/MWh</t>
        </is>
      </c>
    </row>
    <row r="26">
      <c r="A26" s="53" t="n">
        <v>44369</v>
      </c>
      <c r="B26" t="inlineStr">
        <is>
          <t>2021-06-22</t>
        </is>
      </c>
      <c r="C26" s="45" t="n">
        <v>169.4421</v>
      </c>
      <c r="D26" t="inlineStr">
        <is>
          <t>€/MWh</t>
        </is>
      </c>
      <c r="E26" s="54" t="n">
        <v>0.169442</v>
      </c>
      <c r="F26" s="54" t="n">
        <v>0.215507</v>
      </c>
      <c r="G26" t="inlineStr">
        <is>
          <t>calculado</t>
        </is>
      </c>
      <c r="H26" t="inlineStr">
        <is>
          <t>IEE 5.1127 % con cuota mínima 1 €/MWh (Ley 38/1992 art. 99) + IVA 21 % (Ley 37/1992 art. 90)</t>
        </is>
      </c>
      <c r="J26" t="inlineStr">
        <is>
          <t>2021-06-21</t>
        </is>
      </c>
      <c r="K26" t="inlineStr">
        <is>
          <t>ESIOS 1001 geo 8741</t>
        </is>
      </c>
      <c r="L26" t="inlineStr">
        <is>
          <t>24 valores; mín 111.81, máx 247.71 €/MWh</t>
        </is>
      </c>
    </row>
    <row r="27">
      <c r="A27" s="53" t="n">
        <v>44370</v>
      </c>
      <c r="B27" t="inlineStr">
        <is>
          <t>2021-06-23</t>
        </is>
      </c>
      <c r="C27" s="45" t="n">
        <v>171.0742</v>
      </c>
      <c r="D27" t="inlineStr">
        <is>
          <t>€/MWh</t>
        </is>
      </c>
      <c r="E27" s="54" t="n">
        <v>0.171074</v>
      </c>
      <c r="F27" s="54" t="n">
        <v>0.217583</v>
      </c>
      <c r="G27" t="inlineStr">
        <is>
          <t>calculado</t>
        </is>
      </c>
      <c r="H27" t="inlineStr">
        <is>
          <t>IEE 5.1127 % con cuota mínima 1 €/MWh (Ley 38/1992 art. 99) + IVA 21 % (Ley 37/1992 art. 90)</t>
        </is>
      </c>
      <c r="J27" t="inlineStr">
        <is>
          <t>2021-06-22</t>
        </is>
      </c>
      <c r="K27" t="inlineStr">
        <is>
          <t>ESIOS 1001 geo 8741</t>
        </is>
      </c>
      <c r="L27" t="inlineStr">
        <is>
          <t>24 valores; mín 110.59, máx 247.31 €/MWh</t>
        </is>
      </c>
    </row>
    <row r="28">
      <c r="A28" s="53" t="n">
        <v>44371</v>
      </c>
      <c r="B28" t="inlineStr">
        <is>
          <t>2021-06-24</t>
        </is>
      </c>
      <c r="C28" s="45" t="n">
        <v>166.0288</v>
      </c>
      <c r="D28" t="inlineStr">
        <is>
          <t>€/MWh</t>
        </is>
      </c>
      <c r="E28" s="54" t="n">
        <v>0.166029</v>
      </c>
      <c r="F28" s="54" t="n">
        <v>0.211166</v>
      </c>
      <c r="G28" t="inlineStr">
        <is>
          <t>calculado</t>
        </is>
      </c>
      <c r="H28" t="inlineStr">
        <is>
          <t>IEE 5.1127 % con cuota mínima 1 €/MWh (Ley 38/1992 art. 99) + IVA 21 % (Ley 37/1992 art. 90)</t>
        </is>
      </c>
      <c r="J28" t="inlineStr">
        <is>
          <t>2021-06-23</t>
        </is>
      </c>
      <c r="K28" t="inlineStr">
        <is>
          <t>ESIOS 1001 geo 8741</t>
        </is>
      </c>
      <c r="L28" t="inlineStr">
        <is>
          <t>24 valores; mín 96.55, máx 248.98 €/MWh</t>
        </is>
      </c>
    </row>
    <row r="29">
      <c r="A29" s="53" t="n">
        <v>44372</v>
      </c>
      <c r="B29" t="inlineStr">
        <is>
          <t>2021-06-25</t>
        </is>
      </c>
      <c r="C29" s="45" t="n">
        <v>166.9783</v>
      </c>
      <c r="D29" t="inlineStr">
        <is>
          <t>€/MWh</t>
        </is>
      </c>
      <c r="E29" s="54" t="n">
        <v>0.166978</v>
      </c>
      <c r="F29" s="54" t="n">
        <v>0.212374</v>
      </c>
      <c r="G29" t="inlineStr">
        <is>
          <t>calculado</t>
        </is>
      </c>
      <c r="H29" t="inlineStr">
        <is>
          <t>IEE 5.1127 % con cuota mínima 1 €/MWh (Ley 38/1992 art. 99) + IVA 21 % (Ley 37/1992 art. 90)</t>
        </is>
      </c>
      <c r="J29" t="inlineStr">
        <is>
          <t>2021-06-24</t>
        </is>
      </c>
      <c r="K29" t="inlineStr">
        <is>
          <t>ESIOS 1001 geo 8741</t>
        </is>
      </c>
      <c r="L29" t="inlineStr">
        <is>
          <t>24 valores; mín 102.76, máx 251.68 €/MWh</t>
        </is>
      </c>
    </row>
    <row r="30">
      <c r="A30" s="53" t="n">
        <v>44373</v>
      </c>
      <c r="B30" t="inlineStr">
        <is>
          <t>2021-06-26</t>
        </is>
      </c>
      <c r="C30" s="45" t="n">
        <v>110.1963</v>
      </c>
      <c r="D30" t="inlineStr">
        <is>
          <t>€/MWh</t>
        </is>
      </c>
      <c r="E30" s="54" t="n">
        <v>0.110196</v>
      </c>
      <c r="F30" s="54" t="n">
        <v>0.127413</v>
      </c>
      <c r="G30" t="inlineStr">
        <is>
          <t>calculado</t>
        </is>
      </c>
      <c r="H30" t="inlineStr">
        <is>
          <t>IEE 5.1127 % con cuota mínima 1 €/MWh (Ley 38/1992 art. 99) + IVA 10 % (RDL 12/2021 art. 1 (prorrogado por RDL 29/2021 y RDL 6/2022) (condición: mes anterior &gt; 45 €/MWh))</t>
        </is>
      </c>
      <c r="J30" t="inlineStr">
        <is>
          <t>2021-06-25</t>
        </is>
      </c>
      <c r="K30" t="inlineStr">
        <is>
          <t>ESIOS 1001 geo 8741</t>
        </is>
      </c>
      <c r="L30" t="inlineStr">
        <is>
          <t>24 valores; mín 87.17, máx 123.31 €/MWh</t>
        </is>
      </c>
    </row>
    <row r="31">
      <c r="A31" s="53" t="n">
        <v>44374</v>
      </c>
      <c r="B31" t="inlineStr">
        <is>
          <t>2021-06-27</t>
        </is>
      </c>
      <c r="C31" s="45" t="n">
        <v>92.1575</v>
      </c>
      <c r="D31" t="inlineStr">
        <is>
          <t>€/MWh</t>
        </is>
      </c>
      <c r="E31" s="54" t="n">
        <v>0.092157</v>
      </c>
      <c r="F31" s="54" t="n">
        <v>0.106556</v>
      </c>
      <c r="G31" t="inlineStr">
        <is>
          <t>calculado</t>
        </is>
      </c>
      <c r="H31" t="inlineStr">
        <is>
          <t>IEE 5.1127 % con cuota mínima 1 €/MWh (Ley 38/1992 art. 99) + IVA 10 % (RDL 12/2021 art. 1 (prorrogado por RDL 29/2021 y RDL 6/2022) (condición: mes anterior &gt; 45 €/MWh))</t>
        </is>
      </c>
      <c r="J31" t="inlineStr">
        <is>
          <t>2021-06-26</t>
        </is>
      </c>
      <c r="K31" t="inlineStr">
        <is>
          <t>ESIOS 1001 geo 8741</t>
        </is>
      </c>
      <c r="L31" t="inlineStr">
        <is>
          <t>24 valores; mín 32.32, máx 121.80 €/MWh</t>
        </is>
      </c>
    </row>
    <row r="32">
      <c r="A32" s="53" t="n">
        <v>44375</v>
      </c>
      <c r="B32" t="inlineStr">
        <is>
          <t>2021-06-28</t>
        </is>
      </c>
      <c r="C32" s="45" t="n">
        <v>168.1554</v>
      </c>
      <c r="D32" t="inlineStr">
        <is>
          <t>€/MWh</t>
        </is>
      </c>
      <c r="E32" s="54" t="n">
        <v>0.168155</v>
      </c>
      <c r="F32" s="54" t="n">
        <v>0.194428</v>
      </c>
      <c r="G32" t="inlineStr">
        <is>
          <t>calculado</t>
        </is>
      </c>
      <c r="H32" t="inlineStr">
        <is>
          <t>IEE 5.1127 % con cuota mínima 1 €/MWh (Ley 38/1992 art. 99) + IVA 10 % (RDL 12/2021 art. 1 (prorrogado por RDL 29/2021 y RDL 6/2022) (condición: mes anterior &gt; 45 €/MWh))</t>
        </is>
      </c>
      <c r="J32" t="inlineStr">
        <is>
          <t>2021-06-27</t>
        </is>
      </c>
      <c r="K32" t="inlineStr">
        <is>
          <t>ESIOS 1001 geo 8741</t>
        </is>
      </c>
      <c r="L32" t="inlineStr">
        <is>
          <t>24 valores; mín 99.45, máx 255.13 €/MWh</t>
        </is>
      </c>
    </row>
    <row r="33">
      <c r="A33" s="53" t="n">
        <v>44376</v>
      </c>
      <c r="B33" t="inlineStr">
        <is>
          <t>2021-06-29</t>
        </is>
      </c>
      <c r="C33" s="45" t="n">
        <v>174.385</v>
      </c>
      <c r="D33" t="inlineStr">
        <is>
          <t>€/MWh</t>
        </is>
      </c>
      <c r="E33" s="54" t="n">
        <v>0.174385</v>
      </c>
      <c r="F33" s="54" t="n">
        <v>0.201631</v>
      </c>
      <c r="G33" t="inlineStr">
        <is>
          <t>calculado</t>
        </is>
      </c>
      <c r="H33" t="inlineStr">
        <is>
          <t>IEE 5.1127 % con cuota mínima 1 €/MWh (Ley 38/1992 art. 99) + IVA 10 % (RDL 12/2021 art. 1 (prorrogado por RDL 29/2021 y RDL 6/2022) (condición: mes anterior &gt; 45 €/MWh))</t>
        </is>
      </c>
      <c r="J33" t="inlineStr">
        <is>
          <t>2021-06-28</t>
        </is>
      </c>
      <c r="K33" t="inlineStr">
        <is>
          <t>ESIOS 1001 geo 8741</t>
        </is>
      </c>
      <c r="L33" t="inlineStr">
        <is>
          <t>24 valores; mín 115.07, máx 252.36 €/MWh</t>
        </is>
      </c>
    </row>
    <row r="34">
      <c r="A34" s="53" t="n">
        <v>44377</v>
      </c>
      <c r="B34" t="inlineStr">
        <is>
          <t>2021-06-30</t>
        </is>
      </c>
      <c r="C34" s="45" t="n">
        <v>174.5</v>
      </c>
      <c r="D34" t="inlineStr">
        <is>
          <t>€/MWh</t>
        </is>
      </c>
      <c r="E34" s="54" t="n">
        <v>0.1745</v>
      </c>
      <c r="F34" s="54" t="n">
        <v>0.201764</v>
      </c>
      <c r="G34" t="inlineStr">
        <is>
          <t>calculado</t>
        </is>
      </c>
      <c r="H34" t="inlineStr">
        <is>
          <t>IEE 5.1127 % con cuota mínima 1 €/MWh (Ley 38/1992 art. 99) + IVA 10 % (RDL 12/2021 art. 1 (prorrogado por RDL 29/2021 y RDL 6/2022) (condición: mes anterior &gt; 45 €/MWh))</t>
        </is>
      </c>
      <c r="J34" t="inlineStr">
        <is>
          <t>2021-06-29</t>
        </is>
      </c>
      <c r="K34" t="inlineStr">
        <is>
          <t>ESIOS 1001 geo 8741</t>
        </is>
      </c>
      <c r="L34" t="inlineStr">
        <is>
          <t>24 valores; mín 113.72, máx 254.64 €/MWh</t>
        </is>
      </c>
    </row>
    <row r="35">
      <c r="A35" s="53" t="n">
        <v>44378</v>
      </c>
      <c r="B35" t="inlineStr">
        <is>
          <t>2021-07-01</t>
        </is>
      </c>
      <c r="C35" s="45" t="n">
        <v>172.695</v>
      </c>
      <c r="D35" t="inlineStr">
        <is>
          <t>€/MWh</t>
        </is>
      </c>
      <c r="E35" s="54" t="n">
        <v>0.172695</v>
      </c>
      <c r="F35" s="54" t="n">
        <v>0.199677</v>
      </c>
      <c r="G35" t="inlineStr">
        <is>
          <t>calculado</t>
        </is>
      </c>
      <c r="H35" t="inlineStr">
        <is>
          <t>IEE 5.1127 % con cuota mínima 1 €/MWh (Ley 38/1992 art. 99) + IVA 10 % (RDL 12/2021 art. 1 (prorrogado por RDL 29/2021 y RDL 6/2022) (condición: mes anterior &gt; 45 €/MWh))</t>
        </is>
      </c>
      <c r="J35" t="inlineStr">
        <is>
          <t>2021-06-30</t>
        </is>
      </c>
      <c r="K35" t="inlineStr">
        <is>
          <t>ESIOS 1001 geo 8741</t>
        </is>
      </c>
      <c r="L35" t="inlineStr">
        <is>
          <t>24 valores; mín 118.71, máx 251.14 €/MWh</t>
        </is>
      </c>
    </row>
    <row r="36">
      <c r="A36" s="53" t="n">
        <v>44379</v>
      </c>
      <c r="B36" t="inlineStr">
        <is>
          <t>2021-07-02</t>
        </is>
      </c>
      <c r="C36" s="45" t="n">
        <v>181.4096</v>
      </c>
      <c r="D36" t="inlineStr">
        <is>
          <t>€/MWh</t>
        </is>
      </c>
      <c r="E36" s="54" t="n">
        <v>0.18141</v>
      </c>
      <c r="F36" s="54" t="n">
        <v>0.209753</v>
      </c>
      <c r="G36" t="inlineStr">
        <is>
          <t>calculado</t>
        </is>
      </c>
      <c r="H36" t="inlineStr">
        <is>
          <t>IEE 5.1127 % con cuota mínima 1 €/MWh (Ley 38/1992 art. 99) + IVA 10 % (RDL 12/2021 art. 1 (prorrogado por RDL 29/2021 y RDL 6/2022) (condición: mes anterior &gt; 45 €/MWh))</t>
        </is>
      </c>
      <c r="J36" t="inlineStr">
        <is>
          <t>2021-07-01</t>
        </is>
      </c>
      <c r="K36" t="inlineStr">
        <is>
          <t>ESIOS 1001 geo 8741</t>
        </is>
      </c>
      <c r="L36" t="inlineStr">
        <is>
          <t>24 valores; mín 127.86, máx 263.87 €/MWh</t>
        </is>
      </c>
    </row>
    <row r="37">
      <c r="A37" s="53" t="n">
        <v>44380</v>
      </c>
      <c r="B37" t="inlineStr">
        <is>
          <t>2021-07-03</t>
        </is>
      </c>
      <c r="C37" s="45" t="n">
        <v>121.7525</v>
      </c>
      <c r="D37" t="inlineStr">
        <is>
          <t>€/MWh</t>
        </is>
      </c>
      <c r="E37" s="54" t="n">
        <v>0.121752</v>
      </c>
      <c r="F37" s="54" t="n">
        <v>0.140775</v>
      </c>
      <c r="G37" t="inlineStr">
        <is>
          <t>calculado</t>
        </is>
      </c>
      <c r="H37" t="inlineStr">
        <is>
          <t>IEE 5.1127 % con cuota mínima 1 €/MWh (Ley 38/1992 art. 99) + IVA 10 % (RDL 12/2021 art. 1 (prorrogado por RDL 29/2021 y RDL 6/2022) (condición: mes anterior &gt; 45 €/MWh))</t>
        </is>
      </c>
      <c r="J37" t="inlineStr">
        <is>
          <t>2021-07-02</t>
        </is>
      </c>
      <c r="K37" t="inlineStr">
        <is>
          <t>ESIOS 1001 geo 8741</t>
        </is>
      </c>
      <c r="L37" t="inlineStr">
        <is>
          <t>24 valores; mín 98.47, máx 137.26 €/MWh</t>
        </is>
      </c>
    </row>
    <row r="38">
      <c r="A38" s="53" t="n">
        <v>44381</v>
      </c>
      <c r="B38" t="inlineStr">
        <is>
          <t>2021-07-04</t>
        </is>
      </c>
      <c r="C38" s="45" t="n">
        <v>106.3125</v>
      </c>
      <c r="D38" t="inlineStr">
        <is>
          <t>€/MWh</t>
        </is>
      </c>
      <c r="E38" s="54" t="n">
        <v>0.106313</v>
      </c>
      <c r="F38" s="54" t="n">
        <v>0.122923</v>
      </c>
      <c r="G38" t="inlineStr">
        <is>
          <t>calculado</t>
        </is>
      </c>
      <c r="H38" t="inlineStr">
        <is>
          <t>IEE 5.1127 % con cuota mínima 1 €/MWh (Ley 38/1992 art. 99) + IVA 10 % (RDL 12/2021 art. 1 (prorrogado por RDL 29/2021 y RDL 6/2022) (condición: mes anterior &gt; 45 €/MWh))</t>
        </is>
      </c>
      <c r="J38" t="inlineStr">
        <is>
          <t>2021-07-03</t>
        </is>
      </c>
      <c r="K38" t="inlineStr">
        <is>
          <t>ESIOS 1001 geo 8741</t>
        </is>
      </c>
      <c r="L38" t="inlineStr">
        <is>
          <t>24 valores; mín 81.43, máx 133.15 €/MWh</t>
        </is>
      </c>
    </row>
    <row r="39">
      <c r="A39" s="53" t="n">
        <v>44382</v>
      </c>
      <c r="B39" t="inlineStr">
        <is>
          <t>2021-07-05</t>
        </is>
      </c>
      <c r="C39" s="45" t="n">
        <v>174.9212</v>
      </c>
      <c r="D39" t="inlineStr">
        <is>
          <t>€/MWh</t>
        </is>
      </c>
      <c r="E39" s="54" t="n">
        <v>0.174921</v>
      </c>
      <c r="F39" s="54" t="n">
        <v>0.202251</v>
      </c>
      <c r="G39" t="inlineStr">
        <is>
          <t>calculado</t>
        </is>
      </c>
      <c r="H39" t="inlineStr">
        <is>
          <t>IEE 5.1127 % con cuota mínima 1 €/MWh (Ley 38/1992 art. 99) + IVA 10 % (RDL 12/2021 art. 1 (prorrogado por RDL 29/2021 y RDL 6/2022) (condición: mes anterior &gt; 45 €/MWh))</t>
        </is>
      </c>
      <c r="J39" t="inlineStr">
        <is>
          <t>2021-07-04</t>
        </is>
      </c>
      <c r="K39" t="inlineStr">
        <is>
          <t>ESIOS 1001 geo 8741</t>
        </is>
      </c>
      <c r="L39" t="inlineStr">
        <is>
          <t>24 valores; mín 117.57, máx 261.42 €/MWh</t>
        </is>
      </c>
    </row>
    <row r="40">
      <c r="A40" s="53" t="n">
        <v>44383</v>
      </c>
      <c r="B40" t="inlineStr">
        <is>
          <t>2021-07-06</t>
        </is>
      </c>
      <c r="C40" s="45" t="n">
        <v>174.3787</v>
      </c>
      <c r="D40" t="inlineStr">
        <is>
          <t>€/MWh</t>
        </is>
      </c>
      <c r="E40" s="54" t="n">
        <v>0.174379</v>
      </c>
      <c r="F40" s="54" t="n">
        <v>0.201624</v>
      </c>
      <c r="G40" t="inlineStr">
        <is>
          <t>calculado</t>
        </is>
      </c>
      <c r="H40" t="inlineStr">
        <is>
          <t>IEE 5.1127 % con cuota mínima 1 €/MWh (Ley 38/1992 art. 99) + IVA 10 % (RDL 12/2021 art. 1 (prorrogado por RDL 29/2021 y RDL 6/2022) (condición: mes anterior &gt; 45 €/MWh))</t>
        </is>
      </c>
      <c r="J40" t="inlineStr">
        <is>
          <t>2021-07-05</t>
        </is>
      </c>
      <c r="K40" t="inlineStr">
        <is>
          <t>ESIOS 1001 geo 8741</t>
        </is>
      </c>
      <c r="L40" t="inlineStr">
        <is>
          <t>24 valores; mín 116.26, máx 260.58 €/MWh</t>
        </is>
      </c>
    </row>
    <row r="41">
      <c r="A41" s="53" t="n">
        <v>44384</v>
      </c>
      <c r="B41" t="inlineStr">
        <is>
          <t>2021-07-07</t>
        </is>
      </c>
      <c r="C41" s="45" t="n">
        <v>179.9308</v>
      </c>
      <c r="D41" t="inlineStr">
        <is>
          <t>€/MWh</t>
        </is>
      </c>
      <c r="E41" s="54" t="n">
        <v>0.179931</v>
      </c>
      <c r="F41" s="54" t="n">
        <v>0.208043</v>
      </c>
      <c r="G41" t="inlineStr">
        <is>
          <t>calculado</t>
        </is>
      </c>
      <c r="H41" t="inlineStr">
        <is>
          <t>IEE 5.1127 % con cuota mínima 1 €/MWh (Ley 38/1992 art. 99) + IVA 10 % (RDL 12/2021 art. 1 (prorrogado por RDL 29/2021 y RDL 6/2022) (condición: mes anterior &gt; 45 €/MWh))</t>
        </is>
      </c>
      <c r="J41" t="inlineStr">
        <is>
          <t>2021-07-06</t>
        </is>
      </c>
      <c r="K41" t="inlineStr">
        <is>
          <t>ESIOS 1001 geo 8741</t>
        </is>
      </c>
      <c r="L41" t="inlineStr">
        <is>
          <t>24 valores; mín 119.65, máx 264.03 €/MWh</t>
        </is>
      </c>
    </row>
    <row r="42">
      <c r="A42" s="53" t="n">
        <v>44385</v>
      </c>
      <c r="B42" t="inlineStr">
        <is>
          <t>2021-07-08</t>
        </is>
      </c>
      <c r="C42" s="45" t="n">
        <v>174.0367</v>
      </c>
      <c r="D42" t="inlineStr">
        <is>
          <t>€/MWh</t>
        </is>
      </c>
      <c r="E42" s="54" t="n">
        <v>0.174037</v>
      </c>
      <c r="F42" s="54" t="n">
        <v>0.201228</v>
      </c>
      <c r="G42" t="inlineStr">
        <is>
          <t>calculado</t>
        </is>
      </c>
      <c r="H42" t="inlineStr">
        <is>
          <t>IEE 5.1127 % con cuota mínima 1 €/MWh (Ley 38/1992 art. 99) + IVA 10 % (RDL 12/2021 art. 1 (prorrogado por RDL 29/2021 y RDL 6/2022) (condición: mes anterior &gt; 45 €/MWh))</t>
        </is>
      </c>
      <c r="J42" t="inlineStr">
        <is>
          <t>2021-07-07</t>
        </is>
      </c>
      <c r="K42" t="inlineStr">
        <is>
          <t>ESIOS 1001 geo 8741</t>
        </is>
      </c>
      <c r="L42" t="inlineStr">
        <is>
          <t>24 valores; mín 103.43, máx 256.34 €/MWh</t>
        </is>
      </c>
    </row>
    <row r="43">
      <c r="A43" s="53" t="n">
        <v>44386</v>
      </c>
      <c r="B43" t="inlineStr">
        <is>
          <t>2021-07-09</t>
        </is>
      </c>
      <c r="C43" s="45" t="n">
        <v>173.5296</v>
      </c>
      <c r="D43" t="inlineStr">
        <is>
          <t>€/MWh</t>
        </is>
      </c>
      <c r="E43" s="54" t="n">
        <v>0.17353</v>
      </c>
      <c r="F43" s="54" t="n">
        <v>0.200642</v>
      </c>
      <c r="G43" t="inlineStr">
        <is>
          <t>calculado</t>
        </is>
      </c>
      <c r="H43" t="inlineStr">
        <is>
          <t>IEE 5.1127 % con cuota mínima 1 €/MWh (Ley 38/1992 art. 99) + IVA 10 % (RDL 12/2021 art. 1 (prorrogado por RDL 29/2021 y RDL 6/2022) (condición: mes anterior &gt; 45 €/MWh))</t>
        </is>
      </c>
      <c r="J43" t="inlineStr">
        <is>
          <t>2021-07-08</t>
        </is>
      </c>
      <c r="K43" t="inlineStr">
        <is>
          <t>ESIOS 1001 geo 8741</t>
        </is>
      </c>
      <c r="L43" t="inlineStr">
        <is>
          <t>24 valores; mín 112.84, máx 255.12 €/MWh</t>
        </is>
      </c>
    </row>
    <row r="44">
      <c r="A44" s="53" t="n">
        <v>44387</v>
      </c>
      <c r="B44" t="inlineStr">
        <is>
          <t>2021-07-10</t>
        </is>
      </c>
      <c r="C44" s="45" t="n">
        <v>116.8838</v>
      </c>
      <c r="D44" t="inlineStr">
        <is>
          <t>€/MWh</t>
        </is>
      </c>
      <c r="E44" s="54" t="n">
        <v>0.116884</v>
      </c>
      <c r="F44" s="54" t="n">
        <v>0.135146</v>
      </c>
      <c r="G44" t="inlineStr">
        <is>
          <t>calculado</t>
        </is>
      </c>
      <c r="H44" t="inlineStr">
        <is>
          <t>IEE 5.1127 % con cuota mínima 1 €/MWh (Ley 38/1992 art. 99) + IVA 10 % (RDL 12/2021 art. 1 (prorrogado por RDL 29/2021 y RDL 6/2022) (condición: mes anterior &gt; 45 €/MWh))</t>
        </is>
      </c>
      <c r="J44" t="inlineStr">
        <is>
          <t>2021-07-09</t>
        </is>
      </c>
      <c r="K44" t="inlineStr">
        <is>
          <t>ESIOS 1001 geo 8741</t>
        </is>
      </c>
      <c r="L44" t="inlineStr">
        <is>
          <t>24 valores; mín 96.33, máx 129.01 €/MWh</t>
        </is>
      </c>
    </row>
    <row r="45">
      <c r="A45" s="53" t="n">
        <v>44388</v>
      </c>
      <c r="B45" t="inlineStr">
        <is>
          <t>2021-07-11</t>
        </is>
      </c>
      <c r="C45" s="45" t="n">
        <v>118.6475</v>
      </c>
      <c r="D45" t="inlineStr">
        <is>
          <t>€/MWh</t>
        </is>
      </c>
      <c r="E45" s="54" t="n">
        <v>0.118647</v>
      </c>
      <c r="F45" s="54" t="n">
        <v>0.137185</v>
      </c>
      <c r="G45" t="inlineStr">
        <is>
          <t>calculado</t>
        </is>
      </c>
      <c r="H45" t="inlineStr">
        <is>
          <t>IEE 5.1127 % con cuota mínima 1 €/MWh (Ley 38/1992 art. 99) + IVA 10 % (RDL 12/2021 art. 1 (prorrogado por RDL 29/2021 y RDL 6/2022) (condición: mes anterior &gt; 45 €/MWh))</t>
        </is>
      </c>
      <c r="J45" t="inlineStr">
        <is>
          <t>2021-07-10</t>
        </is>
      </c>
      <c r="K45" t="inlineStr">
        <is>
          <t>ESIOS 1001 geo 8741</t>
        </is>
      </c>
      <c r="L45" t="inlineStr">
        <is>
          <t>24 valores; mín 91.94, máx 133.07 €/MWh</t>
        </is>
      </c>
    </row>
    <row r="46">
      <c r="A46" s="53" t="n">
        <v>44389</v>
      </c>
      <c r="B46" t="inlineStr">
        <is>
          <t>2021-07-12</t>
        </is>
      </c>
      <c r="C46" s="45" t="n">
        <v>167.6717</v>
      </c>
      <c r="D46" t="inlineStr">
        <is>
          <t>€/MWh</t>
        </is>
      </c>
      <c r="E46" s="54" t="n">
        <v>0.167672</v>
      </c>
      <c r="F46" s="54" t="n">
        <v>0.193869</v>
      </c>
      <c r="G46" t="inlineStr">
        <is>
          <t>calculado</t>
        </is>
      </c>
      <c r="H46" t="inlineStr">
        <is>
          <t>IEE 5.1127 % con cuota mínima 1 €/MWh (Ley 38/1992 art. 99) + IVA 10 % (RDL 12/2021 art. 1 (prorrogado por RDL 29/2021 y RDL 6/2022) (condición: mes anterior &gt; 45 €/MWh))</t>
        </is>
      </c>
      <c r="J46" t="inlineStr">
        <is>
          <t>2021-07-11</t>
        </is>
      </c>
      <c r="K46" t="inlineStr">
        <is>
          <t>ESIOS 1001 geo 8741</t>
        </is>
      </c>
      <c r="L46" t="inlineStr">
        <is>
          <t>24 valores; mín 100.75, máx 258.13 €/MWh</t>
        </is>
      </c>
    </row>
    <row r="47">
      <c r="A47" s="53" t="n">
        <v>44390</v>
      </c>
      <c r="B47" t="inlineStr">
        <is>
          <t>2021-07-13</t>
        </is>
      </c>
      <c r="C47" s="45" t="n">
        <v>175.2629</v>
      </c>
      <c r="D47" t="inlineStr">
        <is>
          <t>€/MWh</t>
        </is>
      </c>
      <c r="E47" s="54" t="n">
        <v>0.175263</v>
      </c>
      <c r="F47" s="54" t="n">
        <v>0.202646</v>
      </c>
      <c r="G47" t="inlineStr">
        <is>
          <t>calculado</t>
        </is>
      </c>
      <c r="H47" t="inlineStr">
        <is>
          <t>IEE 5.1127 % con cuota mínima 1 €/MWh (Ley 38/1992 art. 99) + IVA 10 % (RDL 12/2021 art. 1 (prorrogado por RDL 29/2021 y RDL 6/2022) (condición: mes anterior &gt; 45 €/MWh))</t>
        </is>
      </c>
      <c r="J47" t="inlineStr">
        <is>
          <t>2021-07-12</t>
        </is>
      </c>
      <c r="K47" t="inlineStr">
        <is>
          <t>ESIOS 1001 geo 8741</t>
        </is>
      </c>
      <c r="L47" t="inlineStr">
        <is>
          <t>24 valores; mín 106.96, máx 256.41 €/MWh</t>
        </is>
      </c>
    </row>
    <row r="48">
      <c r="A48" s="53" t="n">
        <v>44391</v>
      </c>
      <c r="B48" t="inlineStr">
        <is>
          <t>2021-07-14</t>
        </is>
      </c>
      <c r="C48" s="45" t="n">
        <v>163.9796</v>
      </c>
      <c r="D48" t="inlineStr">
        <is>
          <t>€/MWh</t>
        </is>
      </c>
      <c r="E48" s="54" t="n">
        <v>0.16398</v>
      </c>
      <c r="F48" s="54" t="n">
        <v>0.1896</v>
      </c>
      <c r="G48" t="inlineStr">
        <is>
          <t>calculado</t>
        </is>
      </c>
      <c r="H48" t="inlineStr">
        <is>
          <t>IEE 5.1127 % con cuota mínima 1 €/MWh (Ley 38/1992 art. 99) + IVA 10 % (RDL 12/2021 art. 1 (prorrogado por RDL 29/2021 y RDL 6/2022) (condición: mes anterior &gt; 45 €/MWh))</t>
        </is>
      </c>
      <c r="J48" t="inlineStr">
        <is>
          <t>2021-07-13</t>
        </is>
      </c>
      <c r="K48" t="inlineStr">
        <is>
          <t>ESIOS 1001 geo 8741</t>
        </is>
      </c>
      <c r="L48" t="inlineStr">
        <is>
          <t>24 valores; mín 104.03, máx 248.49 €/MWh</t>
        </is>
      </c>
    </row>
    <row r="49">
      <c r="A49" s="53" t="n">
        <v>44392</v>
      </c>
      <c r="B49" t="inlineStr">
        <is>
          <t>2021-07-15</t>
        </is>
      </c>
      <c r="C49" s="45" t="n">
        <v>166.9592</v>
      </c>
      <c r="D49" t="inlineStr">
        <is>
          <t>€/MWh</t>
        </is>
      </c>
      <c r="E49" s="54" t="n">
        <v>0.166959</v>
      </c>
      <c r="F49" s="54" t="n">
        <v>0.193045</v>
      </c>
      <c r="G49" t="inlineStr">
        <is>
          <t>calculado</t>
        </is>
      </c>
      <c r="H49" t="inlineStr">
        <is>
          <t>IEE 5.1127 % con cuota mínima 1 €/MWh (Ley 38/1992 art. 99) + IVA 10 % (RDL 12/2021 art. 1 (prorrogado por RDL 29/2021 y RDL 6/2022) (condición: mes anterior &gt; 45 €/MWh))</t>
        </is>
      </c>
      <c r="J49" t="inlineStr">
        <is>
          <t>2021-07-14</t>
        </is>
      </c>
      <c r="K49" t="inlineStr">
        <is>
          <t>ESIOS 1001 geo 8741</t>
        </is>
      </c>
      <c r="L49" t="inlineStr">
        <is>
          <t>24 valores; mín 94.22, máx 254.34 €/MWh</t>
        </is>
      </c>
    </row>
    <row r="50">
      <c r="A50" s="53" t="n">
        <v>44393</v>
      </c>
      <c r="B50" t="inlineStr">
        <is>
          <t>2021-07-16</t>
        </is>
      </c>
      <c r="C50" s="45" t="n">
        <v>167.1067</v>
      </c>
      <c r="D50" t="inlineStr">
        <is>
          <t>€/MWh</t>
        </is>
      </c>
      <c r="E50" s="54" t="n">
        <v>0.167107</v>
      </c>
      <c r="F50" s="54" t="n">
        <v>0.193215</v>
      </c>
      <c r="G50" t="inlineStr">
        <is>
          <t>calculado</t>
        </is>
      </c>
      <c r="H50" t="inlineStr">
        <is>
          <t>IEE 5.1127 % con cuota mínima 1 €/MWh (Ley 38/1992 art. 99) + IVA 10 % (RDL 12/2021 art. 1 (prorrogado por RDL 29/2021 y RDL 6/2022) (condición: mes anterior &gt; 45 €/MWh))</t>
        </is>
      </c>
      <c r="J50" t="inlineStr">
        <is>
          <t>2021-07-15</t>
        </is>
      </c>
      <c r="K50" t="inlineStr">
        <is>
          <t>ESIOS 1001 geo 8741</t>
        </is>
      </c>
      <c r="L50" t="inlineStr">
        <is>
          <t>24 valores; mín 96.19, máx 252.31 €/MWh</t>
        </is>
      </c>
    </row>
    <row r="51">
      <c r="A51" s="53" t="n">
        <v>44394</v>
      </c>
      <c r="B51" t="inlineStr">
        <is>
          <t>2021-07-17</t>
        </is>
      </c>
      <c r="C51" s="45" t="n">
        <v>117.7812</v>
      </c>
      <c r="D51" t="inlineStr">
        <is>
          <t>€/MWh</t>
        </is>
      </c>
      <c r="E51" s="54" t="n">
        <v>0.117781</v>
      </c>
      <c r="F51" s="54" t="n">
        <v>0.136183</v>
      </c>
      <c r="G51" t="inlineStr">
        <is>
          <t>calculado</t>
        </is>
      </c>
      <c r="H51" t="inlineStr">
        <is>
          <t>IEE 5.1127 % con cuota mínima 1 €/MWh (Ley 38/1992 art. 99) + IVA 10 % (RDL 12/2021 art. 1 (prorrogado por RDL 29/2021 y RDL 6/2022) (condición: mes anterior &gt; 45 €/MWh))</t>
        </is>
      </c>
      <c r="J51" t="inlineStr">
        <is>
          <t>2021-07-16</t>
        </is>
      </c>
      <c r="K51" t="inlineStr">
        <is>
          <t>ESIOS 1001 geo 8741</t>
        </is>
      </c>
      <c r="L51" t="inlineStr">
        <is>
          <t>24 valores; mín 108.82, máx 131.08 €/MWh</t>
        </is>
      </c>
    </row>
    <row r="52">
      <c r="A52" s="53" t="n">
        <v>44395</v>
      </c>
      <c r="B52" t="inlineStr">
        <is>
          <t>2021-07-18</t>
        </is>
      </c>
      <c r="C52" s="45" t="n">
        <v>100.6096</v>
      </c>
      <c r="D52" t="inlineStr">
        <is>
          <t>€/MWh</t>
        </is>
      </c>
      <c r="E52" s="54" t="n">
        <v>0.10061</v>
      </c>
      <c r="F52" s="54" t="n">
        <v>0.116329</v>
      </c>
      <c r="G52" t="inlineStr">
        <is>
          <t>calculado</t>
        </is>
      </c>
      <c r="H52" t="inlineStr">
        <is>
          <t>IEE 5.1127 % con cuota mínima 1 €/MWh (Ley 38/1992 art. 99) + IVA 10 % (RDL 12/2021 art. 1 (prorrogado por RDL 29/2021 y RDL 6/2022) (condición: mes anterior &gt; 45 €/MWh))</t>
        </is>
      </c>
      <c r="J52" t="inlineStr">
        <is>
          <t>2021-07-17</t>
        </is>
      </c>
      <c r="K52" t="inlineStr">
        <is>
          <t>ESIOS 1001 geo 8741</t>
        </is>
      </c>
      <c r="L52" t="inlineStr">
        <is>
          <t>24 valores; mín 22.80, máx 130.04 €/MWh</t>
        </is>
      </c>
    </row>
    <row r="53">
      <c r="A53" s="53" t="n">
        <v>44396</v>
      </c>
      <c r="B53" t="inlineStr">
        <is>
          <t>2021-07-19</t>
        </is>
      </c>
      <c r="C53" s="45" t="n">
        <v>180.6196</v>
      </c>
      <c r="D53" t="inlineStr">
        <is>
          <t>€/MWh</t>
        </is>
      </c>
      <c r="E53" s="54" t="n">
        <v>0.18062</v>
      </c>
      <c r="F53" s="54" t="n">
        <v>0.20884</v>
      </c>
      <c r="G53" t="inlineStr">
        <is>
          <t>calculado</t>
        </is>
      </c>
      <c r="H53" t="inlineStr">
        <is>
          <t>IEE 5.1127 % con cuota mínima 1 €/MWh (Ley 38/1992 art. 99) + IVA 10 % (RDL 12/2021 art. 1 (prorrogado por RDL 29/2021 y RDL 6/2022) (condición: mes anterior &gt; 45 €/MWh))</t>
        </is>
      </c>
      <c r="J53" t="inlineStr">
        <is>
          <t>2021-07-18</t>
        </is>
      </c>
      <c r="K53" t="inlineStr">
        <is>
          <t>ESIOS 1001 geo 8741</t>
        </is>
      </c>
      <c r="L53" t="inlineStr">
        <is>
          <t>24 valores; mín 121.99, máx 267.21 €/MWh</t>
        </is>
      </c>
    </row>
    <row r="54">
      <c r="A54" s="53" t="n">
        <v>44397</v>
      </c>
      <c r="B54" t="inlineStr">
        <is>
          <t>2021-07-20</t>
        </is>
      </c>
      <c r="C54" s="45" t="n">
        <v>182.9317</v>
      </c>
      <c r="D54" t="inlineStr">
        <is>
          <t>€/MWh</t>
        </is>
      </c>
      <c r="E54" s="54" t="n">
        <v>0.182932</v>
      </c>
      <c r="F54" s="54" t="n">
        <v>0.211513</v>
      </c>
      <c r="G54" t="inlineStr">
        <is>
          <t>calculado</t>
        </is>
      </c>
      <c r="H54" t="inlineStr">
        <is>
          <t>IEE 5.1127 % con cuota mínima 1 €/MWh (Ley 38/1992 art. 99) + IVA 10 % (RDL 12/2021 art. 1 (prorrogado por RDL 29/2021 y RDL 6/2022) (condición: mes anterior &gt; 45 €/MWh))</t>
        </is>
      </c>
      <c r="J54" t="inlineStr">
        <is>
          <t>2021-07-19</t>
        </is>
      </c>
      <c r="K54" t="inlineStr">
        <is>
          <t>ESIOS 1001 geo 8741</t>
        </is>
      </c>
      <c r="L54" t="inlineStr">
        <is>
          <t>24 valores; mín 121.71, máx 267.73 €/MWh</t>
        </is>
      </c>
    </row>
    <row r="55">
      <c r="A55" s="53" t="n">
        <v>44398</v>
      </c>
      <c r="B55" t="inlineStr">
        <is>
          <t>2021-07-21</t>
        </is>
      </c>
      <c r="C55" s="45" t="n">
        <v>188.2488</v>
      </c>
      <c r="D55" t="inlineStr">
        <is>
          <t>€/MWh</t>
        </is>
      </c>
      <c r="E55" s="54" t="n">
        <v>0.188249</v>
      </c>
      <c r="F55" s="54" t="n">
        <v>0.217661</v>
      </c>
      <c r="G55" t="inlineStr">
        <is>
          <t>calculado</t>
        </is>
      </c>
      <c r="H55" t="inlineStr">
        <is>
          <t>IEE 5.1127 % con cuota mínima 1 €/MWh (Ley 38/1992 art. 99) + IVA 10 % (RDL 12/2021 art. 1 (prorrogado por RDL 29/2021 y RDL 6/2022) (condición: mes anterior &gt; 45 €/MWh))</t>
        </is>
      </c>
      <c r="J55" t="inlineStr">
        <is>
          <t>2021-07-20</t>
        </is>
      </c>
      <c r="K55" t="inlineStr">
        <is>
          <t>ESIOS 1001 geo 8741</t>
        </is>
      </c>
      <c r="L55" t="inlineStr">
        <is>
          <t>24 valores; mín 135.34, máx 267.93 €/MWh</t>
        </is>
      </c>
    </row>
    <row r="56">
      <c r="A56" s="53" t="n">
        <v>44399</v>
      </c>
      <c r="B56" t="inlineStr">
        <is>
          <t>2021-07-22</t>
        </is>
      </c>
      <c r="C56" s="45" t="n">
        <v>183.1683</v>
      </c>
      <c r="D56" t="inlineStr">
        <is>
          <t>€/MWh</t>
        </is>
      </c>
      <c r="E56" s="54" t="n">
        <v>0.183168</v>
      </c>
      <c r="F56" s="54" t="n">
        <v>0.211786</v>
      </c>
      <c r="G56" t="inlineStr">
        <is>
          <t>calculado</t>
        </is>
      </c>
      <c r="H56" t="inlineStr">
        <is>
          <t>IEE 5.1127 % con cuota mínima 1 €/MWh (Ley 38/1992 art. 99) + IVA 10 % (RDL 12/2021 art. 1 (prorrogado por RDL 29/2021 y RDL 6/2022) (condición: mes anterior &gt; 45 €/MWh))</t>
        </is>
      </c>
      <c r="J56" t="inlineStr">
        <is>
          <t>2021-07-21</t>
        </is>
      </c>
      <c r="K56" t="inlineStr">
        <is>
          <t>ESIOS 1001 geo 8741</t>
        </is>
      </c>
      <c r="L56" t="inlineStr">
        <is>
          <t>24 valores; mín 127.61, máx 264.10 €/MWh</t>
        </is>
      </c>
    </row>
    <row r="57">
      <c r="A57" s="53" t="n">
        <v>44400</v>
      </c>
      <c r="B57" t="inlineStr">
        <is>
          <t>2021-07-23</t>
        </is>
      </c>
      <c r="C57" s="45" t="n">
        <v>177.1254</v>
      </c>
      <c r="D57" t="inlineStr">
        <is>
          <t>€/MWh</t>
        </is>
      </c>
      <c r="E57" s="54" t="n">
        <v>0.177125</v>
      </c>
      <c r="F57" s="54" t="n">
        <v>0.204799</v>
      </c>
      <c r="G57" t="inlineStr">
        <is>
          <t>calculado</t>
        </is>
      </c>
      <c r="H57" t="inlineStr">
        <is>
          <t>IEE 5.1127 % con cuota mínima 1 €/MWh (Ley 38/1992 art. 99) + IVA 10 % (RDL 12/2021 art. 1 (prorrogado por RDL 29/2021 y RDL 6/2022) (condición: mes anterior &gt; 45 €/MWh))</t>
        </is>
      </c>
      <c r="J57" t="inlineStr">
        <is>
          <t>2021-07-22</t>
        </is>
      </c>
      <c r="K57" t="inlineStr">
        <is>
          <t>ESIOS 1001 geo 8741</t>
        </is>
      </c>
      <c r="L57" t="inlineStr">
        <is>
          <t>24 valores; mín 127.04, máx 259.57 €/MWh</t>
        </is>
      </c>
    </row>
    <row r="58">
      <c r="A58" s="53" t="n">
        <v>44401</v>
      </c>
      <c r="B58" t="inlineStr">
        <is>
          <t>2021-07-24</t>
        </is>
      </c>
      <c r="C58" s="45" t="n">
        <v>119.2325</v>
      </c>
      <c r="D58" t="inlineStr">
        <is>
          <t>€/MWh</t>
        </is>
      </c>
      <c r="E58" s="54" t="n">
        <v>0.119233</v>
      </c>
      <c r="F58" s="54" t="n">
        <v>0.137861</v>
      </c>
      <c r="G58" t="inlineStr">
        <is>
          <t>calculado</t>
        </is>
      </c>
      <c r="H58" t="inlineStr">
        <is>
          <t>IEE 5.1127 % con cuota mínima 1 €/MWh (Ley 38/1992 art. 99) + IVA 10 % (RDL 12/2021 art. 1 (prorrogado por RDL 29/2021 y RDL 6/2022) (condición: mes anterior &gt; 45 €/MWh))</t>
        </is>
      </c>
      <c r="J58" t="inlineStr">
        <is>
          <t>2021-07-23</t>
        </is>
      </c>
      <c r="K58" t="inlineStr">
        <is>
          <t>ESIOS 1001 geo 8741</t>
        </is>
      </c>
      <c r="L58" t="inlineStr">
        <is>
          <t>24 valores; mín 96.81, máx 137.88 €/MWh</t>
        </is>
      </c>
    </row>
    <row r="59">
      <c r="A59" s="53" t="n">
        <v>44402</v>
      </c>
      <c r="B59" t="inlineStr">
        <is>
          <t>2021-07-25</t>
        </is>
      </c>
      <c r="C59" s="45" t="n">
        <v>121.2725</v>
      </c>
      <c r="D59" t="inlineStr">
        <is>
          <t>€/MWh</t>
        </is>
      </c>
      <c r="E59" s="54" t="n">
        <v>0.121272</v>
      </c>
      <c r="F59" s="54" t="n">
        <v>0.14022</v>
      </c>
      <c r="G59" t="inlineStr">
        <is>
          <t>calculado</t>
        </is>
      </c>
      <c r="H59" t="inlineStr">
        <is>
          <t>IEE 5.1127 % con cuota mínima 1 €/MWh (Ley 38/1992 art. 99) + IVA 10 % (RDL 12/2021 art. 1 (prorrogado por RDL 29/2021 y RDL 6/2022) (condición: mes anterior &gt; 45 €/MWh))</t>
        </is>
      </c>
      <c r="J59" t="inlineStr">
        <is>
          <t>2021-07-24</t>
        </is>
      </c>
      <c r="K59" t="inlineStr">
        <is>
          <t>ESIOS 1001 geo 8741</t>
        </is>
      </c>
      <c r="L59" t="inlineStr">
        <is>
          <t>24 valores; mín 101.30, máx 142.58 €/MWh</t>
        </is>
      </c>
    </row>
    <row r="60">
      <c r="A60" s="53" t="n">
        <v>44403</v>
      </c>
      <c r="B60" t="inlineStr">
        <is>
          <t>2021-07-26</t>
        </is>
      </c>
      <c r="C60" s="45" t="n">
        <v>181.5067</v>
      </c>
      <c r="D60" t="inlineStr">
        <is>
          <t>€/MWh</t>
        </is>
      </c>
      <c r="E60" s="54" t="n">
        <v>0.181507</v>
      </c>
      <c r="F60" s="54" t="n">
        <v>0.209865</v>
      </c>
      <c r="G60" t="inlineStr">
        <is>
          <t>calculado</t>
        </is>
      </c>
      <c r="H60" t="inlineStr">
        <is>
          <t>IEE 5.1127 % con cuota mínima 1 €/MWh (Ley 38/1992 art. 99) + IVA 10 % (RDL 12/2021 art. 1 (prorrogado por RDL 29/2021 y RDL 6/2022) (condición: mes anterior &gt; 45 €/MWh))</t>
        </is>
      </c>
      <c r="J60" t="inlineStr">
        <is>
          <t>2021-07-25</t>
        </is>
      </c>
      <c r="K60" t="inlineStr">
        <is>
          <t>ESIOS 1001 geo 8741</t>
        </is>
      </c>
      <c r="L60" t="inlineStr">
        <is>
          <t>24 valores; mín 116.68, máx 265.46 €/MWh</t>
        </is>
      </c>
    </row>
    <row r="61">
      <c r="A61" s="53" t="n">
        <v>44404</v>
      </c>
      <c r="B61" t="inlineStr">
        <is>
          <t>2021-07-27</t>
        </is>
      </c>
      <c r="C61" s="45" t="n">
        <v>180.8142</v>
      </c>
      <c r="D61" t="inlineStr">
        <is>
          <t>€/MWh</t>
        </is>
      </c>
      <c r="E61" s="54" t="n">
        <v>0.180814</v>
      </c>
      <c r="F61" s="54" t="n">
        <v>0.209065</v>
      </c>
      <c r="G61" t="inlineStr">
        <is>
          <t>calculado</t>
        </is>
      </c>
      <c r="H61" t="inlineStr">
        <is>
          <t>IEE 5.1127 % con cuota mínima 1 €/MWh (Ley 38/1992 art. 99) + IVA 10 % (RDL 12/2021 art. 1 (prorrogado por RDL 29/2021 y RDL 6/2022) (condición: mes anterior &gt; 45 €/MWh))</t>
        </is>
      </c>
      <c r="J61" t="inlineStr">
        <is>
          <t>2021-07-26</t>
        </is>
      </c>
      <c r="K61" t="inlineStr">
        <is>
          <t>ESIOS 1001 geo 8741</t>
        </is>
      </c>
      <c r="L61" t="inlineStr">
        <is>
          <t>24 valores; mín 123.70, máx 257.37 €/MWh</t>
        </is>
      </c>
    </row>
    <row r="62">
      <c r="A62" s="53" t="n">
        <v>44405</v>
      </c>
      <c r="B62" t="inlineStr">
        <is>
          <t>2021-07-28</t>
        </is>
      </c>
      <c r="C62" s="45" t="n">
        <v>176.9625</v>
      </c>
      <c r="D62" t="inlineStr">
        <is>
          <t>€/MWh</t>
        </is>
      </c>
      <c r="E62" s="54" t="n">
        <v>0.176962</v>
      </c>
      <c r="F62" s="54" t="n">
        <v>0.204611</v>
      </c>
      <c r="G62" t="inlineStr">
        <is>
          <t>calculado</t>
        </is>
      </c>
      <c r="H62" t="inlineStr">
        <is>
          <t>IEE 5.1127 % con cuota mínima 1 €/MWh (Ley 38/1992 art. 99) + IVA 10 % (RDL 12/2021 art. 1 (prorrogado por RDL 29/2021 y RDL 6/2022) (condición: mes anterior &gt; 45 €/MWh))</t>
        </is>
      </c>
      <c r="J62" t="inlineStr">
        <is>
          <t>2021-07-27</t>
        </is>
      </c>
      <c r="K62" t="inlineStr">
        <is>
          <t>ESIOS 1001 geo 8741</t>
        </is>
      </c>
      <c r="L62" t="inlineStr">
        <is>
          <t>24 valores; mín 100.21, máx 264.82 €/MWh</t>
        </is>
      </c>
    </row>
    <row r="63">
      <c r="A63" s="53" t="n">
        <v>44406</v>
      </c>
      <c r="B63" t="inlineStr">
        <is>
          <t>2021-07-29</t>
        </is>
      </c>
      <c r="C63" s="45" t="n">
        <v>180.55</v>
      </c>
      <c r="D63" t="inlineStr">
        <is>
          <t>€/MWh</t>
        </is>
      </c>
      <c r="E63" s="54" t="n">
        <v>0.18055</v>
      </c>
      <c r="F63" s="54" t="n">
        <v>0.208759</v>
      </c>
      <c r="G63" t="inlineStr">
        <is>
          <t>calculado</t>
        </is>
      </c>
      <c r="H63" t="inlineStr">
        <is>
          <t>IEE 5.1127 % con cuota mínima 1 €/MWh (Ley 38/1992 art. 99) + IVA 10 % (RDL 12/2021 art. 1 (prorrogado por RDL 29/2021 y RDL 6/2022) (condición: mes anterior &gt; 45 €/MWh))</t>
        </is>
      </c>
      <c r="J63" t="inlineStr">
        <is>
          <t>2021-07-28</t>
        </is>
      </c>
      <c r="K63" t="inlineStr">
        <is>
          <t>ESIOS 1001 geo 8741</t>
        </is>
      </c>
      <c r="L63" t="inlineStr">
        <is>
          <t>24 valores; mín 125.47, máx 267.08 €/MWh</t>
        </is>
      </c>
    </row>
    <row r="64">
      <c r="A64" s="53" t="n">
        <v>44407</v>
      </c>
      <c r="B64" t="inlineStr">
        <is>
          <t>2021-07-30</t>
        </is>
      </c>
      <c r="C64" s="45" t="n">
        <v>177.0842</v>
      </c>
      <c r="D64" t="inlineStr">
        <is>
          <t>€/MWh</t>
        </is>
      </c>
      <c r="E64" s="54" t="n">
        <v>0.177084</v>
      </c>
      <c r="F64" s="54" t="n">
        <v>0.204752</v>
      </c>
      <c r="G64" t="inlineStr">
        <is>
          <t>calculado</t>
        </is>
      </c>
      <c r="H64" t="inlineStr">
        <is>
          <t>IEE 5.1127 % con cuota mínima 1 €/MWh (Ley 38/1992 art. 99) + IVA 10 % (RDL 12/2021 art. 1 (prorrogado por RDL 29/2021 y RDL 6/2022) (condición: mes anterior &gt; 45 €/MWh))</t>
        </is>
      </c>
      <c r="J64" t="inlineStr">
        <is>
          <t>2021-07-29</t>
        </is>
      </c>
      <c r="K64" t="inlineStr">
        <is>
          <t>ESIOS 1001 geo 8741</t>
        </is>
      </c>
      <c r="L64" t="inlineStr">
        <is>
          <t>24 valores; mín 123.55, máx 260.92 €/MWh</t>
        </is>
      </c>
    </row>
    <row r="65">
      <c r="A65" s="53" t="n">
        <v>44408</v>
      </c>
      <c r="B65" t="inlineStr">
        <is>
          <t>2021-07-31</t>
        </is>
      </c>
      <c r="C65" s="45" t="n">
        <v>86.8087</v>
      </c>
      <c r="D65" t="inlineStr">
        <is>
          <t>€/MWh</t>
        </is>
      </c>
      <c r="E65" s="54" t="n">
        <v>0.086809</v>
      </c>
      <c r="F65" s="54" t="n">
        <v>0.100372</v>
      </c>
      <c r="G65" t="inlineStr">
        <is>
          <t>calculado</t>
        </is>
      </c>
      <c r="H65" t="inlineStr">
        <is>
          <t>IEE 5.1127 % con cuota mínima 1 €/MWh (Ley 38/1992 art. 99) + IVA 10 % (RDL 12/2021 art. 1 (prorrogado por RDL 29/2021 y RDL 6/2022) (condición: mes anterior &gt; 45 €/MWh))</t>
        </is>
      </c>
      <c r="J65" t="inlineStr">
        <is>
          <t>2021-07-30</t>
        </is>
      </c>
      <c r="K65" t="inlineStr">
        <is>
          <t>ESIOS 1001 geo 8741</t>
        </is>
      </c>
      <c r="L65" t="inlineStr">
        <is>
          <t>24 valores; mín 18.57, máx 107.78 €/MWh</t>
        </is>
      </c>
    </row>
    <row r="66">
      <c r="A66" s="53" t="n">
        <v>44409</v>
      </c>
      <c r="B66" t="inlineStr">
        <is>
          <t>2021-08-01</t>
        </is>
      </c>
      <c r="C66" s="45" t="n">
        <v>105.0387</v>
      </c>
      <c r="D66" t="inlineStr">
        <is>
          <t>€/MWh</t>
        </is>
      </c>
      <c r="E66" s="54" t="n">
        <v>0.105039</v>
      </c>
      <c r="F66" s="54" t="n">
        <v>0.12145</v>
      </c>
      <c r="G66" t="inlineStr">
        <is>
          <t>calculado</t>
        </is>
      </c>
      <c r="H66" t="inlineStr">
        <is>
          <t>IEE 5.1127 % con cuota mínima 1 €/MWh (Ley 38/1992 art. 99) + IVA 10 % (RDL 12/2021 art. 1 (prorrogado por RDL 29/2021 y RDL 6/2022) (condición: mes anterior &gt; 45 €/MWh))</t>
        </is>
      </c>
      <c r="J66" t="inlineStr">
        <is>
          <t>2021-07-31</t>
        </is>
      </c>
      <c r="K66" t="inlineStr">
        <is>
          <t>ESIOS 1001 geo 8741</t>
        </is>
      </c>
      <c r="L66" t="inlineStr">
        <is>
          <t>24 valores; mín 88.42, máx 140.57 €/MWh</t>
        </is>
      </c>
    </row>
    <row r="67">
      <c r="A67" s="53" t="n">
        <v>44410</v>
      </c>
      <c r="B67" t="inlineStr">
        <is>
          <t>2021-08-02</t>
        </is>
      </c>
      <c r="C67" s="45" t="n">
        <v>187.5304</v>
      </c>
      <c r="D67" t="inlineStr">
        <is>
          <t>€/MWh</t>
        </is>
      </c>
      <c r="E67" s="54" t="n">
        <v>0.18753</v>
      </c>
      <c r="F67" s="54" t="n">
        <v>0.21683</v>
      </c>
      <c r="G67" t="inlineStr">
        <is>
          <t>calculado</t>
        </is>
      </c>
      <c r="H67" t="inlineStr">
        <is>
          <t>IEE 5.1127 % con cuota mínima 1 €/MWh (Ley 38/1992 art. 99) + IVA 10 % (RDL 12/2021 art. 1 (prorrogado por RDL 29/2021 y RDL 6/2022) (condición: mes anterior &gt; 45 €/MWh))</t>
        </is>
      </c>
      <c r="J67" t="inlineStr">
        <is>
          <t>2021-08-01</t>
        </is>
      </c>
      <c r="K67" t="inlineStr">
        <is>
          <t>ESIOS 1001 geo 8741</t>
        </is>
      </c>
      <c r="L67" t="inlineStr">
        <is>
          <t>24 valores; mín 132.49, máx 266.00 €/MWh</t>
        </is>
      </c>
    </row>
    <row r="68">
      <c r="A68" s="53" t="n">
        <v>44411</v>
      </c>
      <c r="B68" t="inlineStr">
        <is>
          <t>2021-08-03</t>
        </is>
      </c>
      <c r="C68" s="45" t="n">
        <v>189.7838</v>
      </c>
      <c r="D68" t="inlineStr">
        <is>
          <t>€/MWh</t>
        </is>
      </c>
      <c r="E68" s="54" t="n">
        <v>0.189784</v>
      </c>
      <c r="F68" s="54" t="n">
        <v>0.219436</v>
      </c>
      <c r="G68" t="inlineStr">
        <is>
          <t>calculado</t>
        </is>
      </c>
      <c r="H68" t="inlineStr">
        <is>
          <t>IEE 5.1127 % con cuota mínima 1 €/MWh (Ley 38/1992 art. 99) + IVA 10 % (RDL 12/2021 art. 1 (prorrogado por RDL 29/2021 y RDL 6/2022) (condición: mes anterior &gt; 45 €/MWh))</t>
        </is>
      </c>
      <c r="J68" t="inlineStr">
        <is>
          <t>2021-08-02</t>
        </is>
      </c>
      <c r="K68" t="inlineStr">
        <is>
          <t>ESIOS 1001 geo 8741</t>
        </is>
      </c>
      <c r="L68" t="inlineStr">
        <is>
          <t>24 valores; mín 132.84, máx 268.37 €/MWh</t>
        </is>
      </c>
    </row>
    <row r="69">
      <c r="A69" s="53" t="n">
        <v>44412</v>
      </c>
      <c r="B69" t="inlineStr">
        <is>
          <t>2021-08-04</t>
        </is>
      </c>
      <c r="C69" s="45" t="n">
        <v>188.5687</v>
      </c>
      <c r="D69" t="inlineStr">
        <is>
          <t>€/MWh</t>
        </is>
      </c>
      <c r="E69" s="54" t="n">
        <v>0.188569</v>
      </c>
      <c r="F69" s="54" t="n">
        <v>0.218031</v>
      </c>
      <c r="G69" t="inlineStr">
        <is>
          <t>calculado</t>
        </is>
      </c>
      <c r="H69" t="inlineStr">
        <is>
          <t>IEE 5.1127 % con cuota mínima 1 €/MWh (Ley 38/1992 art. 99) + IVA 10 % (RDL 12/2021 art. 1 (prorrogado por RDL 29/2021 y RDL 6/2022) (condición: mes anterior &gt; 45 €/MWh))</t>
        </is>
      </c>
      <c r="J69" t="inlineStr">
        <is>
          <t>2021-08-03</t>
        </is>
      </c>
      <c r="K69" t="inlineStr">
        <is>
          <t>ESIOS 1001 geo 8741</t>
        </is>
      </c>
      <c r="L69" t="inlineStr">
        <is>
          <t>24 valores; mín 122.53, máx 277.92 €/MWh</t>
        </is>
      </c>
    </row>
    <row r="70">
      <c r="A70" s="53" t="n">
        <v>44413</v>
      </c>
      <c r="B70" t="inlineStr">
        <is>
          <t>2021-08-05</t>
        </is>
      </c>
      <c r="C70" s="45" t="n">
        <v>185.0658</v>
      </c>
      <c r="D70" t="inlineStr">
        <is>
          <t>€/MWh</t>
        </is>
      </c>
      <c r="E70" s="54" t="n">
        <v>0.185066</v>
      </c>
      <c r="F70" s="54" t="n">
        <v>0.21398</v>
      </c>
      <c r="G70" t="inlineStr">
        <is>
          <t>calculado</t>
        </is>
      </c>
      <c r="H70" t="inlineStr">
        <is>
          <t>IEE 5.1127 % con cuota mínima 1 €/MWh (Ley 38/1992 art. 99) + IVA 10 % (RDL 12/2021 art. 1 (prorrogado por RDL 29/2021 y RDL 6/2022) (condición: mes anterior &gt; 45 €/MWh))</t>
        </is>
      </c>
      <c r="J70" t="inlineStr">
        <is>
          <t>2021-08-04</t>
        </is>
      </c>
      <c r="K70" t="inlineStr">
        <is>
          <t>ESIOS 1001 geo 8741</t>
        </is>
      </c>
      <c r="L70" t="inlineStr">
        <is>
          <t>24 valores; mín 132.74, máx 278.28 €/MWh</t>
        </is>
      </c>
    </row>
    <row r="71">
      <c r="A71" s="53" t="n">
        <v>44414</v>
      </c>
      <c r="B71" t="inlineStr">
        <is>
          <t>2021-08-06</t>
        </is>
      </c>
      <c r="C71" s="45" t="n">
        <v>180.9425</v>
      </c>
      <c r="D71" t="inlineStr">
        <is>
          <t>€/MWh</t>
        </is>
      </c>
      <c r="E71" s="54" t="n">
        <v>0.180943</v>
      </c>
      <c r="F71" s="54" t="n">
        <v>0.209213</v>
      </c>
      <c r="G71" t="inlineStr">
        <is>
          <t>calculado</t>
        </is>
      </c>
      <c r="H71" t="inlineStr">
        <is>
          <t>IEE 5.1127 % con cuota mínima 1 €/MWh (Ley 38/1992 art. 99) + IVA 10 % (RDL 12/2021 art. 1 (prorrogado por RDL 29/2021 y RDL 6/2022) (condición: mes anterior &gt; 45 €/MWh))</t>
        </is>
      </c>
      <c r="J71" t="inlineStr">
        <is>
          <t>2021-08-05</t>
        </is>
      </c>
      <c r="K71" t="inlineStr">
        <is>
          <t>ESIOS 1001 geo 8741</t>
        </is>
      </c>
      <c r="L71" t="inlineStr">
        <is>
          <t>24 valores; mín 130.83, máx 264.81 €/MWh</t>
        </is>
      </c>
    </row>
    <row r="72">
      <c r="A72" s="53" t="n">
        <v>44415</v>
      </c>
      <c r="B72" t="inlineStr">
        <is>
          <t>2021-08-07</t>
        </is>
      </c>
      <c r="C72" s="45" t="n">
        <v>93.5038</v>
      </c>
      <c r="D72" t="inlineStr">
        <is>
          <t>€/MWh</t>
        </is>
      </c>
      <c r="E72" s="54" t="n">
        <v>0.093504</v>
      </c>
      <c r="F72" s="54" t="n">
        <v>0.108113</v>
      </c>
      <c r="G72" t="inlineStr">
        <is>
          <t>calculado</t>
        </is>
      </c>
      <c r="H72" t="inlineStr">
        <is>
          <t>IEE 5.1127 % con cuota mínima 1 €/MWh (Ley 38/1992 art. 99) + IVA 10 % (RDL 12/2021 art. 1 (prorrogado por RDL 29/2021 y RDL 6/2022) (condición: mes anterior &gt; 45 €/MWh))</t>
        </is>
      </c>
      <c r="J72" t="inlineStr">
        <is>
          <t>2021-08-06</t>
        </is>
      </c>
      <c r="K72" t="inlineStr">
        <is>
          <t>ESIOS 1001 geo 8741</t>
        </is>
      </c>
      <c r="L72" t="inlineStr">
        <is>
          <t>24 valores; mín 18.65, máx 134.85 €/MWh</t>
        </is>
      </c>
    </row>
    <row r="73">
      <c r="A73" s="53" t="n">
        <v>44416</v>
      </c>
      <c r="B73" t="inlineStr">
        <is>
          <t>2021-08-08</t>
        </is>
      </c>
      <c r="C73" s="45" t="n">
        <v>116.4038</v>
      </c>
      <c r="D73" t="inlineStr">
        <is>
          <t>€/MWh</t>
        </is>
      </c>
      <c r="E73" s="54" t="n">
        <v>0.116404</v>
      </c>
      <c r="F73" s="54" t="n">
        <v>0.134591</v>
      </c>
      <c r="G73" t="inlineStr">
        <is>
          <t>calculado</t>
        </is>
      </c>
      <c r="H73" t="inlineStr">
        <is>
          <t>IEE 5.1127 % con cuota mínima 1 €/MWh (Ley 38/1992 art. 99) + IVA 10 % (RDL 12/2021 art. 1 (prorrogado por RDL 29/2021 y RDL 6/2022) (condición: mes anterior &gt; 45 €/MWh))</t>
        </is>
      </c>
      <c r="J73" t="inlineStr">
        <is>
          <t>2021-08-07</t>
        </is>
      </c>
      <c r="K73" t="inlineStr">
        <is>
          <t>ESIOS 1001 geo 8741</t>
        </is>
      </c>
      <c r="L73" t="inlineStr">
        <is>
          <t>24 valores; mín 90.25, máx 137.85 €/MWh</t>
        </is>
      </c>
    </row>
    <row r="74">
      <c r="A74" s="53" t="n">
        <v>44417</v>
      </c>
      <c r="B74" t="inlineStr">
        <is>
          <t>2021-08-09</t>
        </is>
      </c>
      <c r="C74" s="45" t="n">
        <v>191.7092</v>
      </c>
      <c r="D74" t="inlineStr">
        <is>
          <t>€/MWh</t>
        </is>
      </c>
      <c r="E74" s="54" t="n">
        <v>0.191709</v>
      </c>
      <c r="F74" s="54" t="n">
        <v>0.221662</v>
      </c>
      <c r="G74" t="inlineStr">
        <is>
          <t>calculado</t>
        </is>
      </c>
      <c r="H74" t="inlineStr">
        <is>
          <t>IEE 5.1127 % con cuota mínima 1 €/MWh (Ley 38/1992 art. 99) + IVA 10 % (RDL 12/2021 art. 1 (prorrogado por RDL 29/2021 y RDL 6/2022) (condición: mes anterior &gt; 45 €/MWh))</t>
        </is>
      </c>
      <c r="J74" t="inlineStr">
        <is>
          <t>2021-08-08</t>
        </is>
      </c>
      <c r="K74" t="inlineStr">
        <is>
          <t>ESIOS 1001 geo 8741</t>
        </is>
      </c>
      <c r="L74" t="inlineStr">
        <is>
          <t>24 valores; mín 134.28, máx 274.44 €/MWh</t>
        </is>
      </c>
    </row>
    <row r="75">
      <c r="A75" s="53" t="n">
        <v>44418</v>
      </c>
      <c r="B75" t="inlineStr">
        <is>
          <t>2021-08-10</t>
        </is>
      </c>
      <c r="C75" s="45" t="n">
        <v>196.3646</v>
      </c>
      <c r="D75" t="inlineStr">
        <is>
          <t>€/MWh</t>
        </is>
      </c>
      <c r="E75" s="54" t="n">
        <v>0.196365</v>
      </c>
      <c r="F75" s="54" t="n">
        <v>0.227045</v>
      </c>
      <c r="G75" t="inlineStr">
        <is>
          <t>calculado</t>
        </is>
      </c>
      <c r="H75" t="inlineStr">
        <is>
          <t>IEE 5.1127 % con cuota mínima 1 €/MWh (Ley 38/1992 art. 99) + IVA 10 % (RDL 12/2021 art. 1 (prorrogado por RDL 29/2021 y RDL 6/2022) (condición: mes anterior &gt; 45 €/MWh))</t>
        </is>
      </c>
      <c r="J75" t="inlineStr">
        <is>
          <t>2021-08-09</t>
        </is>
      </c>
      <c r="K75" t="inlineStr">
        <is>
          <t>ESIOS 1001 geo 8741</t>
        </is>
      </c>
      <c r="L75" t="inlineStr">
        <is>
          <t>24 valores; mín 137.89, máx 281.80 €/MWh</t>
        </is>
      </c>
    </row>
    <row r="76">
      <c r="A76" s="53" t="n">
        <v>44419</v>
      </c>
      <c r="B76" t="inlineStr">
        <is>
          <t>2021-08-11</t>
        </is>
      </c>
      <c r="C76" s="45" t="n">
        <v>198.8725</v>
      </c>
      <c r="D76" t="inlineStr">
        <is>
          <t>€/MWh</t>
        </is>
      </c>
      <c r="E76" s="54" t="n">
        <v>0.198872</v>
      </c>
      <c r="F76" s="54" t="n">
        <v>0.229944</v>
      </c>
      <c r="G76" t="inlineStr">
        <is>
          <t>calculado</t>
        </is>
      </c>
      <c r="H76" t="inlineStr">
        <is>
          <t>IEE 5.1127 % con cuota mínima 1 €/MWh (Ley 38/1992 art. 99) + IVA 10 % (RDL 12/2021 art. 1 (prorrogado por RDL 29/2021 y RDL 6/2022) (condición: mes anterior &gt; 45 €/MWh))</t>
        </is>
      </c>
      <c r="J76" t="inlineStr">
        <is>
          <t>2021-08-10</t>
        </is>
      </c>
      <c r="K76" t="inlineStr">
        <is>
          <t>ESIOS 1001 geo 8741</t>
        </is>
      </c>
      <c r="L76" t="inlineStr">
        <is>
          <t>24 valores; mín 129.60, máx 288.95 €/MWh</t>
        </is>
      </c>
    </row>
    <row r="77">
      <c r="A77" s="53" t="n">
        <v>44420</v>
      </c>
      <c r="B77" t="inlineStr">
        <is>
          <t>2021-08-12</t>
        </is>
      </c>
      <c r="C77" s="45" t="n">
        <v>201.4813</v>
      </c>
      <c r="D77" t="inlineStr">
        <is>
          <t>€/MWh</t>
        </is>
      </c>
      <c r="E77" s="54" t="n">
        <v>0.201481</v>
      </c>
      <c r="F77" s="54" t="n">
        <v>0.232961</v>
      </c>
      <c r="G77" t="inlineStr">
        <is>
          <t>calculado</t>
        </is>
      </c>
      <c r="H77" t="inlineStr">
        <is>
          <t>IEE 5.1127 % con cuota mínima 1 €/MWh (Ley 38/1992 art. 99) + IVA 10 % (RDL 12/2021 art. 1 (prorrogado por RDL 29/2021 y RDL 6/2022) (condición: mes anterior &gt; 45 €/MWh))</t>
        </is>
      </c>
      <c r="J77" t="inlineStr">
        <is>
          <t>2021-08-11</t>
        </is>
      </c>
      <c r="K77" t="inlineStr">
        <is>
          <t>ESIOS 1001 geo 8741</t>
        </is>
      </c>
      <c r="L77" t="inlineStr">
        <is>
          <t>24 valores; mín 136.40, máx 293.93 €/MWh</t>
        </is>
      </c>
    </row>
    <row r="78">
      <c r="A78" s="53" t="n">
        <v>44421</v>
      </c>
      <c r="B78" t="inlineStr">
        <is>
          <t>2021-08-13</t>
        </is>
      </c>
      <c r="C78" s="45" t="n">
        <v>203.8675</v>
      </c>
      <c r="D78" t="inlineStr">
        <is>
          <t>€/MWh</t>
        </is>
      </c>
      <c r="E78" s="54" t="n">
        <v>0.203867</v>
      </c>
      <c r="F78" s="54" t="n">
        <v>0.23572</v>
      </c>
      <c r="G78" t="inlineStr">
        <is>
          <t>calculado</t>
        </is>
      </c>
      <c r="H78" t="inlineStr">
        <is>
          <t>IEE 5.1127 % con cuota mínima 1 €/MWh (Ley 38/1992 art. 99) + IVA 10 % (RDL 12/2021 art. 1 (prorrogado por RDL 29/2021 y RDL 6/2022) (condición: mes anterior &gt; 45 €/MWh))</t>
        </is>
      </c>
      <c r="J78" t="inlineStr">
        <is>
          <t>2021-08-12</t>
        </is>
      </c>
      <c r="K78" t="inlineStr">
        <is>
          <t>ESIOS 1001 geo 8741</t>
        </is>
      </c>
      <c r="L78" t="inlineStr">
        <is>
          <t>24 valores; mín 134.30, máx 293.55 €/MWh</t>
        </is>
      </c>
    </row>
    <row r="79">
      <c r="A79" s="53" t="n">
        <v>44422</v>
      </c>
      <c r="B79" t="inlineStr">
        <is>
          <t>2021-08-14</t>
        </is>
      </c>
      <c r="C79" s="45" t="n">
        <v>145.9067</v>
      </c>
      <c r="D79" t="inlineStr">
        <is>
          <t>€/MWh</t>
        </is>
      </c>
      <c r="E79" s="54" t="n">
        <v>0.145907</v>
      </c>
      <c r="F79" s="54" t="n">
        <v>0.168703</v>
      </c>
      <c r="G79" t="inlineStr">
        <is>
          <t>calculado</t>
        </is>
      </c>
      <c r="H79" t="inlineStr">
        <is>
          <t>IEE 5.1127 % con cuota mínima 1 €/MWh (Ley 38/1992 art. 99) + IVA 10 % (RDL 12/2021 art. 1 (prorrogado por RDL 29/2021 y RDL 6/2022) (condición: mes anterior &gt; 45 €/MWh))</t>
        </is>
      </c>
      <c r="J79" t="inlineStr">
        <is>
          <t>2021-08-13</t>
        </is>
      </c>
      <c r="K79" t="inlineStr">
        <is>
          <t>ESIOS 1001 geo 8741</t>
        </is>
      </c>
      <c r="L79" t="inlineStr">
        <is>
          <t>24 valores; mín 114.44, máx 166.44 €/MWh</t>
        </is>
      </c>
    </row>
    <row r="80">
      <c r="A80" s="53" t="n">
        <v>44423</v>
      </c>
      <c r="B80" t="inlineStr">
        <is>
          <t>2021-08-15</t>
        </is>
      </c>
      <c r="C80" s="45" t="n">
        <v>141.5687</v>
      </c>
      <c r="D80" t="inlineStr">
        <is>
          <t>€/MWh</t>
        </is>
      </c>
      <c r="E80" s="54" t="n">
        <v>0.141569</v>
      </c>
      <c r="F80" s="54" t="n">
        <v>0.163687</v>
      </c>
      <c r="G80" t="inlineStr">
        <is>
          <t>calculado</t>
        </is>
      </c>
      <c r="H80" t="inlineStr">
        <is>
          <t>IEE 5.1127 % con cuota mínima 1 €/MWh (Ley 38/1992 art. 99) + IVA 10 % (RDL 12/2021 art. 1 (prorrogado por RDL 29/2021 y RDL 6/2022) (condición: mes anterior &gt; 45 €/MWh))</t>
        </is>
      </c>
      <c r="J80" t="inlineStr">
        <is>
          <t>2021-08-14</t>
        </is>
      </c>
      <c r="K80" t="inlineStr">
        <is>
          <t>ESIOS 1001 geo 8741</t>
        </is>
      </c>
      <c r="L80" t="inlineStr">
        <is>
          <t>24 valores; mín 110.69, máx 159.60 €/MWh</t>
        </is>
      </c>
    </row>
    <row r="81">
      <c r="A81" s="53" t="n">
        <v>44424</v>
      </c>
      <c r="B81" t="inlineStr">
        <is>
          <t>2021-08-16</t>
        </is>
      </c>
      <c r="C81" s="45" t="n">
        <v>176.3779</v>
      </c>
      <c r="D81" t="inlineStr">
        <is>
          <t>€/MWh</t>
        </is>
      </c>
      <c r="E81" s="54" t="n">
        <v>0.176378</v>
      </c>
      <c r="F81" s="54" t="n">
        <v>0.203935</v>
      </c>
      <c r="G81" t="inlineStr">
        <is>
          <t>calculado</t>
        </is>
      </c>
      <c r="H81" t="inlineStr">
        <is>
          <t>IEE 5.1127 % con cuota mínima 1 €/MWh (Ley 38/1992 art. 99) + IVA 10 % (RDL 12/2021 art. 1 (prorrogado por RDL 29/2021 y RDL 6/2022) (condición: mes anterior &gt; 45 €/MWh))</t>
        </is>
      </c>
      <c r="J81" t="inlineStr">
        <is>
          <t>2021-08-15</t>
        </is>
      </c>
      <c r="K81" t="inlineStr">
        <is>
          <t>ESIOS 1001 geo 8741</t>
        </is>
      </c>
      <c r="L81" t="inlineStr">
        <is>
          <t>24 valores; mín 123.67, máx 276.73 €/MWh</t>
        </is>
      </c>
    </row>
    <row r="82">
      <c r="A82" s="53" t="n">
        <v>44425</v>
      </c>
      <c r="B82" t="inlineStr">
        <is>
          <t>2021-08-17</t>
        </is>
      </c>
      <c r="C82" s="45" t="n">
        <v>177.6571</v>
      </c>
      <c r="D82" t="inlineStr">
        <is>
          <t>€/MWh</t>
        </is>
      </c>
      <c r="E82" s="54" t="n">
        <v>0.177657</v>
      </c>
      <c r="F82" s="54" t="n">
        <v>0.205414</v>
      </c>
      <c r="G82" t="inlineStr">
        <is>
          <t>calculado</t>
        </is>
      </c>
      <c r="H82" t="inlineStr">
        <is>
          <t>IEE 5.1127 % con cuota mínima 1 €/MWh (Ley 38/1992 art. 99) + IVA 10 % (RDL 12/2021 art. 1 (prorrogado por RDL 29/2021 y RDL 6/2022) (condición: mes anterior &gt; 45 €/MWh))</t>
        </is>
      </c>
      <c r="J82" t="inlineStr">
        <is>
          <t>2021-08-16</t>
        </is>
      </c>
      <c r="K82" t="inlineStr">
        <is>
          <t>ESIOS 1001 geo 8741</t>
        </is>
      </c>
      <c r="L82" t="inlineStr">
        <is>
          <t>24 valores; mín 119.53, máx 288.85 €/MWh</t>
        </is>
      </c>
    </row>
    <row r="83">
      <c r="A83" s="53" t="n">
        <v>44426</v>
      </c>
      <c r="B83" t="inlineStr">
        <is>
          <t>2021-08-18</t>
        </is>
      </c>
      <c r="C83" s="45" t="n">
        <v>195.0546</v>
      </c>
      <c r="D83" t="inlineStr">
        <is>
          <t>€/MWh</t>
        </is>
      </c>
      <c r="E83" s="54" t="n">
        <v>0.195055</v>
      </c>
      <c r="F83" s="54" t="n">
        <v>0.22553</v>
      </c>
      <c r="G83" t="inlineStr">
        <is>
          <t>calculado</t>
        </is>
      </c>
      <c r="H83" t="inlineStr">
        <is>
          <t>IEE 5.1127 % con cuota mínima 1 €/MWh (Ley 38/1992 art. 99) + IVA 10 % (RDL 12/2021 art. 1 (prorrogado por RDL 29/2021 y RDL 6/2022) (condición: mes anterior &gt; 45 €/MWh))</t>
        </is>
      </c>
      <c r="J83" t="inlineStr">
        <is>
          <t>2021-08-17</t>
        </is>
      </c>
      <c r="K83" t="inlineStr">
        <is>
          <t>ESIOS 1001 geo 8741</t>
        </is>
      </c>
      <c r="L83" t="inlineStr">
        <is>
          <t>24 valores; mín 122.99, máx 295.53 €/MWh</t>
        </is>
      </c>
    </row>
    <row r="84">
      <c r="A84" s="53" t="n">
        <v>44427</v>
      </c>
      <c r="B84" t="inlineStr">
        <is>
          <t>2021-08-19</t>
        </is>
      </c>
      <c r="C84" s="45" t="n">
        <v>200.4425</v>
      </c>
      <c r="D84" t="inlineStr">
        <is>
          <t>€/MWh</t>
        </is>
      </c>
      <c r="E84" s="54" t="n">
        <v>0.200442</v>
      </c>
      <c r="F84" s="54" t="n">
        <v>0.23176</v>
      </c>
      <c r="G84" t="inlineStr">
        <is>
          <t>calculado</t>
        </is>
      </c>
      <c r="H84" t="inlineStr">
        <is>
          <t>IEE 5.1127 % con cuota mínima 1 €/MWh (Ley 38/1992 art. 99) + IVA 10 % (RDL 12/2021 art. 1 (prorrogado por RDL 29/2021 y RDL 6/2022) (condición: mes anterior &gt; 45 €/MWh))</t>
        </is>
      </c>
      <c r="J84" t="inlineStr">
        <is>
          <t>2021-08-18</t>
        </is>
      </c>
      <c r="K84" t="inlineStr">
        <is>
          <t>ESIOS 1001 geo 8741</t>
        </is>
      </c>
      <c r="L84" t="inlineStr">
        <is>
          <t>24 valores; mín 120.70, máx 295.00 €/MWh</t>
        </is>
      </c>
    </row>
    <row r="85">
      <c r="A85" s="53" t="n">
        <v>44428</v>
      </c>
      <c r="B85" t="inlineStr">
        <is>
          <t>2021-08-20</t>
        </is>
      </c>
      <c r="C85" s="45" t="n">
        <v>202.9083</v>
      </c>
      <c r="D85" t="inlineStr">
        <is>
          <t>€/MWh</t>
        </is>
      </c>
      <c r="E85" s="54" t="n">
        <v>0.202908</v>
      </c>
      <c r="F85" s="54" t="n">
        <v>0.234611</v>
      </c>
      <c r="G85" t="inlineStr">
        <is>
          <t>calculado</t>
        </is>
      </c>
      <c r="H85" t="inlineStr">
        <is>
          <t>IEE 5.1127 % con cuota mínima 1 €/MWh (Ley 38/1992 art. 99) + IVA 10 % (RDL 12/2021 art. 1 (prorrogado por RDL 29/2021 y RDL 6/2022) (condición: mes anterior &gt; 45 €/MWh))</t>
        </is>
      </c>
      <c r="J85" t="inlineStr">
        <is>
          <t>2021-08-19</t>
        </is>
      </c>
      <c r="K85" t="inlineStr">
        <is>
          <t>ESIOS 1001 geo 8741</t>
        </is>
      </c>
      <c r="L85" t="inlineStr">
        <is>
          <t>24 valores; mín 147.84, máx 289.76 €/MWh</t>
        </is>
      </c>
    </row>
    <row r="86">
      <c r="A86" s="53" t="n">
        <v>44429</v>
      </c>
      <c r="B86" t="inlineStr">
        <is>
          <t>2021-08-21</t>
        </is>
      </c>
      <c r="C86" s="45" t="n">
        <v>140.7796</v>
      </c>
      <c r="D86" t="inlineStr">
        <is>
          <t>€/MWh</t>
        </is>
      </c>
      <c r="E86" s="54" t="n">
        <v>0.14078</v>
      </c>
      <c r="F86" s="54" t="n">
        <v>0.162775</v>
      </c>
      <c r="G86" t="inlineStr">
        <is>
          <t>calculado</t>
        </is>
      </c>
      <c r="H86" t="inlineStr">
        <is>
          <t>IEE 5.1127 % con cuota mínima 1 €/MWh (Ley 38/1992 art. 99) + IVA 10 % (RDL 12/2021 art. 1 (prorrogado por RDL 29/2021 y RDL 6/2022) (condición: mes anterior &gt; 45 €/MWh))</t>
        </is>
      </c>
      <c r="J86" t="inlineStr">
        <is>
          <t>2021-08-20</t>
        </is>
      </c>
      <c r="K86" t="inlineStr">
        <is>
          <t>ESIOS 1001 geo 8741</t>
        </is>
      </c>
      <c r="L86" t="inlineStr">
        <is>
          <t>24 valores; mín 118.17, máx 157.69 €/MWh</t>
        </is>
      </c>
    </row>
    <row r="87">
      <c r="A87" s="53" t="n">
        <v>44430</v>
      </c>
      <c r="B87" t="inlineStr">
        <is>
          <t>2021-08-22</t>
        </is>
      </c>
      <c r="C87" s="45" t="n">
        <v>131.7458</v>
      </c>
      <c r="D87" t="inlineStr">
        <is>
          <t>€/MWh</t>
        </is>
      </c>
      <c r="E87" s="54" t="n">
        <v>0.131746</v>
      </c>
      <c r="F87" s="54" t="n">
        <v>0.15233</v>
      </c>
      <c r="G87" t="inlineStr">
        <is>
          <t>calculado</t>
        </is>
      </c>
      <c r="H87" t="inlineStr">
        <is>
          <t>IEE 5.1127 % con cuota mínima 1 €/MWh (Ley 38/1992 art. 99) + IVA 10 % (RDL 12/2021 art. 1 (prorrogado por RDL 29/2021 y RDL 6/2022) (condición: mes anterior &gt; 45 €/MWh))</t>
        </is>
      </c>
      <c r="J87" t="inlineStr">
        <is>
          <t>2021-08-21</t>
        </is>
      </c>
      <c r="K87" t="inlineStr">
        <is>
          <t>ESIOS 1001 geo 8741</t>
        </is>
      </c>
      <c r="L87" t="inlineStr">
        <is>
          <t>24 valores; mín 115.72, máx 143.69 €/MWh</t>
        </is>
      </c>
    </row>
    <row r="88">
      <c r="A88" s="53" t="n">
        <v>44431</v>
      </c>
      <c r="B88" t="inlineStr">
        <is>
          <t>2021-08-23</t>
        </is>
      </c>
      <c r="C88" s="45" t="n">
        <v>185.0825</v>
      </c>
      <c r="D88" t="inlineStr">
        <is>
          <t>€/MWh</t>
        </is>
      </c>
      <c r="E88" s="54" t="n">
        <v>0.185082</v>
      </c>
      <c r="F88" s="54" t="n">
        <v>0.214</v>
      </c>
      <c r="G88" t="inlineStr">
        <is>
          <t>calculado</t>
        </is>
      </c>
      <c r="H88" t="inlineStr">
        <is>
          <t>IEE 5.1127 % con cuota mínima 1 €/MWh (Ley 38/1992 art. 99) + IVA 10 % (RDL 12/2021 art. 1 (prorrogado por RDL 29/2021 y RDL 6/2022) (condición: mes anterior &gt; 45 €/MWh))</t>
        </is>
      </c>
      <c r="J88" t="inlineStr">
        <is>
          <t>2021-08-22</t>
        </is>
      </c>
      <c r="K88" t="inlineStr">
        <is>
          <t>ESIOS 1001 geo 8741</t>
        </is>
      </c>
      <c r="L88" t="inlineStr">
        <is>
          <t>24 valores; mín 119.86, máx 278.70 €/MWh</t>
        </is>
      </c>
    </row>
    <row r="89">
      <c r="A89" s="53" t="n">
        <v>44432</v>
      </c>
      <c r="B89" t="inlineStr">
        <is>
          <t>2021-08-24</t>
        </is>
      </c>
      <c r="C89" s="45" t="n">
        <v>186.6433</v>
      </c>
      <c r="D89" t="inlineStr">
        <is>
          <t>€/MWh</t>
        </is>
      </c>
      <c r="E89" s="54" t="n">
        <v>0.186643</v>
      </c>
      <c r="F89" s="54" t="n">
        <v>0.215804</v>
      </c>
      <c r="G89" t="inlineStr">
        <is>
          <t>calculado</t>
        </is>
      </c>
      <c r="H89" t="inlineStr">
        <is>
          <t>IEE 5.1127 % con cuota mínima 1 €/MWh (Ley 38/1992 art. 99) + IVA 10 % (RDL 12/2021 art. 1 (prorrogado por RDL 29/2021 y RDL 6/2022) (condición: mes anterior &gt; 45 €/MWh))</t>
        </is>
      </c>
      <c r="J89" t="inlineStr">
        <is>
          <t>2021-08-23</t>
        </is>
      </c>
      <c r="K89" t="inlineStr">
        <is>
          <t>ESIOS 1001 geo 8741</t>
        </is>
      </c>
      <c r="L89" t="inlineStr">
        <is>
          <t>24 valores; mín 113.87, máx 283.79 €/MWh</t>
        </is>
      </c>
    </row>
    <row r="90">
      <c r="A90" s="53" t="n">
        <v>44433</v>
      </c>
      <c r="B90" t="inlineStr">
        <is>
          <t>2021-08-25</t>
        </is>
      </c>
      <c r="C90" s="45" t="n">
        <v>201.7908</v>
      </c>
      <c r="D90" t="inlineStr">
        <is>
          <t>€/MWh</t>
        </is>
      </c>
      <c r="E90" s="54" t="n">
        <v>0.201791</v>
      </c>
      <c r="F90" s="54" t="n">
        <v>0.233319</v>
      </c>
      <c r="G90" t="inlineStr">
        <is>
          <t>calculado</t>
        </is>
      </c>
      <c r="H90" t="inlineStr">
        <is>
          <t>IEE 5.1127 % con cuota mínima 1 €/MWh (Ley 38/1992 art. 99) + IVA 10 % (RDL 12/2021 art. 1 (prorrogado por RDL 29/2021 y RDL 6/2022) (condición: mes anterior &gt; 45 €/MWh))</t>
        </is>
      </c>
      <c r="J90" t="inlineStr">
        <is>
          <t>2021-08-24</t>
        </is>
      </c>
      <c r="K90" t="inlineStr">
        <is>
          <t>ESIOS 1001 geo 8741</t>
        </is>
      </c>
      <c r="L90" t="inlineStr">
        <is>
          <t>24 valores; mín 136.30, máx 292.67 €/MWh</t>
        </is>
      </c>
    </row>
    <row r="91">
      <c r="A91" s="53" t="n">
        <v>44434</v>
      </c>
      <c r="B91" t="inlineStr">
        <is>
          <t>2021-08-26</t>
        </is>
      </c>
      <c r="C91" s="45" t="n">
        <v>208.6325</v>
      </c>
      <c r="D91" t="inlineStr">
        <is>
          <t>€/MWh</t>
        </is>
      </c>
      <c r="E91" s="54" t="n">
        <v>0.208633</v>
      </c>
      <c r="F91" s="54" t="n">
        <v>0.241229</v>
      </c>
      <c r="G91" t="inlineStr">
        <is>
          <t>calculado</t>
        </is>
      </c>
      <c r="H91" t="inlineStr">
        <is>
          <t>IEE 5.1127 % con cuota mínima 1 €/MWh (Ley 38/1992 art. 99) + IVA 10 % (RDL 12/2021 art. 1 (prorrogado por RDL 29/2021 y RDL 6/2022) (condición: mes anterior &gt; 45 €/MWh))</t>
        </is>
      </c>
      <c r="J91" t="inlineStr">
        <is>
          <t>2021-08-25</t>
        </is>
      </c>
      <c r="K91" t="inlineStr">
        <is>
          <t>ESIOS 1001 geo 8741</t>
        </is>
      </c>
      <c r="L91" t="inlineStr">
        <is>
          <t>24 valores; mín 152.48, máx 292.72 €/MWh</t>
        </is>
      </c>
    </row>
    <row r="92">
      <c r="A92" s="53" t="n">
        <v>44435</v>
      </c>
      <c r="B92" t="inlineStr">
        <is>
          <t>2021-08-27</t>
        </is>
      </c>
      <c r="C92" s="45" t="n">
        <v>204.8</v>
      </c>
      <c r="D92" t="inlineStr">
        <is>
          <t>€/MWh</t>
        </is>
      </c>
      <c r="E92" s="54" t="n">
        <v>0.2048</v>
      </c>
      <c r="F92" s="54" t="n">
        <v>0.236798</v>
      </c>
      <c r="G92" t="inlineStr">
        <is>
          <t>calculado</t>
        </is>
      </c>
      <c r="H92" t="inlineStr">
        <is>
          <t>IEE 5.1127 % con cuota mínima 1 €/MWh (Ley 38/1992 art. 99) + IVA 10 % (RDL 12/2021 art. 1 (prorrogado por RDL 29/2021 y RDL 6/2022) (condición: mes anterior &gt; 45 €/MWh))</t>
        </is>
      </c>
      <c r="J92" t="inlineStr">
        <is>
          <t>2021-08-26</t>
        </is>
      </c>
      <c r="K92" t="inlineStr">
        <is>
          <t>ESIOS 1001 geo 8741</t>
        </is>
      </c>
      <c r="L92" t="inlineStr">
        <is>
          <t>24 valores; mín 151.81, máx 288.27 €/MWh</t>
        </is>
      </c>
    </row>
    <row r="93">
      <c r="A93" s="53" t="n">
        <v>44436</v>
      </c>
      <c r="B93" t="inlineStr">
        <is>
          <t>2021-08-28</t>
        </is>
      </c>
      <c r="C93" s="45" t="n">
        <v>142.0983</v>
      </c>
      <c r="D93" t="inlineStr">
        <is>
          <t>€/MWh</t>
        </is>
      </c>
      <c r="E93" s="54" t="n">
        <v>0.142098</v>
      </c>
      <c r="F93" s="54" t="n">
        <v>0.1643</v>
      </c>
      <c r="G93" t="inlineStr">
        <is>
          <t>calculado</t>
        </is>
      </c>
      <c r="H93" t="inlineStr">
        <is>
          <t>IEE 5.1127 % con cuota mínima 1 €/MWh (Ley 38/1992 art. 99) + IVA 10 % (RDL 12/2021 art. 1 (prorrogado por RDL 29/2021 y RDL 6/2022) (condición: mes anterior &gt; 45 €/MWh))</t>
        </is>
      </c>
      <c r="J93" t="inlineStr">
        <is>
          <t>2021-08-27</t>
        </is>
      </c>
      <c r="K93" t="inlineStr">
        <is>
          <t>ESIOS 1001 geo 8741</t>
        </is>
      </c>
      <c r="L93" t="inlineStr">
        <is>
          <t>24 valores; mín 114.81, máx 161.92 €/MWh</t>
        </is>
      </c>
    </row>
    <row r="94">
      <c r="A94" s="53" t="n">
        <v>44437</v>
      </c>
      <c r="B94" t="inlineStr">
        <is>
          <t>2021-08-29</t>
        </is>
      </c>
      <c r="C94" s="45" t="n">
        <v>134.6925</v>
      </c>
      <c r="D94" t="inlineStr">
        <is>
          <t>€/MWh</t>
        </is>
      </c>
      <c r="E94" s="54" t="n">
        <v>0.134692</v>
      </c>
      <c r="F94" s="54" t="n">
        <v>0.155737</v>
      </c>
      <c r="G94" t="inlineStr">
        <is>
          <t>calculado</t>
        </is>
      </c>
      <c r="H94" t="inlineStr">
        <is>
          <t>IEE 5.1127 % con cuota mínima 1 €/MWh (Ley 38/1992 art. 99) + IVA 10 % (RDL 12/2021 art. 1 (prorrogado por RDL 29/2021 y RDL 6/2022) (condición: mes anterior &gt; 45 €/MWh))</t>
        </is>
      </c>
      <c r="J94" t="inlineStr">
        <is>
          <t>2021-08-28</t>
        </is>
      </c>
      <c r="K94" t="inlineStr">
        <is>
          <t>ESIOS 1001 geo 8741</t>
        </is>
      </c>
      <c r="L94" t="inlineStr">
        <is>
          <t>24 valores; mín 121.90, máx 163.92 €/MWh</t>
        </is>
      </c>
    </row>
    <row r="95">
      <c r="A95" s="53" t="n">
        <v>44438</v>
      </c>
      <c r="B95" t="inlineStr">
        <is>
          <t>2021-08-30</t>
        </is>
      </c>
      <c r="C95" s="45" t="n">
        <v>210.975</v>
      </c>
      <c r="D95" t="inlineStr">
        <is>
          <t>€/MWh</t>
        </is>
      </c>
      <c r="E95" s="54" t="n">
        <v>0.210975</v>
      </c>
      <c r="F95" s="54" t="n">
        <v>0.243938</v>
      </c>
      <c r="G95" t="inlineStr">
        <is>
          <t>calculado</t>
        </is>
      </c>
      <c r="H95" t="inlineStr">
        <is>
          <t>IEE 5.1127 % con cuota mínima 1 €/MWh (Ley 38/1992 art. 99) + IVA 10 % (RDL 12/2021 art. 1 (prorrogado por RDL 29/2021 y RDL 6/2022) (condición: mes anterior &gt; 45 €/MWh))</t>
        </is>
      </c>
      <c r="J95" t="inlineStr">
        <is>
          <t>2021-08-29</t>
        </is>
      </c>
      <c r="K95" t="inlineStr">
        <is>
          <t>ESIOS 1001 geo 8741</t>
        </is>
      </c>
      <c r="L95" t="inlineStr">
        <is>
          <t>24 valores; mín 146.87, máx 295.66 €/MWh</t>
        </is>
      </c>
    </row>
    <row r="96">
      <c r="A96" s="53" t="n">
        <v>44439</v>
      </c>
      <c r="B96" t="inlineStr">
        <is>
          <t>2021-08-31</t>
        </is>
      </c>
      <c r="C96" s="45" t="n">
        <v>217.6867</v>
      </c>
      <c r="D96" t="inlineStr">
        <is>
          <t>€/MWh</t>
        </is>
      </c>
      <c r="E96" s="54" t="n">
        <v>0.217687</v>
      </c>
      <c r="F96" s="54" t="n">
        <v>0.251698</v>
      </c>
      <c r="G96" t="inlineStr">
        <is>
          <t>calculado</t>
        </is>
      </c>
      <c r="H96" t="inlineStr">
        <is>
          <t>IEE 5.1127 % con cuota mínima 1 €/MWh (Ley 38/1992 art. 99) + IVA 10 % (RDL 12/2021 art. 1 (prorrogado por RDL 29/2021 y RDL 6/2022) (condición: mes anterior &gt; 45 €/MWh))</t>
        </is>
      </c>
      <c r="J96" t="inlineStr">
        <is>
          <t>2021-08-30</t>
        </is>
      </c>
      <c r="K96" t="inlineStr">
        <is>
          <t>ESIOS 1001 geo 8741</t>
        </is>
      </c>
      <c r="L96" t="inlineStr">
        <is>
          <t>24 valores; mín 159.90, máx 301.19 €/MWh</t>
        </is>
      </c>
    </row>
    <row r="97">
      <c r="A97" s="53" t="n">
        <v>44440</v>
      </c>
      <c r="B97" t="inlineStr">
        <is>
          <t>2021-09-01</t>
        </is>
      </c>
      <c r="C97" s="45" t="n">
        <v>219.3046</v>
      </c>
      <c r="D97" t="inlineStr">
        <is>
          <t>€/MWh</t>
        </is>
      </c>
      <c r="E97" s="54" t="n">
        <v>0.219305</v>
      </c>
      <c r="F97" s="54" t="n">
        <v>0.253569</v>
      </c>
      <c r="G97" t="inlineStr">
        <is>
          <t>calculado</t>
        </is>
      </c>
      <c r="H97" t="inlineStr">
        <is>
          <t>IEE 5.1127 % con cuota mínima 1 €/MWh (Ley 38/1992 art. 99) + IVA 10 % (RDL 12/2021 art. 1 (prorrogado por RDL 29/2021 y RDL 6/2022) (condición: mes anterior &gt; 45 €/MWh))</t>
        </is>
      </c>
      <c r="J97" t="inlineStr">
        <is>
          <t>2021-08-31</t>
        </is>
      </c>
      <c r="K97" t="inlineStr">
        <is>
          <t>ESIOS 1001 geo 8741</t>
        </is>
      </c>
      <c r="L97" t="inlineStr">
        <is>
          <t>24 valores; mín 147.12, máx 303.46 €/MWh</t>
        </is>
      </c>
    </row>
    <row r="98">
      <c r="A98" s="53" t="n">
        <v>44441</v>
      </c>
      <c r="B98" t="inlineStr">
        <is>
          <t>2021-09-02</t>
        </is>
      </c>
      <c r="C98" s="45" t="n">
        <v>228.2413</v>
      </c>
      <c r="D98" t="inlineStr">
        <is>
          <t>€/MWh</t>
        </is>
      </c>
      <c r="E98" s="54" t="n">
        <v>0.228241</v>
      </c>
      <c r="F98" s="54" t="n">
        <v>0.263902</v>
      </c>
      <c r="G98" t="inlineStr">
        <is>
          <t>calculado</t>
        </is>
      </c>
      <c r="H98" t="inlineStr">
        <is>
          <t>IEE 5.1127 % con cuota mínima 1 €/MWh (Ley 38/1992 art. 99) + IVA 10 % (RDL 12/2021 art. 1 (prorrogado por RDL 29/2021 y RDL 6/2022) (condición: mes anterior &gt; 45 €/MWh))</t>
        </is>
      </c>
      <c r="J98" t="inlineStr">
        <is>
          <t>2021-09-01</t>
        </is>
      </c>
      <c r="K98" t="inlineStr">
        <is>
          <t>ESIOS 1001 geo 8741</t>
        </is>
      </c>
      <c r="L98" t="inlineStr">
        <is>
          <t>24 valores; mín 172.96, máx 312.29 €/MWh</t>
        </is>
      </c>
    </row>
    <row r="99">
      <c r="A99" s="53" t="n">
        <v>44442</v>
      </c>
      <c r="B99" t="inlineStr">
        <is>
          <t>2021-09-03</t>
        </is>
      </c>
      <c r="C99" s="45" t="n">
        <v>225.6633</v>
      </c>
      <c r="D99" t="inlineStr">
        <is>
          <t>€/MWh</t>
        </is>
      </c>
      <c r="E99" s="54" t="n">
        <v>0.225663</v>
      </c>
      <c r="F99" s="54" t="n">
        <v>0.260921</v>
      </c>
      <c r="G99" t="inlineStr">
        <is>
          <t>calculado</t>
        </is>
      </c>
      <c r="H99" t="inlineStr">
        <is>
          <t>IEE 5.1127 % con cuota mínima 1 €/MWh (Ley 38/1992 art. 99) + IVA 10 % (RDL 12/2021 art. 1 (prorrogado por RDL 29/2021 y RDL 6/2022) (condición: mes anterior &gt; 45 €/MWh))</t>
        </is>
      </c>
      <c r="J99" t="inlineStr">
        <is>
          <t>2021-09-02</t>
        </is>
      </c>
      <c r="K99" t="inlineStr">
        <is>
          <t>ESIOS 1001 geo 8741</t>
        </is>
      </c>
      <c r="L99" t="inlineStr">
        <is>
          <t>24 valores; mín 174.26, máx 312.59 €/MWh</t>
        </is>
      </c>
    </row>
    <row r="100">
      <c r="A100" s="53" t="n">
        <v>44443</v>
      </c>
      <c r="B100" t="inlineStr">
        <is>
          <t>2021-09-04</t>
        </is>
      </c>
      <c r="C100" s="45" t="n">
        <v>169.325</v>
      </c>
      <c r="D100" t="inlineStr">
        <is>
          <t>€/MWh</t>
        </is>
      </c>
      <c r="E100" s="54" t="n">
        <v>0.169325</v>
      </c>
      <c r="F100" s="54" t="n">
        <v>0.19578</v>
      </c>
      <c r="G100" t="inlineStr">
        <is>
          <t>calculado</t>
        </is>
      </c>
      <c r="H100" t="inlineStr">
        <is>
          <t>IEE 5.1127 % con cuota mínima 1 €/MWh (Ley 38/1992 art. 99) + IVA 10 % (RDL 12/2021 art. 1 (prorrogado por RDL 29/2021 y RDL 6/2022) (condición: mes anterior &gt; 45 €/MWh))</t>
        </is>
      </c>
      <c r="J100" t="inlineStr">
        <is>
          <t>2021-09-03</t>
        </is>
      </c>
      <c r="K100" t="inlineStr">
        <is>
          <t>ESIOS 1001 geo 8741</t>
        </is>
      </c>
      <c r="L100" t="inlineStr">
        <is>
          <t>24 valores; mín 134.43, máx 188.78 €/MWh</t>
        </is>
      </c>
    </row>
    <row r="101">
      <c r="A101" s="53" t="n">
        <v>44444</v>
      </c>
      <c r="B101" t="inlineStr">
        <is>
          <t>2021-09-05</t>
        </is>
      </c>
      <c r="C101" s="45" t="n">
        <v>164.4467</v>
      </c>
      <c r="D101" t="inlineStr">
        <is>
          <t>€/MWh</t>
        </is>
      </c>
      <c r="E101" s="54" t="n">
        <v>0.164447</v>
      </c>
      <c r="F101" s="54" t="n">
        <v>0.19014</v>
      </c>
      <c r="G101" t="inlineStr">
        <is>
          <t>calculado</t>
        </is>
      </c>
      <c r="H101" t="inlineStr">
        <is>
          <t>IEE 5.1127 % con cuota mínima 1 €/MWh (Ley 38/1992 art. 99) + IVA 10 % (RDL 12/2021 art. 1 (prorrogado por RDL 29/2021 y RDL 6/2022) (condición: mes anterior &gt; 45 €/MWh))</t>
        </is>
      </c>
      <c r="J101" t="inlineStr">
        <is>
          <t>2021-09-04</t>
        </is>
      </c>
      <c r="K101" t="inlineStr">
        <is>
          <t>ESIOS 1001 geo 8741</t>
        </is>
      </c>
      <c r="L101" t="inlineStr">
        <is>
          <t>24 valores; mín 133.50, máx 197.91 €/MWh</t>
        </is>
      </c>
    </row>
    <row r="102">
      <c r="A102" s="53" t="n">
        <v>44445</v>
      </c>
      <c r="B102" t="inlineStr">
        <is>
          <t>2021-09-06</t>
        </is>
      </c>
      <c r="C102" s="45" t="n">
        <v>221.0308</v>
      </c>
      <c r="D102" t="inlineStr">
        <is>
          <t>€/MWh</t>
        </is>
      </c>
      <c r="E102" s="54" t="n">
        <v>0.221031</v>
      </c>
      <c r="F102" s="54" t="n">
        <v>0.255565</v>
      </c>
      <c r="G102" t="inlineStr">
        <is>
          <t>calculado</t>
        </is>
      </c>
      <c r="H102" t="inlineStr">
        <is>
          <t>IEE 5.1127 % con cuota mínima 1 €/MWh (Ley 38/1992 art. 99) + IVA 10 % (RDL 12/2021 art. 1 (prorrogado por RDL 29/2021 y RDL 6/2022) (condición: mes anterior &gt; 45 €/MWh))</t>
        </is>
      </c>
      <c r="J102" t="inlineStr">
        <is>
          <t>2021-09-05</t>
        </is>
      </c>
      <c r="K102" t="inlineStr">
        <is>
          <t>ESIOS 1001 geo 8741</t>
        </is>
      </c>
      <c r="L102" t="inlineStr">
        <is>
          <t>24 valores; mín 144.05, máx 317.12 €/MWh</t>
        </is>
      </c>
    </row>
    <row r="103">
      <c r="A103" s="53" t="n">
        <v>44446</v>
      </c>
      <c r="B103" t="inlineStr">
        <is>
          <t>2021-09-07</t>
        </is>
      </c>
      <c r="C103" s="45" t="n">
        <v>214.5312</v>
      </c>
      <c r="D103" t="inlineStr">
        <is>
          <t>€/MWh</t>
        </is>
      </c>
      <c r="E103" s="54" t="n">
        <v>0.214531</v>
      </c>
      <c r="F103" s="54" t="n">
        <v>0.248049</v>
      </c>
      <c r="G103" t="inlineStr">
        <is>
          <t>calculado</t>
        </is>
      </c>
      <c r="H103" t="inlineStr">
        <is>
          <t>IEE 5.1127 % con cuota mínima 1 €/MWh (Ley 38/1992 art. 99) + IVA 10 % (RDL 12/2021 art. 1 (prorrogado por RDL 29/2021 y RDL 6/2022) (condición: mes anterior &gt; 45 €/MWh))</t>
        </is>
      </c>
      <c r="J103" t="inlineStr">
        <is>
          <t>2021-09-06</t>
        </is>
      </c>
      <c r="K103" t="inlineStr">
        <is>
          <t>ESIOS 1001 geo 8741</t>
        </is>
      </c>
      <c r="L103" t="inlineStr">
        <is>
          <t>24 valores; mín 137.99, máx 317.90 €/MWh</t>
        </is>
      </c>
    </row>
    <row r="104">
      <c r="A104" s="53" t="n">
        <v>44447</v>
      </c>
      <c r="B104" t="inlineStr">
        <is>
          <t>2021-09-08</t>
        </is>
      </c>
      <c r="C104" s="45" t="n">
        <v>222.9021</v>
      </c>
      <c r="D104" t="inlineStr">
        <is>
          <t>€/MWh</t>
        </is>
      </c>
      <c r="E104" s="54" t="n">
        <v>0.222902</v>
      </c>
      <c r="F104" s="54" t="n">
        <v>0.257728</v>
      </c>
      <c r="G104" t="inlineStr">
        <is>
          <t>calculado</t>
        </is>
      </c>
      <c r="H104" t="inlineStr">
        <is>
          <t>IEE 5.1127 % con cuota mínima 1 €/MWh (Ley 38/1992 art. 99) + IVA 10 % (RDL 12/2021 art. 1 (prorrogado por RDL 29/2021 y RDL 6/2022) (condición: mes anterior &gt; 45 €/MWh))</t>
        </is>
      </c>
      <c r="J104" t="inlineStr">
        <is>
          <t>2021-09-07</t>
        </is>
      </c>
      <c r="K104" t="inlineStr">
        <is>
          <t>ESIOS 1001 geo 8741</t>
        </is>
      </c>
      <c r="L104" t="inlineStr">
        <is>
          <t>24 valores; mín 157.55, máx 316.99 €/MWh</t>
        </is>
      </c>
    </row>
    <row r="105">
      <c r="A105" s="53" t="n">
        <v>44448</v>
      </c>
      <c r="B105" t="inlineStr">
        <is>
          <t>2021-09-09</t>
        </is>
      </c>
      <c r="C105" s="45" t="n">
        <v>230.0137</v>
      </c>
      <c r="D105" t="inlineStr">
        <is>
          <t>€/MWh</t>
        </is>
      </c>
      <c r="E105" s="54" t="n">
        <v>0.230014</v>
      </c>
      <c r="F105" s="54" t="n">
        <v>0.265951</v>
      </c>
      <c r="G105" t="inlineStr">
        <is>
          <t>calculado</t>
        </is>
      </c>
      <c r="H105" t="inlineStr">
        <is>
          <t>IEE 5.1127 % con cuota mínima 1 €/MWh (Ley 38/1992 art. 99) + IVA 10 % (RDL 12/2021 art. 1 (prorrogado por RDL 29/2021 y RDL 6/2022) (condición: mes anterior &gt; 45 €/MWh))</t>
        </is>
      </c>
      <c r="J105" t="inlineStr">
        <is>
          <t>2021-09-08</t>
        </is>
      </c>
      <c r="K105" t="inlineStr">
        <is>
          <t>ESIOS 1001 geo 8741</t>
        </is>
      </c>
      <c r="L105" t="inlineStr">
        <is>
          <t>24 valores; mín 153.92, máx 321.38 €/MWh</t>
        </is>
      </c>
    </row>
    <row r="106">
      <c r="A106" s="53" t="n">
        <v>44449</v>
      </c>
      <c r="B106" t="inlineStr">
        <is>
          <t>2021-09-10</t>
        </is>
      </c>
      <c r="C106" s="45" t="n">
        <v>242.8629</v>
      </c>
      <c r="D106" t="inlineStr">
        <is>
          <t>€/MWh</t>
        </is>
      </c>
      <c r="E106" s="54" t="n">
        <v>0.242863</v>
      </c>
      <c r="F106" s="54" t="n">
        <v>0.280808</v>
      </c>
      <c r="G106" t="inlineStr">
        <is>
          <t>calculado</t>
        </is>
      </c>
      <c r="H106" t="inlineStr">
        <is>
          <t>IEE 5.1127 % con cuota mínima 1 €/MWh (Ley 38/1992 art. 99) + IVA 10 % (RDL 12/2021 art. 1 (prorrogado por RDL 29/2021 y RDL 6/2022) (condición: mes anterior &gt; 45 €/MWh))</t>
        </is>
      </c>
      <c r="J106" t="inlineStr">
        <is>
          <t>2021-09-09</t>
        </is>
      </c>
      <c r="K106" t="inlineStr">
        <is>
          <t>ESIOS 1001 geo 8741</t>
        </is>
      </c>
      <c r="L106" t="inlineStr">
        <is>
          <t>24 valores; mín 184.64, máx 326.12 €/MWh</t>
        </is>
      </c>
    </row>
    <row r="107">
      <c r="A107" s="53" t="n">
        <v>44450</v>
      </c>
      <c r="B107" t="inlineStr">
        <is>
          <t>2021-09-11</t>
        </is>
      </c>
      <c r="C107" s="45" t="n">
        <v>186.9858</v>
      </c>
      <c r="D107" t="inlineStr">
        <is>
          <t>€/MWh</t>
        </is>
      </c>
      <c r="E107" s="54" t="n">
        <v>0.186986</v>
      </c>
      <c r="F107" s="54" t="n">
        <v>0.2162</v>
      </c>
      <c r="G107" t="inlineStr">
        <is>
          <t>calculado</t>
        </is>
      </c>
      <c r="H107" t="inlineStr">
        <is>
          <t>IEE 5.1127 % con cuota mínima 1 €/MWh (Ley 38/1992 art. 99) + IVA 10 % (RDL 12/2021 art. 1 (prorrogado por RDL 29/2021 y RDL 6/2022) (condición: mes anterior &gt; 45 €/MWh))</t>
        </is>
      </c>
      <c r="J107" t="inlineStr">
        <is>
          <t>2021-09-10</t>
        </is>
      </c>
      <c r="K107" t="inlineStr">
        <is>
          <t>ESIOS 1001 geo 8741</t>
        </is>
      </c>
      <c r="L107" t="inlineStr">
        <is>
          <t>24 valores; mín 149.43, máx 204.00 €/MWh</t>
        </is>
      </c>
    </row>
    <row r="108">
      <c r="A108" s="53" t="n">
        <v>44451</v>
      </c>
      <c r="B108" t="inlineStr">
        <is>
          <t>2021-09-12</t>
        </is>
      </c>
      <c r="C108" s="45" t="n">
        <v>181.3408</v>
      </c>
      <c r="D108" t="inlineStr">
        <is>
          <t>€/MWh</t>
        </is>
      </c>
      <c r="E108" s="54" t="n">
        <v>0.181341</v>
      </c>
      <c r="F108" s="54" t="n">
        <v>0.209673</v>
      </c>
      <c r="G108" t="inlineStr">
        <is>
          <t>calculado</t>
        </is>
      </c>
      <c r="H108" t="inlineStr">
        <is>
          <t>IEE 5.1127 % con cuota mínima 1 €/MWh (Ley 38/1992 art. 99) + IVA 10 % (RDL 12/2021 art. 1 (prorrogado por RDL 29/2021 y RDL 6/2022) (condición: mes anterior &gt; 45 €/MWh))</t>
        </is>
      </c>
      <c r="J108" t="inlineStr">
        <is>
          <t>2021-09-11</t>
        </is>
      </c>
      <c r="K108" t="inlineStr">
        <is>
          <t>ESIOS 1001 geo 8741</t>
        </is>
      </c>
      <c r="L108" t="inlineStr">
        <is>
          <t>24 valores; mín 140.22, máx 206.42 €/MWh</t>
        </is>
      </c>
    </row>
    <row r="109">
      <c r="A109" s="53" t="n">
        <v>44452</v>
      </c>
      <c r="B109" t="inlineStr">
        <is>
          <t>2021-09-13</t>
        </is>
      </c>
      <c r="C109" s="45" t="n">
        <v>246.0404</v>
      </c>
      <c r="D109" t="inlineStr">
        <is>
          <t>€/MWh</t>
        </is>
      </c>
      <c r="E109" s="54" t="n">
        <v>0.24604</v>
      </c>
      <c r="F109" s="54" t="n">
        <v>0.284482</v>
      </c>
      <c r="G109" t="inlineStr">
        <is>
          <t>calculado</t>
        </is>
      </c>
      <c r="H109" t="inlineStr">
        <is>
          <t>IEE 5.1127 % con cuota mínima 1 €/MWh (Ley 38/1992 art. 99) + IVA 10 % (RDL 12/2021 art. 1 (prorrogado por RDL 29/2021 y RDL 6/2022) (condición: mes anterior &gt; 45 €/MWh))</t>
        </is>
      </c>
      <c r="J109" t="inlineStr">
        <is>
          <t>2021-09-12</t>
        </is>
      </c>
      <c r="K109" t="inlineStr">
        <is>
          <t>ESIOS 1001 geo 8741</t>
        </is>
      </c>
      <c r="L109" t="inlineStr">
        <is>
          <t>24 valores; mín 164.62, máx 337.03 €/MWh</t>
        </is>
      </c>
    </row>
    <row r="110">
      <c r="A110" s="53" t="n">
        <v>44453</v>
      </c>
      <c r="B110" t="inlineStr">
        <is>
          <t>2021-09-14</t>
        </is>
      </c>
      <c r="C110" s="45" t="n">
        <v>243.4217</v>
      </c>
      <c r="D110" t="inlineStr">
        <is>
          <t>€/MWh</t>
        </is>
      </c>
      <c r="E110" s="54" t="n">
        <v>0.243422</v>
      </c>
      <c r="F110" s="54" t="n">
        <v>0.281454</v>
      </c>
      <c r="G110" t="inlineStr">
        <is>
          <t>calculado</t>
        </is>
      </c>
      <c r="H110" t="inlineStr">
        <is>
          <t>IEE 5.1127 % con cuota mínima 1 €/MWh (Ley 38/1992 art. 99) + IVA 10 % (RDL 12/2021 art. 1 (prorrogado por RDL 29/2021 y RDL 6/2022) (condición: mes anterior &gt; 45 €/MWh))</t>
        </is>
      </c>
      <c r="J110" t="inlineStr">
        <is>
          <t>2021-09-13</t>
        </is>
      </c>
      <c r="K110" t="inlineStr">
        <is>
          <t>ESIOS 1001 geo 8741</t>
        </is>
      </c>
      <c r="L110" t="inlineStr">
        <is>
          <t>24 valores; mín 152.37, máx 338.62 €/MWh</t>
        </is>
      </c>
    </row>
    <row r="111">
      <c r="A111" s="53" t="n">
        <v>44454</v>
      </c>
      <c r="B111" t="inlineStr">
        <is>
          <t>2021-09-15</t>
        </is>
      </c>
      <c r="C111" s="45" t="n">
        <v>266.5</v>
      </c>
      <c r="D111" t="inlineStr">
        <is>
          <t>€/MWh</t>
        </is>
      </c>
      <c r="E111" s="54" t="n">
        <v>0.2665</v>
      </c>
      <c r="F111" s="54" t="n">
        <v>0.308138</v>
      </c>
      <c r="G111" t="inlineStr">
        <is>
          <t>calculado</t>
        </is>
      </c>
      <c r="H111" t="inlineStr">
        <is>
          <t>IEE 5.1127 % con cuota mínima 1 €/MWh (Ley 38/1992 art. 99) + IVA 10 % (RDL 12/2021 art. 1 (prorrogado por RDL 29/2021 y RDL 6/2022) (condición: mes anterior &gt; 45 €/MWh))</t>
        </is>
      </c>
      <c r="J111" t="inlineStr">
        <is>
          <t>2021-09-14</t>
        </is>
      </c>
      <c r="K111" t="inlineStr">
        <is>
          <t>ESIOS 1001 geo 8741</t>
        </is>
      </c>
      <c r="L111" t="inlineStr">
        <is>
          <t>24 valores; mín 199.23, máx 354.04 €/MWh</t>
        </is>
      </c>
    </row>
    <row r="112">
      <c r="A112" s="53" t="n">
        <v>44455</v>
      </c>
      <c r="B112" t="inlineStr">
        <is>
          <t>2021-09-16</t>
        </is>
      </c>
      <c r="C112" s="45" t="n">
        <v>242.285</v>
      </c>
      <c r="D112" t="inlineStr">
        <is>
          <t>€/MWh</t>
        </is>
      </c>
      <c r="E112" s="54" t="n">
        <v>0.242285</v>
      </c>
      <c r="F112" s="54" t="n">
        <v>0.267846</v>
      </c>
      <c r="G112" t="inlineStr">
        <is>
          <t>calculado</t>
        </is>
      </c>
      <c r="H112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112" t="inlineStr">
        <is>
          <t>2021-09-15</t>
        </is>
      </c>
      <c r="K112" t="inlineStr">
        <is>
          <t>ESIOS 1001 geo 8741</t>
        </is>
      </c>
      <c r="L112" t="inlineStr">
        <is>
          <t>24 valores; mín 216.58, máx 271.39 €/MWh</t>
        </is>
      </c>
    </row>
    <row r="113">
      <c r="A113" s="53" t="n">
        <v>44456</v>
      </c>
      <c r="B113" t="inlineStr">
        <is>
          <t>2021-09-17</t>
        </is>
      </c>
      <c r="C113" s="45" t="n">
        <v>218.4246</v>
      </c>
      <c r="D113" t="inlineStr">
        <is>
          <t>€/MWh</t>
        </is>
      </c>
      <c r="E113" s="54" t="n">
        <v>0.218425</v>
      </c>
      <c r="F113" s="54" t="n">
        <v>0.241468</v>
      </c>
      <c r="G113" t="inlineStr">
        <is>
          <t>calculado</t>
        </is>
      </c>
      <c r="H113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113" t="inlineStr">
        <is>
          <t>2021-09-16</t>
        </is>
      </c>
      <c r="K113" t="inlineStr">
        <is>
          <t>ESIOS 1001 geo 8741</t>
        </is>
      </c>
      <c r="L113" t="inlineStr">
        <is>
          <t>24 valores; mín 188.04, máx 256.81 €/MWh</t>
        </is>
      </c>
    </row>
    <row r="114">
      <c r="A114" s="53" t="n">
        <v>44457</v>
      </c>
      <c r="B114" t="inlineStr">
        <is>
          <t>2021-09-18</t>
        </is>
      </c>
      <c r="C114" s="45" t="n">
        <v>195.8129</v>
      </c>
      <c r="D114" t="inlineStr">
        <is>
          <t>€/MWh</t>
        </is>
      </c>
      <c r="E114" s="54" t="n">
        <v>0.195813</v>
      </c>
      <c r="F114" s="54" t="n">
        <v>0.216494</v>
      </c>
      <c r="G114" t="inlineStr">
        <is>
          <t>calculado</t>
        </is>
      </c>
      <c r="H114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114" t="inlineStr">
        <is>
          <t>2021-09-17</t>
        </is>
      </c>
      <c r="K114" t="inlineStr">
        <is>
          <t>ESIOS 1001 geo 8741</t>
        </is>
      </c>
      <c r="L114" t="inlineStr">
        <is>
          <t>24 valores; mín 154.03, máx 231.76 €/MWh</t>
        </is>
      </c>
    </row>
    <row r="115">
      <c r="A115" s="53" t="n">
        <v>44458</v>
      </c>
      <c r="B115" t="inlineStr">
        <is>
          <t>2021-09-19</t>
        </is>
      </c>
      <c r="C115" s="45" t="n">
        <v>183.3404</v>
      </c>
      <c r="D115" t="inlineStr">
        <is>
          <t>€/MWh</t>
        </is>
      </c>
      <c r="E115" s="54" t="n">
        <v>0.18334</v>
      </c>
      <c r="F115" s="54" t="n">
        <v>0.202774</v>
      </c>
      <c r="G115" t="inlineStr">
        <is>
          <t>calculado</t>
        </is>
      </c>
      <c r="H115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115" t="inlineStr">
        <is>
          <t>2021-09-18</t>
        </is>
      </c>
      <c r="K115" t="inlineStr">
        <is>
          <t>ESIOS 1001 geo 8741</t>
        </is>
      </c>
      <c r="L115" t="inlineStr">
        <is>
          <t>24 valores; mín 126.42, máx 228.74 €/MWh</t>
        </is>
      </c>
    </row>
    <row r="116">
      <c r="A116" s="53" t="n">
        <v>44459</v>
      </c>
      <c r="B116" t="inlineStr">
        <is>
          <t>2021-09-20</t>
        </is>
      </c>
      <c r="C116" s="45" t="n">
        <v>209.8367</v>
      </c>
      <c r="D116" t="inlineStr">
        <is>
          <t>€/MWh</t>
        </is>
      </c>
      <c r="E116" s="54" t="n">
        <v>0.209837</v>
      </c>
      <c r="F116" s="54" t="n">
        <v>0.231974</v>
      </c>
      <c r="G116" t="inlineStr">
        <is>
          <t>calculado</t>
        </is>
      </c>
      <c r="H116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116" t="inlineStr">
        <is>
          <t>2021-09-19</t>
        </is>
      </c>
      <c r="K116" t="inlineStr">
        <is>
          <t>ESIOS 1001 geo 8741</t>
        </is>
      </c>
      <c r="L116" t="inlineStr">
        <is>
          <t>24 valores; mín 176.56, máx 258.95 €/MWh</t>
        </is>
      </c>
    </row>
    <row r="117">
      <c r="A117" s="53" t="n">
        <v>44460</v>
      </c>
      <c r="B117" t="inlineStr">
        <is>
          <t>2021-09-21</t>
        </is>
      </c>
      <c r="C117" s="45" t="n">
        <v>201.2379</v>
      </c>
      <c r="D117" t="inlineStr">
        <is>
          <t>€/MWh</t>
        </is>
      </c>
      <c r="E117" s="54" t="n">
        <v>0.201238</v>
      </c>
      <c r="F117" s="54" t="n">
        <v>0.222468</v>
      </c>
      <c r="G117" t="inlineStr">
        <is>
          <t>calculado</t>
        </is>
      </c>
      <c r="H117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117" t="inlineStr">
        <is>
          <t>2021-09-20</t>
        </is>
      </c>
      <c r="K117" t="inlineStr">
        <is>
          <t>ESIOS 1001 geo 8741</t>
        </is>
      </c>
      <c r="L117" t="inlineStr">
        <is>
          <t>24 valores; mín 153.62, máx 259.38 €/MWh</t>
        </is>
      </c>
    </row>
    <row r="118">
      <c r="A118" s="53" t="n">
        <v>44461</v>
      </c>
      <c r="B118" t="inlineStr">
        <is>
          <t>2021-09-22</t>
        </is>
      </c>
      <c r="C118" s="45" t="n">
        <v>227.8079</v>
      </c>
      <c r="D118" t="inlineStr">
        <is>
          <t>€/MWh</t>
        </is>
      </c>
      <c r="E118" s="54" t="n">
        <v>0.227808</v>
      </c>
      <c r="F118" s="54" t="n">
        <v>0.251842</v>
      </c>
      <c r="G118" t="inlineStr">
        <is>
          <t>calculado</t>
        </is>
      </c>
      <c r="H118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118" t="inlineStr">
        <is>
          <t>2021-09-21</t>
        </is>
      </c>
      <c r="K118" t="inlineStr">
        <is>
          <t>ESIOS 1001 geo 8741</t>
        </is>
      </c>
      <c r="L118" t="inlineStr">
        <is>
          <t>24 valores; mín 182.34, máx 266.35 €/MWh</t>
        </is>
      </c>
    </row>
    <row r="119">
      <c r="A119" s="53" t="n">
        <v>44462</v>
      </c>
      <c r="B119" t="inlineStr">
        <is>
          <t>2021-09-23</t>
        </is>
      </c>
      <c r="C119" s="45" t="n">
        <v>216.3367</v>
      </c>
      <c r="D119" t="inlineStr">
        <is>
          <t>€/MWh</t>
        </is>
      </c>
      <c r="E119" s="54" t="n">
        <v>0.216337</v>
      </c>
      <c r="F119" s="54" t="n">
        <v>0.23916</v>
      </c>
      <c r="G119" t="inlineStr">
        <is>
          <t>calculado</t>
        </is>
      </c>
      <c r="H119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119" t="inlineStr">
        <is>
          <t>2021-09-22</t>
        </is>
      </c>
      <c r="K119" t="inlineStr">
        <is>
          <t>ESIOS 1001 geo 8741</t>
        </is>
      </c>
      <c r="L119" t="inlineStr">
        <is>
          <t>24 valores; mín 163.88, máx 263.86 €/MWh</t>
        </is>
      </c>
    </row>
    <row r="120">
      <c r="A120" s="53" t="n">
        <v>44463</v>
      </c>
      <c r="B120" t="inlineStr">
        <is>
          <t>2021-09-24</t>
        </is>
      </c>
      <c r="C120" s="45" t="n">
        <v>224.9579</v>
      </c>
      <c r="D120" t="inlineStr">
        <is>
          <t>€/MWh</t>
        </is>
      </c>
      <c r="E120" s="54" t="n">
        <v>0.224958</v>
      </c>
      <c r="F120" s="54" t="n">
        <v>0.248691</v>
      </c>
      <c r="G120" t="inlineStr">
        <is>
          <t>calculado</t>
        </is>
      </c>
      <c r="H120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120" t="inlineStr">
        <is>
          <t>2021-09-23</t>
        </is>
      </c>
      <c r="K120" t="inlineStr">
        <is>
          <t>ESIOS 1001 geo 8741</t>
        </is>
      </c>
      <c r="L120" t="inlineStr">
        <is>
          <t>24 valores; mín 182.40, máx 260.52 €/MWh</t>
        </is>
      </c>
    </row>
    <row r="121">
      <c r="A121" s="53" t="n">
        <v>44464</v>
      </c>
      <c r="B121" t="inlineStr">
        <is>
          <t>2021-09-25</t>
        </is>
      </c>
      <c r="C121" s="45" t="n">
        <v>201.8046</v>
      </c>
      <c r="D121" t="inlineStr">
        <is>
          <t>€/MWh</t>
        </is>
      </c>
      <c r="E121" s="54" t="n">
        <v>0.201805</v>
      </c>
      <c r="F121" s="54" t="n">
        <v>0.223095</v>
      </c>
      <c r="G121" t="inlineStr">
        <is>
          <t>calculado</t>
        </is>
      </c>
      <c r="H121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121" t="inlineStr">
        <is>
          <t>2021-09-24</t>
        </is>
      </c>
      <c r="K121" t="inlineStr">
        <is>
          <t>ESIOS 1001 geo 8741</t>
        </is>
      </c>
      <c r="L121" t="inlineStr">
        <is>
          <t>24 valores; mín 141.29, máx 227.58 €/MWh</t>
        </is>
      </c>
    </row>
    <row r="122">
      <c r="A122" s="53" t="n">
        <v>44465</v>
      </c>
      <c r="B122" t="inlineStr">
        <is>
          <t>2021-09-26</t>
        </is>
      </c>
      <c r="C122" s="45" t="n">
        <v>197.7058</v>
      </c>
      <c r="D122" t="inlineStr">
        <is>
          <t>€/MWh</t>
        </is>
      </c>
      <c r="E122" s="54" t="n">
        <v>0.197706</v>
      </c>
      <c r="F122" s="54" t="n">
        <v>0.218576</v>
      </c>
      <c r="G122" t="inlineStr">
        <is>
          <t>calculado</t>
        </is>
      </c>
      <c r="H122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122" t="inlineStr">
        <is>
          <t>2021-09-25</t>
        </is>
      </c>
      <c r="K122" t="inlineStr">
        <is>
          <t>ESIOS 1001 geo 8741</t>
        </is>
      </c>
      <c r="L122" t="inlineStr">
        <is>
          <t>24 valores; mín 144.24, máx 238.93 €/MWh</t>
        </is>
      </c>
    </row>
    <row r="123">
      <c r="A123" s="53" t="n">
        <v>44466</v>
      </c>
      <c r="B123" t="inlineStr">
        <is>
          <t>2021-09-27</t>
        </is>
      </c>
      <c r="C123" s="45" t="n">
        <v>227.4367</v>
      </c>
      <c r="D123" t="inlineStr">
        <is>
          <t>€/MWh</t>
        </is>
      </c>
      <c r="E123" s="54" t="n">
        <v>0.227437</v>
      </c>
      <c r="F123" s="54" t="n">
        <v>0.251431</v>
      </c>
      <c r="G123" t="inlineStr">
        <is>
          <t>calculado</t>
        </is>
      </c>
      <c r="H123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123" t="inlineStr">
        <is>
          <t>2021-09-26</t>
        </is>
      </c>
      <c r="K123" t="inlineStr">
        <is>
          <t>ESIOS 1001 geo 8741</t>
        </is>
      </c>
      <c r="L123" t="inlineStr">
        <is>
          <t>24 valores; mín 175.64, máx 265.90 €/MWh</t>
        </is>
      </c>
    </row>
    <row r="124">
      <c r="A124" s="53" t="n">
        <v>44467</v>
      </c>
      <c r="B124" t="inlineStr">
        <is>
          <t>2021-09-28</t>
        </is>
      </c>
      <c r="C124" s="45" t="n">
        <v>235.6287</v>
      </c>
      <c r="D124" t="inlineStr">
        <is>
          <t>€/MWh</t>
        </is>
      </c>
      <c r="E124" s="54" t="n">
        <v>0.235629</v>
      </c>
      <c r="F124" s="54" t="n">
        <v>0.260488</v>
      </c>
      <c r="G124" t="inlineStr">
        <is>
          <t>calculado</t>
        </is>
      </c>
      <c r="H124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124" t="inlineStr">
        <is>
          <t>2021-09-27</t>
        </is>
      </c>
      <c r="K124" t="inlineStr">
        <is>
          <t>ESIOS 1001 geo 8741</t>
        </is>
      </c>
      <c r="L124" t="inlineStr">
        <is>
          <t>24 valores; mín 203.80, máx 265.62 €/MWh</t>
        </is>
      </c>
    </row>
    <row r="125">
      <c r="A125" s="53" t="n">
        <v>44468</v>
      </c>
      <c r="B125" t="inlineStr">
        <is>
          <t>2021-09-29</t>
        </is>
      </c>
      <c r="C125" s="45" t="n">
        <v>245.7062</v>
      </c>
      <c r="D125" t="inlineStr">
        <is>
          <t>€/MWh</t>
        </is>
      </c>
      <c r="E125" s="54" t="n">
        <v>0.245706</v>
      </c>
      <c r="F125" s="54" t="n">
        <v>0.271628</v>
      </c>
      <c r="G125" t="inlineStr">
        <is>
          <t>calculado</t>
        </is>
      </c>
      <c r="H125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125" t="inlineStr">
        <is>
          <t>2021-09-28</t>
        </is>
      </c>
      <c r="K125" t="inlineStr">
        <is>
          <t>ESIOS 1001 geo 8741</t>
        </is>
      </c>
      <c r="L125" t="inlineStr">
        <is>
          <t>24 valores; mín 205.78, máx 282.87 €/MWh</t>
        </is>
      </c>
    </row>
    <row r="126">
      <c r="A126" s="53" t="n">
        <v>44469</v>
      </c>
      <c r="B126" t="inlineStr">
        <is>
          <t>2021-09-30</t>
        </is>
      </c>
      <c r="C126" s="45" t="n">
        <v>246.1525</v>
      </c>
      <c r="D126" t="inlineStr">
        <is>
          <t>€/MWh</t>
        </is>
      </c>
      <c r="E126" s="54" t="n">
        <v>0.246152</v>
      </c>
      <c r="F126" s="54" t="n">
        <v>0.272122</v>
      </c>
      <c r="G126" t="inlineStr">
        <is>
          <t>calculado</t>
        </is>
      </c>
      <c r="H126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126" t="inlineStr">
        <is>
          <t>2021-09-29</t>
        </is>
      </c>
      <c r="K126" t="inlineStr">
        <is>
          <t>ESIOS 1001 geo 8741</t>
        </is>
      </c>
      <c r="L126" t="inlineStr">
        <is>
          <t>24 valores; mín 181.16, máx 297.89 €/MWh</t>
        </is>
      </c>
    </row>
    <row r="127">
      <c r="A127" s="53" t="n">
        <v>44470</v>
      </c>
      <c r="B127" t="inlineStr">
        <is>
          <t>2021-10-01</t>
        </is>
      </c>
      <c r="C127" s="45" t="n">
        <v>280.1808</v>
      </c>
      <c r="D127" t="inlineStr">
        <is>
          <t>€/MWh</t>
        </is>
      </c>
      <c r="E127" s="54" t="n">
        <v>0.280181</v>
      </c>
      <c r="F127" s="54" t="n">
        <v>0.30974</v>
      </c>
      <c r="G127" t="inlineStr">
        <is>
          <t>calculado</t>
        </is>
      </c>
      <c r="H127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127" t="inlineStr">
        <is>
          <t>2021-09-30</t>
        </is>
      </c>
      <c r="K127" t="inlineStr">
        <is>
          <t>ESIOS 1001 geo 8741</t>
        </is>
      </c>
      <c r="L127" t="inlineStr">
        <is>
          <t>24 valores; mín 260.16, máx 311.54 €/MWh</t>
        </is>
      </c>
    </row>
    <row r="128">
      <c r="A128" s="53" t="n">
        <v>44471</v>
      </c>
      <c r="B128" t="inlineStr">
        <is>
          <t>2021-10-02</t>
        </is>
      </c>
      <c r="C128" s="45" t="n">
        <v>218.4013</v>
      </c>
      <c r="D128" t="inlineStr">
        <is>
          <t>€/MWh</t>
        </is>
      </c>
      <c r="E128" s="54" t="n">
        <v>0.218401</v>
      </c>
      <c r="F128" s="54" t="n">
        <v>0.241443</v>
      </c>
      <c r="G128" t="inlineStr">
        <is>
          <t>calculado</t>
        </is>
      </c>
      <c r="H128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128" t="inlineStr">
        <is>
          <t>2021-10-01</t>
        </is>
      </c>
      <c r="K128" t="inlineStr">
        <is>
          <t>ESIOS 1001 geo 8741</t>
        </is>
      </c>
      <c r="L128" t="inlineStr">
        <is>
          <t>24 valores; mín 76.11, máx 288.16 €/MWh</t>
        </is>
      </c>
    </row>
    <row r="129">
      <c r="A129" s="53" t="n">
        <v>44472</v>
      </c>
      <c r="B129" t="inlineStr">
        <is>
          <t>2021-10-03</t>
        </is>
      </c>
      <c r="C129" s="45" t="n">
        <v>151.8538</v>
      </c>
      <c r="D129" t="inlineStr">
        <is>
          <t>€/MWh</t>
        </is>
      </c>
      <c r="E129" s="54" t="n">
        <v>0.151854</v>
      </c>
      <c r="F129" s="54" t="n">
        <v>0.168139</v>
      </c>
      <c r="G129" t="inlineStr">
        <is>
          <t>calculado</t>
        </is>
      </c>
      <c r="H129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129" t="inlineStr">
        <is>
          <t>2021-10-02</t>
        </is>
      </c>
      <c r="K129" t="inlineStr">
        <is>
          <t>ESIOS 1001 geo 8741</t>
        </is>
      </c>
      <c r="L129" t="inlineStr">
        <is>
          <t>24 valores; mín 48.85, máx 259.56 €/MWh</t>
        </is>
      </c>
    </row>
    <row r="130">
      <c r="A130" s="53" t="n">
        <v>44473</v>
      </c>
      <c r="B130" t="inlineStr">
        <is>
          <t>2021-10-04</t>
        </is>
      </c>
      <c r="C130" s="45" t="n">
        <v>249.7446</v>
      </c>
      <c r="D130" t="inlineStr">
        <is>
          <t>€/MWh</t>
        </is>
      </c>
      <c r="E130" s="54" t="n">
        <v>0.249745</v>
      </c>
      <c r="F130" s="54" t="n">
        <v>0.276093</v>
      </c>
      <c r="G130" t="inlineStr">
        <is>
          <t>calculado</t>
        </is>
      </c>
      <c r="H130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130" t="inlineStr">
        <is>
          <t>2021-10-03</t>
        </is>
      </c>
      <c r="K130" t="inlineStr">
        <is>
          <t>ESIOS 1001 geo 8741</t>
        </is>
      </c>
      <c r="L130" t="inlineStr">
        <is>
          <t>24 valores; mín 188.28, máx 334.26 €/MWh</t>
        </is>
      </c>
    </row>
    <row r="131">
      <c r="A131" s="53" t="n">
        <v>44474</v>
      </c>
      <c r="B131" t="inlineStr">
        <is>
          <t>2021-10-05</t>
        </is>
      </c>
      <c r="C131" s="45" t="n">
        <v>269.2621</v>
      </c>
      <c r="D131" t="inlineStr">
        <is>
          <t>€/MWh</t>
        </is>
      </c>
      <c r="E131" s="54" t="n">
        <v>0.269262</v>
      </c>
      <c r="F131" s="54" t="n">
        <v>0.297669</v>
      </c>
      <c r="G131" t="inlineStr">
        <is>
          <t>calculado</t>
        </is>
      </c>
      <c r="H131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131" t="inlineStr">
        <is>
          <t>2021-10-04</t>
        </is>
      </c>
      <c r="K131" t="inlineStr">
        <is>
          <t>ESIOS 1001 geo 8741</t>
        </is>
      </c>
      <c r="L131" t="inlineStr">
        <is>
          <t>24 valores; mín 212.73, máx 343.96 €/MWh</t>
        </is>
      </c>
    </row>
    <row r="132">
      <c r="A132" s="53" t="n">
        <v>44475</v>
      </c>
      <c r="B132" t="inlineStr">
        <is>
          <t>2021-10-06</t>
        </is>
      </c>
      <c r="C132" s="45" t="n">
        <v>297.5142</v>
      </c>
      <c r="D132" t="inlineStr">
        <is>
          <t>€/MWh</t>
        </is>
      </c>
      <c r="E132" s="54" t="n">
        <v>0.297514</v>
      </c>
      <c r="F132" s="54" t="n">
        <v>0.328902</v>
      </c>
      <c r="G132" t="inlineStr">
        <is>
          <t>calculado</t>
        </is>
      </c>
      <c r="H132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132" t="inlineStr">
        <is>
          <t>2021-10-05</t>
        </is>
      </c>
      <c r="K132" t="inlineStr">
        <is>
          <t>ESIOS 1001 geo 8741</t>
        </is>
      </c>
      <c r="L132" t="inlineStr">
        <is>
          <t>24 valores; mín 257.91, máx 348.87 €/MWh</t>
        </is>
      </c>
    </row>
    <row r="133">
      <c r="A133" s="53" t="n">
        <v>44476</v>
      </c>
      <c r="B133" t="inlineStr">
        <is>
          <t>2021-10-07</t>
        </is>
      </c>
      <c r="C133" s="45" t="n">
        <v>367.8392</v>
      </c>
      <c r="D133" t="inlineStr">
        <is>
          <t>€/MWh</t>
        </is>
      </c>
      <c r="E133" s="54" t="n">
        <v>0.367839</v>
      </c>
      <c r="F133" s="54" t="n">
        <v>0.406646</v>
      </c>
      <c r="G133" t="inlineStr">
        <is>
          <t>calculado</t>
        </is>
      </c>
      <c r="H133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133" t="inlineStr">
        <is>
          <t>2021-10-06</t>
        </is>
      </c>
      <c r="K133" t="inlineStr">
        <is>
          <t>ESIOS 1001 geo 8741</t>
        </is>
      </c>
      <c r="L133" t="inlineStr">
        <is>
          <t>24 valores; mín 308.04, máx 416.71 €/MWh</t>
        </is>
      </c>
    </row>
    <row r="134">
      <c r="A134" s="53" t="n">
        <v>44477</v>
      </c>
      <c r="B134" t="inlineStr">
        <is>
          <t>2021-10-08</t>
        </is>
      </c>
      <c r="C134" s="45" t="n">
        <v>296.8183</v>
      </c>
      <c r="D134" t="inlineStr">
        <is>
          <t>€/MWh</t>
        </is>
      </c>
      <c r="E134" s="54" t="n">
        <v>0.296818</v>
      </c>
      <c r="F134" s="54" t="n">
        <v>0.328133</v>
      </c>
      <c r="G134" t="inlineStr">
        <is>
          <t>calculado</t>
        </is>
      </c>
      <c r="H134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134" t="inlineStr">
        <is>
          <t>2021-10-07</t>
        </is>
      </c>
      <c r="K134" t="inlineStr">
        <is>
          <t>ESIOS 1001 geo 8741</t>
        </is>
      </c>
      <c r="L134" t="inlineStr">
        <is>
          <t>24 valores; mín 247.11, máx 380.00 €/MWh</t>
        </is>
      </c>
    </row>
    <row r="135">
      <c r="A135" s="53" t="n">
        <v>44478</v>
      </c>
      <c r="B135" t="inlineStr">
        <is>
          <t>2021-10-09</t>
        </is>
      </c>
      <c r="C135" s="45" t="n">
        <v>275.9237</v>
      </c>
      <c r="D135" t="inlineStr">
        <is>
          <t>€/MWh</t>
        </is>
      </c>
      <c r="E135" s="54" t="n">
        <v>0.275924</v>
      </c>
      <c r="F135" s="54" t="n">
        <v>0.305034</v>
      </c>
      <c r="G135" t="inlineStr">
        <is>
          <t>calculado</t>
        </is>
      </c>
      <c r="H135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135" t="inlineStr">
        <is>
          <t>2021-10-08</t>
        </is>
      </c>
      <c r="K135" t="inlineStr">
        <is>
          <t>ESIOS 1001 geo 8741</t>
        </is>
      </c>
      <c r="L135" t="inlineStr">
        <is>
          <t>24 valores; mín 215.18, máx 307.71 €/MWh</t>
        </is>
      </c>
    </row>
    <row r="136">
      <c r="A136" s="53" t="n">
        <v>44479</v>
      </c>
      <c r="B136" t="inlineStr">
        <is>
          <t>2021-10-10</t>
        </is>
      </c>
      <c r="C136" s="45" t="n">
        <v>226.1817</v>
      </c>
      <c r="D136" t="inlineStr">
        <is>
          <t>€/MWh</t>
        </is>
      </c>
      <c r="E136" s="54" t="n">
        <v>0.226182</v>
      </c>
      <c r="F136" s="54" t="n">
        <v>0.250044</v>
      </c>
      <c r="G136" t="inlineStr">
        <is>
          <t>calculado</t>
        </is>
      </c>
      <c r="H136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136" t="inlineStr">
        <is>
          <t>2021-10-09</t>
        </is>
      </c>
      <c r="K136" t="inlineStr">
        <is>
          <t>ESIOS 1001 geo 8741</t>
        </is>
      </c>
      <c r="L136" t="inlineStr">
        <is>
          <t>24 valores; mín 173.27, máx 309.73 €/MWh</t>
        </is>
      </c>
    </row>
    <row r="137">
      <c r="A137" s="53" t="n">
        <v>44480</v>
      </c>
      <c r="B137" t="inlineStr">
        <is>
          <t>2021-10-11</t>
        </is>
      </c>
      <c r="C137" s="45" t="n">
        <v>248.4304</v>
      </c>
      <c r="D137" t="inlineStr">
        <is>
          <t>€/MWh</t>
        </is>
      </c>
      <c r="E137" s="54" t="n">
        <v>0.24843</v>
      </c>
      <c r="F137" s="54" t="n">
        <v>0.27464</v>
      </c>
      <c r="G137" t="inlineStr">
        <is>
          <t>calculado</t>
        </is>
      </c>
      <c r="H137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137" t="inlineStr">
        <is>
          <t>2021-10-10</t>
        </is>
      </c>
      <c r="K137" t="inlineStr">
        <is>
          <t>ESIOS 1001 geo 8741</t>
        </is>
      </c>
      <c r="L137" t="inlineStr">
        <is>
          <t>24 valores; mín 170.83, máx 327.45 €/MWh</t>
        </is>
      </c>
    </row>
    <row r="138">
      <c r="A138" s="53" t="n">
        <v>44481</v>
      </c>
      <c r="B138" t="inlineStr">
        <is>
          <t>2021-10-12</t>
        </is>
      </c>
      <c r="C138" s="45" t="n">
        <v>232.0679</v>
      </c>
      <c r="D138" t="inlineStr">
        <is>
          <t>€/MWh</t>
        </is>
      </c>
      <c r="E138" s="54" t="n">
        <v>0.232068</v>
      </c>
      <c r="F138" s="54" t="n">
        <v>0.256551</v>
      </c>
      <c r="G138" t="inlineStr">
        <is>
          <t>calculado</t>
        </is>
      </c>
      <c r="H138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138" t="inlineStr">
        <is>
          <t>2021-10-11</t>
        </is>
      </c>
      <c r="K138" t="inlineStr">
        <is>
          <t>ESIOS 1001 geo 8741</t>
        </is>
      </c>
      <c r="L138" t="inlineStr">
        <is>
          <t>24 valores; mín 188.87, máx 284.18 €/MWh</t>
        </is>
      </c>
    </row>
    <row r="139">
      <c r="A139" s="53" t="n">
        <v>44482</v>
      </c>
      <c r="B139" t="inlineStr">
        <is>
          <t>2021-10-13</t>
        </is>
      </c>
      <c r="C139" s="45" t="n">
        <v>251.0421</v>
      </c>
      <c r="D139" t="inlineStr">
        <is>
          <t>€/MWh</t>
        </is>
      </c>
      <c r="E139" s="54" t="n">
        <v>0.251042</v>
      </c>
      <c r="F139" s="54" t="n">
        <v>0.277527</v>
      </c>
      <c r="G139" t="inlineStr">
        <is>
          <t>calculado</t>
        </is>
      </c>
      <c r="H139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139" t="inlineStr">
        <is>
          <t>2021-10-12</t>
        </is>
      </c>
      <c r="K139" t="inlineStr">
        <is>
          <t>ESIOS 1001 geo 8741</t>
        </is>
      </c>
      <c r="L139" t="inlineStr">
        <is>
          <t>24 valores; mín 186.17, máx 323.26 €/MWh</t>
        </is>
      </c>
    </row>
    <row r="140">
      <c r="A140" s="53" t="n">
        <v>44483</v>
      </c>
      <c r="B140" t="inlineStr">
        <is>
          <t>2021-10-14</t>
        </is>
      </c>
      <c r="C140" s="45" t="n">
        <v>281.3562</v>
      </c>
      <c r="D140" t="inlineStr">
        <is>
          <t>€/MWh</t>
        </is>
      </c>
      <c r="E140" s="54" t="n">
        <v>0.281356</v>
      </c>
      <c r="F140" s="54" t="n">
        <v>0.311039</v>
      </c>
      <c r="G140" t="inlineStr">
        <is>
          <t>calculado</t>
        </is>
      </c>
      <c r="H140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140" t="inlineStr">
        <is>
          <t>2021-10-13</t>
        </is>
      </c>
      <c r="K140" t="inlineStr">
        <is>
          <t>ESIOS 1001 geo 8741</t>
        </is>
      </c>
      <c r="L140" t="inlineStr">
        <is>
          <t>24 valores; mín 234.67, máx 337.47 €/MWh</t>
        </is>
      </c>
    </row>
    <row r="141">
      <c r="A141" s="53" t="n">
        <v>44484</v>
      </c>
      <c r="B141" t="inlineStr">
        <is>
          <t>2021-10-15</t>
        </is>
      </c>
      <c r="C141" s="45" t="n">
        <v>298.4933</v>
      </c>
      <c r="D141" t="inlineStr">
        <is>
          <t>€/MWh</t>
        </is>
      </c>
      <c r="E141" s="54" t="n">
        <v>0.298493</v>
      </c>
      <c r="F141" s="54" t="n">
        <v>0.329984</v>
      </c>
      <c r="G141" t="inlineStr">
        <is>
          <t>calculado</t>
        </is>
      </c>
      <c r="H141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141" t="inlineStr">
        <is>
          <t>2021-10-14</t>
        </is>
      </c>
      <c r="K141" t="inlineStr">
        <is>
          <t>ESIOS 1001 geo 8741</t>
        </is>
      </c>
      <c r="L141" t="inlineStr">
        <is>
          <t>24 valores; mín 261.08, máx 345.25 €/MWh</t>
        </is>
      </c>
    </row>
    <row r="142">
      <c r="A142" s="53" t="n">
        <v>44485</v>
      </c>
      <c r="B142" t="inlineStr">
        <is>
          <t>2021-10-16</t>
        </is>
      </c>
      <c r="C142" s="45" t="n">
        <v>277.9483</v>
      </c>
      <c r="D142" t="inlineStr">
        <is>
          <t>€/MWh</t>
        </is>
      </c>
      <c r="E142" s="54" t="n">
        <v>0.277948</v>
      </c>
      <c r="F142" s="54" t="n">
        <v>0.307272</v>
      </c>
      <c r="G142" t="inlineStr">
        <is>
          <t>calculado</t>
        </is>
      </c>
      <c r="H142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142" t="inlineStr">
        <is>
          <t>2021-10-15</t>
        </is>
      </c>
      <c r="K142" t="inlineStr">
        <is>
          <t>ESIOS 1001 geo 8741</t>
        </is>
      </c>
      <c r="L142" t="inlineStr">
        <is>
          <t>24 valores; mín 232.81, máx 320.44 €/MWh</t>
        </is>
      </c>
    </row>
    <row r="143">
      <c r="A143" s="53" t="n">
        <v>44486</v>
      </c>
      <c r="B143" t="inlineStr">
        <is>
          <t>2021-10-17</t>
        </is>
      </c>
      <c r="C143" s="45" t="n">
        <v>261.0846</v>
      </c>
      <c r="D143" t="inlineStr">
        <is>
          <t>€/MWh</t>
        </is>
      </c>
      <c r="E143" s="54" t="n">
        <v>0.261085</v>
      </c>
      <c r="F143" s="54" t="n">
        <v>0.288629</v>
      </c>
      <c r="G143" t="inlineStr">
        <is>
          <t>calculado</t>
        </is>
      </c>
      <c r="H143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143" t="inlineStr">
        <is>
          <t>2021-10-16</t>
        </is>
      </c>
      <c r="K143" t="inlineStr">
        <is>
          <t>ESIOS 1001 geo 8741</t>
        </is>
      </c>
      <c r="L143" t="inlineStr">
        <is>
          <t>24 valores; mín 227.25, máx 332.76 €/MWh</t>
        </is>
      </c>
    </row>
    <row r="144">
      <c r="A144" s="53" t="n">
        <v>44487</v>
      </c>
      <c r="B144" t="inlineStr">
        <is>
          <t>2021-10-18</t>
        </is>
      </c>
      <c r="C144" s="45" t="n">
        <v>295.1167</v>
      </c>
      <c r="D144" t="inlineStr">
        <is>
          <t>€/MWh</t>
        </is>
      </c>
      <c r="E144" s="54" t="n">
        <v>0.295117</v>
      </c>
      <c r="F144" s="54" t="n">
        <v>0.326252</v>
      </c>
      <c r="G144" t="inlineStr">
        <is>
          <t>calculado</t>
        </is>
      </c>
      <c r="H144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144" t="inlineStr">
        <is>
          <t>2021-10-17</t>
        </is>
      </c>
      <c r="K144" t="inlineStr">
        <is>
          <t>ESIOS 1001 geo 8741</t>
        </is>
      </c>
      <c r="L144" t="inlineStr">
        <is>
          <t>24 valores; mín 256.53, máx 368.04 €/MWh</t>
        </is>
      </c>
    </row>
    <row r="145">
      <c r="A145" s="53" t="n">
        <v>44488</v>
      </c>
      <c r="B145" t="inlineStr">
        <is>
          <t>2021-10-19</t>
        </is>
      </c>
      <c r="C145" s="45" t="n">
        <v>272.9608</v>
      </c>
      <c r="D145" t="inlineStr">
        <is>
          <t>€/MWh</t>
        </is>
      </c>
      <c r="E145" s="54" t="n">
        <v>0.272961</v>
      </c>
      <c r="F145" s="54" t="n">
        <v>0.301758</v>
      </c>
      <c r="G145" t="inlineStr">
        <is>
          <t>calculado</t>
        </is>
      </c>
      <c r="H145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145" t="inlineStr">
        <is>
          <t>2021-10-18</t>
        </is>
      </c>
      <c r="K145" t="inlineStr">
        <is>
          <t>ESIOS 1001 geo 8741</t>
        </is>
      </c>
      <c r="L145" t="inlineStr">
        <is>
          <t>24 valores; mín 231.31, máx 342.06 €/MWh</t>
        </is>
      </c>
    </row>
    <row r="146">
      <c r="A146" s="53" t="n">
        <v>44489</v>
      </c>
      <c r="B146" t="inlineStr">
        <is>
          <t>2021-10-20</t>
        </is>
      </c>
      <c r="C146" s="45" t="n">
        <v>266.1154</v>
      </c>
      <c r="D146" t="inlineStr">
        <is>
          <t>€/MWh</t>
        </is>
      </c>
      <c r="E146" s="54" t="n">
        <v>0.266115</v>
      </c>
      <c r="F146" s="54" t="n">
        <v>0.294191</v>
      </c>
      <c r="G146" t="inlineStr">
        <is>
          <t>calculado</t>
        </is>
      </c>
      <c r="H146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146" t="inlineStr">
        <is>
          <t>2021-10-19</t>
        </is>
      </c>
      <c r="K146" t="inlineStr">
        <is>
          <t>ESIOS 1001 geo 8741</t>
        </is>
      </c>
      <c r="L146" t="inlineStr">
        <is>
          <t>24 valores; mín 201.60, máx 342.25 €/MWh</t>
        </is>
      </c>
    </row>
    <row r="147">
      <c r="A147" s="53" t="n">
        <v>44490</v>
      </c>
      <c r="B147" t="inlineStr">
        <is>
          <t>2021-10-21</t>
        </is>
      </c>
      <c r="C147" s="45" t="n">
        <v>272.1879</v>
      </c>
      <c r="D147" t="inlineStr">
        <is>
          <t>€/MWh</t>
        </is>
      </c>
      <c r="E147" s="54" t="n">
        <v>0.272188</v>
      </c>
      <c r="F147" s="54" t="n">
        <v>0.300904</v>
      </c>
      <c r="G147" t="inlineStr">
        <is>
          <t>calculado</t>
        </is>
      </c>
      <c r="H147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147" t="inlineStr">
        <is>
          <t>2021-10-20</t>
        </is>
      </c>
      <c r="K147" t="inlineStr">
        <is>
          <t>ESIOS 1001 geo 8741</t>
        </is>
      </c>
      <c r="L147" t="inlineStr">
        <is>
          <t>24 valores; mín 240.64, máx 333.33 €/MWh</t>
        </is>
      </c>
    </row>
    <row r="148">
      <c r="A148" s="53" t="n">
        <v>44491</v>
      </c>
      <c r="B148" t="inlineStr">
        <is>
          <t>2021-10-22</t>
        </is>
      </c>
      <c r="C148" s="45" t="n">
        <v>267.9208</v>
      </c>
      <c r="D148" t="inlineStr">
        <is>
          <t>€/MWh</t>
        </is>
      </c>
      <c r="E148" s="54" t="n">
        <v>0.267921</v>
      </c>
      <c r="F148" s="54" t="n">
        <v>0.296186</v>
      </c>
      <c r="G148" t="inlineStr">
        <is>
          <t>calculado</t>
        </is>
      </c>
      <c r="H148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148" t="inlineStr">
        <is>
          <t>2021-10-21</t>
        </is>
      </c>
      <c r="K148" t="inlineStr">
        <is>
          <t>ESIOS 1001 geo 8741</t>
        </is>
      </c>
      <c r="L148" t="inlineStr">
        <is>
          <t>24 valores; mín 220.64, máx 334.66 €/MWh</t>
        </is>
      </c>
    </row>
    <row r="149">
      <c r="A149" s="53" t="n">
        <v>44492</v>
      </c>
      <c r="B149" t="inlineStr">
        <is>
          <t>2021-10-23</t>
        </is>
      </c>
      <c r="C149" s="45" t="n">
        <v>258.9075</v>
      </c>
      <c r="D149" t="inlineStr">
        <is>
          <t>€/MWh</t>
        </is>
      </c>
      <c r="E149" s="54" t="n">
        <v>0.258907</v>
      </c>
      <c r="F149" s="54" t="n">
        <v>0.286222</v>
      </c>
      <c r="G149" t="inlineStr">
        <is>
          <t>calculado</t>
        </is>
      </c>
      <c r="H149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149" t="inlineStr">
        <is>
          <t>2021-10-22</t>
        </is>
      </c>
      <c r="K149" t="inlineStr">
        <is>
          <t>ESIOS 1001 geo 8741</t>
        </is>
      </c>
      <c r="L149" t="inlineStr">
        <is>
          <t>24 valores; mín 215.65, máx 311.77 €/MWh</t>
        </is>
      </c>
    </row>
    <row r="150">
      <c r="A150" s="53" t="n">
        <v>44493</v>
      </c>
      <c r="B150" t="inlineStr">
        <is>
          <t>2021-10-24</t>
        </is>
      </c>
      <c r="C150" s="45" t="n">
        <v>264.9796</v>
      </c>
      <c r="D150" t="inlineStr">
        <is>
          <t>€/MWh</t>
        </is>
      </c>
      <c r="E150" s="54" t="n">
        <v>0.26498</v>
      </c>
      <c r="F150" s="54" t="n">
        <v>0.292935</v>
      </c>
      <c r="G150" t="inlineStr">
        <is>
          <t>calculado</t>
        </is>
      </c>
      <c r="H150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150" t="inlineStr">
        <is>
          <t>2021-10-23</t>
        </is>
      </c>
      <c r="K150" t="inlineStr">
        <is>
          <t>ESIOS 1001 geo 8741</t>
        </is>
      </c>
      <c r="L150" t="inlineStr">
        <is>
          <t>24 valores; mín 218.20, máx 333.29 €/MWh</t>
        </is>
      </c>
    </row>
    <row r="151">
      <c r="A151" s="53" t="n">
        <v>44494</v>
      </c>
      <c r="B151" t="inlineStr">
        <is>
          <t>2021-10-25</t>
        </is>
      </c>
      <c r="C151" s="45" t="n">
        <v>291.2508</v>
      </c>
      <c r="D151" t="inlineStr">
        <is>
          <t>€/MWh</t>
        </is>
      </c>
      <c r="E151" s="54" t="n">
        <v>0.291251</v>
      </c>
      <c r="F151" s="54" t="n">
        <v>0.321978</v>
      </c>
      <c r="G151" t="inlineStr">
        <is>
          <t>calculado</t>
        </is>
      </c>
      <c r="H151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151" t="inlineStr">
        <is>
          <t>2021-10-24</t>
        </is>
      </c>
      <c r="K151" t="inlineStr">
        <is>
          <t>ESIOS 1001 geo 8741</t>
        </is>
      </c>
      <c r="L151" t="inlineStr">
        <is>
          <t>24 valores; mín 259.52, máx 348.74 €/MWh</t>
        </is>
      </c>
    </row>
    <row r="152">
      <c r="A152" s="53" t="n">
        <v>44495</v>
      </c>
      <c r="B152" t="inlineStr">
        <is>
          <t>2021-10-26</t>
        </is>
      </c>
      <c r="C152" s="45" t="n">
        <v>281.0062</v>
      </c>
      <c r="D152" t="inlineStr">
        <is>
          <t>€/MWh</t>
        </is>
      </c>
      <c r="E152" s="54" t="n">
        <v>0.281006</v>
      </c>
      <c r="F152" s="54" t="n">
        <v>0.310652</v>
      </c>
      <c r="G152" t="inlineStr">
        <is>
          <t>calculado</t>
        </is>
      </c>
      <c r="H152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152" t="inlineStr">
        <is>
          <t>2021-10-25</t>
        </is>
      </c>
      <c r="K152" t="inlineStr">
        <is>
          <t>ESIOS 1001 geo 8741</t>
        </is>
      </c>
      <c r="L152" t="inlineStr">
        <is>
          <t>24 valores; mín 229.67, máx 356.47 €/MWh</t>
        </is>
      </c>
    </row>
    <row r="153">
      <c r="A153" s="53" t="n">
        <v>44496</v>
      </c>
      <c r="B153" t="inlineStr">
        <is>
          <t>2021-10-27</t>
        </is>
      </c>
      <c r="C153" s="45" t="n">
        <v>291.5846</v>
      </c>
      <c r="D153" t="inlineStr">
        <is>
          <t>€/MWh</t>
        </is>
      </c>
      <c r="E153" s="54" t="n">
        <v>0.291585</v>
      </c>
      <c r="F153" s="54" t="n">
        <v>0.322347</v>
      </c>
      <c r="G153" t="inlineStr">
        <is>
          <t>calculado</t>
        </is>
      </c>
      <c r="H153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153" t="inlineStr">
        <is>
          <t>2021-10-26</t>
        </is>
      </c>
      <c r="K153" t="inlineStr">
        <is>
          <t>ESIOS 1001 geo 8741</t>
        </is>
      </c>
      <c r="L153" t="inlineStr">
        <is>
          <t>24 valores; mín 238.10, máx 347.28 €/MWh</t>
        </is>
      </c>
    </row>
    <row r="154">
      <c r="A154" s="53" t="n">
        <v>44497</v>
      </c>
      <c r="B154" t="inlineStr">
        <is>
          <t>2021-10-28</t>
        </is>
      </c>
      <c r="C154" s="45" t="n">
        <v>266.4812</v>
      </c>
      <c r="D154" t="inlineStr">
        <is>
          <t>€/MWh</t>
        </is>
      </c>
      <c r="E154" s="54" t="n">
        <v>0.266481</v>
      </c>
      <c r="F154" s="54" t="n">
        <v>0.294595</v>
      </c>
      <c r="G154" t="inlineStr">
        <is>
          <t>calculado</t>
        </is>
      </c>
      <c r="H154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154" t="inlineStr">
        <is>
          <t>2021-10-27</t>
        </is>
      </c>
      <c r="K154" t="inlineStr">
        <is>
          <t>ESIOS 1001 geo 8741</t>
        </is>
      </c>
      <c r="L154" t="inlineStr">
        <is>
          <t>24 valores; mín 217.14, máx 332.65 €/MWh</t>
        </is>
      </c>
    </row>
    <row r="155">
      <c r="A155" s="53" t="n">
        <v>44498</v>
      </c>
      <c r="B155" t="inlineStr">
        <is>
          <t>2021-10-29</t>
        </is>
      </c>
      <c r="C155" s="45" t="n">
        <v>232.5687</v>
      </c>
      <c r="D155" t="inlineStr">
        <is>
          <t>€/MWh</t>
        </is>
      </c>
      <c r="E155" s="54" t="n">
        <v>0.232569</v>
      </c>
      <c r="F155" s="54" t="n">
        <v>0.257105</v>
      </c>
      <c r="G155" t="inlineStr">
        <is>
          <t>calculado</t>
        </is>
      </c>
      <c r="H155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155" t="inlineStr">
        <is>
          <t>2021-10-28</t>
        </is>
      </c>
      <c r="K155" t="inlineStr">
        <is>
          <t>ESIOS 1001 geo 8741</t>
        </is>
      </c>
      <c r="L155" t="inlineStr">
        <is>
          <t>24 valores; mín 163.31, máx 292.32 €/MWh</t>
        </is>
      </c>
    </row>
    <row r="156">
      <c r="A156" s="53" t="n">
        <v>44499</v>
      </c>
      <c r="B156" t="inlineStr">
        <is>
          <t>2021-10-30</t>
        </is>
      </c>
      <c r="C156" s="45" t="n">
        <v>157.7575</v>
      </c>
      <c r="D156" t="inlineStr">
        <is>
          <t>€/MWh</t>
        </is>
      </c>
      <c r="E156" s="54" t="n">
        <v>0.157757</v>
      </c>
      <c r="F156" s="54" t="n">
        <v>0.174633</v>
      </c>
      <c r="G156" t="inlineStr">
        <is>
          <t>calculado</t>
        </is>
      </c>
      <c r="H156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156" t="inlineStr">
        <is>
          <t>2021-10-29</t>
        </is>
      </c>
      <c r="K156" t="inlineStr">
        <is>
          <t>ESIOS 1001 geo 8741</t>
        </is>
      </c>
      <c r="L156" t="inlineStr">
        <is>
          <t>24 valores; mín 87.43, máx 233.31 €/MWh</t>
        </is>
      </c>
    </row>
    <row r="157">
      <c r="A157" s="53" t="n">
        <v>44500</v>
      </c>
      <c r="B157" t="inlineStr">
        <is>
          <t>2021-10-31</t>
        </is>
      </c>
      <c r="C157" s="45" t="n">
        <v>110.3396</v>
      </c>
      <c r="D157" t="inlineStr">
        <is>
          <t>€/MWh</t>
        </is>
      </c>
      <c r="E157" s="54" t="n">
        <v>0.11034</v>
      </c>
      <c r="F157" s="54" t="n">
        <v>0.122474</v>
      </c>
      <c r="G157" t="inlineStr">
        <is>
          <t>calculado</t>
        </is>
      </c>
      <c r="H157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157" t="inlineStr">
        <is>
          <t>2021-10-30</t>
        </is>
      </c>
      <c r="K157" t="inlineStr">
        <is>
          <t>ESIOS 1001 geo 8741</t>
        </is>
      </c>
      <c r="L157" t="inlineStr">
        <is>
          <t>25 valores; mín 79.78, máx 185.38 €/MWh</t>
        </is>
      </c>
    </row>
    <row r="158">
      <c r="A158" s="53" t="n">
        <v>44501</v>
      </c>
      <c r="B158" t="inlineStr">
        <is>
          <t>2021-11-01</t>
        </is>
      </c>
      <c r="C158" s="45" t="n">
        <v>125.9958</v>
      </c>
      <c r="D158" t="inlineStr">
        <is>
          <t>€/MWh</t>
        </is>
      </c>
      <c r="E158" s="54" t="n">
        <v>0.125996</v>
      </c>
      <c r="F158" s="54" t="n">
        <v>0.139695</v>
      </c>
      <c r="G158" t="inlineStr">
        <is>
          <t>calculado</t>
        </is>
      </c>
      <c r="H158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158" t="inlineStr">
        <is>
          <t>2021-10-31</t>
        </is>
      </c>
      <c r="K158" t="inlineStr">
        <is>
          <t>ESIOS 1001 geo 8741</t>
        </is>
      </c>
      <c r="L158" t="inlineStr">
        <is>
          <t>24 valores; mín 48.11, máx 226.97 €/MWh</t>
        </is>
      </c>
    </row>
    <row r="159">
      <c r="A159" s="53" t="n">
        <v>44502</v>
      </c>
      <c r="B159" t="inlineStr">
        <is>
          <t>2021-11-02</t>
        </is>
      </c>
      <c r="C159" s="45" t="n">
        <v>200.6642</v>
      </c>
      <c r="D159" t="inlineStr">
        <is>
          <t>€/MWh</t>
        </is>
      </c>
      <c r="E159" s="54" t="n">
        <v>0.200664</v>
      </c>
      <c r="F159" s="54" t="n">
        <v>0.221834</v>
      </c>
      <c r="G159" t="inlineStr">
        <is>
          <t>calculado</t>
        </is>
      </c>
      <c r="H159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159" t="inlineStr">
        <is>
          <t>2021-11-01</t>
        </is>
      </c>
      <c r="K159" t="inlineStr">
        <is>
          <t>ESIOS 1001 geo 8741</t>
        </is>
      </c>
      <c r="L159" t="inlineStr">
        <is>
          <t>24 valores; mín 133.73, máx 301.87 €/MWh</t>
        </is>
      </c>
    </row>
    <row r="160">
      <c r="A160" s="53" t="n">
        <v>44503</v>
      </c>
      <c r="B160" t="inlineStr">
        <is>
          <t>2021-11-03</t>
        </is>
      </c>
      <c r="C160" s="45" t="n">
        <v>209.6746</v>
      </c>
      <c r="D160" t="inlineStr">
        <is>
          <t>€/MWh</t>
        </is>
      </c>
      <c r="E160" s="54" t="n">
        <v>0.209675</v>
      </c>
      <c r="F160" s="54" t="n">
        <v>0.231795</v>
      </c>
      <c r="G160" t="inlineStr">
        <is>
          <t>calculado</t>
        </is>
      </c>
      <c r="H160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160" t="inlineStr">
        <is>
          <t>2021-11-02</t>
        </is>
      </c>
      <c r="K160" t="inlineStr">
        <is>
          <t>ESIOS 1001 geo 8741</t>
        </is>
      </c>
      <c r="L160" t="inlineStr">
        <is>
          <t>24 valores; mín 169.58, máx 278.60 €/MWh</t>
        </is>
      </c>
    </row>
    <row r="161">
      <c r="A161" s="53" t="n">
        <v>44504</v>
      </c>
      <c r="B161" t="inlineStr">
        <is>
          <t>2021-11-04</t>
        </is>
      </c>
      <c r="C161" s="45" t="n">
        <v>229.2254</v>
      </c>
      <c r="D161" t="inlineStr">
        <is>
          <t>€/MWh</t>
        </is>
      </c>
      <c r="E161" s="54" t="n">
        <v>0.229225</v>
      </c>
      <c r="F161" s="54" t="n">
        <v>0.253409</v>
      </c>
      <c r="G161" t="inlineStr">
        <is>
          <t>calculado</t>
        </is>
      </c>
      <c r="H161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161" t="inlineStr">
        <is>
          <t>2021-11-03</t>
        </is>
      </c>
      <c r="K161" t="inlineStr">
        <is>
          <t>ESIOS 1001 geo 8741</t>
        </is>
      </c>
      <c r="L161" t="inlineStr">
        <is>
          <t>24 valores; mín 186.03, máx 274.56 €/MWh</t>
        </is>
      </c>
    </row>
    <row r="162">
      <c r="A162" s="53" t="n">
        <v>44505</v>
      </c>
      <c r="B162" t="inlineStr">
        <is>
          <t>2021-11-05</t>
        </is>
      </c>
      <c r="C162" s="45" t="n">
        <v>230.0871</v>
      </c>
      <c r="D162" t="inlineStr">
        <is>
          <t>€/MWh</t>
        </is>
      </c>
      <c r="E162" s="54" t="n">
        <v>0.230087</v>
      </c>
      <c r="F162" s="54" t="n">
        <v>0.254361</v>
      </c>
      <c r="G162" t="inlineStr">
        <is>
          <t>calculado</t>
        </is>
      </c>
      <c r="H162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162" t="inlineStr">
        <is>
          <t>2021-11-04</t>
        </is>
      </c>
      <c r="K162" t="inlineStr">
        <is>
          <t>ESIOS 1001 geo 8741</t>
        </is>
      </c>
      <c r="L162" t="inlineStr">
        <is>
          <t>24 valores; mín 184.86, máx 279.51 €/MWh</t>
        </is>
      </c>
    </row>
    <row r="163">
      <c r="A163" s="53" t="n">
        <v>44506</v>
      </c>
      <c r="B163" t="inlineStr">
        <is>
          <t>2021-11-06</t>
        </is>
      </c>
      <c r="C163" s="45" t="n">
        <v>200.0854</v>
      </c>
      <c r="D163" t="inlineStr">
        <is>
          <t>€/MWh</t>
        </is>
      </c>
      <c r="E163" s="54" t="n">
        <v>0.200085</v>
      </c>
      <c r="F163" s="54" t="n">
        <v>0.221194</v>
      </c>
      <c r="G163" t="inlineStr">
        <is>
          <t>calculado</t>
        </is>
      </c>
      <c r="H163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163" t="inlineStr">
        <is>
          <t>2021-11-05</t>
        </is>
      </c>
      <c r="K163" t="inlineStr">
        <is>
          <t>ESIOS 1001 geo 8741</t>
        </is>
      </c>
      <c r="L163" t="inlineStr">
        <is>
          <t>24 valores; mín 167.28, máx 234.62 €/MWh</t>
        </is>
      </c>
    </row>
    <row r="164">
      <c r="A164" s="53" t="n">
        <v>44507</v>
      </c>
      <c r="B164" t="inlineStr">
        <is>
          <t>2021-11-07</t>
        </is>
      </c>
      <c r="C164" s="45" t="n">
        <v>175.6367</v>
      </c>
      <c r="D164" t="inlineStr">
        <is>
          <t>€/MWh</t>
        </is>
      </c>
      <c r="E164" s="54" t="n">
        <v>0.175637</v>
      </c>
      <c r="F164" s="54" t="n">
        <v>0.1943</v>
      </c>
      <c r="G164" t="inlineStr">
        <is>
          <t>calculado</t>
        </is>
      </c>
      <c r="H164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164" t="inlineStr">
        <is>
          <t>2021-11-06</t>
        </is>
      </c>
      <c r="K164" t="inlineStr">
        <is>
          <t>ESIOS 1001 geo 8741</t>
        </is>
      </c>
      <c r="L164" t="inlineStr">
        <is>
          <t>24 valores; mín 100.31, máx 242.60 €/MWh</t>
        </is>
      </c>
    </row>
    <row r="165">
      <c r="A165" s="53" t="n">
        <v>44508</v>
      </c>
      <c r="B165" t="inlineStr">
        <is>
          <t>2021-11-08</t>
        </is>
      </c>
      <c r="C165" s="45" t="n">
        <v>226.4196</v>
      </c>
      <c r="D165" t="inlineStr">
        <is>
          <t>€/MWh</t>
        </is>
      </c>
      <c r="E165" s="54" t="n">
        <v>0.22642</v>
      </c>
      <c r="F165" s="54" t="n">
        <v>0.250307</v>
      </c>
      <c r="G165" t="inlineStr">
        <is>
          <t>calculado</t>
        </is>
      </c>
      <c r="H165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165" t="inlineStr">
        <is>
          <t>2021-11-07</t>
        </is>
      </c>
      <c r="K165" t="inlineStr">
        <is>
          <t>ESIOS 1001 geo 8741</t>
        </is>
      </c>
      <c r="L165" t="inlineStr">
        <is>
          <t>24 valores; mín 187.74, máx 279.06 €/MWh</t>
        </is>
      </c>
    </row>
    <row r="166">
      <c r="A166" s="53" t="n">
        <v>44509</v>
      </c>
      <c r="B166" t="inlineStr">
        <is>
          <t>2021-11-09</t>
        </is>
      </c>
      <c r="C166" s="45" t="n">
        <v>237.3871</v>
      </c>
      <c r="D166" t="inlineStr">
        <is>
          <t>€/MWh</t>
        </is>
      </c>
      <c r="E166" s="54" t="n">
        <v>0.237387</v>
      </c>
      <c r="F166" s="54" t="n">
        <v>0.262431</v>
      </c>
      <c r="G166" t="inlineStr">
        <is>
          <t>calculado</t>
        </is>
      </c>
      <c r="H166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166" t="inlineStr">
        <is>
          <t>2021-11-08</t>
        </is>
      </c>
      <c r="K166" t="inlineStr">
        <is>
          <t>ESIOS 1001 geo 8741</t>
        </is>
      </c>
      <c r="L166" t="inlineStr">
        <is>
          <t>24 valores; mín 189.02, máx 299.03 €/MWh</t>
        </is>
      </c>
    </row>
    <row r="167">
      <c r="A167" s="53" t="n">
        <v>44510</v>
      </c>
      <c r="B167" t="inlineStr">
        <is>
          <t>2021-11-10</t>
        </is>
      </c>
      <c r="C167" s="45" t="n">
        <v>261.2837</v>
      </c>
      <c r="D167" t="inlineStr">
        <is>
          <t>€/MWh</t>
        </is>
      </c>
      <c r="E167" s="54" t="n">
        <v>0.261284</v>
      </c>
      <c r="F167" s="54" t="n">
        <v>0.288849</v>
      </c>
      <c r="G167" t="inlineStr">
        <is>
          <t>calculado</t>
        </is>
      </c>
      <c r="H167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167" t="inlineStr">
        <is>
          <t>2021-11-09</t>
        </is>
      </c>
      <c r="K167" t="inlineStr">
        <is>
          <t>ESIOS 1001 geo 8741</t>
        </is>
      </c>
      <c r="L167" t="inlineStr">
        <is>
          <t>24 valores; mín 217.84, máx 311.29 €/MWh</t>
        </is>
      </c>
    </row>
    <row r="168">
      <c r="A168" s="53" t="n">
        <v>44511</v>
      </c>
      <c r="B168" t="inlineStr">
        <is>
          <t>2021-11-11</t>
        </is>
      </c>
      <c r="C168" s="45" t="n">
        <v>241.8604</v>
      </c>
      <c r="D168" t="inlineStr">
        <is>
          <t>€/MWh</t>
        </is>
      </c>
      <c r="E168" s="54" t="n">
        <v>0.24186</v>
      </c>
      <c r="F168" s="54" t="n">
        <v>0.267377</v>
      </c>
      <c r="G168" t="inlineStr">
        <is>
          <t>calculado</t>
        </is>
      </c>
      <c r="H168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168" t="inlineStr">
        <is>
          <t>2021-11-10</t>
        </is>
      </c>
      <c r="K168" t="inlineStr">
        <is>
          <t>ESIOS 1001 geo 8741</t>
        </is>
      </c>
      <c r="L168" t="inlineStr">
        <is>
          <t>24 valores; mín 194.55, máx 315.93 €/MWh</t>
        </is>
      </c>
    </row>
    <row r="169">
      <c r="A169" s="53" t="n">
        <v>44512</v>
      </c>
      <c r="B169" t="inlineStr">
        <is>
          <t>2021-11-12</t>
        </is>
      </c>
      <c r="C169" s="45" t="n">
        <v>244.7908</v>
      </c>
      <c r="D169" t="inlineStr">
        <is>
          <t>€/MWh</t>
        </is>
      </c>
      <c r="E169" s="54" t="n">
        <v>0.244791</v>
      </c>
      <c r="F169" s="54" t="n">
        <v>0.270616</v>
      </c>
      <c r="G169" t="inlineStr">
        <is>
          <t>calculado</t>
        </is>
      </c>
      <c r="H169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169" t="inlineStr">
        <is>
          <t>2021-11-11</t>
        </is>
      </c>
      <c r="K169" t="inlineStr">
        <is>
          <t>ESIOS 1001 geo 8741</t>
        </is>
      </c>
      <c r="L169" t="inlineStr">
        <is>
          <t>24 valores; mín 204.38, máx 283.01 €/MWh</t>
        </is>
      </c>
    </row>
    <row r="170">
      <c r="A170" s="53" t="n">
        <v>44513</v>
      </c>
      <c r="B170" t="inlineStr">
        <is>
          <t>2021-11-13</t>
        </is>
      </c>
      <c r="C170" s="45" t="n">
        <v>224.7708</v>
      </c>
      <c r="D170" t="inlineStr">
        <is>
          <t>€/MWh</t>
        </is>
      </c>
      <c r="E170" s="54" t="n">
        <v>0.224771</v>
      </c>
      <c r="F170" s="54" t="n">
        <v>0.248484</v>
      </c>
      <c r="G170" t="inlineStr">
        <is>
          <t>calculado</t>
        </is>
      </c>
      <c r="H170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170" t="inlineStr">
        <is>
          <t>2021-11-12</t>
        </is>
      </c>
      <c r="K170" t="inlineStr">
        <is>
          <t>ESIOS 1001 geo 8741</t>
        </is>
      </c>
      <c r="L170" t="inlineStr">
        <is>
          <t>24 valores; mín 195.14, máx 270.41 €/MWh</t>
        </is>
      </c>
    </row>
    <row r="171">
      <c r="A171" s="53" t="n">
        <v>44514</v>
      </c>
      <c r="B171" t="inlineStr">
        <is>
          <t>2021-11-14</t>
        </is>
      </c>
      <c r="C171" s="45" t="n">
        <v>219.1175</v>
      </c>
      <c r="D171" t="inlineStr">
        <is>
          <t>€/MWh</t>
        </is>
      </c>
      <c r="E171" s="54" t="n">
        <v>0.219117</v>
      </c>
      <c r="F171" s="54" t="n">
        <v>0.242234</v>
      </c>
      <c r="G171" t="inlineStr">
        <is>
          <t>calculado</t>
        </is>
      </c>
      <c r="H171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171" t="inlineStr">
        <is>
          <t>2021-11-13</t>
        </is>
      </c>
      <c r="K171" t="inlineStr">
        <is>
          <t>ESIOS 1001 geo 8741</t>
        </is>
      </c>
      <c r="L171" t="inlineStr">
        <is>
          <t>24 valores; mín 193.19, máx 256.28 €/MWh</t>
        </is>
      </c>
    </row>
    <row r="172">
      <c r="A172" s="53" t="n">
        <v>44515</v>
      </c>
      <c r="B172" t="inlineStr">
        <is>
          <t>2021-11-15</t>
        </is>
      </c>
      <c r="C172" s="45" t="n">
        <v>240.4329</v>
      </c>
      <c r="D172" t="inlineStr">
        <is>
          <t>€/MWh</t>
        </is>
      </c>
      <c r="E172" s="54" t="n">
        <v>0.240433</v>
      </c>
      <c r="F172" s="54" t="n">
        <v>0.265799</v>
      </c>
      <c r="G172" t="inlineStr">
        <is>
          <t>calculado</t>
        </is>
      </c>
      <c r="H172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172" t="inlineStr">
        <is>
          <t>2021-11-14</t>
        </is>
      </c>
      <c r="K172" t="inlineStr">
        <is>
          <t>ESIOS 1001 geo 8741</t>
        </is>
      </c>
      <c r="L172" t="inlineStr">
        <is>
          <t>24 valores; mín 196.52, máx 316.13 €/MWh</t>
        </is>
      </c>
    </row>
    <row r="173">
      <c r="A173" s="53" t="n">
        <v>44516</v>
      </c>
      <c r="B173" t="inlineStr">
        <is>
          <t>2021-11-16</t>
        </is>
      </c>
      <c r="C173" s="45" t="n">
        <v>254.065</v>
      </c>
      <c r="D173" t="inlineStr">
        <is>
          <t>€/MWh</t>
        </is>
      </c>
      <c r="E173" s="54" t="n">
        <v>0.254065</v>
      </c>
      <c r="F173" s="54" t="n">
        <v>0.280869</v>
      </c>
      <c r="G173" t="inlineStr">
        <is>
          <t>calculado</t>
        </is>
      </c>
      <c r="H173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173" t="inlineStr">
        <is>
          <t>2021-11-15</t>
        </is>
      </c>
      <c r="K173" t="inlineStr">
        <is>
          <t>ESIOS 1001 geo 8741</t>
        </is>
      </c>
      <c r="L173" t="inlineStr">
        <is>
          <t>24 valores; mín 203.90, máx 334.32 €/MWh</t>
        </is>
      </c>
    </row>
    <row r="174">
      <c r="A174" s="53" t="n">
        <v>44517</v>
      </c>
      <c r="B174" t="inlineStr">
        <is>
          <t>2021-11-17</t>
        </is>
      </c>
      <c r="C174" s="45" t="n">
        <v>259.3804</v>
      </c>
      <c r="D174" t="inlineStr">
        <is>
          <t>€/MWh</t>
        </is>
      </c>
      <c r="E174" s="54" t="n">
        <v>0.25938</v>
      </c>
      <c r="F174" s="54" t="n">
        <v>0.286745</v>
      </c>
      <c r="G174" t="inlineStr">
        <is>
          <t>calculado</t>
        </is>
      </c>
      <c r="H174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174" t="inlineStr">
        <is>
          <t>2021-11-16</t>
        </is>
      </c>
      <c r="K174" t="inlineStr">
        <is>
          <t>ESIOS 1001 geo 8741</t>
        </is>
      </c>
      <c r="L174" t="inlineStr">
        <is>
          <t>24 valores; mín 211.33, máx 334.40 €/MWh</t>
        </is>
      </c>
    </row>
    <row r="175">
      <c r="A175" s="53" t="n">
        <v>44518</v>
      </c>
      <c r="B175" t="inlineStr">
        <is>
          <t>2021-11-18</t>
        </is>
      </c>
      <c r="C175" s="45" t="n">
        <v>296.6633</v>
      </c>
      <c r="D175" t="inlineStr">
        <is>
          <t>€/MWh</t>
        </is>
      </c>
      <c r="E175" s="54" t="n">
        <v>0.296663</v>
      </c>
      <c r="F175" s="54" t="n">
        <v>0.327961</v>
      </c>
      <c r="G175" t="inlineStr">
        <is>
          <t>calculado</t>
        </is>
      </c>
      <c r="H175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175" t="inlineStr">
        <is>
          <t>2021-11-17</t>
        </is>
      </c>
      <c r="K175" t="inlineStr">
        <is>
          <t>ESIOS 1001 geo 8741</t>
        </is>
      </c>
      <c r="L175" t="inlineStr">
        <is>
          <t>24 valores; mín 233.31, máx 367.82 €/MWh</t>
        </is>
      </c>
    </row>
    <row r="176">
      <c r="A176" s="53" t="n">
        <v>44519</v>
      </c>
      <c r="B176" t="inlineStr">
        <is>
          <t>2021-11-19</t>
        </is>
      </c>
      <c r="C176" s="45" t="n">
        <v>297.3913</v>
      </c>
      <c r="D176" t="inlineStr">
        <is>
          <t>€/MWh</t>
        </is>
      </c>
      <c r="E176" s="54" t="n">
        <v>0.297391</v>
      </c>
      <c r="F176" s="54" t="n">
        <v>0.328766</v>
      </c>
      <c r="G176" t="inlineStr">
        <is>
          <t>calculado</t>
        </is>
      </c>
      <c r="H176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176" t="inlineStr">
        <is>
          <t>2021-11-18</t>
        </is>
      </c>
      <c r="K176" t="inlineStr">
        <is>
          <t>ESIOS 1001 geo 8741</t>
        </is>
      </c>
      <c r="L176" t="inlineStr">
        <is>
          <t>24 valores; mín 250.60, máx 355.12 €/MWh</t>
        </is>
      </c>
    </row>
    <row r="177">
      <c r="A177" s="53" t="n">
        <v>44520</v>
      </c>
      <c r="B177" t="inlineStr">
        <is>
          <t>2021-11-20</t>
        </is>
      </c>
      <c r="C177" s="45" t="n">
        <v>272.2621</v>
      </c>
      <c r="D177" t="inlineStr">
        <is>
          <t>€/MWh</t>
        </is>
      </c>
      <c r="E177" s="54" t="n">
        <v>0.272262</v>
      </c>
      <c r="F177" s="54" t="n">
        <v>0.300986</v>
      </c>
      <c r="G177" t="inlineStr">
        <is>
          <t>calculado</t>
        </is>
      </c>
      <c r="H177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177" t="inlineStr">
        <is>
          <t>2021-11-19</t>
        </is>
      </c>
      <c r="K177" t="inlineStr">
        <is>
          <t>ESIOS 1001 geo 8741</t>
        </is>
      </c>
      <c r="L177" t="inlineStr">
        <is>
          <t>24 valores; mín 242.95, máx 319.31 €/MWh</t>
        </is>
      </c>
    </row>
    <row r="178">
      <c r="A178" s="53" t="n">
        <v>44521</v>
      </c>
      <c r="B178" t="inlineStr">
        <is>
          <t>2021-11-21</t>
        </is>
      </c>
      <c r="C178" s="45" t="n">
        <v>284.6108</v>
      </c>
      <c r="D178" t="inlineStr">
        <is>
          <t>€/MWh</t>
        </is>
      </c>
      <c r="E178" s="54" t="n">
        <v>0.284611</v>
      </c>
      <c r="F178" s="54" t="n">
        <v>0.314637</v>
      </c>
      <c r="G178" t="inlineStr">
        <is>
          <t>calculado</t>
        </is>
      </c>
      <c r="H178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178" t="inlineStr">
        <is>
          <t>2021-11-20</t>
        </is>
      </c>
      <c r="K178" t="inlineStr">
        <is>
          <t>ESIOS 1001 geo 8741</t>
        </is>
      </c>
      <c r="L178" t="inlineStr">
        <is>
          <t>24 valores; mín 251.38, máx 332.76 €/MWh</t>
        </is>
      </c>
    </row>
    <row r="179">
      <c r="A179" s="53" t="n">
        <v>44522</v>
      </c>
      <c r="B179" t="inlineStr">
        <is>
          <t>2021-11-22</t>
        </is>
      </c>
      <c r="C179" s="45" t="n">
        <v>304.6813</v>
      </c>
      <c r="D179" t="inlineStr">
        <is>
          <t>€/MWh</t>
        </is>
      </c>
      <c r="E179" s="54" t="n">
        <v>0.304681</v>
      </c>
      <c r="F179" s="54" t="n">
        <v>0.336825</v>
      </c>
      <c r="G179" t="inlineStr">
        <is>
          <t>calculado</t>
        </is>
      </c>
      <c r="H179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179" t="inlineStr">
        <is>
          <t>2021-11-21</t>
        </is>
      </c>
      <c r="K179" t="inlineStr">
        <is>
          <t>ESIOS 1001 geo 8741</t>
        </is>
      </c>
      <c r="L179" t="inlineStr">
        <is>
          <t>24 valores; mín 249.33, máx 353.65 €/MWh</t>
        </is>
      </c>
    </row>
    <row r="180">
      <c r="A180" s="53" t="n">
        <v>44523</v>
      </c>
      <c r="B180" t="inlineStr">
        <is>
          <t>2021-11-23</t>
        </is>
      </c>
      <c r="C180" s="45" t="n">
        <v>291.2621</v>
      </c>
      <c r="D180" t="inlineStr">
        <is>
          <t>€/MWh</t>
        </is>
      </c>
      <c r="E180" s="54" t="n">
        <v>0.291262</v>
      </c>
      <c r="F180" s="54" t="n">
        <v>0.32199</v>
      </c>
      <c r="G180" t="inlineStr">
        <is>
          <t>calculado</t>
        </is>
      </c>
      <c r="H180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180" t="inlineStr">
        <is>
          <t>2021-11-22</t>
        </is>
      </c>
      <c r="K180" t="inlineStr">
        <is>
          <t>ESIOS 1001 geo 8741</t>
        </is>
      </c>
      <c r="L180" t="inlineStr">
        <is>
          <t>24 valores; mín 238.82, máx 369.91 €/MWh</t>
        </is>
      </c>
    </row>
    <row r="181">
      <c r="A181" s="53" t="n">
        <v>44524</v>
      </c>
      <c r="B181" t="inlineStr">
        <is>
          <t>2021-11-24</t>
        </is>
      </c>
      <c r="C181" s="45" t="n">
        <v>291.565</v>
      </c>
      <c r="D181" t="inlineStr">
        <is>
          <t>€/MWh</t>
        </is>
      </c>
      <c r="E181" s="54" t="n">
        <v>0.291565</v>
      </c>
      <c r="F181" s="54" t="n">
        <v>0.322325</v>
      </c>
      <c r="G181" t="inlineStr">
        <is>
          <t>calculado</t>
        </is>
      </c>
      <c r="H181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181" t="inlineStr">
        <is>
          <t>2021-11-23</t>
        </is>
      </c>
      <c r="K181" t="inlineStr">
        <is>
          <t>ESIOS 1001 geo 8741</t>
        </is>
      </c>
      <c r="L181" t="inlineStr">
        <is>
          <t>24 valores; mín 242.54, máx 339.41 €/MWh</t>
        </is>
      </c>
    </row>
    <row r="182">
      <c r="A182" s="53" t="n">
        <v>44525</v>
      </c>
      <c r="B182" t="inlineStr">
        <is>
          <t>2021-11-25</t>
        </is>
      </c>
      <c r="C182" s="45" t="n">
        <v>296.1029</v>
      </c>
      <c r="D182" t="inlineStr">
        <is>
          <t>€/MWh</t>
        </is>
      </c>
      <c r="E182" s="54" t="n">
        <v>0.296103</v>
      </c>
      <c r="F182" s="54" t="n">
        <v>0.327342</v>
      </c>
      <c r="G182" t="inlineStr">
        <is>
          <t>calculado</t>
        </is>
      </c>
      <c r="H182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182" t="inlineStr">
        <is>
          <t>2021-11-24</t>
        </is>
      </c>
      <c r="K182" t="inlineStr">
        <is>
          <t>ESIOS 1001 geo 8741</t>
        </is>
      </c>
      <c r="L182" t="inlineStr">
        <is>
          <t>24 valores; mín 254.95, máx 342.82 €/MWh</t>
        </is>
      </c>
    </row>
    <row r="183">
      <c r="A183" s="53" t="n">
        <v>44526</v>
      </c>
      <c r="B183" t="inlineStr">
        <is>
          <t>2021-11-26</t>
        </is>
      </c>
      <c r="C183" s="45" t="n">
        <v>295.0946</v>
      </c>
      <c r="D183" t="inlineStr">
        <is>
          <t>€/MWh</t>
        </is>
      </c>
      <c r="E183" s="54" t="n">
        <v>0.295095</v>
      </c>
      <c r="F183" s="54" t="n">
        <v>0.326227</v>
      </c>
      <c r="G183" t="inlineStr">
        <is>
          <t>calculado</t>
        </is>
      </c>
      <c r="H183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183" t="inlineStr">
        <is>
          <t>2021-11-25</t>
        </is>
      </c>
      <c r="K183" t="inlineStr">
        <is>
          <t>ESIOS 1001 geo 8741</t>
        </is>
      </c>
      <c r="L183" t="inlineStr">
        <is>
          <t>24 valores; mín 245.92, máx 337.41 €/MWh</t>
        </is>
      </c>
    </row>
    <row r="184">
      <c r="A184" s="53" t="n">
        <v>44527</v>
      </c>
      <c r="B184" t="inlineStr">
        <is>
          <t>2021-11-27</t>
        </is>
      </c>
      <c r="C184" s="45" t="n">
        <v>254.7012</v>
      </c>
      <c r="D184" t="inlineStr">
        <is>
          <t>€/MWh</t>
        </is>
      </c>
      <c r="E184" s="54" t="n">
        <v>0.254701</v>
      </c>
      <c r="F184" s="54" t="n">
        <v>0.281572</v>
      </c>
      <c r="G184" t="inlineStr">
        <is>
          <t>calculado</t>
        </is>
      </c>
      <c r="H184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184" t="inlineStr">
        <is>
          <t>2021-11-26</t>
        </is>
      </c>
      <c r="K184" t="inlineStr">
        <is>
          <t>ESIOS 1001 geo 8741</t>
        </is>
      </c>
      <c r="L184" t="inlineStr">
        <is>
          <t>24 valores; mín 214.73, máx 298.80 €/MWh</t>
        </is>
      </c>
    </row>
    <row r="185">
      <c r="A185" s="53" t="n">
        <v>44528</v>
      </c>
      <c r="B185" t="inlineStr">
        <is>
          <t>2021-11-28</t>
        </is>
      </c>
      <c r="C185" s="45" t="n">
        <v>253.7458</v>
      </c>
      <c r="D185" t="inlineStr">
        <is>
          <t>€/MWh</t>
        </is>
      </c>
      <c r="E185" s="54" t="n">
        <v>0.253746</v>
      </c>
      <c r="F185" s="54" t="n">
        <v>0.280516</v>
      </c>
      <c r="G185" t="inlineStr">
        <is>
          <t>calculado</t>
        </is>
      </c>
      <c r="H185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185" t="inlineStr">
        <is>
          <t>2021-11-27</t>
        </is>
      </c>
      <c r="K185" t="inlineStr">
        <is>
          <t>ESIOS 1001 geo 8741</t>
        </is>
      </c>
      <c r="L185" t="inlineStr">
        <is>
          <t>24 valores; mín 229.92, máx 305.76 €/MWh</t>
        </is>
      </c>
    </row>
    <row r="186">
      <c r="A186" s="53" t="n">
        <v>44529</v>
      </c>
      <c r="B186" t="inlineStr">
        <is>
          <t>2021-11-29</t>
        </is>
      </c>
      <c r="C186" s="45" t="n">
        <v>279.9821</v>
      </c>
      <c r="D186" t="inlineStr">
        <is>
          <t>€/MWh</t>
        </is>
      </c>
      <c r="E186" s="54" t="n">
        <v>0.279982</v>
      </c>
      <c r="F186" s="54" t="n">
        <v>0.30952</v>
      </c>
      <c r="G186" t="inlineStr">
        <is>
          <t>calculado</t>
        </is>
      </c>
      <c r="H186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186" t="inlineStr">
        <is>
          <t>2021-11-28</t>
        </is>
      </c>
      <c r="K186" t="inlineStr">
        <is>
          <t>ESIOS 1001 geo 8741</t>
        </is>
      </c>
      <c r="L186" t="inlineStr">
        <is>
          <t>24 valores; mín 138.32, máx 381.58 €/MWh</t>
        </is>
      </c>
    </row>
    <row r="187">
      <c r="A187" s="53" t="n">
        <v>44530</v>
      </c>
      <c r="B187" t="inlineStr">
        <is>
          <t>2021-11-30</t>
        </is>
      </c>
      <c r="C187" s="45" t="n">
        <v>349.1288</v>
      </c>
      <c r="D187" t="inlineStr">
        <is>
          <t>€/MWh</t>
        </is>
      </c>
      <c r="E187" s="54" t="n">
        <v>0.349129</v>
      </c>
      <c r="F187" s="54" t="n">
        <v>0.385962</v>
      </c>
      <c r="G187" t="inlineStr">
        <is>
          <t>calculado</t>
        </is>
      </c>
      <c r="H187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187" t="inlineStr">
        <is>
          <t>2021-11-29</t>
        </is>
      </c>
      <c r="K187" t="inlineStr">
        <is>
          <t>ESIOS 1001 geo 8741</t>
        </is>
      </c>
      <c r="L187" t="inlineStr">
        <is>
          <t>24 valores; mín 274.08, máx 403.77 €/MWh</t>
        </is>
      </c>
    </row>
    <row r="188">
      <c r="A188" s="53" t="n">
        <v>44531</v>
      </c>
      <c r="B188" t="inlineStr">
        <is>
          <t>2021-12-01</t>
        </is>
      </c>
      <c r="C188" s="45" t="n">
        <v>323.1154</v>
      </c>
      <c r="D188" t="inlineStr">
        <is>
          <t>€/MWh</t>
        </is>
      </c>
      <c r="E188" s="54" t="n">
        <v>0.323115</v>
      </c>
      <c r="F188" s="54" t="n">
        <v>0.357204</v>
      </c>
      <c r="G188" t="inlineStr">
        <is>
          <t>calculado</t>
        </is>
      </c>
      <c r="H188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188" t="inlineStr">
        <is>
          <t>2021-11-30</t>
        </is>
      </c>
      <c r="K188" t="inlineStr">
        <is>
          <t>ESIOS 1001 geo 8741</t>
        </is>
      </c>
      <c r="L188" t="inlineStr">
        <is>
          <t>24 valores; mín 257.86, máx 379.05 €/MWh</t>
        </is>
      </c>
    </row>
    <row r="189">
      <c r="A189" s="53" t="n">
        <v>44532</v>
      </c>
      <c r="B189" t="inlineStr">
        <is>
          <t>2021-12-02</t>
        </is>
      </c>
      <c r="C189" s="45" t="n">
        <v>293.4608</v>
      </c>
      <c r="D189" t="inlineStr">
        <is>
          <t>€/MWh</t>
        </is>
      </c>
      <c r="E189" s="54" t="n">
        <v>0.293461</v>
      </c>
      <c r="F189" s="54" t="n">
        <v>0.324421</v>
      </c>
      <c r="G189" t="inlineStr">
        <is>
          <t>calculado</t>
        </is>
      </c>
      <c r="H189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189" t="inlineStr">
        <is>
          <t>2021-12-01</t>
        </is>
      </c>
      <c r="K189" t="inlineStr">
        <is>
          <t>ESIOS 1001 geo 8741</t>
        </is>
      </c>
      <c r="L189" t="inlineStr">
        <is>
          <t>24 valores; mín 225.44, máx 375.37 €/MWh</t>
        </is>
      </c>
    </row>
    <row r="190">
      <c r="A190" s="53" t="n">
        <v>44533</v>
      </c>
      <c r="B190" t="inlineStr">
        <is>
          <t>2021-12-03</t>
        </is>
      </c>
      <c r="C190" s="45" t="n">
        <v>298.26</v>
      </c>
      <c r="D190" t="inlineStr">
        <is>
          <t>€/MWh</t>
        </is>
      </c>
      <c r="E190" s="54" t="n">
        <v>0.29826</v>
      </c>
      <c r="F190" s="54" t="n">
        <v>0.329726</v>
      </c>
      <c r="G190" t="inlineStr">
        <is>
          <t>calculado</t>
        </is>
      </c>
      <c r="H190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190" t="inlineStr">
        <is>
          <t>2021-12-02</t>
        </is>
      </c>
      <c r="K190" t="inlineStr">
        <is>
          <t>ESIOS 1001 geo 8741</t>
        </is>
      </c>
      <c r="L190" t="inlineStr">
        <is>
          <t>24 valores; mín 249.96, máx 368.03 €/MWh</t>
        </is>
      </c>
    </row>
    <row r="191">
      <c r="A191" s="53" t="n">
        <v>44534</v>
      </c>
      <c r="B191" t="inlineStr">
        <is>
          <t>2021-12-04</t>
        </is>
      </c>
      <c r="C191" s="45" t="n">
        <v>278.0733</v>
      </c>
      <c r="D191" t="inlineStr">
        <is>
          <t>€/MWh</t>
        </is>
      </c>
      <c r="E191" s="54" t="n">
        <v>0.278073</v>
      </c>
      <c r="F191" s="54" t="n">
        <v>0.30741</v>
      </c>
      <c r="G191" t="inlineStr">
        <is>
          <t>calculado</t>
        </is>
      </c>
      <c r="H191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191" t="inlineStr">
        <is>
          <t>2021-12-03</t>
        </is>
      </c>
      <c r="K191" t="inlineStr">
        <is>
          <t>ESIOS 1001 geo 8741</t>
        </is>
      </c>
      <c r="L191" t="inlineStr">
        <is>
          <t>24 valores; mín 242.27, máx 310.44 €/MWh</t>
        </is>
      </c>
    </row>
    <row r="192">
      <c r="A192" s="53" t="n">
        <v>44535</v>
      </c>
      <c r="B192" t="inlineStr">
        <is>
          <t>2021-12-05</t>
        </is>
      </c>
      <c r="C192" s="45" t="n">
        <v>139.1425</v>
      </c>
      <c r="D192" t="inlineStr">
        <is>
          <t>€/MWh</t>
        </is>
      </c>
      <c r="E192" s="54" t="n">
        <v>0.139143</v>
      </c>
      <c r="F192" s="54" t="n">
        <v>0.154157</v>
      </c>
      <c r="G192" t="inlineStr">
        <is>
          <t>calculado</t>
        </is>
      </c>
      <c r="H192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192" t="inlineStr">
        <is>
          <t>2021-12-04</t>
        </is>
      </c>
      <c r="K192" t="inlineStr">
        <is>
          <t>ESIOS 1001 geo 8741</t>
        </is>
      </c>
      <c r="L192" t="inlineStr">
        <is>
          <t>24 valores; mín 23.24, máx 317.23 €/MWh</t>
        </is>
      </c>
    </row>
    <row r="193">
      <c r="A193" s="53" t="n">
        <v>44536</v>
      </c>
      <c r="B193" t="inlineStr">
        <is>
          <t>2021-12-06</t>
        </is>
      </c>
      <c r="C193" s="45" t="n">
        <v>264.665</v>
      </c>
      <c r="D193" t="inlineStr">
        <is>
          <t>€/MWh</t>
        </is>
      </c>
      <c r="E193" s="54" t="n">
        <v>0.264665</v>
      </c>
      <c r="F193" s="54" t="n">
        <v>0.292587</v>
      </c>
      <c r="G193" t="inlineStr">
        <is>
          <t>calculado</t>
        </is>
      </c>
      <c r="H193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193" t="inlineStr">
        <is>
          <t>2021-12-05</t>
        </is>
      </c>
      <c r="K193" t="inlineStr">
        <is>
          <t>ESIOS 1001 geo 8741</t>
        </is>
      </c>
      <c r="L193" t="inlineStr">
        <is>
          <t>24 valores; mín 231.36, máx 338.59 €/MWh</t>
        </is>
      </c>
    </row>
    <row r="194">
      <c r="A194" s="53" t="n">
        <v>44537</v>
      </c>
      <c r="B194" t="inlineStr">
        <is>
          <t>2021-12-07</t>
        </is>
      </c>
      <c r="C194" s="45" t="n">
        <v>280.9417</v>
      </c>
      <c r="D194" t="inlineStr">
        <is>
          <t>€/MWh</t>
        </is>
      </c>
      <c r="E194" s="54" t="n">
        <v>0.280942</v>
      </c>
      <c r="F194" s="54" t="n">
        <v>0.310581</v>
      </c>
      <c r="G194" t="inlineStr">
        <is>
          <t>calculado</t>
        </is>
      </c>
      <c r="H194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194" t="inlineStr">
        <is>
          <t>2021-12-06</t>
        </is>
      </c>
      <c r="K194" t="inlineStr">
        <is>
          <t>ESIOS 1001 geo 8741</t>
        </is>
      </c>
      <c r="L194" t="inlineStr">
        <is>
          <t>24 valores; mín 254.11, máx 324.83 €/MWh</t>
        </is>
      </c>
    </row>
    <row r="195">
      <c r="A195" s="53" t="n">
        <v>44538</v>
      </c>
      <c r="B195" t="inlineStr">
        <is>
          <t>2021-12-08</t>
        </is>
      </c>
      <c r="C195" s="45" t="n">
        <v>146.9546</v>
      </c>
      <c r="D195" t="inlineStr">
        <is>
          <t>€/MWh</t>
        </is>
      </c>
      <c r="E195" s="54" t="n">
        <v>0.146955</v>
      </c>
      <c r="F195" s="54" t="n">
        <v>0.16275</v>
      </c>
      <c r="G195" t="inlineStr">
        <is>
          <t>calculado</t>
        </is>
      </c>
      <c r="H195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195" t="inlineStr">
        <is>
          <t>2021-12-07</t>
        </is>
      </c>
      <c r="K195" t="inlineStr">
        <is>
          <t>ESIOS 1001 geo 8741</t>
        </is>
      </c>
      <c r="L195" t="inlineStr">
        <is>
          <t>24 valores; mín 29.97, máx 297.27 €/MWh</t>
        </is>
      </c>
    </row>
    <row r="196">
      <c r="A196" s="53" t="n">
        <v>44539</v>
      </c>
      <c r="B196" t="inlineStr">
        <is>
          <t>2021-12-09</t>
        </is>
      </c>
      <c r="C196" s="45" t="n">
        <v>289.8867</v>
      </c>
      <c r="D196" t="inlineStr">
        <is>
          <t>€/MWh</t>
        </is>
      </c>
      <c r="E196" s="54" t="n">
        <v>0.289887</v>
      </c>
      <c r="F196" s="54" t="n">
        <v>0.32047</v>
      </c>
      <c r="G196" t="inlineStr">
        <is>
          <t>calculado</t>
        </is>
      </c>
      <c r="H196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196" t="inlineStr">
        <is>
          <t>2021-12-08</t>
        </is>
      </c>
      <c r="K196" t="inlineStr">
        <is>
          <t>ESIOS 1001 geo 8741</t>
        </is>
      </c>
      <c r="L196" t="inlineStr">
        <is>
          <t>24 valores; mín 233.72, máx 345.25 €/MWh</t>
        </is>
      </c>
    </row>
    <row r="197">
      <c r="A197" s="53" t="n">
        <v>44540</v>
      </c>
      <c r="B197" t="inlineStr">
        <is>
          <t>2021-12-10</t>
        </is>
      </c>
      <c r="C197" s="45" t="n">
        <v>279.6346</v>
      </c>
      <c r="D197" t="inlineStr">
        <is>
          <t>€/MWh</t>
        </is>
      </c>
      <c r="E197" s="54" t="n">
        <v>0.279635</v>
      </c>
      <c r="F197" s="54" t="n">
        <v>0.309136</v>
      </c>
      <c r="G197" t="inlineStr">
        <is>
          <t>calculado</t>
        </is>
      </c>
      <c r="H197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197" t="inlineStr">
        <is>
          <t>2021-12-09</t>
        </is>
      </c>
      <c r="K197" t="inlineStr">
        <is>
          <t>ESIOS 1001 geo 8741</t>
        </is>
      </c>
      <c r="L197" t="inlineStr">
        <is>
          <t>24 valores; mín 138.78, máx 356.96 €/MWh</t>
        </is>
      </c>
    </row>
    <row r="198">
      <c r="A198" s="53" t="n">
        <v>44541</v>
      </c>
      <c r="B198" t="inlineStr">
        <is>
          <t>2021-12-11</t>
        </is>
      </c>
      <c r="C198" s="45" t="n">
        <v>301.7912</v>
      </c>
      <c r="D198" t="inlineStr">
        <is>
          <t>€/MWh</t>
        </is>
      </c>
      <c r="E198" s="54" t="n">
        <v>0.301791</v>
      </c>
      <c r="F198" s="54" t="n">
        <v>0.33363</v>
      </c>
      <c r="G198" t="inlineStr">
        <is>
          <t>calculado</t>
        </is>
      </c>
      <c r="H198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198" t="inlineStr">
        <is>
          <t>2021-12-10</t>
        </is>
      </c>
      <c r="K198" t="inlineStr">
        <is>
          <t>ESIOS 1001 geo 8741</t>
        </is>
      </c>
      <c r="L198" t="inlineStr">
        <is>
          <t>24 valores; mín 260.95, máx 361.58 €/MWh</t>
        </is>
      </c>
    </row>
    <row r="199">
      <c r="A199" s="53" t="n">
        <v>44542</v>
      </c>
      <c r="B199" t="inlineStr">
        <is>
          <t>2021-12-12</t>
        </is>
      </c>
      <c r="C199" s="45" t="n">
        <v>326.9413</v>
      </c>
      <c r="D199" t="inlineStr">
        <is>
          <t>€/MWh</t>
        </is>
      </c>
      <c r="E199" s="54" t="n">
        <v>0.326941</v>
      </c>
      <c r="F199" s="54" t="n">
        <v>0.361434</v>
      </c>
      <c r="G199" t="inlineStr">
        <is>
          <t>calculado</t>
        </is>
      </c>
      <c r="H199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199" t="inlineStr">
        <is>
          <t>2021-12-11</t>
        </is>
      </c>
      <c r="K199" t="inlineStr">
        <is>
          <t>ESIOS 1001 geo 8741</t>
        </is>
      </c>
      <c r="L199" t="inlineStr">
        <is>
          <t>24 valores; mín 289.41, máx 373.81 €/MWh</t>
        </is>
      </c>
    </row>
    <row r="200">
      <c r="A200" s="53" t="n">
        <v>44543</v>
      </c>
      <c r="B200" t="inlineStr">
        <is>
          <t>2021-12-13</t>
        </is>
      </c>
      <c r="C200" s="45" t="n">
        <v>351.2575</v>
      </c>
      <c r="D200" t="inlineStr">
        <is>
          <t>€/MWh</t>
        </is>
      </c>
      <c r="E200" s="54" t="n">
        <v>0.351258</v>
      </c>
      <c r="F200" s="54" t="n">
        <v>0.388315</v>
      </c>
      <c r="G200" t="inlineStr">
        <is>
          <t>calculado</t>
        </is>
      </c>
      <c r="H200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200" t="inlineStr">
        <is>
          <t>2021-12-12</t>
        </is>
      </c>
      <c r="K200" t="inlineStr">
        <is>
          <t>ESIOS 1001 geo 8741</t>
        </is>
      </c>
      <c r="L200" t="inlineStr">
        <is>
          <t>24 valores; mín 286.80, máx 422.42 €/MWh</t>
        </is>
      </c>
    </row>
    <row r="201">
      <c r="A201" s="53" t="n">
        <v>44544</v>
      </c>
      <c r="B201" t="inlineStr">
        <is>
          <t>2021-12-14</t>
        </is>
      </c>
      <c r="C201" s="45" t="n">
        <v>370.9083</v>
      </c>
      <c r="D201" t="inlineStr">
        <is>
          <t>€/MWh</t>
        </is>
      </c>
      <c r="E201" s="54" t="n">
        <v>0.370908</v>
      </c>
      <c r="F201" s="54" t="n">
        <v>0.410039</v>
      </c>
      <c r="G201" t="inlineStr">
        <is>
          <t>calculado</t>
        </is>
      </c>
      <c r="H201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201" t="inlineStr">
        <is>
          <t>2021-12-13</t>
        </is>
      </c>
      <c r="K201" t="inlineStr">
        <is>
          <t>ESIOS 1001 geo 8741</t>
        </is>
      </c>
      <c r="L201" t="inlineStr">
        <is>
          <t>24 valores; mín 314.68, máx 427.38 €/MWh</t>
        </is>
      </c>
    </row>
    <row r="202">
      <c r="A202" s="53" t="n">
        <v>44545</v>
      </c>
      <c r="B202" t="inlineStr">
        <is>
          <t>2021-12-15</t>
        </is>
      </c>
      <c r="C202" s="45" t="n">
        <v>376.7596</v>
      </c>
      <c r="D202" t="inlineStr">
        <is>
          <t>€/MWh</t>
        </is>
      </c>
      <c r="E202" s="54" t="n">
        <v>0.37676</v>
      </c>
      <c r="F202" s="54" t="n">
        <v>0.416508</v>
      </c>
      <c r="G202" t="inlineStr">
        <is>
          <t>calculado</t>
        </is>
      </c>
      <c r="H202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202" t="inlineStr">
        <is>
          <t>2021-12-14</t>
        </is>
      </c>
      <c r="K202" t="inlineStr">
        <is>
          <t>ESIOS 1001 geo 8741</t>
        </is>
      </c>
      <c r="L202" t="inlineStr">
        <is>
          <t>24 valores; mín 332.67, máx 425.97 €/MWh</t>
        </is>
      </c>
    </row>
    <row r="203">
      <c r="A203" s="53" t="n">
        <v>44546</v>
      </c>
      <c r="B203" t="inlineStr">
        <is>
          <t>2021-12-16</t>
        </is>
      </c>
      <c r="C203" s="45" t="n">
        <v>391.4467</v>
      </c>
      <c r="D203" t="inlineStr">
        <is>
          <t>€/MWh</t>
        </is>
      </c>
      <c r="E203" s="54" t="n">
        <v>0.391447</v>
      </c>
      <c r="F203" s="54" t="n">
        <v>0.432744</v>
      </c>
      <c r="G203" t="inlineStr">
        <is>
          <t>calculado</t>
        </is>
      </c>
      <c r="H203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203" t="inlineStr">
        <is>
          <t>2021-12-15</t>
        </is>
      </c>
      <c r="K203" t="inlineStr">
        <is>
          <t>ESIOS 1001 geo 8741</t>
        </is>
      </c>
      <c r="L203" t="inlineStr">
        <is>
          <t>24 valores; mín 323.52, máx 457.62 €/MWh</t>
        </is>
      </c>
    </row>
    <row r="204">
      <c r="A204" s="53" t="n">
        <v>44547</v>
      </c>
      <c r="B204" t="inlineStr">
        <is>
          <t>2021-12-17</t>
        </is>
      </c>
      <c r="C204" s="45" t="n">
        <v>398.4204</v>
      </c>
      <c r="D204" t="inlineStr">
        <is>
          <t>€/MWh</t>
        </is>
      </c>
      <c r="E204" s="54" t="n">
        <v>0.39842</v>
      </c>
      <c r="F204" s="54" t="n">
        <v>0.440454</v>
      </c>
      <c r="G204" t="inlineStr">
        <is>
          <t>calculado</t>
        </is>
      </c>
      <c r="H204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204" t="inlineStr">
        <is>
          <t>2021-12-16</t>
        </is>
      </c>
      <c r="K204" t="inlineStr">
        <is>
          <t>ESIOS 1001 geo 8741</t>
        </is>
      </c>
      <c r="L204" t="inlineStr">
        <is>
          <t>24 valores; mín 318.74, máx 462.70 €/MWh</t>
        </is>
      </c>
    </row>
    <row r="205">
      <c r="A205" s="53" t="n">
        <v>44548</v>
      </c>
      <c r="B205" t="inlineStr">
        <is>
          <t>2021-12-18</t>
        </is>
      </c>
      <c r="C205" s="45" t="n">
        <v>381.8946</v>
      </c>
      <c r="D205" t="inlineStr">
        <is>
          <t>€/MWh</t>
        </is>
      </c>
      <c r="E205" s="54" t="n">
        <v>0.381895</v>
      </c>
      <c r="F205" s="54" t="n">
        <v>0.422184</v>
      </c>
      <c r="G205" t="inlineStr">
        <is>
          <t>calculado</t>
        </is>
      </c>
      <c r="H205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205" t="inlineStr">
        <is>
          <t>2021-12-17</t>
        </is>
      </c>
      <c r="K205" t="inlineStr">
        <is>
          <t>ESIOS 1001 geo 8741</t>
        </is>
      </c>
      <c r="L205" t="inlineStr">
        <is>
          <t>24 valores; mín 340.24, máx 423.64 €/MWh</t>
        </is>
      </c>
    </row>
    <row r="206">
      <c r="A206" s="53" t="n">
        <v>44549</v>
      </c>
      <c r="B206" t="inlineStr">
        <is>
          <t>2021-12-19</t>
        </is>
      </c>
      <c r="C206" s="45" t="n">
        <v>402.5317</v>
      </c>
      <c r="D206" t="inlineStr">
        <is>
          <t>€/MWh</t>
        </is>
      </c>
      <c r="E206" s="54" t="n">
        <v>0.402532</v>
      </c>
      <c r="F206" s="54" t="n">
        <v>0.444999</v>
      </c>
      <c r="G206" t="inlineStr">
        <is>
          <t>calculado</t>
        </is>
      </c>
      <c r="H206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206" t="inlineStr">
        <is>
          <t>2021-12-18</t>
        </is>
      </c>
      <c r="K206" t="inlineStr">
        <is>
          <t>ESIOS 1001 geo 8741</t>
        </is>
      </c>
      <c r="L206" t="inlineStr">
        <is>
          <t>24 valores; mín 357.24, máx 439.18 €/MWh</t>
        </is>
      </c>
    </row>
    <row r="207">
      <c r="A207" s="53" t="n">
        <v>44550</v>
      </c>
      <c r="B207" t="inlineStr">
        <is>
          <t>2021-12-20</t>
        </is>
      </c>
      <c r="C207" s="45" t="n">
        <v>438.49</v>
      </c>
      <c r="D207" t="inlineStr">
        <is>
          <t>€/MWh</t>
        </is>
      </c>
      <c r="E207" s="54" t="n">
        <v>0.43849</v>
      </c>
      <c r="F207" s="54" t="n">
        <v>0.484751</v>
      </c>
      <c r="G207" t="inlineStr">
        <is>
          <t>calculado</t>
        </is>
      </c>
      <c r="H207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207" t="inlineStr">
        <is>
          <t>2021-12-19</t>
        </is>
      </c>
      <c r="K207" t="inlineStr">
        <is>
          <t>ESIOS 1001 geo 8741</t>
        </is>
      </c>
      <c r="L207" t="inlineStr">
        <is>
          <t>24 valores; mín 349.03, máx 495.51 €/MWh</t>
        </is>
      </c>
    </row>
    <row r="208">
      <c r="A208" s="53" t="n">
        <v>44551</v>
      </c>
      <c r="B208" t="inlineStr">
        <is>
          <t>2021-12-21</t>
        </is>
      </c>
      <c r="C208" s="45" t="n">
        <v>418.9983</v>
      </c>
      <c r="D208" t="inlineStr">
        <is>
          <t>€/MWh</t>
        </is>
      </c>
      <c r="E208" s="54" t="n">
        <v>0.418998</v>
      </c>
      <c r="F208" s="54" t="n">
        <v>0.463203</v>
      </c>
      <c r="G208" t="inlineStr">
        <is>
          <t>calculado</t>
        </is>
      </c>
      <c r="H208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208" t="inlineStr">
        <is>
          <t>2021-12-20</t>
        </is>
      </c>
      <c r="K208" t="inlineStr">
        <is>
          <t>ESIOS 1001 geo 8741</t>
        </is>
      </c>
      <c r="L208" t="inlineStr">
        <is>
          <t>24 valores; mín 342.98, máx 487.59 €/MWh</t>
        </is>
      </c>
    </row>
    <row r="209">
      <c r="A209" s="53" t="n">
        <v>44552</v>
      </c>
      <c r="B209" t="inlineStr">
        <is>
          <t>2021-12-22</t>
        </is>
      </c>
      <c r="C209" s="45" t="n">
        <v>460.2171</v>
      </c>
      <c r="D209" t="inlineStr">
        <is>
          <t>€/MWh</t>
        </is>
      </c>
      <c r="E209" s="54" t="n">
        <v>0.460217</v>
      </c>
      <c r="F209" s="54" t="n">
        <v>0.5087699999999999</v>
      </c>
      <c r="G209" t="inlineStr">
        <is>
          <t>calculado</t>
        </is>
      </c>
      <c r="H209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209" t="inlineStr">
        <is>
          <t>2021-12-21</t>
        </is>
      </c>
      <c r="K209" t="inlineStr">
        <is>
          <t>ESIOS 1001 geo 8741</t>
        </is>
      </c>
      <c r="L209" t="inlineStr">
        <is>
          <t>24 valores; mín 424.75, máx 499.50 €/MWh</t>
        </is>
      </c>
    </row>
    <row r="210">
      <c r="A210" s="53" t="n">
        <v>44553</v>
      </c>
      <c r="B210" t="inlineStr">
        <is>
          <t>2021-12-23</t>
        </is>
      </c>
      <c r="C210" s="45" t="n">
        <v>491.9525</v>
      </c>
      <c r="D210" t="inlineStr">
        <is>
          <t>€/MWh</t>
        </is>
      </c>
      <c r="E210" s="54" t="n">
        <v>0.491953</v>
      </c>
      <c r="F210" s="54" t="n">
        <v>0.543853</v>
      </c>
      <c r="G210" t="inlineStr">
        <is>
          <t>calculado</t>
        </is>
      </c>
      <c r="H210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210" t="inlineStr">
        <is>
          <t>2021-12-22</t>
        </is>
      </c>
      <c r="K210" t="inlineStr">
        <is>
          <t>ESIOS 1001 geo 8741</t>
        </is>
      </c>
      <c r="L210" t="inlineStr">
        <is>
          <t>24 valores; mín 390.15, máx 536.81 €/MWh</t>
        </is>
      </c>
    </row>
    <row r="211">
      <c r="A211" s="53" t="n">
        <v>44554</v>
      </c>
      <c r="B211" t="inlineStr">
        <is>
          <t>2021-12-24</t>
        </is>
      </c>
      <c r="C211" s="45" t="n">
        <v>402.4725</v>
      </c>
      <c r="D211" t="inlineStr">
        <is>
          <t>€/MWh</t>
        </is>
      </c>
      <c r="E211" s="54" t="n">
        <v>0.402473</v>
      </c>
      <c r="F211" s="54" t="n">
        <v>0.444933</v>
      </c>
      <c r="G211" t="inlineStr">
        <is>
          <t>calculado</t>
        </is>
      </c>
      <c r="H211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211" t="inlineStr">
        <is>
          <t>2021-12-23</t>
        </is>
      </c>
      <c r="K211" t="inlineStr">
        <is>
          <t>ESIOS 1001 geo 8741</t>
        </is>
      </c>
      <c r="L211" t="inlineStr">
        <is>
          <t>24 valores; mín 331.58, máx 484.37 €/MWh</t>
        </is>
      </c>
    </row>
    <row r="212">
      <c r="A212" s="53" t="n">
        <v>44555</v>
      </c>
      <c r="B212" t="inlineStr">
        <is>
          <t>2021-12-25</t>
        </is>
      </c>
      <c r="C212" s="45" t="n">
        <v>294.5171</v>
      </c>
      <c r="D212" t="inlineStr">
        <is>
          <t>€/MWh</t>
        </is>
      </c>
      <c r="E212" s="54" t="n">
        <v>0.294517</v>
      </c>
      <c r="F212" s="54" t="n">
        <v>0.325589</v>
      </c>
      <c r="G212" t="inlineStr">
        <is>
          <t>calculado</t>
        </is>
      </c>
      <c r="H212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212" t="inlineStr">
        <is>
          <t>2021-12-24</t>
        </is>
      </c>
      <c r="K212" t="inlineStr">
        <is>
          <t>ESIOS 1001 geo 8741</t>
        </is>
      </c>
      <c r="L212" t="inlineStr">
        <is>
          <t>24 valores; mín 187.23, máx 394.84 €/MWh</t>
        </is>
      </c>
    </row>
    <row r="213">
      <c r="A213" s="53" t="n">
        <v>44556</v>
      </c>
      <c r="B213" t="inlineStr">
        <is>
          <t>2021-12-26</t>
        </is>
      </c>
      <c r="C213" s="45" t="n">
        <v>246.9492</v>
      </c>
      <c r="D213" t="inlineStr">
        <is>
          <t>€/MWh</t>
        </is>
      </c>
      <c r="E213" s="54" t="n">
        <v>0.246949</v>
      </c>
      <c r="F213" s="54" t="n">
        <v>0.273002</v>
      </c>
      <c r="G213" t="inlineStr">
        <is>
          <t>calculado</t>
        </is>
      </c>
      <c r="H213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213" t="inlineStr">
        <is>
          <t>2021-12-25</t>
        </is>
      </c>
      <c r="K213" t="inlineStr">
        <is>
          <t>ESIOS 1001 geo 8741</t>
        </is>
      </c>
      <c r="L213" t="inlineStr">
        <is>
          <t>24 valores; mín 191.61, máx 303.73 €/MWh</t>
        </is>
      </c>
    </row>
    <row r="214">
      <c r="A214" s="53" t="n">
        <v>44557</v>
      </c>
      <c r="B214" t="inlineStr">
        <is>
          <t>2021-12-27</t>
        </is>
      </c>
      <c r="C214" s="45" t="n">
        <v>152.5954</v>
      </c>
      <c r="D214" t="inlineStr">
        <is>
          <t>€/MWh</t>
        </is>
      </c>
      <c r="E214" s="54" t="n">
        <v>0.152595</v>
      </c>
      <c r="F214" s="54" t="n">
        <v>0.168955</v>
      </c>
      <c r="G214" t="inlineStr">
        <is>
          <t>calculado</t>
        </is>
      </c>
      <c r="H214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214" t="inlineStr">
        <is>
          <t>2021-12-26</t>
        </is>
      </c>
      <c r="K214" t="inlineStr">
        <is>
          <t>ESIOS 1001 geo 8741</t>
        </is>
      </c>
      <c r="L214" t="inlineStr">
        <is>
          <t>24 valores; mín 38.64, máx 289.77 €/MWh</t>
        </is>
      </c>
    </row>
    <row r="215">
      <c r="A215" s="53" t="n">
        <v>44558</v>
      </c>
      <c r="B215" t="inlineStr">
        <is>
          <t>2021-12-28</t>
        </is>
      </c>
      <c r="C215" s="45" t="n">
        <v>155.1496</v>
      </c>
      <c r="D215" t="inlineStr">
        <is>
          <t>€/MWh</t>
        </is>
      </c>
      <c r="E215" s="54" t="n">
        <v>0.15515</v>
      </c>
      <c r="F215" s="54" t="n">
        <v>0.171765</v>
      </c>
      <c r="G215" t="inlineStr">
        <is>
          <t>calculado</t>
        </is>
      </c>
      <c r="H215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215" t="inlineStr">
        <is>
          <t>2021-12-27</t>
        </is>
      </c>
      <c r="K215" t="inlineStr">
        <is>
          <t>ESIOS 1001 geo 8741</t>
        </is>
      </c>
      <c r="L215" t="inlineStr">
        <is>
          <t>24 valores; mín 30.97, máx 253.88 €/MWh</t>
        </is>
      </c>
    </row>
    <row r="216">
      <c r="A216" s="53" t="n">
        <v>44559</v>
      </c>
      <c r="B216" t="inlineStr">
        <is>
          <t>2021-12-29</t>
        </is>
      </c>
      <c r="C216" s="45" t="n">
        <v>247.7475</v>
      </c>
      <c r="D216" t="inlineStr">
        <is>
          <t>€/MWh</t>
        </is>
      </c>
      <c r="E216" s="54" t="n">
        <v>0.247747</v>
      </c>
      <c r="F216" s="54" t="n">
        <v>0.273885</v>
      </c>
      <c r="G216" t="inlineStr">
        <is>
          <t>calculado</t>
        </is>
      </c>
      <c r="H216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216" t="inlineStr">
        <is>
          <t>2021-12-28</t>
        </is>
      </c>
      <c r="K216" t="inlineStr">
        <is>
          <t>ESIOS 1001 geo 8741</t>
        </is>
      </c>
      <c r="L216" t="inlineStr">
        <is>
          <t>24 valores; mín 133.30, máx 348.14 €/MWh</t>
        </is>
      </c>
    </row>
    <row r="217">
      <c r="A217" s="53" t="n">
        <v>44560</v>
      </c>
      <c r="B217" t="inlineStr">
        <is>
          <t>2021-12-30</t>
        </is>
      </c>
      <c r="C217" s="45" t="n">
        <v>272.9442</v>
      </c>
      <c r="D217" t="inlineStr">
        <is>
          <t>€/MWh</t>
        </is>
      </c>
      <c r="E217" s="54" t="n">
        <v>0.272944</v>
      </c>
      <c r="F217" s="54" t="n">
        <v>0.30174</v>
      </c>
      <c r="G217" t="inlineStr">
        <is>
          <t>calculado</t>
        </is>
      </c>
      <c r="H217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217" t="inlineStr">
        <is>
          <t>2021-12-29</t>
        </is>
      </c>
      <c r="K217" t="inlineStr">
        <is>
          <t>ESIOS 1001 geo 8741</t>
        </is>
      </c>
      <c r="L217" t="inlineStr">
        <is>
          <t>24 valores; mín 236.34, máx 343.42 €/MWh</t>
        </is>
      </c>
    </row>
    <row r="218">
      <c r="A218" s="53" t="n">
        <v>44561</v>
      </c>
      <c r="B218" t="inlineStr">
        <is>
          <t>2021-12-31</t>
        </is>
      </c>
      <c r="C218" s="45" t="n">
        <v>202.9271</v>
      </c>
      <c r="D218" t="inlineStr">
        <is>
          <t>€/MWh</t>
        </is>
      </c>
      <c r="E218" s="54" t="n">
        <v>0.202927</v>
      </c>
      <c r="F218" s="54" t="n">
        <v>0.224336</v>
      </c>
      <c r="G218" t="inlineStr">
        <is>
          <t>calculado</t>
        </is>
      </c>
      <c r="H218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218" t="inlineStr">
        <is>
          <t>2021-12-30</t>
        </is>
      </c>
      <c r="K218" t="inlineStr">
        <is>
          <t>ESIOS 1001 geo 8741</t>
        </is>
      </c>
      <c r="L218" t="inlineStr">
        <is>
          <t>24 valores; mín 160.95, máx 279.38 €/MWh</t>
        </is>
      </c>
    </row>
    <row r="219">
      <c r="A219" s="53" t="n">
        <v>44562</v>
      </c>
      <c r="B219" t="inlineStr">
        <is>
          <t>2022-01-01</t>
        </is>
      </c>
      <c r="C219" s="45" t="n">
        <v>178.2729</v>
      </c>
      <c r="D219" t="inlineStr">
        <is>
          <t>€/MWh</t>
        </is>
      </c>
      <c r="E219" s="54" t="n">
        <v>0.178273</v>
      </c>
      <c r="F219" s="54" t="n">
        <v>0.1972</v>
      </c>
      <c r="G219" t="inlineStr">
        <is>
          <t>calculado</t>
        </is>
      </c>
      <c r="H219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219" t="inlineStr">
        <is>
          <t>2021-12-31</t>
        </is>
      </c>
      <c r="K219" t="inlineStr">
        <is>
          <t>ESIOS 1001 geo 8741</t>
        </is>
      </c>
      <c r="L219" t="inlineStr">
        <is>
          <t>24 valores; mín 118.96, máx 248.88 €/MWh</t>
        </is>
      </c>
    </row>
    <row r="220">
      <c r="A220" s="53" t="n">
        <v>44563</v>
      </c>
      <c r="B220" t="inlineStr">
        <is>
          <t>2022-01-02</t>
        </is>
      </c>
      <c r="C220" s="45" t="n">
        <v>187.0833</v>
      </c>
      <c r="D220" t="inlineStr">
        <is>
          <t>€/MWh</t>
        </is>
      </c>
      <c r="E220" s="54" t="n">
        <v>0.187083</v>
      </c>
      <c r="F220" s="54" t="n">
        <v>0.206892</v>
      </c>
      <c r="G220" t="inlineStr">
        <is>
          <t>calculado</t>
        </is>
      </c>
      <c r="H220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220" t="inlineStr">
        <is>
          <t>2022-01-01</t>
        </is>
      </c>
      <c r="K220" t="inlineStr">
        <is>
          <t>ESIOS 1001 geo 8741</t>
        </is>
      </c>
      <c r="L220" t="inlineStr">
        <is>
          <t>24 valores; mín 141.13, máx 268.11 €/MWh</t>
        </is>
      </c>
    </row>
    <row r="221">
      <c r="A221" s="53" t="n">
        <v>44564</v>
      </c>
      <c r="B221" t="inlineStr">
        <is>
          <t>2022-01-03</t>
        </is>
      </c>
      <c r="C221" s="45" t="n">
        <v>236.6262</v>
      </c>
      <c r="D221" t="inlineStr">
        <is>
          <t>€/MWh</t>
        </is>
      </c>
      <c r="E221" s="54" t="n">
        <v>0.236626</v>
      </c>
      <c r="F221" s="54" t="n">
        <v>0.26159</v>
      </c>
      <c r="G221" t="inlineStr">
        <is>
          <t>calculado</t>
        </is>
      </c>
      <c r="H221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221" t="inlineStr">
        <is>
          <t>2022-01-02</t>
        </is>
      </c>
      <c r="K221" t="inlineStr">
        <is>
          <t>ESIOS 1001 geo 8741</t>
        </is>
      </c>
      <c r="L221" t="inlineStr">
        <is>
          <t>24 valores; mín 164.71, máx 326.48 €/MWh</t>
        </is>
      </c>
    </row>
    <row r="222">
      <c r="A222" s="53" t="n">
        <v>44565</v>
      </c>
      <c r="B222" t="inlineStr">
        <is>
          <t>2022-01-04</t>
        </is>
      </c>
      <c r="C222" s="45" t="n">
        <v>239.9921</v>
      </c>
      <c r="D222" t="inlineStr">
        <is>
          <t>€/MWh</t>
        </is>
      </c>
      <c r="E222" s="54" t="n">
        <v>0.239992</v>
      </c>
      <c r="F222" s="54" t="n">
        <v>0.265311</v>
      </c>
      <c r="G222" t="inlineStr">
        <is>
          <t>calculado</t>
        </is>
      </c>
      <c r="H222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222" t="inlineStr">
        <is>
          <t>2022-01-03</t>
        </is>
      </c>
      <c r="K222" t="inlineStr">
        <is>
          <t>ESIOS 1001 geo 8741</t>
        </is>
      </c>
      <c r="L222" t="inlineStr">
        <is>
          <t>24 valores; mín 152.68, máx 332.83 €/MWh</t>
        </is>
      </c>
    </row>
    <row r="223">
      <c r="A223" s="53" t="n">
        <v>44566</v>
      </c>
      <c r="B223" t="inlineStr">
        <is>
          <t>2022-01-05</t>
        </is>
      </c>
      <c r="C223" s="45" t="n">
        <v>272.3175</v>
      </c>
      <c r="D223" t="inlineStr">
        <is>
          <t>€/MWh</t>
        </is>
      </c>
      <c r="E223" s="54" t="n">
        <v>0.272317</v>
      </c>
      <c r="F223" s="54" t="n">
        <v>0.301047</v>
      </c>
      <c r="G223" t="inlineStr">
        <is>
          <t>calculado</t>
        </is>
      </c>
      <c r="H223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223" t="inlineStr">
        <is>
          <t>2022-01-04</t>
        </is>
      </c>
      <c r="K223" t="inlineStr">
        <is>
          <t>ESIOS 1001 geo 8741</t>
        </is>
      </c>
      <c r="L223" t="inlineStr">
        <is>
          <t>24 valores; mín 114.73, máx 408.58 €/MWh</t>
        </is>
      </c>
    </row>
    <row r="224">
      <c r="A224" s="53" t="n">
        <v>44567</v>
      </c>
      <c r="B224" t="inlineStr">
        <is>
          <t>2022-01-06</t>
        </is>
      </c>
      <c r="C224" s="45" t="n">
        <v>276.8079</v>
      </c>
      <c r="D224" t="inlineStr">
        <is>
          <t>€/MWh</t>
        </is>
      </c>
      <c r="E224" s="54" t="n">
        <v>0.276808</v>
      </c>
      <c r="F224" s="54" t="n">
        <v>0.306011</v>
      </c>
      <c r="G224" t="inlineStr">
        <is>
          <t>calculado</t>
        </is>
      </c>
      <c r="H224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224" t="inlineStr">
        <is>
          <t>2022-01-05</t>
        </is>
      </c>
      <c r="K224" t="inlineStr">
        <is>
          <t>ESIOS 1001 geo 8741</t>
        </is>
      </c>
      <c r="L224" t="inlineStr">
        <is>
          <t>24 valores; mín 235.25, máx 352.09 €/MWh</t>
        </is>
      </c>
    </row>
    <row r="225">
      <c r="A225" s="53" t="n">
        <v>44568</v>
      </c>
      <c r="B225" t="inlineStr">
        <is>
          <t>2022-01-07</t>
        </is>
      </c>
      <c r="C225" s="45" t="n">
        <v>317.1996</v>
      </c>
      <c r="D225" t="inlineStr">
        <is>
          <t>€/MWh</t>
        </is>
      </c>
      <c r="E225" s="54" t="n">
        <v>0.3172</v>
      </c>
      <c r="F225" s="54" t="n">
        <v>0.350664</v>
      </c>
      <c r="G225" t="inlineStr">
        <is>
          <t>calculado</t>
        </is>
      </c>
      <c r="H225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225" t="inlineStr">
        <is>
          <t>2022-01-06</t>
        </is>
      </c>
      <c r="K225" t="inlineStr">
        <is>
          <t>ESIOS 1001 geo 8741</t>
        </is>
      </c>
      <c r="L225" t="inlineStr">
        <is>
          <t>24 valores; mín 225.30, máx 422.83 €/MWh</t>
        </is>
      </c>
    </row>
    <row r="226">
      <c r="A226" s="53" t="n">
        <v>44569</v>
      </c>
      <c r="B226" t="inlineStr">
        <is>
          <t>2022-01-08</t>
        </is>
      </c>
      <c r="C226" s="45" t="n">
        <v>267.5404</v>
      </c>
      <c r="D226" t="inlineStr">
        <is>
          <t>€/MWh</t>
        </is>
      </c>
      <c r="E226" s="54" t="n">
        <v>0.26754</v>
      </c>
      <c r="F226" s="54" t="n">
        <v>0.295766</v>
      </c>
      <c r="G226" t="inlineStr">
        <is>
          <t>calculado</t>
        </is>
      </c>
      <c r="H226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226" t="inlineStr">
        <is>
          <t>2022-01-07</t>
        </is>
      </c>
      <c r="K226" t="inlineStr">
        <is>
          <t>ESIOS 1001 geo 8741</t>
        </is>
      </c>
      <c r="L226" t="inlineStr">
        <is>
          <t>24 valores; mín 199.53, máx 347.83 €/MWh</t>
        </is>
      </c>
    </row>
    <row r="227">
      <c r="A227" s="53" t="n">
        <v>44570</v>
      </c>
      <c r="B227" t="inlineStr">
        <is>
          <t>2022-01-09</t>
        </is>
      </c>
      <c r="C227" s="45" t="n">
        <v>168.4725</v>
      </c>
      <c r="D227" t="inlineStr">
        <is>
          <t>€/MWh</t>
        </is>
      </c>
      <c r="E227" s="54" t="n">
        <v>0.168472</v>
      </c>
      <c r="F227" s="54" t="n">
        <v>0.18642</v>
      </c>
      <c r="G227" t="inlineStr">
        <is>
          <t>calculado</t>
        </is>
      </c>
      <c r="H227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227" t="inlineStr">
        <is>
          <t>2022-01-08</t>
        </is>
      </c>
      <c r="K227" t="inlineStr">
        <is>
          <t>ESIOS 1001 geo 8741</t>
        </is>
      </c>
      <c r="L227" t="inlineStr">
        <is>
          <t>24 valores; mín 36.35, máx 306.97 €/MWh</t>
        </is>
      </c>
    </row>
    <row r="228">
      <c r="A228" s="53" t="n">
        <v>44571</v>
      </c>
      <c r="B228" t="inlineStr">
        <is>
          <t>2022-01-10</t>
        </is>
      </c>
      <c r="C228" s="45" t="n">
        <v>319.3667</v>
      </c>
      <c r="D228" t="inlineStr">
        <is>
          <t>€/MWh</t>
        </is>
      </c>
      <c r="E228" s="54" t="n">
        <v>0.319367</v>
      </c>
      <c r="F228" s="54" t="n">
        <v>0.35306</v>
      </c>
      <c r="G228" t="inlineStr">
        <is>
          <t>calculado</t>
        </is>
      </c>
      <c r="H228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228" t="inlineStr">
        <is>
          <t>2022-01-09</t>
        </is>
      </c>
      <c r="K228" t="inlineStr">
        <is>
          <t>ESIOS 1001 geo 8741</t>
        </is>
      </c>
      <c r="L228" t="inlineStr">
        <is>
          <t>24 valores; mín 220.69, máx 464.32 €/MWh</t>
        </is>
      </c>
    </row>
    <row r="229">
      <c r="A229" s="53" t="n">
        <v>44572</v>
      </c>
      <c r="B229" t="inlineStr">
        <is>
          <t>2022-01-11</t>
        </is>
      </c>
      <c r="C229" s="45" t="n">
        <v>322.9821</v>
      </c>
      <c r="D229" t="inlineStr">
        <is>
          <t>€/MWh</t>
        </is>
      </c>
      <c r="E229" s="54" t="n">
        <v>0.322982</v>
      </c>
      <c r="F229" s="54" t="n">
        <v>0.357057</v>
      </c>
      <c r="G229" t="inlineStr">
        <is>
          <t>calculado</t>
        </is>
      </c>
      <c r="H229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229" t="inlineStr">
        <is>
          <t>2022-01-10</t>
        </is>
      </c>
      <c r="K229" t="inlineStr">
        <is>
          <t>ESIOS 1001 geo 8741</t>
        </is>
      </c>
      <c r="L229" t="inlineStr">
        <is>
          <t>24 valores; mín 252.26, máx 426.54 €/MWh</t>
        </is>
      </c>
    </row>
    <row r="230">
      <c r="A230" s="53" t="n">
        <v>44573</v>
      </c>
      <c r="B230" t="inlineStr">
        <is>
          <t>2022-01-12</t>
        </is>
      </c>
      <c r="C230" s="45" t="n">
        <v>301.325</v>
      </c>
      <c r="D230" t="inlineStr">
        <is>
          <t>€/MWh</t>
        </is>
      </c>
      <c r="E230" s="54" t="n">
        <v>0.301325</v>
      </c>
      <c r="F230" s="54" t="n">
        <v>0.333115</v>
      </c>
      <c r="G230" t="inlineStr">
        <is>
          <t>calculado</t>
        </is>
      </c>
      <c r="H230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230" t="inlineStr">
        <is>
          <t>2022-01-11</t>
        </is>
      </c>
      <c r="K230" t="inlineStr">
        <is>
          <t>ESIOS 1001 geo 8741</t>
        </is>
      </c>
      <c r="L230" t="inlineStr">
        <is>
          <t>24 valores; mín 232.98, máx 421.94 €/MWh</t>
        </is>
      </c>
    </row>
    <row r="231">
      <c r="A231" s="53" t="n">
        <v>44574</v>
      </c>
      <c r="B231" t="inlineStr">
        <is>
          <t>2022-01-13</t>
        </is>
      </c>
      <c r="C231" s="45" t="n">
        <v>313.0196</v>
      </c>
      <c r="D231" t="inlineStr">
        <is>
          <t>€/MWh</t>
        </is>
      </c>
      <c r="E231" s="54" t="n">
        <v>0.31302</v>
      </c>
      <c r="F231" s="54" t="n">
        <v>0.346043</v>
      </c>
      <c r="G231" t="inlineStr">
        <is>
          <t>calculado</t>
        </is>
      </c>
      <c r="H231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231" t="inlineStr">
        <is>
          <t>2022-01-12</t>
        </is>
      </c>
      <c r="K231" t="inlineStr">
        <is>
          <t>ESIOS 1001 geo 8741</t>
        </is>
      </c>
      <c r="L231" t="inlineStr">
        <is>
          <t>24 valores; mín 240.19, máx 425.48 €/MWh</t>
        </is>
      </c>
    </row>
    <row r="232">
      <c r="A232" s="53" t="n">
        <v>44575</v>
      </c>
      <c r="B232" t="inlineStr">
        <is>
          <t>2022-01-14</t>
        </is>
      </c>
      <c r="C232" s="45" t="n">
        <v>298.0637</v>
      </c>
      <c r="D232" t="inlineStr">
        <is>
          <t>€/MWh</t>
        </is>
      </c>
      <c r="E232" s="54" t="n">
        <v>0.298064</v>
      </c>
      <c r="F232" s="54" t="n">
        <v>0.329509</v>
      </c>
      <c r="G232" t="inlineStr">
        <is>
          <t>calculado</t>
        </is>
      </c>
      <c r="H232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232" t="inlineStr">
        <is>
          <t>2022-01-13</t>
        </is>
      </c>
      <c r="K232" t="inlineStr">
        <is>
          <t>ESIOS 1001 geo 8741</t>
        </is>
      </c>
      <c r="L232" t="inlineStr">
        <is>
          <t>24 valores; mín 250.46, máx 392.52 €/MWh</t>
        </is>
      </c>
    </row>
    <row r="233">
      <c r="A233" s="53" t="n">
        <v>44576</v>
      </c>
      <c r="B233" t="inlineStr">
        <is>
          <t>2022-01-15</t>
        </is>
      </c>
      <c r="C233" s="45" t="n">
        <v>281.1388</v>
      </c>
      <c r="D233" t="inlineStr">
        <is>
          <t>€/MWh</t>
        </is>
      </c>
      <c r="E233" s="54" t="n">
        <v>0.281139</v>
      </c>
      <c r="F233" s="54" t="n">
        <v>0.310799</v>
      </c>
      <c r="G233" t="inlineStr">
        <is>
          <t>calculado</t>
        </is>
      </c>
      <c r="H233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233" t="inlineStr">
        <is>
          <t>2022-01-14</t>
        </is>
      </c>
      <c r="K233" t="inlineStr">
        <is>
          <t>ESIOS 1001 geo 8741</t>
        </is>
      </c>
      <c r="L233" t="inlineStr">
        <is>
          <t>24 valores; mín 251.89, máx 339.66 €/MWh</t>
        </is>
      </c>
    </row>
    <row r="234">
      <c r="A234" s="53" t="n">
        <v>44577</v>
      </c>
      <c r="B234" t="inlineStr">
        <is>
          <t>2022-01-16</t>
        </is>
      </c>
      <c r="C234" s="45" t="n">
        <v>275.0763</v>
      </c>
      <c r="D234" t="inlineStr">
        <is>
          <t>€/MWh</t>
        </is>
      </c>
      <c r="E234" s="54" t="n">
        <v>0.275076</v>
      </c>
      <c r="F234" s="54" t="n">
        <v>0.304097</v>
      </c>
      <c r="G234" t="inlineStr">
        <is>
          <t>calculado</t>
        </is>
      </c>
      <c r="H234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234" t="inlineStr">
        <is>
          <t>2022-01-15</t>
        </is>
      </c>
      <c r="K234" t="inlineStr">
        <is>
          <t>ESIOS 1001 geo 8741</t>
        </is>
      </c>
      <c r="L234" t="inlineStr">
        <is>
          <t>24 valores; mín 242.96, máx 337.73 €/MWh</t>
        </is>
      </c>
    </row>
    <row r="235">
      <c r="A235" s="53" t="n">
        <v>44578</v>
      </c>
      <c r="B235" t="inlineStr">
        <is>
          <t>2022-01-17</t>
        </is>
      </c>
      <c r="C235" s="45" t="n">
        <v>350.2354</v>
      </c>
      <c r="D235" t="inlineStr">
        <is>
          <t>€/MWh</t>
        </is>
      </c>
      <c r="E235" s="54" t="n">
        <v>0.350235</v>
      </c>
      <c r="F235" s="54" t="n">
        <v>0.387185</v>
      </c>
      <c r="G235" t="inlineStr">
        <is>
          <t>calculado</t>
        </is>
      </c>
      <c r="H235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235" t="inlineStr">
        <is>
          <t>2022-01-16</t>
        </is>
      </c>
      <c r="K235" t="inlineStr">
        <is>
          <t>ESIOS 1001 geo 8741</t>
        </is>
      </c>
      <c r="L235" t="inlineStr">
        <is>
          <t>24 valores; mín 277.28, máx 452.94 €/MWh</t>
        </is>
      </c>
    </row>
    <row r="236">
      <c r="A236" s="53" t="n">
        <v>44579</v>
      </c>
      <c r="B236" t="inlineStr">
        <is>
          <t>2022-01-18</t>
        </is>
      </c>
      <c r="C236" s="45" t="n">
        <v>322.4271</v>
      </c>
      <c r="D236" t="inlineStr">
        <is>
          <t>€/MWh</t>
        </is>
      </c>
      <c r="E236" s="54" t="n">
        <v>0.322427</v>
      </c>
      <c r="F236" s="54" t="n">
        <v>0.356443</v>
      </c>
      <c r="G236" t="inlineStr">
        <is>
          <t>calculado</t>
        </is>
      </c>
      <c r="H236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236" t="inlineStr">
        <is>
          <t>2022-01-17</t>
        </is>
      </c>
      <c r="K236" t="inlineStr">
        <is>
          <t>ESIOS 1001 geo 8741</t>
        </is>
      </c>
      <c r="L236" t="inlineStr">
        <is>
          <t>24 valores; mín 254.54, máx 437.62 €/MWh</t>
        </is>
      </c>
    </row>
    <row r="237">
      <c r="A237" s="53" t="n">
        <v>44580</v>
      </c>
      <c r="B237" t="inlineStr">
        <is>
          <t>2022-01-19</t>
        </is>
      </c>
      <c r="C237" s="45" t="n">
        <v>309.9921</v>
      </c>
      <c r="D237" t="inlineStr">
        <is>
          <t>€/MWh</t>
        </is>
      </c>
      <c r="E237" s="54" t="n">
        <v>0.309992</v>
      </c>
      <c r="F237" s="54" t="n">
        <v>0.342696</v>
      </c>
      <c r="G237" t="inlineStr">
        <is>
          <t>calculado</t>
        </is>
      </c>
      <c r="H237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237" t="inlineStr">
        <is>
          <t>2022-01-18</t>
        </is>
      </c>
      <c r="K237" t="inlineStr">
        <is>
          <t>ESIOS 1001 geo 8741</t>
        </is>
      </c>
      <c r="L237" t="inlineStr">
        <is>
          <t>24 valores; mín 246.87, máx 420.19 €/MWh</t>
        </is>
      </c>
    </row>
    <row r="238">
      <c r="A238" s="53" t="n">
        <v>44581</v>
      </c>
      <c r="B238" t="inlineStr">
        <is>
          <t>2022-01-20</t>
        </is>
      </c>
      <c r="C238" s="45" t="n">
        <v>284.3604</v>
      </c>
      <c r="D238" t="inlineStr">
        <is>
          <t>€/MWh</t>
        </is>
      </c>
      <c r="E238" s="54" t="n">
        <v>0.28436</v>
      </c>
      <c r="F238" s="54" t="n">
        <v>0.31436</v>
      </c>
      <c r="G238" t="inlineStr">
        <is>
          <t>calculado</t>
        </is>
      </c>
      <c r="H238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238" t="inlineStr">
        <is>
          <t>2022-01-19</t>
        </is>
      </c>
      <c r="K238" t="inlineStr">
        <is>
          <t>ESIOS 1001 geo 8741</t>
        </is>
      </c>
      <c r="L238" t="inlineStr">
        <is>
          <t>24 valores; mín 224.97, máx 397.01 €/MWh</t>
        </is>
      </c>
    </row>
    <row r="239">
      <c r="A239" s="53" t="n">
        <v>44582</v>
      </c>
      <c r="B239" t="inlineStr">
        <is>
          <t>2022-01-21</t>
        </is>
      </c>
      <c r="C239" s="45" t="n">
        <v>270.0583</v>
      </c>
      <c r="D239" t="inlineStr">
        <is>
          <t>€/MWh</t>
        </is>
      </c>
      <c r="E239" s="54" t="n">
        <v>0.270058</v>
      </c>
      <c r="F239" s="54" t="n">
        <v>0.298549</v>
      </c>
      <c r="G239" t="inlineStr">
        <is>
          <t>calculado</t>
        </is>
      </c>
      <c r="H239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239" t="inlineStr">
        <is>
          <t>2022-01-20</t>
        </is>
      </c>
      <c r="K239" t="inlineStr">
        <is>
          <t>ESIOS 1001 geo 8741</t>
        </is>
      </c>
      <c r="L239" t="inlineStr">
        <is>
          <t>24 valores; mín 206.58, máx 367.78 €/MWh</t>
        </is>
      </c>
    </row>
    <row r="240">
      <c r="A240" s="53" t="n">
        <v>44583</v>
      </c>
      <c r="B240" t="inlineStr">
        <is>
          <t>2022-01-22</t>
        </is>
      </c>
      <c r="C240" s="45" t="n">
        <v>246.0392</v>
      </c>
      <c r="D240" t="inlineStr">
        <is>
          <t>€/MWh</t>
        </is>
      </c>
      <c r="E240" s="54" t="n">
        <v>0.246039</v>
      </c>
      <c r="F240" s="54" t="n">
        <v>0.271996</v>
      </c>
      <c r="G240" t="inlineStr">
        <is>
          <t>calculado</t>
        </is>
      </c>
      <c r="H240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240" t="inlineStr">
        <is>
          <t>2022-01-21</t>
        </is>
      </c>
      <c r="K240" t="inlineStr">
        <is>
          <t>ESIOS 1001 geo 8741</t>
        </is>
      </c>
      <c r="L240" t="inlineStr">
        <is>
          <t>24 valores; mín 218.94, máx 312.41 €/MWh</t>
        </is>
      </c>
    </row>
    <row r="241">
      <c r="A241" s="53" t="n">
        <v>44584</v>
      </c>
      <c r="B241" t="inlineStr">
        <is>
          <t>2022-01-23</t>
        </is>
      </c>
      <c r="C241" s="45" t="n">
        <v>260.5646</v>
      </c>
      <c r="D241" t="inlineStr">
        <is>
          <t>€/MWh</t>
        </is>
      </c>
      <c r="E241" s="54" t="n">
        <v>0.260565</v>
      </c>
      <c r="F241" s="54" t="n">
        <v>0.288054</v>
      </c>
      <c r="G241" t="inlineStr">
        <is>
          <t>calculado</t>
        </is>
      </c>
      <c r="H241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241" t="inlineStr">
        <is>
          <t>2022-01-22</t>
        </is>
      </c>
      <c r="K241" t="inlineStr">
        <is>
          <t>ESIOS 1001 geo 8741</t>
        </is>
      </c>
      <c r="L241" t="inlineStr">
        <is>
          <t>24 valores; mín 234.32, máx 317.45 €/MWh</t>
        </is>
      </c>
    </row>
    <row r="242">
      <c r="A242" s="53" t="n">
        <v>44585</v>
      </c>
      <c r="B242" t="inlineStr">
        <is>
          <t>2022-01-24</t>
        </is>
      </c>
      <c r="C242" s="45" t="n">
        <v>328.6988</v>
      </c>
      <c r="D242" t="inlineStr">
        <is>
          <t>€/MWh</t>
        </is>
      </c>
      <c r="E242" s="54" t="n">
        <v>0.328699</v>
      </c>
      <c r="F242" s="54" t="n">
        <v>0.363377</v>
      </c>
      <c r="G242" t="inlineStr">
        <is>
          <t>calculado</t>
        </is>
      </c>
      <c r="H242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242" t="inlineStr">
        <is>
          <t>2022-01-23</t>
        </is>
      </c>
      <c r="K242" t="inlineStr">
        <is>
          <t>ESIOS 1001 geo 8741</t>
        </is>
      </c>
      <c r="L242" t="inlineStr">
        <is>
          <t>24 valores; mín 238.13, máx 467.41 €/MWh</t>
        </is>
      </c>
    </row>
    <row r="243">
      <c r="A243" s="53" t="n">
        <v>44586</v>
      </c>
      <c r="B243" t="inlineStr">
        <is>
          <t>2022-01-25</t>
        </is>
      </c>
      <c r="C243" s="45" t="n">
        <v>323.8562</v>
      </c>
      <c r="D243" t="inlineStr">
        <is>
          <t>€/MWh</t>
        </is>
      </c>
      <c r="E243" s="54" t="n">
        <v>0.323856</v>
      </c>
      <c r="F243" s="54" t="n">
        <v>0.358023</v>
      </c>
      <c r="G243" t="inlineStr">
        <is>
          <t>calculado</t>
        </is>
      </c>
      <c r="H243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243" t="inlineStr">
        <is>
          <t>2022-01-24</t>
        </is>
      </c>
      <c r="K243" t="inlineStr">
        <is>
          <t>ESIOS 1001 geo 8741</t>
        </is>
      </c>
      <c r="L243" t="inlineStr">
        <is>
          <t>24 valores; mín 256.25, máx 418.71 €/MWh</t>
        </is>
      </c>
    </row>
    <row r="244">
      <c r="A244" s="53" t="n">
        <v>44587</v>
      </c>
      <c r="B244" t="inlineStr">
        <is>
          <t>2022-01-26</t>
        </is>
      </c>
      <c r="C244" s="45" t="n">
        <v>338.9046</v>
      </c>
      <c r="D244" t="inlineStr">
        <is>
          <t>€/MWh</t>
        </is>
      </c>
      <c r="E244" s="54" t="n">
        <v>0.338905</v>
      </c>
      <c r="F244" s="54" t="n">
        <v>0.374659</v>
      </c>
      <c r="G244" t="inlineStr">
        <is>
          <t>calculado</t>
        </is>
      </c>
      <c r="H244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244" t="inlineStr">
        <is>
          <t>2022-01-25</t>
        </is>
      </c>
      <c r="K244" t="inlineStr">
        <is>
          <t>ESIOS 1001 geo 8741</t>
        </is>
      </c>
      <c r="L244" t="inlineStr">
        <is>
          <t>24 valores; mín 292.19, máx 409.00 €/MWh</t>
        </is>
      </c>
    </row>
    <row r="245">
      <c r="A245" s="53" t="n">
        <v>44588</v>
      </c>
      <c r="B245" t="inlineStr">
        <is>
          <t>2022-01-27</t>
        </is>
      </c>
      <c r="C245" s="45" t="n">
        <v>334.6075</v>
      </c>
      <c r="D245" t="inlineStr">
        <is>
          <t>€/MWh</t>
        </is>
      </c>
      <c r="E245" s="54" t="n">
        <v>0.334608</v>
      </c>
      <c r="F245" s="54" t="n">
        <v>0.369909</v>
      </c>
      <c r="G245" t="inlineStr">
        <is>
          <t>calculado</t>
        </is>
      </c>
      <c r="H245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245" t="inlineStr">
        <is>
          <t>2022-01-26</t>
        </is>
      </c>
      <c r="K245" t="inlineStr">
        <is>
          <t>ESIOS 1001 geo 8741</t>
        </is>
      </c>
      <c r="L245" t="inlineStr">
        <is>
          <t>24 valores; mín 285.07, máx 408.73 €/MWh</t>
        </is>
      </c>
    </row>
    <row r="246">
      <c r="A246" s="53" t="n">
        <v>44589</v>
      </c>
      <c r="B246" t="inlineStr">
        <is>
          <t>2022-01-28</t>
        </is>
      </c>
      <c r="C246" s="45" t="n">
        <v>325.0833</v>
      </c>
      <c r="D246" t="inlineStr">
        <is>
          <t>€/MWh</t>
        </is>
      </c>
      <c r="E246" s="54" t="n">
        <v>0.325083</v>
      </c>
      <c r="F246" s="54" t="n">
        <v>0.35938</v>
      </c>
      <c r="G246" t="inlineStr">
        <is>
          <t>calculado</t>
        </is>
      </c>
      <c r="H246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246" t="inlineStr">
        <is>
          <t>2022-01-27</t>
        </is>
      </c>
      <c r="K246" t="inlineStr">
        <is>
          <t>ESIOS 1001 geo 8741</t>
        </is>
      </c>
      <c r="L246" t="inlineStr">
        <is>
          <t>24 valores; mín 249.81, máx 417.29 €/MWh</t>
        </is>
      </c>
    </row>
    <row r="247">
      <c r="A247" s="53" t="n">
        <v>44590</v>
      </c>
      <c r="B247" t="inlineStr">
        <is>
          <t>2022-01-29</t>
        </is>
      </c>
      <c r="C247" s="45" t="n">
        <v>287.9433</v>
      </c>
      <c r="D247" t="inlineStr">
        <is>
          <t>€/MWh</t>
        </is>
      </c>
      <c r="E247" s="54" t="n">
        <v>0.287943</v>
      </c>
      <c r="F247" s="54" t="n">
        <v>0.318321</v>
      </c>
      <c r="G247" t="inlineStr">
        <is>
          <t>calculado</t>
        </is>
      </c>
      <c r="H247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247" t="inlineStr">
        <is>
          <t>2022-01-28</t>
        </is>
      </c>
      <c r="K247" t="inlineStr">
        <is>
          <t>ESIOS 1001 geo 8741</t>
        </is>
      </c>
      <c r="L247" t="inlineStr">
        <is>
          <t>24 valores; mín 232.93, máx 334.11 €/MWh</t>
        </is>
      </c>
    </row>
    <row r="248">
      <c r="A248" s="53" t="n">
        <v>44591</v>
      </c>
      <c r="B248" t="inlineStr">
        <is>
          <t>2022-01-30</t>
        </is>
      </c>
      <c r="C248" s="45" t="n">
        <v>298.8808</v>
      </c>
      <c r="D248" t="inlineStr">
        <is>
          <t>€/MWh</t>
        </is>
      </c>
      <c r="E248" s="54" t="n">
        <v>0.298881</v>
      </c>
      <c r="F248" s="54" t="n">
        <v>0.330413</v>
      </c>
      <c r="G248" t="inlineStr">
        <is>
          <t>calculado</t>
        </is>
      </c>
      <c r="H248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248" t="inlineStr">
        <is>
          <t>2022-01-29</t>
        </is>
      </c>
      <c r="K248" t="inlineStr">
        <is>
          <t>ESIOS 1001 geo 8741</t>
        </is>
      </c>
      <c r="L248" t="inlineStr">
        <is>
          <t>24 valores; mín 268.21, máx 341.68 €/MWh</t>
        </is>
      </c>
    </row>
    <row r="249">
      <c r="A249" s="53" t="n">
        <v>44592</v>
      </c>
      <c r="B249" t="inlineStr">
        <is>
          <t>2022-01-31</t>
        </is>
      </c>
      <c r="C249" s="45" t="n">
        <v>324.7254</v>
      </c>
      <c r="D249" t="inlineStr">
        <is>
          <t>€/MWh</t>
        </is>
      </c>
      <c r="E249" s="54" t="n">
        <v>0.324725</v>
      </c>
      <c r="F249" s="54" t="n">
        <v>0.358984</v>
      </c>
      <c r="G249" t="inlineStr">
        <is>
          <t>calculado</t>
        </is>
      </c>
      <c r="H249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249" t="inlineStr">
        <is>
          <t>2022-01-30</t>
        </is>
      </c>
      <c r="K249" t="inlineStr">
        <is>
          <t>ESIOS 1001 geo 8741</t>
        </is>
      </c>
      <c r="L249" t="inlineStr">
        <is>
          <t>24 valores; mín 230.97, máx 421.93 €/MWh</t>
        </is>
      </c>
    </row>
    <row r="250">
      <c r="A250" s="53" t="n">
        <v>44593</v>
      </c>
      <c r="B250" t="inlineStr">
        <is>
          <t>2022-02-01</t>
        </is>
      </c>
      <c r="C250" s="45" t="n">
        <v>306.3537</v>
      </c>
      <c r="D250" t="inlineStr">
        <is>
          <t>€/MWh</t>
        </is>
      </c>
      <c r="E250" s="54" t="n">
        <v>0.306354</v>
      </c>
      <c r="F250" s="54" t="n">
        <v>0.338674</v>
      </c>
      <c r="G250" t="inlineStr">
        <is>
          <t>calculado</t>
        </is>
      </c>
      <c r="H250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250" t="inlineStr">
        <is>
          <t>2022-01-31</t>
        </is>
      </c>
      <c r="K250" t="inlineStr">
        <is>
          <t>ESIOS 1001 geo 8741</t>
        </is>
      </c>
      <c r="L250" t="inlineStr">
        <is>
          <t>24 valores; mín 231.66, máx 414.82 €/MWh</t>
        </is>
      </c>
    </row>
    <row r="251">
      <c r="A251" s="53" t="n">
        <v>44594</v>
      </c>
      <c r="B251" t="inlineStr">
        <is>
          <t>2022-02-02</t>
        </is>
      </c>
      <c r="C251" s="45" t="n">
        <v>307.4492</v>
      </c>
      <c r="D251" t="inlineStr">
        <is>
          <t>€/MWh</t>
        </is>
      </c>
      <c r="E251" s="54" t="n">
        <v>0.307449</v>
      </c>
      <c r="F251" s="54" t="n">
        <v>0.339885</v>
      </c>
      <c r="G251" t="inlineStr">
        <is>
          <t>calculado</t>
        </is>
      </c>
      <c r="H251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251" t="inlineStr">
        <is>
          <t>2022-02-01</t>
        </is>
      </c>
      <c r="K251" t="inlineStr">
        <is>
          <t>ESIOS 1001 geo 8741</t>
        </is>
      </c>
      <c r="L251" t="inlineStr">
        <is>
          <t>24 valores; mín 223.38, máx 433.01 €/MWh</t>
        </is>
      </c>
    </row>
    <row r="252">
      <c r="A252" s="53" t="n">
        <v>44595</v>
      </c>
      <c r="B252" t="inlineStr">
        <is>
          <t>2022-02-03</t>
        </is>
      </c>
      <c r="C252" s="45" t="n">
        <v>303.5663</v>
      </c>
      <c r="D252" t="inlineStr">
        <is>
          <t>€/MWh</t>
        </is>
      </c>
      <c r="E252" s="54" t="n">
        <v>0.303566</v>
      </c>
      <c r="F252" s="54" t="n">
        <v>0.335593</v>
      </c>
      <c r="G252" t="inlineStr">
        <is>
          <t>calculado</t>
        </is>
      </c>
      <c r="H252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252" t="inlineStr">
        <is>
          <t>2022-02-02</t>
        </is>
      </c>
      <c r="K252" t="inlineStr">
        <is>
          <t>ESIOS 1001 geo 8741</t>
        </is>
      </c>
      <c r="L252" t="inlineStr">
        <is>
          <t>24 valores; mín 228.84, máx 403.97 €/MWh</t>
        </is>
      </c>
    </row>
    <row r="253">
      <c r="A253" s="53" t="n">
        <v>44596</v>
      </c>
      <c r="B253" t="inlineStr">
        <is>
          <t>2022-02-04</t>
        </is>
      </c>
      <c r="C253" s="45" t="n">
        <v>291.4083</v>
      </c>
      <c r="D253" t="inlineStr">
        <is>
          <t>€/MWh</t>
        </is>
      </c>
      <c r="E253" s="54" t="n">
        <v>0.291408</v>
      </c>
      <c r="F253" s="54" t="n">
        <v>0.322152</v>
      </c>
      <c r="G253" t="inlineStr">
        <is>
          <t>calculado</t>
        </is>
      </c>
      <c r="H253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253" t="inlineStr">
        <is>
          <t>2022-02-03</t>
        </is>
      </c>
      <c r="K253" t="inlineStr">
        <is>
          <t>ESIOS 1001 geo 8741</t>
        </is>
      </c>
      <c r="L253" t="inlineStr">
        <is>
          <t>24 valores; mín 221.06, máx 391.25 €/MWh</t>
        </is>
      </c>
    </row>
    <row r="254">
      <c r="A254" s="53" t="n">
        <v>44597</v>
      </c>
      <c r="B254" t="inlineStr">
        <is>
          <t>2022-02-05</t>
        </is>
      </c>
      <c r="C254" s="45" t="n">
        <v>256.1717</v>
      </c>
      <c r="D254" t="inlineStr">
        <is>
          <t>€/MWh</t>
        </is>
      </c>
      <c r="E254" s="54" t="n">
        <v>0.256172</v>
      </c>
      <c r="F254" s="54" t="n">
        <v>0.283198</v>
      </c>
      <c r="G254" t="inlineStr">
        <is>
          <t>calculado</t>
        </is>
      </c>
      <c r="H254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254" t="inlineStr">
        <is>
          <t>2022-02-04</t>
        </is>
      </c>
      <c r="K254" t="inlineStr">
        <is>
          <t>ESIOS 1001 geo 8741</t>
        </is>
      </c>
      <c r="L254" t="inlineStr">
        <is>
          <t>24 valores; mín 219.17, máx 288.50 €/MWh</t>
        </is>
      </c>
    </row>
    <row r="255">
      <c r="A255" s="53" t="n">
        <v>44598</v>
      </c>
      <c r="B255" t="inlineStr">
        <is>
          <t>2022-02-06</t>
        </is>
      </c>
      <c r="C255" s="45" t="n">
        <v>249.1533</v>
      </c>
      <c r="D255" t="inlineStr">
        <is>
          <t>€/MWh</t>
        </is>
      </c>
      <c r="E255" s="54" t="n">
        <v>0.249153</v>
      </c>
      <c r="F255" s="54" t="n">
        <v>0.275439</v>
      </c>
      <c r="G255" t="inlineStr">
        <is>
          <t>calculado</t>
        </is>
      </c>
      <c r="H255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255" t="inlineStr">
        <is>
          <t>2022-02-05</t>
        </is>
      </c>
      <c r="K255" t="inlineStr">
        <is>
          <t>ESIOS 1001 geo 8741</t>
        </is>
      </c>
      <c r="L255" t="inlineStr">
        <is>
          <t>24 valores; mín 224.75, máx 311.57 €/MWh</t>
        </is>
      </c>
    </row>
    <row r="256">
      <c r="A256" s="53" t="n">
        <v>44599</v>
      </c>
      <c r="B256" t="inlineStr">
        <is>
          <t>2022-02-07</t>
        </is>
      </c>
      <c r="C256" s="45" t="n">
        <v>304.8296</v>
      </c>
      <c r="D256" t="inlineStr">
        <is>
          <t>€/MWh</t>
        </is>
      </c>
      <c r="E256" s="54" t="n">
        <v>0.30483</v>
      </c>
      <c r="F256" s="54" t="n">
        <v>0.336989</v>
      </c>
      <c r="G256" t="inlineStr">
        <is>
          <t>calculado</t>
        </is>
      </c>
      <c r="H256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256" t="inlineStr">
        <is>
          <t>2022-02-06</t>
        </is>
      </c>
      <c r="K256" t="inlineStr">
        <is>
          <t>ESIOS 1001 geo 8741</t>
        </is>
      </c>
      <c r="L256" t="inlineStr">
        <is>
          <t>24 valores; mín 225.29, máx 398.94 €/MWh</t>
        </is>
      </c>
    </row>
    <row r="257">
      <c r="A257" s="53" t="n">
        <v>44600</v>
      </c>
      <c r="B257" t="inlineStr">
        <is>
          <t>2022-02-08</t>
        </is>
      </c>
      <c r="C257" s="45" t="n">
        <v>300.5475</v>
      </c>
      <c r="D257" t="inlineStr">
        <is>
          <t>€/MWh</t>
        </is>
      </c>
      <c r="E257" s="54" t="n">
        <v>0.300548</v>
      </c>
      <c r="F257" s="54" t="n">
        <v>0.332255</v>
      </c>
      <c r="G257" t="inlineStr">
        <is>
          <t>calculado</t>
        </is>
      </c>
      <c r="H257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257" t="inlineStr">
        <is>
          <t>2022-02-07</t>
        </is>
      </c>
      <c r="K257" t="inlineStr">
        <is>
          <t>ESIOS 1001 geo 8741</t>
        </is>
      </c>
      <c r="L257" t="inlineStr">
        <is>
          <t>24 valores; mín 227.97, máx 410.03 €/MWh</t>
        </is>
      </c>
    </row>
    <row r="258">
      <c r="A258" s="53" t="n">
        <v>44601</v>
      </c>
      <c r="B258" t="inlineStr">
        <is>
          <t>2022-02-09</t>
        </is>
      </c>
      <c r="C258" s="45" t="n">
        <v>307.8838</v>
      </c>
      <c r="D258" t="inlineStr">
        <is>
          <t>€/MWh</t>
        </is>
      </c>
      <c r="E258" s="54" t="n">
        <v>0.307884</v>
      </c>
      <c r="F258" s="54" t="n">
        <v>0.340366</v>
      </c>
      <c r="G258" t="inlineStr">
        <is>
          <t>calculado</t>
        </is>
      </c>
      <c r="H258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258" t="inlineStr">
        <is>
          <t>2022-02-08</t>
        </is>
      </c>
      <c r="K258" t="inlineStr">
        <is>
          <t>ESIOS 1001 geo 8741</t>
        </is>
      </c>
      <c r="L258" t="inlineStr">
        <is>
          <t>24 valores; mín 240.89, máx 418.43 €/MWh</t>
        </is>
      </c>
    </row>
    <row r="259">
      <c r="A259" s="53" t="n">
        <v>44602</v>
      </c>
      <c r="B259" t="inlineStr">
        <is>
          <t>2022-02-10</t>
        </is>
      </c>
      <c r="C259" s="45" t="n">
        <v>300.9804</v>
      </c>
      <c r="D259" t="inlineStr">
        <is>
          <t>€/MWh</t>
        </is>
      </c>
      <c r="E259" s="54" t="n">
        <v>0.30098</v>
      </c>
      <c r="F259" s="54" t="n">
        <v>0.332734</v>
      </c>
      <c r="G259" t="inlineStr">
        <is>
          <t>calculado</t>
        </is>
      </c>
      <c r="H259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259" t="inlineStr">
        <is>
          <t>2022-02-09</t>
        </is>
      </c>
      <c r="K259" t="inlineStr">
        <is>
          <t>ESIOS 1001 geo 8741</t>
        </is>
      </c>
      <c r="L259" t="inlineStr">
        <is>
          <t>24 valores; mín 228.72, máx 406.74 €/MWh</t>
        </is>
      </c>
    </row>
    <row r="260">
      <c r="A260" s="53" t="n">
        <v>44603</v>
      </c>
      <c r="B260" t="inlineStr">
        <is>
          <t>2022-02-11</t>
        </is>
      </c>
      <c r="C260" s="45" t="n">
        <v>290.7442</v>
      </c>
      <c r="D260" t="inlineStr">
        <is>
          <t>€/MWh</t>
        </is>
      </c>
      <c r="E260" s="54" t="n">
        <v>0.290744</v>
      </c>
      <c r="F260" s="54" t="n">
        <v>0.321418</v>
      </c>
      <c r="G260" t="inlineStr">
        <is>
          <t>calculado</t>
        </is>
      </c>
      <c r="H260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260" t="inlineStr">
        <is>
          <t>2022-02-10</t>
        </is>
      </c>
      <c r="K260" t="inlineStr">
        <is>
          <t>ESIOS 1001 geo 8741</t>
        </is>
      </c>
      <c r="L260" t="inlineStr">
        <is>
          <t>24 valores; mín 219.90, máx 400.75 €/MWh</t>
        </is>
      </c>
    </row>
    <row r="261">
      <c r="A261" s="53" t="n">
        <v>44604</v>
      </c>
      <c r="B261" t="inlineStr">
        <is>
          <t>2022-02-12</t>
        </is>
      </c>
      <c r="C261" s="45" t="n">
        <v>254.6004</v>
      </c>
      <c r="D261" t="inlineStr">
        <is>
          <t>€/MWh</t>
        </is>
      </c>
      <c r="E261" s="54" t="n">
        <v>0.2546</v>
      </c>
      <c r="F261" s="54" t="n">
        <v>0.281461</v>
      </c>
      <c r="G261" t="inlineStr">
        <is>
          <t>calculado</t>
        </is>
      </c>
      <c r="H261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261" t="inlineStr">
        <is>
          <t>2022-02-11</t>
        </is>
      </c>
      <c r="K261" t="inlineStr">
        <is>
          <t>ESIOS 1001 geo 8741</t>
        </is>
      </c>
      <c r="L261" t="inlineStr">
        <is>
          <t>24 valores; mín 212.31, máx 292.88 €/MWh</t>
        </is>
      </c>
    </row>
    <row r="262">
      <c r="A262" s="53" t="n">
        <v>44605</v>
      </c>
      <c r="B262" t="inlineStr">
        <is>
          <t>2022-02-13</t>
        </is>
      </c>
      <c r="C262" s="45" t="n">
        <v>216.2979</v>
      </c>
      <c r="D262" t="inlineStr">
        <is>
          <t>€/MWh</t>
        </is>
      </c>
      <c r="E262" s="54" t="n">
        <v>0.216298</v>
      </c>
      <c r="F262" s="54" t="n">
        <v>0.239117</v>
      </c>
      <c r="G262" t="inlineStr">
        <is>
          <t>calculado</t>
        </is>
      </c>
      <c r="H262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262" t="inlineStr">
        <is>
          <t>2022-02-12</t>
        </is>
      </c>
      <c r="K262" t="inlineStr">
        <is>
          <t>ESIOS 1001 geo 8741</t>
        </is>
      </c>
      <c r="L262" t="inlineStr">
        <is>
          <t>24 valores; mín 99.30, máx 278.30 €/MWh</t>
        </is>
      </c>
    </row>
    <row r="263">
      <c r="A263" s="53" t="n">
        <v>44606</v>
      </c>
      <c r="B263" t="inlineStr">
        <is>
          <t>2022-02-14</t>
        </is>
      </c>
      <c r="C263" s="45" t="n">
        <v>278.5725</v>
      </c>
      <c r="D263" t="inlineStr">
        <is>
          <t>€/MWh</t>
        </is>
      </c>
      <c r="E263" s="54" t="n">
        <v>0.278573</v>
      </c>
      <c r="F263" s="54" t="n">
        <v>0.307962</v>
      </c>
      <c r="G263" t="inlineStr">
        <is>
          <t>calculado</t>
        </is>
      </c>
      <c r="H263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263" t="inlineStr">
        <is>
          <t>2022-02-13</t>
        </is>
      </c>
      <c r="K263" t="inlineStr">
        <is>
          <t>ESIOS 1001 geo 8741</t>
        </is>
      </c>
      <c r="L263" t="inlineStr">
        <is>
          <t>24 valores; mín 157.67, máx 409.20 €/MWh</t>
        </is>
      </c>
    </row>
    <row r="264">
      <c r="A264" s="53" t="n">
        <v>44607</v>
      </c>
      <c r="B264" t="inlineStr">
        <is>
          <t>2022-02-15</t>
        </is>
      </c>
      <c r="C264" s="45" t="n">
        <v>297.4704</v>
      </c>
      <c r="D264" t="inlineStr">
        <is>
          <t>€/MWh</t>
        </is>
      </c>
      <c r="E264" s="54" t="n">
        <v>0.29747</v>
      </c>
      <c r="F264" s="54" t="n">
        <v>0.328854</v>
      </c>
      <c r="G264" t="inlineStr">
        <is>
          <t>calculado</t>
        </is>
      </c>
      <c r="H264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264" t="inlineStr">
        <is>
          <t>2022-02-14</t>
        </is>
      </c>
      <c r="K264" t="inlineStr">
        <is>
          <t>ESIOS 1001 geo 8741</t>
        </is>
      </c>
      <c r="L264" t="inlineStr">
        <is>
          <t>24 valores; mín 225.46, máx 406.28 €/MWh</t>
        </is>
      </c>
    </row>
    <row r="265">
      <c r="A265" s="53" t="n">
        <v>44608</v>
      </c>
      <c r="B265" t="inlineStr">
        <is>
          <t>2022-02-16</t>
        </is>
      </c>
      <c r="C265" s="45" t="n">
        <v>270.4912</v>
      </c>
      <c r="D265" t="inlineStr">
        <is>
          <t>€/MWh</t>
        </is>
      </c>
      <c r="E265" s="54" t="n">
        <v>0.270491</v>
      </c>
      <c r="F265" s="54" t="n">
        <v>0.299028</v>
      </c>
      <c r="G265" t="inlineStr">
        <is>
          <t>calculado</t>
        </is>
      </c>
      <c r="H265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265" t="inlineStr">
        <is>
          <t>2022-02-15</t>
        </is>
      </c>
      <c r="K265" t="inlineStr">
        <is>
          <t>ESIOS 1001 geo 8741</t>
        </is>
      </c>
      <c r="L265" t="inlineStr">
        <is>
          <t>24 valores; mín 203.20, máx 392.08 €/MWh</t>
        </is>
      </c>
    </row>
    <row r="266">
      <c r="A266" s="53" t="n">
        <v>44609</v>
      </c>
      <c r="B266" t="inlineStr">
        <is>
          <t>2022-02-17</t>
        </is>
      </c>
      <c r="C266" s="45" t="n">
        <v>251.62</v>
      </c>
      <c r="D266" t="inlineStr">
        <is>
          <t>€/MWh</t>
        </is>
      </c>
      <c r="E266" s="54" t="n">
        <v>0.25162</v>
      </c>
      <c r="F266" s="54" t="n">
        <v>0.278166</v>
      </c>
      <c r="G266" t="inlineStr">
        <is>
          <t>calculado</t>
        </is>
      </c>
      <c r="H266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266" t="inlineStr">
        <is>
          <t>2022-02-16</t>
        </is>
      </c>
      <c r="K266" t="inlineStr">
        <is>
          <t>ESIOS 1001 geo 8741</t>
        </is>
      </c>
      <c r="L266" t="inlineStr">
        <is>
          <t>24 valores; mín 143.59, máx 429.83 €/MWh</t>
        </is>
      </c>
    </row>
    <row r="267">
      <c r="A267" s="53" t="n">
        <v>44610</v>
      </c>
      <c r="B267" t="inlineStr">
        <is>
          <t>2022-02-18</t>
        </is>
      </c>
      <c r="C267" s="45" t="n">
        <v>276.7267</v>
      </c>
      <c r="D267" t="inlineStr">
        <is>
          <t>€/MWh</t>
        </is>
      </c>
      <c r="E267" s="54" t="n">
        <v>0.276727</v>
      </c>
      <c r="F267" s="54" t="n">
        <v>0.305921</v>
      </c>
      <c r="G267" t="inlineStr">
        <is>
          <t>calculado</t>
        </is>
      </c>
      <c r="H267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267" t="inlineStr">
        <is>
          <t>2022-02-17</t>
        </is>
      </c>
      <c r="K267" t="inlineStr">
        <is>
          <t>ESIOS 1001 geo 8741</t>
        </is>
      </c>
      <c r="L267" t="inlineStr">
        <is>
          <t>24 valores; mín 217.30, máx 352.08 €/MWh</t>
        </is>
      </c>
    </row>
    <row r="268">
      <c r="A268" s="53" t="n">
        <v>44611</v>
      </c>
      <c r="B268" t="inlineStr">
        <is>
          <t>2022-02-19</t>
        </is>
      </c>
      <c r="C268" s="45" t="n">
        <v>184.9808</v>
      </c>
      <c r="D268" t="inlineStr">
        <is>
          <t>€/MWh</t>
        </is>
      </c>
      <c r="E268" s="54" t="n">
        <v>0.184981</v>
      </c>
      <c r="F268" s="54" t="n">
        <v>0.204579</v>
      </c>
      <c r="G268" t="inlineStr">
        <is>
          <t>calculado</t>
        </is>
      </c>
      <c r="H268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268" t="inlineStr">
        <is>
          <t>2022-02-18</t>
        </is>
      </c>
      <c r="K268" t="inlineStr">
        <is>
          <t>ESIOS 1001 geo 8741</t>
        </is>
      </c>
      <c r="L268" t="inlineStr">
        <is>
          <t>24 valores; mín 123.65, máx 258.75 €/MWh</t>
        </is>
      </c>
    </row>
    <row r="269">
      <c r="A269" s="53" t="n">
        <v>44612</v>
      </c>
      <c r="B269" t="inlineStr">
        <is>
          <t>2022-02-20</t>
        </is>
      </c>
      <c r="C269" s="45" t="n">
        <v>215.9871</v>
      </c>
      <c r="D269" t="inlineStr">
        <is>
          <t>€/MWh</t>
        </is>
      </c>
      <c r="E269" s="54" t="n">
        <v>0.215987</v>
      </c>
      <c r="F269" s="54" t="n">
        <v>0.238774</v>
      </c>
      <c r="G269" t="inlineStr">
        <is>
          <t>calculado</t>
        </is>
      </c>
      <c r="H269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269" t="inlineStr">
        <is>
          <t>2022-02-19</t>
        </is>
      </c>
      <c r="K269" t="inlineStr">
        <is>
          <t>ESIOS 1001 geo 8741</t>
        </is>
      </c>
      <c r="L269" t="inlineStr">
        <is>
          <t>24 valores; mín 167.84, máx 284.53 €/MWh</t>
        </is>
      </c>
    </row>
    <row r="270">
      <c r="A270" s="53" t="n">
        <v>44613</v>
      </c>
      <c r="B270" t="inlineStr">
        <is>
          <t>2022-02-21</t>
        </is>
      </c>
      <c r="C270" s="45" t="n">
        <v>278.9242</v>
      </c>
      <c r="D270" t="inlineStr">
        <is>
          <t>€/MWh</t>
        </is>
      </c>
      <c r="E270" s="54" t="n">
        <v>0.278924</v>
      </c>
      <c r="F270" s="54" t="n">
        <v>0.308351</v>
      </c>
      <c r="G270" t="inlineStr">
        <is>
          <t>calculado</t>
        </is>
      </c>
      <c r="H270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270" t="inlineStr">
        <is>
          <t>2022-02-20</t>
        </is>
      </c>
      <c r="K270" t="inlineStr">
        <is>
          <t>ESIOS 1001 geo 8741</t>
        </is>
      </c>
      <c r="L270" t="inlineStr">
        <is>
          <t>24 valores; mín 194.00, máx 392.45 €/MWh</t>
        </is>
      </c>
    </row>
    <row r="271">
      <c r="A271" s="53" t="n">
        <v>44614</v>
      </c>
      <c r="B271" t="inlineStr">
        <is>
          <t>2022-02-22</t>
        </is>
      </c>
      <c r="C271" s="45" t="n">
        <v>272.6975</v>
      </c>
      <c r="D271" t="inlineStr">
        <is>
          <t>€/MWh</t>
        </is>
      </c>
      <c r="E271" s="54" t="n">
        <v>0.272697</v>
      </c>
      <c r="F271" s="54" t="n">
        <v>0.301467</v>
      </c>
      <c r="G271" t="inlineStr">
        <is>
          <t>calculado</t>
        </is>
      </c>
      <c r="H271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271" t="inlineStr">
        <is>
          <t>2022-02-21</t>
        </is>
      </c>
      <c r="K271" t="inlineStr">
        <is>
          <t>ESIOS 1001 geo 8741</t>
        </is>
      </c>
      <c r="L271" t="inlineStr">
        <is>
          <t>24 valores; mín 209.37, máx 374.04 €/MWh</t>
        </is>
      </c>
    </row>
    <row r="272">
      <c r="A272" s="53" t="n">
        <v>44615</v>
      </c>
      <c r="B272" t="inlineStr">
        <is>
          <t>2022-02-23</t>
        </is>
      </c>
      <c r="C272" s="45" t="n">
        <v>290.755</v>
      </c>
      <c r="D272" t="inlineStr">
        <is>
          <t>€/MWh</t>
        </is>
      </c>
      <c r="E272" s="54" t="n">
        <v>0.290755</v>
      </c>
      <c r="F272" s="54" t="n">
        <v>0.32143</v>
      </c>
      <c r="G272" t="inlineStr">
        <is>
          <t>calculado</t>
        </is>
      </c>
      <c r="H272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272" t="inlineStr">
        <is>
          <t>2022-02-22</t>
        </is>
      </c>
      <c r="K272" t="inlineStr">
        <is>
          <t>ESIOS 1001 geo 8741</t>
        </is>
      </c>
      <c r="L272" t="inlineStr">
        <is>
          <t>24 valores; mín 219.71, máx 400.87 €/MWh</t>
        </is>
      </c>
    </row>
    <row r="273">
      <c r="A273" s="53" t="n">
        <v>44616</v>
      </c>
      <c r="B273" t="inlineStr">
        <is>
          <t>2022-02-24</t>
        </is>
      </c>
      <c r="C273" s="45" t="n">
        <v>301.6517</v>
      </c>
      <c r="D273" t="inlineStr">
        <is>
          <t>€/MWh</t>
        </is>
      </c>
      <c r="E273" s="54" t="n">
        <v>0.301652</v>
      </c>
      <c r="F273" s="54" t="n">
        <v>0.333476</v>
      </c>
      <c r="G273" t="inlineStr">
        <is>
          <t>calculado</t>
        </is>
      </c>
      <c r="H273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273" t="inlineStr">
        <is>
          <t>2022-02-23</t>
        </is>
      </c>
      <c r="K273" t="inlineStr">
        <is>
          <t>ESIOS 1001 geo 8741</t>
        </is>
      </c>
      <c r="L273" t="inlineStr">
        <is>
          <t>24 valores; mín 235.73, máx 373.22 €/MWh</t>
        </is>
      </c>
    </row>
    <row r="274">
      <c r="A274" s="53" t="n">
        <v>44617</v>
      </c>
      <c r="B274" t="inlineStr">
        <is>
          <t>2022-02-25</t>
        </is>
      </c>
      <c r="C274" s="45" t="n">
        <v>348.0729</v>
      </c>
      <c r="D274" t="inlineStr">
        <is>
          <t>€/MWh</t>
        </is>
      </c>
      <c r="E274" s="54" t="n">
        <v>0.348073</v>
      </c>
      <c r="F274" s="54" t="n">
        <v>0.384795</v>
      </c>
      <c r="G274" t="inlineStr">
        <is>
          <t>calculado</t>
        </is>
      </c>
      <c r="H274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274" t="inlineStr">
        <is>
          <t>2022-02-24</t>
        </is>
      </c>
      <c r="K274" t="inlineStr">
        <is>
          <t>ESIOS 1001 geo 8741</t>
        </is>
      </c>
      <c r="L274" t="inlineStr">
        <is>
          <t>24 valores; mín 218.47, máx 473.25 €/MWh</t>
        </is>
      </c>
    </row>
    <row r="275">
      <c r="A275" s="53" t="n">
        <v>44618</v>
      </c>
      <c r="B275" t="inlineStr">
        <is>
          <t>2022-02-26</t>
        </is>
      </c>
      <c r="C275" s="45" t="n">
        <v>333.4183</v>
      </c>
      <c r="D275" t="inlineStr">
        <is>
          <t>€/MWh</t>
        </is>
      </c>
      <c r="E275" s="54" t="n">
        <v>0.333418</v>
      </c>
      <c r="F275" s="54" t="n">
        <v>0.368594</v>
      </c>
      <c r="G275" t="inlineStr">
        <is>
          <t>calculado</t>
        </is>
      </c>
      <c r="H275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275" t="inlineStr">
        <is>
          <t>2022-02-25</t>
        </is>
      </c>
      <c r="K275" t="inlineStr">
        <is>
          <t>ESIOS 1001 geo 8741</t>
        </is>
      </c>
      <c r="L275" t="inlineStr">
        <is>
          <t>24 valores; mín 298.58, máx 379.04 €/MWh</t>
        </is>
      </c>
    </row>
    <row r="276">
      <c r="A276" s="53" t="n">
        <v>44619</v>
      </c>
      <c r="B276" t="inlineStr">
        <is>
          <t>2022-02-27</t>
        </is>
      </c>
      <c r="C276" s="45" t="n">
        <v>332.6342</v>
      </c>
      <c r="D276" t="inlineStr">
        <is>
          <t>€/MWh</t>
        </is>
      </c>
      <c r="E276" s="54" t="n">
        <v>0.332634</v>
      </c>
      <c r="F276" s="54" t="n">
        <v>0.367727</v>
      </c>
      <c r="G276" t="inlineStr">
        <is>
          <t>calculado</t>
        </is>
      </c>
      <c r="H276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276" t="inlineStr">
        <is>
          <t>2022-02-26</t>
        </is>
      </c>
      <c r="K276" t="inlineStr">
        <is>
          <t>ESIOS 1001 geo 8741</t>
        </is>
      </c>
      <c r="L276" t="inlineStr">
        <is>
          <t>24 valores; mín 271.99, máx 437.58 €/MWh</t>
        </is>
      </c>
    </row>
    <row r="277">
      <c r="A277" s="53" t="n">
        <v>44620</v>
      </c>
      <c r="B277" t="inlineStr">
        <is>
          <t>2022-02-28</t>
        </is>
      </c>
      <c r="C277" s="45" t="n">
        <v>392.6471</v>
      </c>
      <c r="D277" t="inlineStr">
        <is>
          <t>€/MWh</t>
        </is>
      </c>
      <c r="E277" s="54" t="n">
        <v>0.392647</v>
      </c>
      <c r="F277" s="54" t="n">
        <v>0.434071</v>
      </c>
      <c r="G277" t="inlineStr">
        <is>
          <t>calculado</t>
        </is>
      </c>
      <c r="H277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277" t="inlineStr">
        <is>
          <t>2022-02-27</t>
        </is>
      </c>
      <c r="K277" t="inlineStr">
        <is>
          <t>ESIOS 1001 geo 8741</t>
        </is>
      </c>
      <c r="L277" t="inlineStr">
        <is>
          <t>24 valores; mín 303.02, máx 527.63 €/MWh</t>
        </is>
      </c>
    </row>
    <row r="278">
      <c r="A278" s="53" t="n">
        <v>44621</v>
      </c>
      <c r="B278" t="inlineStr">
        <is>
          <t>2022-03-01</t>
        </is>
      </c>
      <c r="C278" s="45" t="n">
        <v>364.4992</v>
      </c>
      <c r="D278" t="inlineStr">
        <is>
          <t>€/MWh</t>
        </is>
      </c>
      <c r="E278" s="54" t="n">
        <v>0.364499</v>
      </c>
      <c r="F278" s="54" t="n">
        <v>0.402954</v>
      </c>
      <c r="G278" t="inlineStr">
        <is>
          <t>calculado</t>
        </is>
      </c>
      <c r="H278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278" t="inlineStr">
        <is>
          <t>2022-02-28</t>
        </is>
      </c>
      <c r="K278" t="inlineStr">
        <is>
          <t>ESIOS 1001 geo 8741</t>
        </is>
      </c>
      <c r="L278" t="inlineStr">
        <is>
          <t>24 valores; mín 290.17, máx 485.14 €/MWh</t>
        </is>
      </c>
    </row>
    <row r="279">
      <c r="A279" s="53" t="n">
        <v>44622</v>
      </c>
      <c r="B279" t="inlineStr">
        <is>
          <t>2022-03-02</t>
        </is>
      </c>
      <c r="C279" s="45" t="n">
        <v>358.89</v>
      </c>
      <c r="D279" t="inlineStr">
        <is>
          <t>€/MWh</t>
        </is>
      </c>
      <c r="E279" s="54" t="n">
        <v>0.35889</v>
      </c>
      <c r="F279" s="54" t="n">
        <v>0.396753</v>
      </c>
      <c r="G279" t="inlineStr">
        <is>
          <t>calculado</t>
        </is>
      </c>
      <c r="H279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279" t="inlineStr">
        <is>
          <t>2022-03-01</t>
        </is>
      </c>
      <c r="K279" t="inlineStr">
        <is>
          <t>ESIOS 1001 geo 8741</t>
        </is>
      </c>
      <c r="L279" t="inlineStr">
        <is>
          <t>24 valores; mín 281.27, máx 461.54 €/MWh</t>
        </is>
      </c>
    </row>
    <row r="280">
      <c r="A280" s="53" t="n">
        <v>44623</v>
      </c>
      <c r="B280" t="inlineStr">
        <is>
          <t>2022-03-03</t>
        </is>
      </c>
      <c r="C280" s="45" t="n">
        <v>466.645</v>
      </c>
      <c r="D280" t="inlineStr">
        <is>
          <t>€/MWh</t>
        </is>
      </c>
      <c r="E280" s="54" t="n">
        <v>0.466645</v>
      </c>
      <c r="F280" s="54" t="n">
        <v>0.515876</v>
      </c>
      <c r="G280" t="inlineStr">
        <is>
          <t>calculado</t>
        </is>
      </c>
      <c r="H280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280" t="inlineStr">
        <is>
          <t>2022-03-02</t>
        </is>
      </c>
      <c r="K280" t="inlineStr">
        <is>
          <t>ESIOS 1001 geo 8741</t>
        </is>
      </c>
      <c r="L280" t="inlineStr">
        <is>
          <t>24 valores; mín 361.08, máx 541.37 €/MWh</t>
        </is>
      </c>
    </row>
    <row r="281">
      <c r="A281" s="53" t="n">
        <v>44624</v>
      </c>
      <c r="B281" t="inlineStr">
        <is>
          <t>2022-03-04</t>
        </is>
      </c>
      <c r="C281" s="45" t="n">
        <v>470.1075</v>
      </c>
      <c r="D281" t="inlineStr">
        <is>
          <t>€/MWh</t>
        </is>
      </c>
      <c r="E281" s="54" t="n">
        <v>0.470108</v>
      </c>
      <c r="F281" s="54" t="n">
        <v>0.5197040000000001</v>
      </c>
      <c r="G281" t="inlineStr">
        <is>
          <t>calculado</t>
        </is>
      </c>
      <c r="H281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281" t="inlineStr">
        <is>
          <t>2022-03-03</t>
        </is>
      </c>
      <c r="K281" t="inlineStr">
        <is>
          <t>ESIOS 1001 geo 8741</t>
        </is>
      </c>
      <c r="L281" t="inlineStr">
        <is>
          <t>24 valores; mín 355.12, máx 606.36 €/MWh</t>
        </is>
      </c>
    </row>
    <row r="282">
      <c r="A282" s="53" t="n">
        <v>44625</v>
      </c>
      <c r="B282" t="inlineStr">
        <is>
          <t>2022-03-05</t>
        </is>
      </c>
      <c r="C282" s="45" t="n">
        <v>464.2538</v>
      </c>
      <c r="D282" t="inlineStr">
        <is>
          <t>€/MWh</t>
        </is>
      </c>
      <c r="E282" s="54" t="n">
        <v>0.464254</v>
      </c>
      <c r="F282" s="54" t="n">
        <v>0.5132330000000001</v>
      </c>
      <c r="G282" t="inlineStr">
        <is>
          <t>calculado</t>
        </is>
      </c>
      <c r="H282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282" t="inlineStr">
        <is>
          <t>2022-03-04</t>
        </is>
      </c>
      <c r="K282" t="inlineStr">
        <is>
          <t>ESIOS 1001 geo 8741</t>
        </is>
      </c>
      <c r="L282" t="inlineStr">
        <is>
          <t>24 valores; mín 387.95, máx 510.99 €/MWh</t>
        </is>
      </c>
    </row>
    <row r="283">
      <c r="A283" s="53" t="n">
        <v>44626</v>
      </c>
      <c r="B283" t="inlineStr">
        <is>
          <t>2022-03-06</t>
        </is>
      </c>
      <c r="C283" s="45" t="n">
        <v>487.2704</v>
      </c>
      <c r="D283" t="inlineStr">
        <is>
          <t>€/MWh</t>
        </is>
      </c>
      <c r="E283" s="54" t="n">
        <v>0.48727</v>
      </c>
      <c r="F283" s="54" t="n">
        <v>0.538677</v>
      </c>
      <c r="G283" t="inlineStr">
        <is>
          <t>calculado</t>
        </is>
      </c>
      <c r="H283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283" t="inlineStr">
        <is>
          <t>2022-03-05</t>
        </is>
      </c>
      <c r="K283" t="inlineStr">
        <is>
          <t>ESIOS 1001 geo 8741</t>
        </is>
      </c>
      <c r="L283" t="inlineStr">
        <is>
          <t>24 valores; mín 423.03, máx 585.85 €/MWh</t>
        </is>
      </c>
    </row>
    <row r="284">
      <c r="A284" s="53" t="n">
        <v>44627</v>
      </c>
      <c r="B284" t="inlineStr">
        <is>
          <t>2022-03-07</t>
        </is>
      </c>
      <c r="C284" s="45" t="n">
        <v>591.2033</v>
      </c>
      <c r="D284" t="inlineStr">
        <is>
          <t>€/MWh</t>
        </is>
      </c>
      <c r="E284" s="54" t="n">
        <v>0.591203</v>
      </c>
      <c r="F284" s="54" t="n">
        <v>0.653575</v>
      </c>
      <c r="G284" t="inlineStr">
        <is>
          <t>calculado</t>
        </is>
      </c>
      <c r="H284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284" t="inlineStr">
        <is>
          <t>2022-03-06</t>
        </is>
      </c>
      <c r="K284" t="inlineStr">
        <is>
          <t>ESIOS 1001 geo 8741</t>
        </is>
      </c>
      <c r="L284" t="inlineStr">
        <is>
          <t>24 valores; mín 492.99, máx 710.78 €/MWh</t>
        </is>
      </c>
    </row>
    <row r="285">
      <c r="A285" s="53" t="n">
        <v>44628</v>
      </c>
      <c r="B285" t="inlineStr">
        <is>
          <t>2022-03-08</t>
        </is>
      </c>
      <c r="C285" s="45" t="n">
        <v>715.3296</v>
      </c>
      <c r="D285" t="inlineStr">
        <is>
          <t>€/MWh</t>
        </is>
      </c>
      <c r="E285" s="54" t="n">
        <v>0.71533</v>
      </c>
      <c r="F285" s="54" t="n">
        <v>0.790797</v>
      </c>
      <c r="G285" t="inlineStr">
        <is>
          <t>calculado</t>
        </is>
      </c>
      <c r="H285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285" t="inlineStr">
        <is>
          <t>2022-03-07</t>
        </is>
      </c>
      <c r="K285" t="inlineStr">
        <is>
          <t>ESIOS 1001 geo 8741</t>
        </is>
      </c>
      <c r="L285" t="inlineStr">
        <is>
          <t>24 valores; mín 561.63, máx 954.01 €/MWh</t>
        </is>
      </c>
    </row>
    <row r="286">
      <c r="A286" s="53" t="n">
        <v>44629</v>
      </c>
      <c r="B286" t="inlineStr">
        <is>
          <t>2022-03-09</t>
        </is>
      </c>
      <c r="C286" s="45" t="n">
        <v>628.0179000000001</v>
      </c>
      <c r="D286" t="inlineStr">
        <is>
          <t>€/MWh</t>
        </is>
      </c>
      <c r="E286" s="54" t="n">
        <v>0.628018</v>
      </c>
      <c r="F286" s="54" t="n">
        <v>0.6942739999999999</v>
      </c>
      <c r="G286" t="inlineStr">
        <is>
          <t>calculado</t>
        </is>
      </c>
      <c r="H286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286" t="inlineStr">
        <is>
          <t>2022-03-08</t>
        </is>
      </c>
      <c r="K286" t="inlineStr">
        <is>
          <t>ESIOS 1001 geo 8741</t>
        </is>
      </c>
      <c r="L286" t="inlineStr">
        <is>
          <t>24 valores; mín 475.48, máx 827.93 €/MWh</t>
        </is>
      </c>
    </row>
    <row r="287">
      <c r="A287" s="53" t="n">
        <v>44630</v>
      </c>
      <c r="B287" t="inlineStr">
        <is>
          <t>2022-03-10</t>
        </is>
      </c>
      <c r="C287" s="45" t="n">
        <v>505.9762</v>
      </c>
      <c r="D287" t="inlineStr">
        <is>
          <t>€/MWh</t>
        </is>
      </c>
      <c r="E287" s="54" t="n">
        <v>0.505976</v>
      </c>
      <c r="F287" s="54" t="n">
        <v>0.559357</v>
      </c>
      <c r="G287" t="inlineStr">
        <is>
          <t>calculado</t>
        </is>
      </c>
      <c r="H287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287" t="inlineStr">
        <is>
          <t>2022-03-09</t>
        </is>
      </c>
      <c r="K287" t="inlineStr">
        <is>
          <t>ESIOS 1001 geo 8741</t>
        </is>
      </c>
      <c r="L287" t="inlineStr">
        <is>
          <t>24 valores; mín 421.01, máx 642.77 €/MWh</t>
        </is>
      </c>
    </row>
    <row r="288">
      <c r="A288" s="53" t="n">
        <v>44631</v>
      </c>
      <c r="B288" t="inlineStr">
        <is>
          <t>2022-03-11</t>
        </is>
      </c>
      <c r="C288" s="45" t="n">
        <v>402.8963</v>
      </c>
      <c r="D288" t="inlineStr">
        <is>
          <t>€/MWh</t>
        </is>
      </c>
      <c r="E288" s="54" t="n">
        <v>0.402896</v>
      </c>
      <c r="F288" s="54" t="n">
        <v>0.445402</v>
      </c>
      <c r="G288" t="inlineStr">
        <is>
          <t>calculado</t>
        </is>
      </c>
      <c r="H288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288" t="inlineStr">
        <is>
          <t>2022-03-10</t>
        </is>
      </c>
      <c r="K288" t="inlineStr">
        <is>
          <t>ESIOS 1001 geo 8741</t>
        </is>
      </c>
      <c r="L288" t="inlineStr">
        <is>
          <t>24 valores; mín 223.48, máx 593.09 €/MWh</t>
        </is>
      </c>
    </row>
    <row r="289">
      <c r="A289" s="53" t="n">
        <v>44632</v>
      </c>
      <c r="B289" t="inlineStr">
        <is>
          <t>2022-03-12</t>
        </is>
      </c>
      <c r="C289" s="45" t="n">
        <v>316.8075</v>
      </c>
      <c r="D289" t="inlineStr">
        <is>
          <t>€/MWh</t>
        </is>
      </c>
      <c r="E289" s="54" t="n">
        <v>0.316808</v>
      </c>
      <c r="F289" s="54" t="n">
        <v>0.350231</v>
      </c>
      <c r="G289" t="inlineStr">
        <is>
          <t>calculado</t>
        </is>
      </c>
      <c r="H289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289" t="inlineStr">
        <is>
          <t>2022-03-11</t>
        </is>
      </c>
      <c r="K289" t="inlineStr">
        <is>
          <t>ESIOS 1001 geo 8741</t>
        </is>
      </c>
      <c r="L289" t="inlineStr">
        <is>
          <t>24 valores; mín 248.69, máx 370.60 €/MWh</t>
        </is>
      </c>
    </row>
    <row r="290">
      <c r="A290" s="53" t="n">
        <v>44633</v>
      </c>
      <c r="B290" t="inlineStr">
        <is>
          <t>2022-03-13</t>
        </is>
      </c>
      <c r="C290" s="45" t="n">
        <v>323.3537</v>
      </c>
      <c r="D290" t="inlineStr">
        <is>
          <t>€/MWh</t>
        </is>
      </c>
      <c r="E290" s="54" t="n">
        <v>0.323354</v>
      </c>
      <c r="F290" s="54" t="n">
        <v>0.357468</v>
      </c>
      <c r="G290" t="inlineStr">
        <is>
          <t>calculado</t>
        </is>
      </c>
      <c r="H290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290" t="inlineStr">
        <is>
          <t>2022-03-12</t>
        </is>
      </c>
      <c r="K290" t="inlineStr">
        <is>
          <t>ESIOS 1001 geo 8741</t>
        </is>
      </c>
      <c r="L290" t="inlineStr">
        <is>
          <t>24 valores; mín 252.93, máx 481.95 €/MWh</t>
        </is>
      </c>
    </row>
    <row r="291">
      <c r="A291" s="53" t="n">
        <v>44634</v>
      </c>
      <c r="B291" t="inlineStr">
        <is>
          <t>2022-03-14</t>
        </is>
      </c>
      <c r="C291" s="45" t="n">
        <v>358.6062</v>
      </c>
      <c r="D291" t="inlineStr">
        <is>
          <t>€/MWh</t>
        </is>
      </c>
      <c r="E291" s="54" t="n">
        <v>0.358606</v>
      </c>
      <c r="F291" s="54" t="n">
        <v>0.396439</v>
      </c>
      <c r="G291" t="inlineStr">
        <is>
          <t>calculado</t>
        </is>
      </c>
      <c r="H291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291" t="inlineStr">
        <is>
          <t>2022-03-13</t>
        </is>
      </c>
      <c r="K291" t="inlineStr">
        <is>
          <t>ESIOS 1001 geo 8741</t>
        </is>
      </c>
      <c r="L291" t="inlineStr">
        <is>
          <t>24 valores; mín 294.16, máx 447.30 €/MWh</t>
        </is>
      </c>
    </row>
    <row r="292">
      <c r="A292" s="53" t="n">
        <v>44635</v>
      </c>
      <c r="B292" t="inlineStr">
        <is>
          <t>2022-03-15</t>
        </is>
      </c>
      <c r="C292" s="45" t="n">
        <v>354.2579</v>
      </c>
      <c r="D292" t="inlineStr">
        <is>
          <t>€/MWh</t>
        </is>
      </c>
      <c r="E292" s="54" t="n">
        <v>0.354258</v>
      </c>
      <c r="F292" s="54" t="n">
        <v>0.391632</v>
      </c>
      <c r="G292" t="inlineStr">
        <is>
          <t>calculado</t>
        </is>
      </c>
      <c r="H292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292" t="inlineStr">
        <is>
          <t>2022-03-14</t>
        </is>
      </c>
      <c r="K292" t="inlineStr">
        <is>
          <t>ESIOS 1001 geo 8741</t>
        </is>
      </c>
      <c r="L292" t="inlineStr">
        <is>
          <t>24 valores; mín 276.82, máx 479.85 €/MWh</t>
        </is>
      </c>
    </row>
    <row r="293">
      <c r="A293" s="53" t="n">
        <v>44636</v>
      </c>
      <c r="B293" t="inlineStr">
        <is>
          <t>2022-03-16</t>
        </is>
      </c>
      <c r="C293" s="45" t="n">
        <v>369.5</v>
      </c>
      <c r="D293" t="inlineStr">
        <is>
          <t>€/MWh</t>
        </is>
      </c>
      <c r="E293" s="54" t="n">
        <v>0.3695</v>
      </c>
      <c r="F293" s="54" t="n">
        <v>0.408482</v>
      </c>
      <c r="G293" t="inlineStr">
        <is>
          <t>calculado</t>
        </is>
      </c>
      <c r="H293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293" t="inlineStr">
        <is>
          <t>2022-03-15</t>
        </is>
      </c>
      <c r="K293" t="inlineStr">
        <is>
          <t>ESIOS 1001 geo 8741</t>
        </is>
      </c>
      <c r="L293" t="inlineStr">
        <is>
          <t>24 valores; mín 274.14, máx 439.06 €/MWh</t>
        </is>
      </c>
    </row>
    <row r="294">
      <c r="A294" s="53" t="n">
        <v>44637</v>
      </c>
      <c r="B294" t="inlineStr">
        <is>
          <t>2022-03-17</t>
        </is>
      </c>
      <c r="C294" s="45" t="n">
        <v>317.0088</v>
      </c>
      <c r="D294" t="inlineStr">
        <is>
          <t>€/MWh</t>
        </is>
      </c>
      <c r="E294" s="54" t="n">
        <v>0.317009</v>
      </c>
      <c r="F294" s="54" t="n">
        <v>0.350453</v>
      </c>
      <c r="G294" t="inlineStr">
        <is>
          <t>calculado</t>
        </is>
      </c>
      <c r="H294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294" t="inlineStr">
        <is>
          <t>2022-03-16</t>
        </is>
      </c>
      <c r="K294" t="inlineStr">
        <is>
          <t>ESIOS 1001 geo 8741</t>
        </is>
      </c>
      <c r="L294" t="inlineStr">
        <is>
          <t>24 valores; mín 245.03, máx 464.03 €/MWh</t>
        </is>
      </c>
    </row>
    <row r="295">
      <c r="A295" s="53" t="n">
        <v>44638</v>
      </c>
      <c r="B295" t="inlineStr">
        <is>
          <t>2022-03-18</t>
        </is>
      </c>
      <c r="C295" s="45" t="n">
        <v>336.505</v>
      </c>
      <c r="D295" t="inlineStr">
        <is>
          <t>€/MWh</t>
        </is>
      </c>
      <c r="E295" s="54" t="n">
        <v>0.336505</v>
      </c>
      <c r="F295" s="54" t="n">
        <v>0.372006</v>
      </c>
      <c r="G295" t="inlineStr">
        <is>
          <t>calculado</t>
        </is>
      </c>
      <c r="H295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295" t="inlineStr">
        <is>
          <t>2022-03-17</t>
        </is>
      </c>
      <c r="K295" t="inlineStr">
        <is>
          <t>ESIOS 1001 geo 8741</t>
        </is>
      </c>
      <c r="L295" t="inlineStr">
        <is>
          <t>24 valores; mín 263.40, máx 458.78 €/MWh</t>
        </is>
      </c>
    </row>
    <row r="296">
      <c r="A296" s="53" t="n">
        <v>44639</v>
      </c>
      <c r="B296" t="inlineStr">
        <is>
          <t>2022-03-19</t>
        </is>
      </c>
      <c r="C296" s="45" t="n">
        <v>285.3288</v>
      </c>
      <c r="D296" t="inlineStr">
        <is>
          <t>€/MWh</t>
        </is>
      </c>
      <c r="E296" s="54" t="n">
        <v>0.285329</v>
      </c>
      <c r="F296" s="54" t="n">
        <v>0.315431</v>
      </c>
      <c r="G296" t="inlineStr">
        <is>
          <t>calculado</t>
        </is>
      </c>
      <c r="H296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296" t="inlineStr">
        <is>
          <t>2022-03-18</t>
        </is>
      </c>
      <c r="K296" t="inlineStr">
        <is>
          <t>ESIOS 1001 geo 8741</t>
        </is>
      </c>
      <c r="L296" t="inlineStr">
        <is>
          <t>24 valores; mín 238.12, máx 359.01 €/MWh</t>
        </is>
      </c>
    </row>
    <row r="297">
      <c r="A297" s="53" t="n">
        <v>44640</v>
      </c>
      <c r="B297" t="inlineStr">
        <is>
          <t>2022-03-20</t>
        </is>
      </c>
      <c r="C297" s="45" t="n">
        <v>270.9075</v>
      </c>
      <c r="D297" t="inlineStr">
        <is>
          <t>€/MWh</t>
        </is>
      </c>
      <c r="E297" s="54" t="n">
        <v>0.270907</v>
      </c>
      <c r="F297" s="54" t="n">
        <v>0.299488</v>
      </c>
      <c r="G297" t="inlineStr">
        <is>
          <t>calculado</t>
        </is>
      </c>
      <c r="H297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297" t="inlineStr">
        <is>
          <t>2022-03-19</t>
        </is>
      </c>
      <c r="K297" t="inlineStr">
        <is>
          <t>ESIOS 1001 geo 8741</t>
        </is>
      </c>
      <c r="L297" t="inlineStr">
        <is>
          <t>24 valores; mín 244.19, máx 315.41 €/MWh</t>
        </is>
      </c>
    </row>
    <row r="298">
      <c r="A298" s="53" t="n">
        <v>44641</v>
      </c>
      <c r="B298" t="inlineStr">
        <is>
          <t>2022-03-21</t>
        </is>
      </c>
      <c r="C298" s="45" t="n">
        <v>331.8238</v>
      </c>
      <c r="D298" t="inlineStr">
        <is>
          <t>€/MWh</t>
        </is>
      </c>
      <c r="E298" s="54" t="n">
        <v>0.331824</v>
      </c>
      <c r="F298" s="54" t="n">
        <v>0.366831</v>
      </c>
      <c r="G298" t="inlineStr">
        <is>
          <t>calculado</t>
        </is>
      </c>
      <c r="H298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298" t="inlineStr">
        <is>
          <t>2022-03-20</t>
        </is>
      </c>
      <c r="K298" t="inlineStr">
        <is>
          <t>ESIOS 1001 geo 8741</t>
        </is>
      </c>
      <c r="L298" t="inlineStr">
        <is>
          <t>24 valores; mín 258.47, máx 451.56 €/MWh</t>
        </is>
      </c>
    </row>
    <row r="299">
      <c r="A299" s="53" t="n">
        <v>44642</v>
      </c>
      <c r="B299" t="inlineStr">
        <is>
          <t>2022-03-22</t>
        </is>
      </c>
      <c r="C299" s="45" t="n">
        <v>325.3983</v>
      </c>
      <c r="D299" t="inlineStr">
        <is>
          <t>€/MWh</t>
        </is>
      </c>
      <c r="E299" s="54" t="n">
        <v>0.325398</v>
      </c>
      <c r="F299" s="54" t="n">
        <v>0.359728</v>
      </c>
      <c r="G299" t="inlineStr">
        <is>
          <t>calculado</t>
        </is>
      </c>
      <c r="H299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299" t="inlineStr">
        <is>
          <t>2022-03-21</t>
        </is>
      </c>
      <c r="K299" t="inlineStr">
        <is>
          <t>ESIOS 1001 geo 8741</t>
        </is>
      </c>
      <c r="L299" t="inlineStr">
        <is>
          <t>24 valores; mín 262.51, máx 440.38 €/MWh</t>
        </is>
      </c>
    </row>
    <row r="300">
      <c r="A300" s="53" t="n">
        <v>44643</v>
      </c>
      <c r="B300" t="inlineStr">
        <is>
          <t>2022-03-23</t>
        </is>
      </c>
      <c r="C300" s="45" t="n">
        <v>309.6204</v>
      </c>
      <c r="D300" t="inlineStr">
        <is>
          <t>€/MWh</t>
        </is>
      </c>
      <c r="E300" s="54" t="n">
        <v>0.30962</v>
      </c>
      <c r="F300" s="54" t="n">
        <v>0.342285</v>
      </c>
      <c r="G300" t="inlineStr">
        <is>
          <t>calculado</t>
        </is>
      </c>
      <c r="H300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300" t="inlineStr">
        <is>
          <t>2022-03-22</t>
        </is>
      </c>
      <c r="K300" t="inlineStr">
        <is>
          <t>ESIOS 1001 geo 8741</t>
        </is>
      </c>
      <c r="L300" t="inlineStr">
        <is>
          <t>24 valores; mín 238.96, máx 405.10 €/MWh</t>
        </is>
      </c>
    </row>
    <row r="301">
      <c r="A301" s="53" t="n">
        <v>44644</v>
      </c>
      <c r="B301" t="inlineStr">
        <is>
          <t>2022-03-24</t>
        </is>
      </c>
      <c r="C301" s="45" t="n">
        <v>326.0646</v>
      </c>
      <c r="D301" t="inlineStr">
        <is>
          <t>€/MWh</t>
        </is>
      </c>
      <c r="E301" s="54" t="n">
        <v>0.326065</v>
      </c>
      <c r="F301" s="54" t="n">
        <v>0.360464</v>
      </c>
      <c r="G301" t="inlineStr">
        <is>
          <t>calculado</t>
        </is>
      </c>
      <c r="H301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301" t="inlineStr">
        <is>
          <t>2022-03-23</t>
        </is>
      </c>
      <c r="K301" t="inlineStr">
        <is>
          <t>ESIOS 1001 geo 8741</t>
        </is>
      </c>
      <c r="L301" t="inlineStr">
        <is>
          <t>24 valores; mín 245.71, máx 431.14 €/MWh</t>
        </is>
      </c>
    </row>
    <row r="302">
      <c r="A302" s="53" t="n">
        <v>44645</v>
      </c>
      <c r="B302" t="inlineStr">
        <is>
          <t>2022-03-25</t>
        </is>
      </c>
      <c r="C302" s="45" t="n">
        <v>373.8846</v>
      </c>
      <c r="D302" t="inlineStr">
        <is>
          <t>€/MWh</t>
        </is>
      </c>
      <c r="E302" s="54" t="n">
        <v>0.373885</v>
      </c>
      <c r="F302" s="54" t="n">
        <v>0.413329</v>
      </c>
      <c r="G302" t="inlineStr">
        <is>
          <t>calculado</t>
        </is>
      </c>
      <c r="H302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302" t="inlineStr">
        <is>
          <t>2022-03-24</t>
        </is>
      </c>
      <c r="K302" t="inlineStr">
        <is>
          <t>ESIOS 1001 geo 8741</t>
        </is>
      </c>
      <c r="L302" t="inlineStr">
        <is>
          <t>24 valores; mín 299.19, máx 470.54 €/MWh</t>
        </is>
      </c>
    </row>
    <row r="303">
      <c r="A303" s="53" t="n">
        <v>44646</v>
      </c>
      <c r="B303" t="inlineStr">
        <is>
          <t>2022-03-26</t>
        </is>
      </c>
      <c r="C303" s="45" t="n">
        <v>301.7854</v>
      </c>
      <c r="D303" t="inlineStr">
        <is>
          <t>€/MWh</t>
        </is>
      </c>
      <c r="E303" s="54" t="n">
        <v>0.301785</v>
      </c>
      <c r="F303" s="54" t="n">
        <v>0.333624</v>
      </c>
      <c r="G303" t="inlineStr">
        <is>
          <t>calculado</t>
        </is>
      </c>
      <c r="H303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303" t="inlineStr">
        <is>
          <t>2022-03-25</t>
        </is>
      </c>
      <c r="K303" t="inlineStr">
        <is>
          <t>ESIOS 1001 geo 8741</t>
        </is>
      </c>
      <c r="L303" t="inlineStr">
        <is>
          <t>24 valores; mín 250.66, máx 365.82 €/MWh</t>
        </is>
      </c>
    </row>
    <row r="304">
      <c r="A304" s="53" t="n">
        <v>44647</v>
      </c>
      <c r="B304" t="inlineStr">
        <is>
          <t>2022-03-27</t>
        </is>
      </c>
      <c r="C304" s="45" t="n">
        <v>282.6835</v>
      </c>
      <c r="D304" t="inlineStr">
        <is>
          <t>€/MWh</t>
        </is>
      </c>
      <c r="E304" s="54" t="n">
        <v>0.282683</v>
      </c>
      <c r="F304" s="54" t="n">
        <v>0.312507</v>
      </c>
      <c r="G304" t="inlineStr">
        <is>
          <t>calculado</t>
        </is>
      </c>
      <c r="H304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304" t="inlineStr">
        <is>
          <t>2022-03-26</t>
        </is>
      </c>
      <c r="K304" t="inlineStr">
        <is>
          <t>ESIOS 1001 geo 8741</t>
        </is>
      </c>
      <c r="L304" t="inlineStr">
        <is>
          <t>23 valores; mín 223.29, máx 355.56 €/MWh</t>
        </is>
      </c>
    </row>
    <row r="305">
      <c r="A305" s="53" t="n">
        <v>44648</v>
      </c>
      <c r="B305" t="inlineStr">
        <is>
          <t>2022-03-28</t>
        </is>
      </c>
      <c r="C305" s="45" t="n">
        <v>333.1667</v>
      </c>
      <c r="D305" t="inlineStr">
        <is>
          <t>€/MWh</t>
        </is>
      </c>
      <c r="E305" s="54" t="n">
        <v>0.333167</v>
      </c>
      <c r="F305" s="54" t="n">
        <v>0.368316</v>
      </c>
      <c r="G305" t="inlineStr">
        <is>
          <t>calculado</t>
        </is>
      </c>
      <c r="H305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305" t="inlineStr">
        <is>
          <t>2022-03-27</t>
        </is>
      </c>
      <c r="K305" t="inlineStr">
        <is>
          <t>ESIOS 1001 geo 8741</t>
        </is>
      </c>
      <c r="L305" t="inlineStr">
        <is>
          <t>24 valores; mín 263.16, máx 454.03 €/MWh</t>
        </is>
      </c>
    </row>
    <row r="306">
      <c r="A306" s="53" t="n">
        <v>44649</v>
      </c>
      <c r="B306" t="inlineStr">
        <is>
          <t>2022-03-29</t>
        </is>
      </c>
      <c r="C306" s="45" t="n">
        <v>350.2638</v>
      </c>
      <c r="D306" t="inlineStr">
        <is>
          <t>€/MWh</t>
        </is>
      </c>
      <c r="E306" s="54" t="n">
        <v>0.350264</v>
      </c>
      <c r="F306" s="54" t="n">
        <v>0.387217</v>
      </c>
      <c r="G306" t="inlineStr">
        <is>
          <t>calculado</t>
        </is>
      </c>
      <c r="H306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306" t="inlineStr">
        <is>
          <t>2022-03-28</t>
        </is>
      </c>
      <c r="K306" t="inlineStr">
        <is>
          <t>ESIOS 1001 geo 8741</t>
        </is>
      </c>
      <c r="L306" t="inlineStr">
        <is>
          <t>24 valores; mín 273.74, máx 430.41 €/MWh</t>
        </is>
      </c>
    </row>
    <row r="307">
      <c r="A307" s="53" t="n">
        <v>44650</v>
      </c>
      <c r="B307" t="inlineStr">
        <is>
          <t>2022-03-30</t>
        </is>
      </c>
      <c r="C307" s="45" t="n">
        <v>359.7088</v>
      </c>
      <c r="D307" t="inlineStr">
        <is>
          <t>€/MWh</t>
        </is>
      </c>
      <c r="E307" s="54" t="n">
        <v>0.359709</v>
      </c>
      <c r="F307" s="54" t="n">
        <v>0.397658</v>
      </c>
      <c r="G307" t="inlineStr">
        <is>
          <t>calculado</t>
        </is>
      </c>
      <c r="H307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307" t="inlineStr">
        <is>
          <t>2022-03-29</t>
        </is>
      </c>
      <c r="K307" t="inlineStr">
        <is>
          <t>ESIOS 1001 geo 8741</t>
        </is>
      </c>
      <c r="L307" t="inlineStr">
        <is>
          <t>24 valores; mín 295.93, máx 445.41 €/MWh</t>
        </is>
      </c>
    </row>
    <row r="308">
      <c r="A308" s="53" t="n">
        <v>44651</v>
      </c>
      <c r="B308" t="inlineStr">
        <is>
          <t>2022-03-31</t>
        </is>
      </c>
      <c r="C308" s="45" t="n">
        <v>333.9642</v>
      </c>
      <c r="D308" t="inlineStr">
        <is>
          <t>€/MWh</t>
        </is>
      </c>
      <c r="E308" s="54" t="n">
        <v>0.333964</v>
      </c>
      <c r="F308" s="54" t="n">
        <v>0.369197</v>
      </c>
      <c r="G308" t="inlineStr">
        <is>
          <t>calculado</t>
        </is>
      </c>
      <c r="H308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308" t="inlineStr">
        <is>
          <t>2022-03-30</t>
        </is>
      </c>
      <c r="K308" t="inlineStr">
        <is>
          <t>ESIOS 1001 geo 8741</t>
        </is>
      </c>
      <c r="L308" t="inlineStr">
        <is>
          <t>24 valores; mín 249.57, máx 421.99 €/MWh</t>
        </is>
      </c>
    </row>
    <row r="309">
      <c r="A309" s="53" t="n">
        <v>44652</v>
      </c>
      <c r="B309" t="inlineStr">
        <is>
          <t>2022-04-01</t>
        </is>
      </c>
      <c r="C309" s="45" t="n">
        <v>318.0938</v>
      </c>
      <c r="D309" t="inlineStr">
        <is>
          <t>€/MWh</t>
        </is>
      </c>
      <c r="E309" s="54" t="n">
        <v>0.318094</v>
      </c>
      <c r="F309" s="54" t="n">
        <v>0.351653</v>
      </c>
      <c r="G309" t="inlineStr">
        <is>
          <t>calculado</t>
        </is>
      </c>
      <c r="H309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309" t="inlineStr">
        <is>
          <t>2022-03-31</t>
        </is>
      </c>
      <c r="K309" t="inlineStr">
        <is>
          <t>ESIOS 1001 geo 8741</t>
        </is>
      </c>
      <c r="L309" t="inlineStr">
        <is>
          <t>24 valores; mín 237.47, máx 457.73 €/MWh</t>
        </is>
      </c>
    </row>
    <row r="310">
      <c r="A310" s="53" t="n">
        <v>44653</v>
      </c>
      <c r="B310" t="inlineStr">
        <is>
          <t>2022-04-02</t>
        </is>
      </c>
      <c r="C310" s="45" t="n">
        <v>286.5767</v>
      </c>
      <c r="D310" t="inlineStr">
        <is>
          <t>€/MWh</t>
        </is>
      </c>
      <c r="E310" s="54" t="n">
        <v>0.286577</v>
      </c>
      <c r="F310" s="54" t="n">
        <v>0.316811</v>
      </c>
      <c r="G310" t="inlineStr">
        <is>
          <t>calculado</t>
        </is>
      </c>
      <c r="H310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310" t="inlineStr">
        <is>
          <t>2022-04-01</t>
        </is>
      </c>
      <c r="K310" t="inlineStr">
        <is>
          <t>ESIOS 1001 geo 8741</t>
        </is>
      </c>
      <c r="L310" t="inlineStr">
        <is>
          <t>24 valores; mín 133.74, máx 365.54 €/MWh</t>
        </is>
      </c>
    </row>
    <row r="311">
      <c r="A311" s="53" t="n">
        <v>44654</v>
      </c>
      <c r="B311" t="inlineStr">
        <is>
          <t>2022-04-03</t>
        </is>
      </c>
      <c r="C311" s="45" t="n">
        <v>292.6112</v>
      </c>
      <c r="D311" t="inlineStr">
        <is>
          <t>€/MWh</t>
        </is>
      </c>
      <c r="E311" s="54" t="n">
        <v>0.292611</v>
      </c>
      <c r="F311" s="54" t="n">
        <v>0.323482</v>
      </c>
      <c r="G311" t="inlineStr">
        <is>
          <t>calculado</t>
        </is>
      </c>
      <c r="H311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311" t="inlineStr">
        <is>
          <t>2022-04-02</t>
        </is>
      </c>
      <c r="K311" t="inlineStr">
        <is>
          <t>ESIOS 1001 geo 8741</t>
        </is>
      </c>
      <c r="L311" t="inlineStr">
        <is>
          <t>24 valores; mín 175.63, máx 361.16 €/MWh</t>
        </is>
      </c>
    </row>
    <row r="312">
      <c r="A312" s="53" t="n">
        <v>44655</v>
      </c>
      <c r="B312" t="inlineStr">
        <is>
          <t>2022-04-04</t>
        </is>
      </c>
      <c r="C312" s="45" t="n">
        <v>349.9854</v>
      </c>
      <c r="D312" t="inlineStr">
        <is>
          <t>€/MWh</t>
        </is>
      </c>
      <c r="E312" s="54" t="n">
        <v>0.349985</v>
      </c>
      <c r="F312" s="54" t="n">
        <v>0.386909</v>
      </c>
      <c r="G312" t="inlineStr">
        <is>
          <t>calculado</t>
        </is>
      </c>
      <c r="H312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312" t="inlineStr">
        <is>
          <t>2022-04-03</t>
        </is>
      </c>
      <c r="K312" t="inlineStr">
        <is>
          <t>ESIOS 1001 geo 8741</t>
        </is>
      </c>
      <c r="L312" t="inlineStr">
        <is>
          <t>24 valores; mín 240.80, máx 432.54 €/MWh</t>
        </is>
      </c>
    </row>
    <row r="313">
      <c r="A313" s="53" t="n">
        <v>44656</v>
      </c>
      <c r="B313" t="inlineStr">
        <is>
          <t>2022-04-05</t>
        </is>
      </c>
      <c r="C313" s="45" t="n">
        <v>361.4392</v>
      </c>
      <c r="D313" t="inlineStr">
        <is>
          <t>€/MWh</t>
        </is>
      </c>
      <c r="E313" s="54" t="n">
        <v>0.361439</v>
      </c>
      <c r="F313" s="54" t="n">
        <v>0.399571</v>
      </c>
      <c r="G313" t="inlineStr">
        <is>
          <t>calculado</t>
        </is>
      </c>
      <c r="H313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313" t="inlineStr">
        <is>
          <t>2022-04-04</t>
        </is>
      </c>
      <c r="K313" t="inlineStr">
        <is>
          <t>ESIOS 1001 geo 8741</t>
        </is>
      </c>
      <c r="L313" t="inlineStr">
        <is>
          <t>24 valores; mín 269.00, máx 441.57 €/MWh</t>
        </is>
      </c>
    </row>
    <row r="314">
      <c r="A314" s="53" t="n">
        <v>44657</v>
      </c>
      <c r="B314" t="inlineStr">
        <is>
          <t>2022-04-06</t>
        </is>
      </c>
      <c r="C314" s="45" t="n">
        <v>348.6021</v>
      </c>
      <c r="D314" t="inlineStr">
        <is>
          <t>€/MWh</t>
        </is>
      </c>
      <c r="E314" s="54" t="n">
        <v>0.348602</v>
      </c>
      <c r="F314" s="54" t="n">
        <v>0.38538</v>
      </c>
      <c r="G314" t="inlineStr">
        <is>
          <t>calculado</t>
        </is>
      </c>
      <c r="H314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314" t="inlineStr">
        <is>
          <t>2022-04-05</t>
        </is>
      </c>
      <c r="K314" t="inlineStr">
        <is>
          <t>ESIOS 1001 geo 8741</t>
        </is>
      </c>
      <c r="L314" t="inlineStr">
        <is>
          <t>24 valores; mín 275.92, máx 424.56 €/MWh</t>
        </is>
      </c>
    </row>
    <row r="315">
      <c r="A315" s="53" t="n">
        <v>44658</v>
      </c>
      <c r="B315" t="inlineStr">
        <is>
          <t>2022-04-07</t>
        </is>
      </c>
      <c r="C315" s="45" t="n">
        <v>305.2304</v>
      </c>
      <c r="D315" t="inlineStr">
        <is>
          <t>€/MWh</t>
        </is>
      </c>
      <c r="E315" s="54" t="n">
        <v>0.30523</v>
      </c>
      <c r="F315" s="54" t="n">
        <v>0.337432</v>
      </c>
      <c r="G315" t="inlineStr">
        <is>
          <t>calculado</t>
        </is>
      </c>
      <c r="H315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315" t="inlineStr">
        <is>
          <t>2022-04-06</t>
        </is>
      </c>
      <c r="K315" t="inlineStr">
        <is>
          <t>ESIOS 1001 geo 8741</t>
        </is>
      </c>
      <c r="L315" t="inlineStr">
        <is>
          <t>24 valores; mín 225.27, máx 405.85 €/MWh</t>
        </is>
      </c>
    </row>
    <row r="316">
      <c r="A316" s="53" t="n">
        <v>44659</v>
      </c>
      <c r="B316" t="inlineStr">
        <is>
          <t>2022-04-08</t>
        </is>
      </c>
      <c r="C316" s="45" t="n">
        <v>234.3887</v>
      </c>
      <c r="D316" t="inlineStr">
        <is>
          <t>€/MWh</t>
        </is>
      </c>
      <c r="E316" s="54" t="n">
        <v>0.234389</v>
      </c>
      <c r="F316" s="54" t="n">
        <v>0.259117</v>
      </c>
      <c r="G316" t="inlineStr">
        <is>
          <t>calculado</t>
        </is>
      </c>
      <c r="H316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316" t="inlineStr">
        <is>
          <t>2022-04-07</t>
        </is>
      </c>
      <c r="K316" t="inlineStr">
        <is>
          <t>ESIOS 1001 geo 8741</t>
        </is>
      </c>
      <c r="L316" t="inlineStr">
        <is>
          <t>24 valores; mín 50.08, máx 382.35 €/MWh</t>
        </is>
      </c>
    </row>
    <row r="317">
      <c r="A317" s="53" t="n">
        <v>44660</v>
      </c>
      <c r="B317" t="inlineStr">
        <is>
          <t>2022-04-09</t>
        </is>
      </c>
      <c r="C317" s="45" t="n">
        <v>301.3425</v>
      </c>
      <c r="D317" t="inlineStr">
        <is>
          <t>€/MWh</t>
        </is>
      </c>
      <c r="E317" s="54" t="n">
        <v>0.301343</v>
      </c>
      <c r="F317" s="54" t="n">
        <v>0.333134</v>
      </c>
      <c r="G317" t="inlineStr">
        <is>
          <t>calculado</t>
        </is>
      </c>
      <c r="H317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317" t="inlineStr">
        <is>
          <t>2022-04-08</t>
        </is>
      </c>
      <c r="K317" t="inlineStr">
        <is>
          <t>ESIOS 1001 geo 8741</t>
        </is>
      </c>
      <c r="L317" t="inlineStr">
        <is>
          <t>24 valores; mín 235.68, máx 364.41 €/MWh</t>
        </is>
      </c>
    </row>
    <row r="318">
      <c r="A318" s="53" t="n">
        <v>44661</v>
      </c>
      <c r="B318" t="inlineStr">
        <is>
          <t>2022-04-10</t>
        </is>
      </c>
      <c r="C318" s="45" t="n">
        <v>214.0071</v>
      </c>
      <c r="D318" t="inlineStr">
        <is>
          <t>€/MWh</t>
        </is>
      </c>
      <c r="E318" s="54" t="n">
        <v>0.214007</v>
      </c>
      <c r="F318" s="54" t="n">
        <v>0.236585</v>
      </c>
      <c r="G318" t="inlineStr">
        <is>
          <t>calculado</t>
        </is>
      </c>
      <c r="H318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318" t="inlineStr">
        <is>
          <t>2022-04-09</t>
        </is>
      </c>
      <c r="K318" t="inlineStr">
        <is>
          <t>ESIOS 1001 geo 8741</t>
        </is>
      </c>
      <c r="L318" t="inlineStr">
        <is>
          <t>24 valores; mín 25.79, máx 351.01 €/MWh</t>
        </is>
      </c>
    </row>
    <row r="319">
      <c r="A319" s="53" t="n">
        <v>44662</v>
      </c>
      <c r="B319" t="inlineStr">
        <is>
          <t>2022-04-11</t>
        </is>
      </c>
      <c r="C319" s="45" t="n">
        <v>248.6346</v>
      </c>
      <c r="D319" t="inlineStr">
        <is>
          <t>€/MWh</t>
        </is>
      </c>
      <c r="E319" s="54" t="n">
        <v>0.248635</v>
      </c>
      <c r="F319" s="54" t="n">
        <v>0.274866</v>
      </c>
      <c r="G319" t="inlineStr">
        <is>
          <t>calculado</t>
        </is>
      </c>
      <c r="H319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319" t="inlineStr">
        <is>
          <t>2022-04-10</t>
        </is>
      </c>
      <c r="K319" t="inlineStr">
        <is>
          <t>ESIOS 1001 geo 8741</t>
        </is>
      </c>
      <c r="L319" t="inlineStr">
        <is>
          <t>24 valores; mín 111.42, máx 404.51 €/MWh</t>
        </is>
      </c>
    </row>
    <row r="320">
      <c r="A320" s="53" t="n">
        <v>44663</v>
      </c>
      <c r="B320" t="inlineStr">
        <is>
          <t>2022-04-12</t>
        </is>
      </c>
      <c r="C320" s="45" t="n">
        <v>327.8083</v>
      </c>
      <c r="D320" t="inlineStr">
        <is>
          <t>€/MWh</t>
        </is>
      </c>
      <c r="E320" s="54" t="n">
        <v>0.327808</v>
      </c>
      <c r="F320" s="54" t="n">
        <v>0.362392</v>
      </c>
      <c r="G320" t="inlineStr">
        <is>
          <t>calculado</t>
        </is>
      </c>
      <c r="H320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320" t="inlineStr">
        <is>
          <t>2022-04-11</t>
        </is>
      </c>
      <c r="K320" t="inlineStr">
        <is>
          <t>ESIOS 1001 geo 8741</t>
        </is>
      </c>
      <c r="L320" t="inlineStr">
        <is>
          <t>24 valores; mín 242.99, máx 416.19 €/MWh</t>
        </is>
      </c>
    </row>
    <row r="321">
      <c r="A321" s="53" t="n">
        <v>44664</v>
      </c>
      <c r="B321" t="inlineStr">
        <is>
          <t>2022-04-13</t>
        </is>
      </c>
      <c r="C321" s="45" t="n">
        <v>317.3708</v>
      </c>
      <c r="D321" t="inlineStr">
        <is>
          <t>€/MWh</t>
        </is>
      </c>
      <c r="E321" s="54" t="n">
        <v>0.317371</v>
      </c>
      <c r="F321" s="54" t="n">
        <v>0.350853</v>
      </c>
      <c r="G321" t="inlineStr">
        <is>
          <t>calculado</t>
        </is>
      </c>
      <c r="H321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321" t="inlineStr">
        <is>
          <t>2022-04-12</t>
        </is>
      </c>
      <c r="K321" t="inlineStr">
        <is>
          <t>ESIOS 1001 geo 8741</t>
        </is>
      </c>
      <c r="L321" t="inlineStr">
        <is>
          <t>24 valores; mín 248.66, máx 385.23 €/MWh</t>
        </is>
      </c>
    </row>
    <row r="322">
      <c r="A322" s="53" t="n">
        <v>44665</v>
      </c>
      <c r="B322" t="inlineStr">
        <is>
          <t>2022-04-14</t>
        </is>
      </c>
      <c r="C322" s="45" t="n">
        <v>310.9312</v>
      </c>
      <c r="D322" t="inlineStr">
        <is>
          <t>€/MWh</t>
        </is>
      </c>
      <c r="E322" s="54" t="n">
        <v>0.310931</v>
      </c>
      <c r="F322" s="54" t="n">
        <v>0.343734</v>
      </c>
      <c r="G322" t="inlineStr">
        <is>
          <t>calculado</t>
        </is>
      </c>
      <c r="H322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322" t="inlineStr">
        <is>
          <t>2022-04-13</t>
        </is>
      </c>
      <c r="K322" t="inlineStr">
        <is>
          <t>ESIOS 1001 geo 8741</t>
        </is>
      </c>
      <c r="L322" t="inlineStr">
        <is>
          <t>24 valores; mín 259.75, máx 405.83 €/MWh</t>
        </is>
      </c>
    </row>
    <row r="323">
      <c r="A323" s="53" t="n">
        <v>44666</v>
      </c>
      <c r="B323" t="inlineStr">
        <is>
          <t>2022-04-15</t>
        </is>
      </c>
      <c r="C323" s="45" t="n">
        <v>290.7075</v>
      </c>
      <c r="D323" t="inlineStr">
        <is>
          <t>€/MWh</t>
        </is>
      </c>
      <c r="E323" s="54" t="n">
        <v>0.290708</v>
      </c>
      <c r="F323" s="54" t="n">
        <v>0.321377</v>
      </c>
      <c r="G323" t="inlineStr">
        <is>
          <t>calculado</t>
        </is>
      </c>
      <c r="H323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323" t="inlineStr">
        <is>
          <t>2022-04-14</t>
        </is>
      </c>
      <c r="K323" t="inlineStr">
        <is>
          <t>ESIOS 1001 geo 8741</t>
        </is>
      </c>
      <c r="L323" t="inlineStr">
        <is>
          <t>24 valores; mín 229.63, máx 366.88 €/MWh</t>
        </is>
      </c>
    </row>
    <row r="324">
      <c r="A324" s="53" t="n">
        <v>44667</v>
      </c>
      <c r="B324" t="inlineStr">
        <is>
          <t>2022-04-16</t>
        </is>
      </c>
      <c r="C324" s="45" t="n">
        <v>207.355</v>
      </c>
      <c r="D324" t="inlineStr">
        <is>
          <t>€/MWh</t>
        </is>
      </c>
      <c r="E324" s="54" t="n">
        <v>0.207355</v>
      </c>
      <c r="F324" s="54" t="n">
        <v>0.229231</v>
      </c>
      <c r="G324" t="inlineStr">
        <is>
          <t>calculado</t>
        </is>
      </c>
      <c r="H324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324" t="inlineStr">
        <is>
          <t>2022-04-15</t>
        </is>
      </c>
      <c r="K324" t="inlineStr">
        <is>
          <t>ESIOS 1001 geo 8741</t>
        </is>
      </c>
      <c r="L324" t="inlineStr">
        <is>
          <t>24 valores; mín 75.54, máx 281.63 €/MWh</t>
        </is>
      </c>
    </row>
    <row r="325">
      <c r="A325" s="53" t="n">
        <v>44668</v>
      </c>
      <c r="B325" t="inlineStr">
        <is>
          <t>2022-04-17</t>
        </is>
      </c>
      <c r="C325" s="45" t="n">
        <v>166.0242</v>
      </c>
      <c r="D325" t="inlineStr">
        <is>
          <t>€/MWh</t>
        </is>
      </c>
      <c r="E325" s="54" t="n">
        <v>0.166024</v>
      </c>
      <c r="F325" s="54" t="n">
        <v>0.183727</v>
      </c>
      <c r="G325" t="inlineStr">
        <is>
          <t>calculado</t>
        </is>
      </c>
      <c r="H325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325" t="inlineStr">
        <is>
          <t>2022-04-16</t>
        </is>
      </c>
      <c r="K325" t="inlineStr">
        <is>
          <t>ESIOS 1001 geo 8741</t>
        </is>
      </c>
      <c r="L325" t="inlineStr">
        <is>
          <t>24 valores; mín 40.69, máx 241.71 €/MWh</t>
        </is>
      </c>
    </row>
    <row r="326">
      <c r="A326" s="53" t="n">
        <v>44669</v>
      </c>
      <c r="B326" t="inlineStr">
        <is>
          <t>2022-04-18</t>
        </is>
      </c>
      <c r="C326" s="45" t="n">
        <v>187.4175</v>
      </c>
      <c r="D326" t="inlineStr">
        <is>
          <t>€/MWh</t>
        </is>
      </c>
      <c r="E326" s="54" t="n">
        <v>0.187418</v>
      </c>
      <c r="F326" s="54" t="n">
        <v>0.207259</v>
      </c>
      <c r="G326" t="inlineStr">
        <is>
          <t>calculado</t>
        </is>
      </c>
      <c r="H326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326" t="inlineStr">
        <is>
          <t>2022-04-17</t>
        </is>
      </c>
      <c r="K326" t="inlineStr">
        <is>
          <t>ESIOS 1001 geo 8741</t>
        </is>
      </c>
      <c r="L326" t="inlineStr">
        <is>
          <t>24 valores; mín 104.43, máx 340.18 €/MWh</t>
        </is>
      </c>
    </row>
    <row r="327">
      <c r="A327" s="53" t="n">
        <v>44670</v>
      </c>
      <c r="B327" t="inlineStr">
        <is>
          <t>2022-04-19</t>
        </is>
      </c>
      <c r="C327" s="45" t="n">
        <v>185.365</v>
      </c>
      <c r="D327" t="inlineStr">
        <is>
          <t>€/MWh</t>
        </is>
      </c>
      <c r="E327" s="54" t="n">
        <v>0.185365</v>
      </c>
      <c r="F327" s="54" t="n">
        <v>0.205002</v>
      </c>
      <c r="G327" t="inlineStr">
        <is>
          <t>calculado</t>
        </is>
      </c>
      <c r="H327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327" t="inlineStr">
        <is>
          <t>2022-04-18</t>
        </is>
      </c>
      <c r="K327" t="inlineStr">
        <is>
          <t>ESIOS 1001 geo 8741</t>
        </is>
      </c>
      <c r="L327" t="inlineStr">
        <is>
          <t>24 valores; mín 112.62, máx 270.69 €/MWh</t>
        </is>
      </c>
    </row>
    <row r="328">
      <c r="A328" s="53" t="n">
        <v>44671</v>
      </c>
      <c r="B328" t="inlineStr">
        <is>
          <t>2022-04-20</t>
        </is>
      </c>
      <c r="C328" s="45" t="n">
        <v>155.2454</v>
      </c>
      <c r="D328" t="inlineStr">
        <is>
          <t>€/MWh</t>
        </is>
      </c>
      <c r="E328" s="54" t="n">
        <v>0.155245</v>
      </c>
      <c r="F328" s="54" t="n">
        <v>0.17187</v>
      </c>
      <c r="G328" t="inlineStr">
        <is>
          <t>calculado</t>
        </is>
      </c>
      <c r="H328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328" t="inlineStr">
        <is>
          <t>2022-04-19</t>
        </is>
      </c>
      <c r="K328" t="inlineStr">
        <is>
          <t>ESIOS 1001 geo 8741</t>
        </is>
      </c>
      <c r="L328" t="inlineStr">
        <is>
          <t>24 valores; mín 57.28, máx 258.35 €/MWh</t>
        </is>
      </c>
    </row>
    <row r="329">
      <c r="A329" s="53" t="n">
        <v>44672</v>
      </c>
      <c r="B329" t="inlineStr">
        <is>
          <t>2022-04-21</t>
        </is>
      </c>
      <c r="C329" s="45" t="n">
        <v>241.9058</v>
      </c>
      <c r="D329" t="inlineStr">
        <is>
          <t>€/MWh</t>
        </is>
      </c>
      <c r="E329" s="54" t="n">
        <v>0.241906</v>
      </c>
      <c r="F329" s="54" t="n">
        <v>0.267427</v>
      </c>
      <c r="G329" t="inlineStr">
        <is>
          <t>calculado</t>
        </is>
      </c>
      <c r="H329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329" t="inlineStr">
        <is>
          <t>2022-04-20</t>
        </is>
      </c>
      <c r="K329" t="inlineStr">
        <is>
          <t>ESIOS 1001 geo 8741</t>
        </is>
      </c>
      <c r="L329" t="inlineStr">
        <is>
          <t>24 valores; mín 166.04, máx 349.57 €/MWh</t>
        </is>
      </c>
    </row>
    <row r="330">
      <c r="A330" s="53" t="n">
        <v>44673</v>
      </c>
      <c r="B330" t="inlineStr">
        <is>
          <t>2022-04-22</t>
        </is>
      </c>
      <c r="C330" s="45" t="n">
        <v>291.9525</v>
      </c>
      <c r="D330" t="inlineStr">
        <is>
          <t>€/MWh</t>
        </is>
      </c>
      <c r="E330" s="54" t="n">
        <v>0.291953</v>
      </c>
      <c r="F330" s="54" t="n">
        <v>0.322753</v>
      </c>
      <c r="G330" t="inlineStr">
        <is>
          <t>calculado</t>
        </is>
      </c>
      <c r="H330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330" t="inlineStr">
        <is>
          <t>2022-04-21</t>
        </is>
      </c>
      <c r="K330" t="inlineStr">
        <is>
          <t>ESIOS 1001 geo 8741</t>
        </is>
      </c>
      <c r="L330" t="inlineStr">
        <is>
          <t>24 valores; mín 230.61, máx 351.19 €/MWh</t>
        </is>
      </c>
    </row>
    <row r="331">
      <c r="A331" s="53" t="n">
        <v>44674</v>
      </c>
      <c r="B331" t="inlineStr">
        <is>
          <t>2022-04-23</t>
        </is>
      </c>
      <c r="C331" s="45" t="n">
        <v>125.5146</v>
      </c>
      <c r="D331" t="inlineStr">
        <is>
          <t>€/MWh</t>
        </is>
      </c>
      <c r="E331" s="54" t="n">
        <v>0.125515</v>
      </c>
      <c r="F331" s="54" t="n">
        <v>0.139166</v>
      </c>
      <c r="G331" t="inlineStr">
        <is>
          <t>calculado</t>
        </is>
      </c>
      <c r="H331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331" t="inlineStr">
        <is>
          <t>2022-04-22</t>
        </is>
      </c>
      <c r="K331" t="inlineStr">
        <is>
          <t>ESIOS 1001 geo 8741</t>
        </is>
      </c>
      <c r="L331" t="inlineStr">
        <is>
          <t>24 valores; mín 25.19, máx 231.24 €/MWh</t>
        </is>
      </c>
    </row>
    <row r="332">
      <c r="A332" s="53" t="n">
        <v>44675</v>
      </c>
      <c r="B332" t="inlineStr">
        <is>
          <t>2022-04-24</t>
        </is>
      </c>
      <c r="C332" s="45" t="n">
        <v>201.0921</v>
      </c>
      <c r="D332" t="inlineStr">
        <is>
          <t>€/MWh</t>
        </is>
      </c>
      <c r="E332" s="54" t="n">
        <v>0.201092</v>
      </c>
      <c r="F332" s="54" t="n">
        <v>0.222307</v>
      </c>
      <c r="G332" t="inlineStr">
        <is>
          <t>calculado</t>
        </is>
      </c>
      <c r="H332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332" t="inlineStr">
        <is>
          <t>2022-04-23</t>
        </is>
      </c>
      <c r="K332" t="inlineStr">
        <is>
          <t>ESIOS 1001 geo 8741</t>
        </is>
      </c>
      <c r="L332" t="inlineStr">
        <is>
          <t>24 valores; mín 148.95, máx 312.81 €/MWh</t>
        </is>
      </c>
    </row>
    <row r="333">
      <c r="A333" s="53" t="n">
        <v>44676</v>
      </c>
      <c r="B333" t="inlineStr">
        <is>
          <t>2022-04-25</t>
        </is>
      </c>
      <c r="C333" s="45" t="n">
        <v>315.1404</v>
      </c>
      <c r="D333" t="inlineStr">
        <is>
          <t>€/MWh</t>
        </is>
      </c>
      <c r="E333" s="54" t="n">
        <v>0.31514</v>
      </c>
      <c r="F333" s="54" t="n">
        <v>0.348388</v>
      </c>
      <c r="G333" t="inlineStr">
        <is>
          <t>calculado</t>
        </is>
      </c>
      <c r="H333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333" t="inlineStr">
        <is>
          <t>2022-04-24</t>
        </is>
      </c>
      <c r="K333" t="inlineStr">
        <is>
          <t>ESIOS 1001 geo 8741</t>
        </is>
      </c>
      <c r="L333" t="inlineStr">
        <is>
          <t>24 valores; mín 238.46, máx 408.74 €/MWh</t>
        </is>
      </c>
    </row>
    <row r="334">
      <c r="A334" s="53" t="n">
        <v>44677</v>
      </c>
      <c r="B334" t="inlineStr">
        <is>
          <t>2022-04-26</t>
        </is>
      </c>
      <c r="C334" s="45" t="n">
        <v>321.8113</v>
      </c>
      <c r="D334" t="inlineStr">
        <is>
          <t>€/MWh</t>
        </is>
      </c>
      <c r="E334" s="54" t="n">
        <v>0.321811</v>
      </c>
      <c r="F334" s="54" t="n">
        <v>0.355762</v>
      </c>
      <c r="G334" t="inlineStr">
        <is>
          <t>calculado</t>
        </is>
      </c>
      <c r="H334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334" t="inlineStr">
        <is>
          <t>2022-04-25</t>
        </is>
      </c>
      <c r="K334" t="inlineStr">
        <is>
          <t>ESIOS 1001 geo 8741</t>
        </is>
      </c>
      <c r="L334" t="inlineStr">
        <is>
          <t>24 valores; mín 269.81, máx 397.56 €/MWh</t>
        </is>
      </c>
    </row>
    <row r="335">
      <c r="A335" s="53" t="n">
        <v>44678</v>
      </c>
      <c r="B335" t="inlineStr">
        <is>
          <t>2022-04-27</t>
        </is>
      </c>
      <c r="C335" s="45" t="n">
        <v>306.3021</v>
      </c>
      <c r="D335" t="inlineStr">
        <is>
          <t>€/MWh</t>
        </is>
      </c>
      <c r="E335" s="54" t="n">
        <v>0.306302</v>
      </c>
      <c r="F335" s="54" t="n">
        <v>0.338617</v>
      </c>
      <c r="G335" t="inlineStr">
        <is>
          <t>calculado</t>
        </is>
      </c>
      <c r="H335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335" t="inlineStr">
        <is>
          <t>2022-04-26</t>
        </is>
      </c>
      <c r="K335" t="inlineStr">
        <is>
          <t>ESIOS 1001 geo 8741</t>
        </is>
      </c>
      <c r="L335" t="inlineStr">
        <is>
          <t>24 valores; mín 250.17, máx 383.38 €/MWh</t>
        </is>
      </c>
    </row>
    <row r="336">
      <c r="A336" s="53" t="n">
        <v>44679</v>
      </c>
      <c r="B336" t="inlineStr">
        <is>
          <t>2022-04-28</t>
        </is>
      </c>
      <c r="C336" s="45" t="n">
        <v>311.25</v>
      </c>
      <c r="D336" t="inlineStr">
        <is>
          <t>€/MWh</t>
        </is>
      </c>
      <c r="E336" s="54" t="n">
        <v>0.31125</v>
      </c>
      <c r="F336" s="54" t="n">
        <v>0.344087</v>
      </c>
      <c r="G336" t="inlineStr">
        <is>
          <t>calculado</t>
        </is>
      </c>
      <c r="H336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336" t="inlineStr">
        <is>
          <t>2022-04-27</t>
        </is>
      </c>
      <c r="K336" t="inlineStr">
        <is>
          <t>ESIOS 1001 geo 8741</t>
        </is>
      </c>
      <c r="L336" t="inlineStr">
        <is>
          <t>24 valores; mín 253.70, máx 395.61 €/MWh</t>
        </is>
      </c>
    </row>
    <row r="337">
      <c r="A337" s="53" t="n">
        <v>44680</v>
      </c>
      <c r="B337" t="inlineStr">
        <is>
          <t>2022-04-29</t>
        </is>
      </c>
      <c r="C337" s="45" t="n">
        <v>298.8133</v>
      </c>
      <c r="D337" t="inlineStr">
        <is>
          <t>€/MWh</t>
        </is>
      </c>
      <c r="E337" s="54" t="n">
        <v>0.298813</v>
      </c>
      <c r="F337" s="54" t="n">
        <v>0.330338</v>
      </c>
      <c r="G337" t="inlineStr">
        <is>
          <t>calculado</t>
        </is>
      </c>
      <c r="H337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337" t="inlineStr">
        <is>
          <t>2022-04-28</t>
        </is>
      </c>
      <c r="K337" t="inlineStr">
        <is>
          <t>ESIOS 1001 geo 8741</t>
        </is>
      </c>
      <c r="L337" t="inlineStr">
        <is>
          <t>24 valores; mín 253.06, máx 381.63 €/MWh</t>
        </is>
      </c>
    </row>
    <row r="338">
      <c r="A338" s="53" t="n">
        <v>44681</v>
      </c>
      <c r="B338" t="inlineStr">
        <is>
          <t>2022-04-30</t>
        </is>
      </c>
      <c r="C338" s="45" t="n">
        <v>236.0871</v>
      </c>
      <c r="D338" t="inlineStr">
        <is>
          <t>€/MWh</t>
        </is>
      </c>
      <c r="E338" s="54" t="n">
        <v>0.236087</v>
      </c>
      <c r="F338" s="54" t="n">
        <v>0.260994</v>
      </c>
      <c r="G338" t="inlineStr">
        <is>
          <t>calculado</t>
        </is>
      </c>
      <c r="H338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338" t="inlineStr">
        <is>
          <t>2022-04-29</t>
        </is>
      </c>
      <c r="K338" t="inlineStr">
        <is>
          <t>ESIOS 1001 geo 8741</t>
        </is>
      </c>
      <c r="L338" t="inlineStr">
        <is>
          <t>24 valores; mín 179.07, máx 284.65 €/MWh</t>
        </is>
      </c>
    </row>
    <row r="339">
      <c r="A339" s="53" t="n">
        <v>44682</v>
      </c>
      <c r="B339" t="inlineStr">
        <is>
          <t>2022-05-01</t>
        </is>
      </c>
      <c r="C339" s="45" t="n">
        <v>233.5246</v>
      </c>
      <c r="D339" t="inlineStr">
        <is>
          <t>€/MWh</t>
        </is>
      </c>
      <c r="E339" s="54" t="n">
        <v>0.233525</v>
      </c>
      <c r="F339" s="54" t="n">
        <v>0.258161</v>
      </c>
      <c r="G339" t="inlineStr">
        <is>
          <t>calculado</t>
        </is>
      </c>
      <c r="H339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339" t="inlineStr">
        <is>
          <t>2022-04-30</t>
        </is>
      </c>
      <c r="K339" t="inlineStr">
        <is>
          <t>ESIOS 1001 geo 8741</t>
        </is>
      </c>
      <c r="L339" t="inlineStr">
        <is>
          <t>24 valores; mín 140.16, máx 282.01 €/MWh</t>
        </is>
      </c>
    </row>
    <row r="340">
      <c r="A340" s="53" t="n">
        <v>44683</v>
      </c>
      <c r="B340" t="inlineStr">
        <is>
          <t>2022-05-02</t>
        </is>
      </c>
      <c r="C340" s="45" t="n">
        <v>273.4079</v>
      </c>
      <c r="D340" t="inlineStr">
        <is>
          <t>€/MWh</t>
        </is>
      </c>
      <c r="E340" s="54" t="n">
        <v>0.273408</v>
      </c>
      <c r="F340" s="54" t="n">
        <v>0.302252</v>
      </c>
      <c r="G340" t="inlineStr">
        <is>
          <t>calculado</t>
        </is>
      </c>
      <c r="H340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340" t="inlineStr">
        <is>
          <t>2022-05-01</t>
        </is>
      </c>
      <c r="K340" t="inlineStr">
        <is>
          <t>ESIOS 1001 geo 8741</t>
        </is>
      </c>
      <c r="L340" t="inlineStr">
        <is>
          <t>24 valores; mín 224.50, máx 333.86 €/MWh</t>
        </is>
      </c>
    </row>
    <row r="341">
      <c r="A341" s="53" t="n">
        <v>44684</v>
      </c>
      <c r="B341" t="inlineStr">
        <is>
          <t>2022-05-03</t>
        </is>
      </c>
      <c r="C341" s="45" t="n">
        <v>272.2221</v>
      </c>
      <c r="D341" t="inlineStr">
        <is>
          <t>€/MWh</t>
        </is>
      </c>
      <c r="E341" s="54" t="n">
        <v>0.272222</v>
      </c>
      <c r="F341" s="54" t="n">
        <v>0.300942</v>
      </c>
      <c r="G341" t="inlineStr">
        <is>
          <t>calculado</t>
        </is>
      </c>
      <c r="H341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341" t="inlineStr">
        <is>
          <t>2022-05-02</t>
        </is>
      </c>
      <c r="K341" t="inlineStr">
        <is>
          <t>ESIOS 1001 geo 8741</t>
        </is>
      </c>
      <c r="L341" t="inlineStr">
        <is>
          <t>24 valores; mín 197.84, máx 341.32 €/MWh</t>
        </is>
      </c>
    </row>
    <row r="342">
      <c r="A342" s="53" t="n">
        <v>44685</v>
      </c>
      <c r="B342" t="inlineStr">
        <is>
          <t>2022-05-04</t>
        </is>
      </c>
      <c r="C342" s="45" t="n">
        <v>284.0442</v>
      </c>
      <c r="D342" t="inlineStr">
        <is>
          <t>€/MWh</t>
        </is>
      </c>
      <c r="E342" s="54" t="n">
        <v>0.284044</v>
      </c>
      <c r="F342" s="54" t="n">
        <v>0.314011</v>
      </c>
      <c r="G342" t="inlineStr">
        <is>
          <t>calculado</t>
        </is>
      </c>
      <c r="H342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342" t="inlineStr">
        <is>
          <t>2022-05-03</t>
        </is>
      </c>
      <c r="K342" t="inlineStr">
        <is>
          <t>ESIOS 1001 geo 8741</t>
        </is>
      </c>
      <c r="L342" t="inlineStr">
        <is>
          <t>24 valores; mín 251.12, máx 335.04 €/MWh</t>
        </is>
      </c>
    </row>
    <row r="343">
      <c r="A343" s="53" t="n">
        <v>44686</v>
      </c>
      <c r="B343" t="inlineStr">
        <is>
          <t>2022-05-05</t>
        </is>
      </c>
      <c r="C343" s="45" t="n">
        <v>271.9487</v>
      </c>
      <c r="D343" t="inlineStr">
        <is>
          <t>€/MWh</t>
        </is>
      </c>
      <c r="E343" s="54" t="n">
        <v>0.271949</v>
      </c>
      <c r="F343" s="54" t="n">
        <v>0.300639</v>
      </c>
      <c r="G343" t="inlineStr">
        <is>
          <t>calculado</t>
        </is>
      </c>
      <c r="H343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343" t="inlineStr">
        <is>
          <t>2022-05-04</t>
        </is>
      </c>
      <c r="K343" t="inlineStr">
        <is>
          <t>ESIOS 1001 geo 8741</t>
        </is>
      </c>
      <c r="L343" t="inlineStr">
        <is>
          <t>24 valores; mín 228.75, máx 344.89 €/MWh</t>
        </is>
      </c>
    </row>
    <row r="344">
      <c r="A344" s="53" t="n">
        <v>44687</v>
      </c>
      <c r="B344" t="inlineStr">
        <is>
          <t>2022-05-06</t>
        </is>
      </c>
      <c r="C344" s="45" t="n">
        <v>280.2675</v>
      </c>
      <c r="D344" t="inlineStr">
        <is>
          <t>€/MWh</t>
        </is>
      </c>
      <c r="E344" s="54" t="n">
        <v>0.280268</v>
      </c>
      <c r="F344" s="54" t="n">
        <v>0.309836</v>
      </c>
      <c r="G344" t="inlineStr">
        <is>
          <t>calculado</t>
        </is>
      </c>
      <c r="H344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344" t="inlineStr">
        <is>
          <t>2022-05-05</t>
        </is>
      </c>
      <c r="K344" t="inlineStr">
        <is>
          <t>ESIOS 1001 geo 8741</t>
        </is>
      </c>
      <c r="L344" t="inlineStr">
        <is>
          <t>24 valores; mín 222.88, máx 352.23 €/MWh</t>
        </is>
      </c>
    </row>
    <row r="345">
      <c r="A345" s="53" t="n">
        <v>44688</v>
      </c>
      <c r="B345" t="inlineStr">
        <is>
          <t>2022-05-07</t>
        </is>
      </c>
      <c r="C345" s="45" t="n">
        <v>232.0883</v>
      </c>
      <c r="D345" t="inlineStr">
        <is>
          <t>€/MWh</t>
        </is>
      </c>
      <c r="E345" s="54" t="n">
        <v>0.232088</v>
      </c>
      <c r="F345" s="54" t="n">
        <v>0.256574</v>
      </c>
      <c r="G345" t="inlineStr">
        <is>
          <t>calculado</t>
        </is>
      </c>
      <c r="H345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345" t="inlineStr">
        <is>
          <t>2022-05-06</t>
        </is>
      </c>
      <c r="K345" t="inlineStr">
        <is>
          <t>ESIOS 1001 geo 8741</t>
        </is>
      </c>
      <c r="L345" t="inlineStr">
        <is>
          <t>24 valores; mín 183.69, máx 278.60 €/MWh</t>
        </is>
      </c>
    </row>
    <row r="346">
      <c r="A346" s="53" t="n">
        <v>44689</v>
      </c>
      <c r="B346" t="inlineStr">
        <is>
          <t>2022-05-08</t>
        </is>
      </c>
      <c r="C346" s="45" t="n">
        <v>222.2967</v>
      </c>
      <c r="D346" t="inlineStr">
        <is>
          <t>€/MWh</t>
        </is>
      </c>
      <c r="E346" s="54" t="n">
        <v>0.222297</v>
      </c>
      <c r="F346" s="54" t="n">
        <v>0.245749</v>
      </c>
      <c r="G346" t="inlineStr">
        <is>
          <t>calculado</t>
        </is>
      </c>
      <c r="H346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346" t="inlineStr">
        <is>
          <t>2022-05-07</t>
        </is>
      </c>
      <c r="K346" t="inlineStr">
        <is>
          <t>ESIOS 1001 geo 8741</t>
        </is>
      </c>
      <c r="L346" t="inlineStr">
        <is>
          <t>24 valores; mín 130.75, máx 287.47 €/MWh</t>
        </is>
      </c>
    </row>
    <row r="347">
      <c r="A347" s="53" t="n">
        <v>44690</v>
      </c>
      <c r="B347" t="inlineStr">
        <is>
          <t>2022-05-09</t>
        </is>
      </c>
      <c r="C347" s="45" t="n">
        <v>290.8967</v>
      </c>
      <c r="D347" t="inlineStr">
        <is>
          <t>€/MWh</t>
        </is>
      </c>
      <c r="E347" s="54" t="n">
        <v>0.290897</v>
      </c>
      <c r="F347" s="54" t="n">
        <v>0.321586</v>
      </c>
      <c r="G347" t="inlineStr">
        <is>
          <t>calculado</t>
        </is>
      </c>
      <c r="H347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347" t="inlineStr">
        <is>
          <t>2022-05-08</t>
        </is>
      </c>
      <c r="K347" t="inlineStr">
        <is>
          <t>ESIOS 1001 geo 8741</t>
        </is>
      </c>
      <c r="L347" t="inlineStr">
        <is>
          <t>24 valores; mín 249.27, máx 371.48 €/MWh</t>
        </is>
      </c>
    </row>
    <row r="348">
      <c r="A348" s="53" t="n">
        <v>44691</v>
      </c>
      <c r="B348" t="inlineStr">
        <is>
          <t>2022-05-10</t>
        </is>
      </c>
      <c r="C348" s="45" t="n">
        <v>290.0213</v>
      </c>
      <c r="D348" t="inlineStr">
        <is>
          <t>€/MWh</t>
        </is>
      </c>
      <c r="E348" s="54" t="n">
        <v>0.290021</v>
      </c>
      <c r="F348" s="54" t="n">
        <v>0.320619</v>
      </c>
      <c r="G348" t="inlineStr">
        <is>
          <t>calculado</t>
        </is>
      </c>
      <c r="H348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348" t="inlineStr">
        <is>
          <t>2022-05-09</t>
        </is>
      </c>
      <c r="K348" t="inlineStr">
        <is>
          <t>ESIOS 1001 geo 8741</t>
        </is>
      </c>
      <c r="L348" t="inlineStr">
        <is>
          <t>24 valores; mín 245.85, máx 355.77 €/MWh</t>
        </is>
      </c>
    </row>
    <row r="349">
      <c r="A349" s="53" t="n">
        <v>44692</v>
      </c>
      <c r="B349" t="inlineStr">
        <is>
          <t>2022-05-11</t>
        </is>
      </c>
      <c r="C349" s="45" t="n">
        <v>264.7571</v>
      </c>
      <c r="D349" t="inlineStr">
        <is>
          <t>€/MWh</t>
        </is>
      </c>
      <c r="E349" s="54" t="n">
        <v>0.264757</v>
      </c>
      <c r="F349" s="54" t="n">
        <v>0.292689</v>
      </c>
      <c r="G349" t="inlineStr">
        <is>
          <t>calculado</t>
        </is>
      </c>
      <c r="H349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349" t="inlineStr">
        <is>
          <t>2022-05-10</t>
        </is>
      </c>
      <c r="K349" t="inlineStr">
        <is>
          <t>ESIOS 1001 geo 8741</t>
        </is>
      </c>
      <c r="L349" t="inlineStr">
        <is>
          <t>24 valores; mín 220.92, máx 337.10 €/MWh</t>
        </is>
      </c>
    </row>
    <row r="350">
      <c r="A350" s="53" t="n">
        <v>44693</v>
      </c>
      <c r="B350" t="inlineStr">
        <is>
          <t>2022-05-12</t>
        </is>
      </c>
      <c r="C350" s="45" t="n">
        <v>264.9971</v>
      </c>
      <c r="D350" t="inlineStr">
        <is>
          <t>€/MWh</t>
        </is>
      </c>
      <c r="E350" s="54" t="n">
        <v>0.264997</v>
      </c>
      <c r="F350" s="54" t="n">
        <v>0.292954</v>
      </c>
      <c r="G350" t="inlineStr">
        <is>
          <t>calculado</t>
        </is>
      </c>
      <c r="H350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350" t="inlineStr">
        <is>
          <t>2022-05-11</t>
        </is>
      </c>
      <c r="K350" t="inlineStr">
        <is>
          <t>ESIOS 1001 geo 8741</t>
        </is>
      </c>
      <c r="L350" t="inlineStr">
        <is>
          <t>24 valores; mín 207.94, máx 345.98 €/MWh</t>
        </is>
      </c>
    </row>
    <row r="351">
      <c r="A351" s="53" t="n">
        <v>44694</v>
      </c>
      <c r="B351" t="inlineStr">
        <is>
          <t>2022-05-13</t>
        </is>
      </c>
      <c r="C351" s="45" t="n">
        <v>282.8921</v>
      </c>
      <c r="D351" t="inlineStr">
        <is>
          <t>€/MWh</t>
        </is>
      </c>
      <c r="E351" s="54" t="n">
        <v>0.282892</v>
      </c>
      <c r="F351" s="54" t="n">
        <v>0.312737</v>
      </c>
      <c r="G351" t="inlineStr">
        <is>
          <t>calculado</t>
        </is>
      </c>
      <c r="H351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351" t="inlineStr">
        <is>
          <t>2022-05-12</t>
        </is>
      </c>
      <c r="K351" t="inlineStr">
        <is>
          <t>ESIOS 1001 geo 8741</t>
        </is>
      </c>
      <c r="L351" t="inlineStr">
        <is>
          <t>24 valores; mín 227.72, máx 350.35 €/MWh</t>
        </is>
      </c>
    </row>
    <row r="352">
      <c r="A352" s="53" t="n">
        <v>44695</v>
      </c>
      <c r="B352" t="inlineStr">
        <is>
          <t>2022-05-14</t>
        </is>
      </c>
      <c r="C352" s="45" t="n">
        <v>237.8958</v>
      </c>
      <c r="D352" t="inlineStr">
        <is>
          <t>€/MWh</t>
        </is>
      </c>
      <c r="E352" s="54" t="n">
        <v>0.237896</v>
      </c>
      <c r="F352" s="54" t="n">
        <v>0.262994</v>
      </c>
      <c r="G352" t="inlineStr">
        <is>
          <t>calculado</t>
        </is>
      </c>
      <c r="H352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352" t="inlineStr">
        <is>
          <t>2022-05-13</t>
        </is>
      </c>
      <c r="K352" t="inlineStr">
        <is>
          <t>ESIOS 1001 geo 8741</t>
        </is>
      </c>
      <c r="L352" t="inlineStr">
        <is>
          <t>24 valores; mín 174.02, máx 296.65 €/MWh</t>
        </is>
      </c>
    </row>
    <row r="353">
      <c r="A353" s="53" t="n">
        <v>44696</v>
      </c>
      <c r="B353" t="inlineStr">
        <is>
          <t>2022-05-15</t>
        </is>
      </c>
      <c r="C353" s="45" t="n">
        <v>172.8008</v>
      </c>
      <c r="D353" t="inlineStr">
        <is>
          <t>€/MWh</t>
        </is>
      </c>
      <c r="E353" s="54" t="n">
        <v>0.172801</v>
      </c>
      <c r="F353" s="54" t="n">
        <v>0.191181</v>
      </c>
      <c r="G353" t="inlineStr">
        <is>
          <t>calculado</t>
        </is>
      </c>
      <c r="H353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353" t="inlineStr">
        <is>
          <t>2022-05-14</t>
        </is>
      </c>
      <c r="K353" t="inlineStr">
        <is>
          <t>ESIOS 1001 geo 8741</t>
        </is>
      </c>
      <c r="L353" t="inlineStr">
        <is>
          <t>24 valores; mín 27.12, máx 274.16 €/MWh</t>
        </is>
      </c>
    </row>
    <row r="354">
      <c r="A354" s="53" t="n">
        <v>44697</v>
      </c>
      <c r="B354" t="inlineStr">
        <is>
          <t>2022-05-16</t>
        </is>
      </c>
      <c r="C354" s="45" t="n">
        <v>276.7196</v>
      </c>
      <c r="D354" t="inlineStr">
        <is>
          <t>€/MWh</t>
        </is>
      </c>
      <c r="E354" s="54" t="n">
        <v>0.27672</v>
      </c>
      <c r="F354" s="54" t="n">
        <v>0.305914</v>
      </c>
      <c r="G354" t="inlineStr">
        <is>
          <t>calculado</t>
        </is>
      </c>
      <c r="H354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354" t="inlineStr">
        <is>
          <t>2022-05-15</t>
        </is>
      </c>
      <c r="K354" t="inlineStr">
        <is>
          <t>ESIOS 1001 geo 8741</t>
        </is>
      </c>
      <c r="L354" t="inlineStr">
        <is>
          <t>24 valores; mín 222.83, máx 367.27 €/MWh</t>
        </is>
      </c>
    </row>
    <row r="355">
      <c r="A355" s="53" t="n">
        <v>44698</v>
      </c>
      <c r="B355" t="inlineStr">
        <is>
          <t>2022-05-17</t>
        </is>
      </c>
      <c r="C355" s="45" t="n">
        <v>279.7804</v>
      </c>
      <c r="D355" t="inlineStr">
        <is>
          <t>€/MWh</t>
        </is>
      </c>
      <c r="E355" s="54" t="n">
        <v>0.27978</v>
      </c>
      <c r="F355" s="54" t="n">
        <v>0.309297</v>
      </c>
      <c r="G355" t="inlineStr">
        <is>
          <t>calculado</t>
        </is>
      </c>
      <c r="H355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355" t="inlineStr">
        <is>
          <t>2022-05-16</t>
        </is>
      </c>
      <c r="K355" t="inlineStr">
        <is>
          <t>ESIOS 1001 geo 8741</t>
        </is>
      </c>
      <c r="L355" t="inlineStr">
        <is>
          <t>24 valores; mín 224.86, máx 389.16 €/MWh</t>
        </is>
      </c>
    </row>
    <row r="356">
      <c r="A356" s="53" t="n">
        <v>44699</v>
      </c>
      <c r="B356" t="inlineStr">
        <is>
          <t>2022-05-18</t>
        </is>
      </c>
      <c r="C356" s="45" t="n">
        <v>274.4446</v>
      </c>
      <c r="D356" t="inlineStr">
        <is>
          <t>€/MWh</t>
        </is>
      </c>
      <c r="E356" s="54" t="n">
        <v>0.274445</v>
      </c>
      <c r="F356" s="54" t="n">
        <v>0.303399</v>
      </c>
      <c r="G356" t="inlineStr">
        <is>
          <t>calculado</t>
        </is>
      </c>
      <c r="H356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356" t="inlineStr">
        <is>
          <t>2022-05-17</t>
        </is>
      </c>
      <c r="K356" t="inlineStr">
        <is>
          <t>ESIOS 1001 geo 8741</t>
        </is>
      </c>
      <c r="L356" t="inlineStr">
        <is>
          <t>24 valores; mín 222.17, máx 356.99 €/MWh</t>
        </is>
      </c>
    </row>
    <row r="357">
      <c r="A357" s="53" t="n">
        <v>44700</v>
      </c>
      <c r="B357" t="inlineStr">
        <is>
          <t>2022-05-19</t>
        </is>
      </c>
      <c r="C357" s="45" t="n">
        <v>270.2025</v>
      </c>
      <c r="D357" t="inlineStr">
        <is>
          <t>€/MWh</t>
        </is>
      </c>
      <c r="E357" s="54" t="n">
        <v>0.270203</v>
      </c>
      <c r="F357" s="54" t="n">
        <v>0.298709</v>
      </c>
      <c r="G357" t="inlineStr">
        <is>
          <t>calculado</t>
        </is>
      </c>
      <c r="H357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357" t="inlineStr">
        <is>
          <t>2022-05-18</t>
        </is>
      </c>
      <c r="K357" t="inlineStr">
        <is>
          <t>ESIOS 1001 geo 8741</t>
        </is>
      </c>
      <c r="L357" t="inlineStr">
        <is>
          <t>24 valores; mín 222.39, máx 357.48 €/MWh</t>
        </is>
      </c>
    </row>
    <row r="358">
      <c r="A358" s="53" t="n">
        <v>44701</v>
      </c>
      <c r="B358" t="inlineStr">
        <is>
          <t>2022-05-20</t>
        </is>
      </c>
      <c r="C358" s="45" t="n">
        <v>284</v>
      </c>
      <c r="D358" t="inlineStr">
        <is>
          <t>€/MWh</t>
        </is>
      </c>
      <c r="E358" s="54" t="n">
        <v>0.284</v>
      </c>
      <c r="F358" s="54" t="n">
        <v>0.313962</v>
      </c>
      <c r="G358" t="inlineStr">
        <is>
          <t>calculado</t>
        </is>
      </c>
      <c r="H358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358" t="inlineStr">
        <is>
          <t>2022-05-19</t>
        </is>
      </c>
      <c r="K358" t="inlineStr">
        <is>
          <t>ESIOS 1001 geo 8741</t>
        </is>
      </c>
      <c r="L358" t="inlineStr">
        <is>
          <t>24 valores; mín 237.61, máx 351.58 €/MWh</t>
        </is>
      </c>
    </row>
    <row r="359">
      <c r="A359" s="53" t="n">
        <v>44702</v>
      </c>
      <c r="B359" t="inlineStr">
        <is>
          <t>2022-05-21</t>
        </is>
      </c>
      <c r="C359" s="45" t="n">
        <v>223.8254</v>
      </c>
      <c r="D359" t="inlineStr">
        <is>
          <t>€/MWh</t>
        </is>
      </c>
      <c r="E359" s="54" t="n">
        <v>0.223825</v>
      </c>
      <c r="F359" s="54" t="n">
        <v>0.247439</v>
      </c>
      <c r="G359" t="inlineStr">
        <is>
          <t>calculado</t>
        </is>
      </c>
      <c r="H359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359" t="inlineStr">
        <is>
          <t>2022-05-20</t>
        </is>
      </c>
      <c r="K359" t="inlineStr">
        <is>
          <t>ESIOS 1001 geo 8741</t>
        </is>
      </c>
      <c r="L359" t="inlineStr">
        <is>
          <t>24 valores; mín 203.02, máx 278.79 €/MWh</t>
        </is>
      </c>
    </row>
    <row r="360">
      <c r="A360" s="53" t="n">
        <v>44703</v>
      </c>
      <c r="B360" t="inlineStr">
        <is>
          <t>2022-05-22</t>
        </is>
      </c>
      <c r="C360" s="45" t="n">
        <v>218.4592</v>
      </c>
      <c r="D360" t="inlineStr">
        <is>
          <t>€/MWh</t>
        </is>
      </c>
      <c r="E360" s="54" t="n">
        <v>0.218459</v>
      </c>
      <c r="F360" s="54" t="n">
        <v>0.241507</v>
      </c>
      <c r="G360" t="inlineStr">
        <is>
          <t>calculado</t>
        </is>
      </c>
      <c r="H360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360" t="inlineStr">
        <is>
          <t>2022-05-21</t>
        </is>
      </c>
      <c r="K360" t="inlineStr">
        <is>
          <t>ESIOS 1001 geo 8741</t>
        </is>
      </c>
      <c r="L360" t="inlineStr">
        <is>
          <t>24 valores; mín 132.98, máx 277.65 €/MWh</t>
        </is>
      </c>
    </row>
    <row r="361">
      <c r="A361" s="53" t="n">
        <v>44704</v>
      </c>
      <c r="B361" t="inlineStr">
        <is>
          <t>2022-05-23</t>
        </is>
      </c>
      <c r="C361" s="45" t="n">
        <v>275.4654</v>
      </c>
      <c r="D361" t="inlineStr">
        <is>
          <t>€/MWh</t>
        </is>
      </c>
      <c r="E361" s="54" t="n">
        <v>0.275465</v>
      </c>
      <c r="F361" s="54" t="n">
        <v>0.304527</v>
      </c>
      <c r="G361" t="inlineStr">
        <is>
          <t>calculado</t>
        </is>
      </c>
      <c r="H361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361" t="inlineStr">
        <is>
          <t>2022-05-22</t>
        </is>
      </c>
      <c r="K361" t="inlineStr">
        <is>
          <t>ESIOS 1001 geo 8741</t>
        </is>
      </c>
      <c r="L361" t="inlineStr">
        <is>
          <t>24 valores; mín 223.10, máx 335.90 €/MWh</t>
        </is>
      </c>
    </row>
    <row r="362">
      <c r="A362" s="53" t="n">
        <v>44705</v>
      </c>
      <c r="B362" t="inlineStr">
        <is>
          <t>2022-05-24</t>
        </is>
      </c>
      <c r="C362" s="45" t="n">
        <v>263.4733</v>
      </c>
      <c r="D362" t="inlineStr">
        <is>
          <t>€/MWh</t>
        </is>
      </c>
      <c r="E362" s="54" t="n">
        <v>0.263473</v>
      </c>
      <c r="F362" s="54" t="n">
        <v>0.29127</v>
      </c>
      <c r="G362" t="inlineStr">
        <is>
          <t>calculado</t>
        </is>
      </c>
      <c r="H362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362" t="inlineStr">
        <is>
          <t>2022-05-23</t>
        </is>
      </c>
      <c r="K362" t="inlineStr">
        <is>
          <t>ESIOS 1001 geo 8741</t>
        </is>
      </c>
      <c r="L362" t="inlineStr">
        <is>
          <t>24 valores; mín 214.91, máx 341.77 €/MWh</t>
        </is>
      </c>
    </row>
    <row r="363">
      <c r="A363" s="53" t="n">
        <v>44706</v>
      </c>
      <c r="B363" t="inlineStr">
        <is>
          <t>2022-05-25</t>
        </is>
      </c>
      <c r="C363" s="45" t="n">
        <v>276.0646</v>
      </c>
      <c r="D363" t="inlineStr">
        <is>
          <t>€/MWh</t>
        </is>
      </c>
      <c r="E363" s="54" t="n">
        <v>0.276065</v>
      </c>
      <c r="F363" s="54" t="n">
        <v>0.305189</v>
      </c>
      <c r="G363" t="inlineStr">
        <is>
          <t>calculado</t>
        </is>
      </c>
      <c r="H363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363" t="inlineStr">
        <is>
          <t>2022-05-24</t>
        </is>
      </c>
      <c r="K363" t="inlineStr">
        <is>
          <t>ESIOS 1001 geo 8741</t>
        </is>
      </c>
      <c r="L363" t="inlineStr">
        <is>
          <t>24 valores; mín 232.82, máx 342.12 €/MWh</t>
        </is>
      </c>
    </row>
    <row r="364">
      <c r="A364" s="53" t="n">
        <v>44707</v>
      </c>
      <c r="B364" t="inlineStr">
        <is>
          <t>2022-05-26</t>
        </is>
      </c>
      <c r="C364" s="45" t="n">
        <v>259.7358</v>
      </c>
      <c r="D364" t="inlineStr">
        <is>
          <t>€/MWh</t>
        </is>
      </c>
      <c r="E364" s="54" t="n">
        <v>0.259736</v>
      </c>
      <c r="F364" s="54" t="n">
        <v>0.287138</v>
      </c>
      <c r="G364" t="inlineStr">
        <is>
          <t>calculado</t>
        </is>
      </c>
      <c r="H364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364" t="inlineStr">
        <is>
          <t>2022-05-25</t>
        </is>
      </c>
      <c r="K364" t="inlineStr">
        <is>
          <t>ESIOS 1001 geo 8741</t>
        </is>
      </c>
      <c r="L364" t="inlineStr">
        <is>
          <t>24 valores; mín 209.90, máx 342.04 €/MWh</t>
        </is>
      </c>
    </row>
    <row r="365">
      <c r="A365" s="53" t="n">
        <v>44708</v>
      </c>
      <c r="B365" t="inlineStr">
        <is>
          <t>2022-05-27</t>
        </is>
      </c>
      <c r="C365" s="45" t="n">
        <v>252.7808</v>
      </c>
      <c r="D365" t="inlineStr">
        <is>
          <t>€/MWh</t>
        </is>
      </c>
      <c r="E365" s="54" t="n">
        <v>0.252781</v>
      </c>
      <c r="F365" s="54" t="n">
        <v>0.279449</v>
      </c>
      <c r="G365" t="inlineStr">
        <is>
          <t>calculado</t>
        </is>
      </c>
      <c r="H365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365" t="inlineStr">
        <is>
          <t>2022-05-26</t>
        </is>
      </c>
      <c r="K365" t="inlineStr">
        <is>
          <t>ESIOS 1001 geo 8741</t>
        </is>
      </c>
      <c r="L365" t="inlineStr">
        <is>
          <t>24 valores; mín 202.11, máx 341.62 €/MWh</t>
        </is>
      </c>
    </row>
    <row r="366">
      <c r="A366" s="53" t="n">
        <v>44709</v>
      </c>
      <c r="B366" t="inlineStr">
        <is>
          <t>2022-05-28</t>
        </is>
      </c>
      <c r="C366" s="45" t="n">
        <v>223.9392</v>
      </c>
      <c r="D366" t="inlineStr">
        <is>
          <t>€/MWh</t>
        </is>
      </c>
      <c r="E366" s="54" t="n">
        <v>0.223939</v>
      </c>
      <c r="F366" s="54" t="n">
        <v>0.247565</v>
      </c>
      <c r="G366" t="inlineStr">
        <is>
          <t>calculado</t>
        </is>
      </c>
      <c r="H366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366" t="inlineStr">
        <is>
          <t>2022-05-27</t>
        </is>
      </c>
      <c r="K366" t="inlineStr">
        <is>
          <t>ESIOS 1001 geo 8741</t>
        </is>
      </c>
      <c r="L366" t="inlineStr">
        <is>
          <t>24 valores; mín 195.89, máx 285.41 €/MWh</t>
        </is>
      </c>
    </row>
    <row r="367">
      <c r="A367" s="53" t="n">
        <v>44710</v>
      </c>
      <c r="B367" t="inlineStr">
        <is>
          <t>2022-05-29</t>
        </is>
      </c>
      <c r="C367" s="45" t="n">
        <v>216.6763</v>
      </c>
      <c r="D367" t="inlineStr">
        <is>
          <t>€/MWh</t>
        </is>
      </c>
      <c r="E367" s="54" t="n">
        <v>0.216676</v>
      </c>
      <c r="F367" s="54" t="n">
        <v>0.239536</v>
      </c>
      <c r="G367" t="inlineStr">
        <is>
          <t>calculado</t>
        </is>
      </c>
      <c r="H367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367" t="inlineStr">
        <is>
          <t>2022-05-28</t>
        </is>
      </c>
      <c r="K367" t="inlineStr">
        <is>
          <t>ESIOS 1001 geo 8741</t>
        </is>
      </c>
      <c r="L367" t="inlineStr">
        <is>
          <t>24 valores; mín 167.15, máx 280.13 €/MWh</t>
        </is>
      </c>
    </row>
    <row r="368">
      <c r="A368" s="53" t="n">
        <v>44711</v>
      </c>
      <c r="B368" t="inlineStr">
        <is>
          <t>2022-05-30</t>
        </is>
      </c>
      <c r="C368" s="45" t="n">
        <v>290.6262</v>
      </c>
      <c r="D368" t="inlineStr">
        <is>
          <t>€/MWh</t>
        </is>
      </c>
      <c r="E368" s="54" t="n">
        <v>0.290626</v>
      </c>
      <c r="F368" s="54" t="n">
        <v>0.321287</v>
      </c>
      <c r="G368" t="inlineStr">
        <is>
          <t>calculado</t>
        </is>
      </c>
      <c r="H368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368" t="inlineStr">
        <is>
          <t>2022-05-29</t>
        </is>
      </c>
      <c r="K368" t="inlineStr">
        <is>
          <t>ESIOS 1001 geo 8741</t>
        </is>
      </c>
      <c r="L368" t="inlineStr">
        <is>
          <t>24 valores; mín 239.82, máx 374.34 €/MWh</t>
        </is>
      </c>
    </row>
    <row r="369">
      <c r="A369" s="53" t="n">
        <v>44712</v>
      </c>
      <c r="B369" t="inlineStr">
        <is>
          <t>2022-05-31</t>
        </is>
      </c>
      <c r="C369" s="45" t="n">
        <v>297.6863</v>
      </c>
      <c r="D369" t="inlineStr">
        <is>
          <t>€/MWh</t>
        </is>
      </c>
      <c r="E369" s="54" t="n">
        <v>0.297686</v>
      </c>
      <c r="F369" s="54" t="n">
        <v>0.329092</v>
      </c>
      <c r="G369" t="inlineStr">
        <is>
          <t>calculado</t>
        </is>
      </c>
      <c r="H369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369" t="inlineStr">
        <is>
          <t>2022-05-30</t>
        </is>
      </c>
      <c r="K369" t="inlineStr">
        <is>
          <t>ESIOS 1001 geo 8741</t>
        </is>
      </c>
      <c r="L369" t="inlineStr">
        <is>
          <t>24 valores; mín 252.49, máx 371.49 €/MWh</t>
        </is>
      </c>
    </row>
    <row r="370">
      <c r="A370" s="53" t="n">
        <v>44713</v>
      </c>
      <c r="B370" t="inlineStr">
        <is>
          <t>2022-06-01</t>
        </is>
      </c>
      <c r="C370" s="45" t="n">
        <v>289.8288</v>
      </c>
      <c r="D370" t="inlineStr">
        <is>
          <t>€/MWh</t>
        </is>
      </c>
      <c r="E370" s="54" t="n">
        <v>0.289829</v>
      </c>
      <c r="F370" s="54" t="n">
        <v>0.320406</v>
      </c>
      <c r="G370" t="inlineStr">
        <is>
          <t>calculado</t>
        </is>
      </c>
      <c r="H370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370" t="inlineStr">
        <is>
          <t>2022-05-31</t>
        </is>
      </c>
      <c r="K370" t="inlineStr">
        <is>
          <t>ESIOS 1001 geo 8741</t>
        </is>
      </c>
      <c r="L370" t="inlineStr">
        <is>
          <t>24 valores; mín 235.87, máx 390.76 €/MWh</t>
        </is>
      </c>
    </row>
    <row r="371">
      <c r="A371" s="53" t="n">
        <v>44714</v>
      </c>
      <c r="B371" t="inlineStr">
        <is>
          <t>2022-06-02</t>
        </is>
      </c>
      <c r="C371" s="45" t="n">
        <v>294.9779</v>
      </c>
      <c r="D371" t="inlineStr">
        <is>
          <t>€/MWh</t>
        </is>
      </c>
      <c r="E371" s="54" t="n">
        <v>0.294978</v>
      </c>
      <c r="F371" s="54" t="n">
        <v>0.326098</v>
      </c>
      <c r="G371" t="inlineStr">
        <is>
          <t>calculado</t>
        </is>
      </c>
      <c r="H371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371" t="inlineStr">
        <is>
          <t>2022-06-01</t>
        </is>
      </c>
      <c r="K371" t="inlineStr">
        <is>
          <t>ESIOS 1001 geo 8741</t>
        </is>
      </c>
      <c r="L371" t="inlineStr">
        <is>
          <t>24 valores; mín 235.62, máx 385.32 €/MWh</t>
        </is>
      </c>
    </row>
    <row r="372">
      <c r="A372" s="53" t="n">
        <v>44715</v>
      </c>
      <c r="B372" t="inlineStr">
        <is>
          <t>2022-06-03</t>
        </is>
      </c>
      <c r="C372" s="45" t="n">
        <v>295.1871</v>
      </c>
      <c r="D372" t="inlineStr">
        <is>
          <t>€/MWh</t>
        </is>
      </c>
      <c r="E372" s="54" t="n">
        <v>0.295187</v>
      </c>
      <c r="F372" s="54" t="n">
        <v>0.326329</v>
      </c>
      <c r="G372" t="inlineStr">
        <is>
          <t>calculado</t>
        </is>
      </c>
      <c r="H372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372" t="inlineStr">
        <is>
          <t>2022-06-02</t>
        </is>
      </c>
      <c r="K372" t="inlineStr">
        <is>
          <t>ESIOS 1001 geo 8741</t>
        </is>
      </c>
      <c r="L372" t="inlineStr">
        <is>
          <t>24 valores; mín 235.42, máx 362.97 €/MWh</t>
        </is>
      </c>
    </row>
    <row r="373">
      <c r="A373" s="53" t="n">
        <v>44716</v>
      </c>
      <c r="B373" t="inlineStr">
        <is>
          <t>2022-06-04</t>
        </is>
      </c>
      <c r="C373" s="45" t="n">
        <v>253.4037</v>
      </c>
      <c r="D373" t="inlineStr">
        <is>
          <t>€/MWh</t>
        </is>
      </c>
      <c r="E373" s="54" t="n">
        <v>0.253404</v>
      </c>
      <c r="F373" s="54" t="n">
        <v>0.280138</v>
      </c>
      <c r="G373" t="inlineStr">
        <is>
          <t>calculado</t>
        </is>
      </c>
      <c r="H373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373" t="inlineStr">
        <is>
          <t>2022-06-03</t>
        </is>
      </c>
      <c r="K373" t="inlineStr">
        <is>
          <t>ESIOS 1001 geo 8741</t>
        </is>
      </c>
      <c r="L373" t="inlineStr">
        <is>
          <t>24 valores; mín 198.46, máx 303.88 €/MWh</t>
        </is>
      </c>
    </row>
    <row r="374">
      <c r="A374" s="53" t="n">
        <v>44717</v>
      </c>
      <c r="B374" t="inlineStr">
        <is>
          <t>2022-06-05</t>
        </is>
      </c>
      <c r="C374" s="45" t="n">
        <v>244.875</v>
      </c>
      <c r="D374" t="inlineStr">
        <is>
          <t>€/MWh</t>
        </is>
      </c>
      <c r="E374" s="54" t="n">
        <v>0.244875</v>
      </c>
      <c r="F374" s="54" t="n">
        <v>0.270709</v>
      </c>
      <c r="G374" t="inlineStr">
        <is>
          <t>calculado</t>
        </is>
      </c>
      <c r="H374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374" t="inlineStr">
        <is>
          <t>2022-06-04</t>
        </is>
      </c>
      <c r="K374" t="inlineStr">
        <is>
          <t>ESIOS 1001 geo 8741</t>
        </is>
      </c>
      <c r="L374" t="inlineStr">
        <is>
          <t>24 valores; mín 200.32, máx 299.76 €/MWh</t>
        </is>
      </c>
    </row>
    <row r="375">
      <c r="A375" s="53" t="n">
        <v>44718</v>
      </c>
      <c r="B375" t="inlineStr">
        <is>
          <t>2022-06-06</t>
        </is>
      </c>
      <c r="C375" s="45" t="n">
        <v>274.5108</v>
      </c>
      <c r="D375" t="inlineStr">
        <is>
          <t>€/MWh</t>
        </is>
      </c>
      <c r="E375" s="54" t="n">
        <v>0.274511</v>
      </c>
      <c r="F375" s="54" t="n">
        <v>0.303472</v>
      </c>
      <c r="G375" t="inlineStr">
        <is>
          <t>calculado</t>
        </is>
      </c>
      <c r="H375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375" t="inlineStr">
        <is>
          <t>2022-06-05</t>
        </is>
      </c>
      <c r="K375" t="inlineStr">
        <is>
          <t>ESIOS 1001 geo 8741</t>
        </is>
      </c>
      <c r="L375" t="inlineStr">
        <is>
          <t>24 valores; mín 234.45, máx 362.90 €/MWh</t>
        </is>
      </c>
    </row>
    <row r="376">
      <c r="A376" s="53" t="n">
        <v>44719</v>
      </c>
      <c r="B376" t="inlineStr">
        <is>
          <t>2022-06-07</t>
        </is>
      </c>
      <c r="C376" s="45" t="n">
        <v>267.6883</v>
      </c>
      <c r="D376" t="inlineStr">
        <is>
          <t>€/MWh</t>
        </is>
      </c>
      <c r="E376" s="54" t="n">
        <v>0.267688</v>
      </c>
      <c r="F376" s="54" t="n">
        <v>0.295929</v>
      </c>
      <c r="G376" t="inlineStr">
        <is>
          <t>calculado</t>
        </is>
      </c>
      <c r="H376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376" t="inlineStr">
        <is>
          <t>2022-06-06</t>
        </is>
      </c>
      <c r="K376" t="inlineStr">
        <is>
          <t>ESIOS 1001 geo 8741</t>
        </is>
      </c>
      <c r="L376" t="inlineStr">
        <is>
          <t>24 valores; mín 213.23, máx 350.06 €/MWh</t>
        </is>
      </c>
    </row>
    <row r="377">
      <c r="A377" s="53" t="n">
        <v>44720</v>
      </c>
      <c r="B377" t="inlineStr">
        <is>
          <t>2022-06-08</t>
        </is>
      </c>
      <c r="C377" s="45" t="n">
        <v>259.3063</v>
      </c>
      <c r="D377" t="inlineStr">
        <is>
          <t>€/MWh</t>
        </is>
      </c>
      <c r="E377" s="54" t="n">
        <v>0.259306</v>
      </c>
      <c r="F377" s="54" t="n">
        <v>0.286663</v>
      </c>
      <c r="G377" t="inlineStr">
        <is>
          <t>calculado</t>
        </is>
      </c>
      <c r="H377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377" t="inlineStr">
        <is>
          <t>2022-06-07</t>
        </is>
      </c>
      <c r="K377" t="inlineStr">
        <is>
          <t>ESIOS 1001 geo 8741</t>
        </is>
      </c>
      <c r="L377" t="inlineStr">
        <is>
          <t>24 valores; mín 212.45, máx 332.12 €/MWh</t>
        </is>
      </c>
    </row>
    <row r="378">
      <c r="A378" s="53" t="n">
        <v>44721</v>
      </c>
      <c r="B378" t="inlineStr">
        <is>
          <t>2022-06-09</t>
        </is>
      </c>
      <c r="C378" s="45" t="n">
        <v>255.9921</v>
      </c>
      <c r="D378" t="inlineStr">
        <is>
          <t>€/MWh</t>
        </is>
      </c>
      <c r="E378" s="54" t="n">
        <v>0.255992</v>
      </c>
      <c r="F378" s="54" t="n">
        <v>0.282999</v>
      </c>
      <c r="G378" t="inlineStr">
        <is>
          <t>calculado</t>
        </is>
      </c>
      <c r="H378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378" t="inlineStr">
        <is>
          <t>2022-06-08</t>
        </is>
      </c>
      <c r="K378" t="inlineStr">
        <is>
          <t>ESIOS 1001 geo 8741</t>
        </is>
      </c>
      <c r="L378" t="inlineStr">
        <is>
          <t>24 valores; mín 204.68, máx 329.26 €/MWh</t>
        </is>
      </c>
    </row>
    <row r="379">
      <c r="A379" s="53" t="n">
        <v>44722</v>
      </c>
      <c r="B379" t="inlineStr">
        <is>
          <t>2022-06-10</t>
        </is>
      </c>
      <c r="C379" s="45" t="n">
        <v>271.9421</v>
      </c>
      <c r="D379" t="inlineStr">
        <is>
          <t>€/MWh</t>
        </is>
      </c>
      <c r="E379" s="54" t="n">
        <v>0.271942</v>
      </c>
      <c r="F379" s="54" t="n">
        <v>0.300632</v>
      </c>
      <c r="G379" t="inlineStr">
        <is>
          <t>calculado</t>
        </is>
      </c>
      <c r="H379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379" t="inlineStr">
        <is>
          <t>2022-06-09</t>
        </is>
      </c>
      <c r="K379" t="inlineStr">
        <is>
          <t>ESIOS 1001 geo 8741</t>
        </is>
      </c>
      <c r="L379" t="inlineStr">
        <is>
          <t>24 valores; mín 215.84, máx 342.67 €/MWh</t>
        </is>
      </c>
    </row>
    <row r="380">
      <c r="A380" s="53" t="n">
        <v>44723</v>
      </c>
      <c r="B380" t="inlineStr">
        <is>
          <t>2022-06-11</t>
        </is>
      </c>
      <c r="C380" s="45" t="n">
        <v>237.47</v>
      </c>
      <c r="D380" t="inlineStr">
        <is>
          <t>€/MWh</t>
        </is>
      </c>
      <c r="E380" s="54" t="n">
        <v>0.23747</v>
      </c>
      <c r="F380" s="54" t="n">
        <v>0.262523</v>
      </c>
      <c r="G380" t="inlineStr">
        <is>
          <t>calculado</t>
        </is>
      </c>
      <c r="H380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380" t="inlineStr">
        <is>
          <t>2022-06-10</t>
        </is>
      </c>
      <c r="K380" t="inlineStr">
        <is>
          <t>ESIOS 1001 geo 8741</t>
        </is>
      </c>
      <c r="L380" t="inlineStr">
        <is>
          <t>24 valores; mín 204.20, máx 286.06 €/MWh</t>
        </is>
      </c>
    </row>
    <row r="381">
      <c r="A381" s="53" t="n">
        <v>44724</v>
      </c>
      <c r="B381" t="inlineStr">
        <is>
          <t>2022-06-12</t>
        </is>
      </c>
      <c r="C381" s="45" t="n">
        <v>215.6996</v>
      </c>
      <c r="D381" t="inlineStr">
        <is>
          <t>€/MWh</t>
        </is>
      </c>
      <c r="E381" s="54" t="n">
        <v>0.2157</v>
      </c>
      <c r="F381" s="54" t="n">
        <v>0.238456</v>
      </c>
      <c r="G381" t="inlineStr">
        <is>
          <t>calculado</t>
        </is>
      </c>
      <c r="H381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381" t="inlineStr">
        <is>
          <t>2022-06-11</t>
        </is>
      </c>
      <c r="K381" t="inlineStr">
        <is>
          <t>ESIOS 1001 geo 8741</t>
        </is>
      </c>
      <c r="L381" t="inlineStr">
        <is>
          <t>24 valores; mín 101.33, máx 276.94 €/MWh</t>
        </is>
      </c>
    </row>
    <row r="382">
      <c r="A382" s="53" t="n">
        <v>44725</v>
      </c>
      <c r="B382" t="inlineStr">
        <is>
          <t>2022-06-13</t>
        </is>
      </c>
      <c r="C382" s="45" t="n">
        <v>279.3775</v>
      </c>
      <c r="D382" t="inlineStr">
        <is>
          <t>€/MWh</t>
        </is>
      </c>
      <c r="E382" s="54" t="n">
        <v>0.279378</v>
      </c>
      <c r="F382" s="54" t="n">
        <v>0.308852</v>
      </c>
      <c r="G382" t="inlineStr">
        <is>
          <t>calculado</t>
        </is>
      </c>
      <c r="H382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382" t="inlineStr">
        <is>
          <t>2022-06-12</t>
        </is>
      </c>
      <c r="K382" t="inlineStr">
        <is>
          <t>ESIOS 1001 geo 8741</t>
        </is>
      </c>
      <c r="L382" t="inlineStr">
        <is>
          <t>24 valores; mín 208.15, máx 363.15 €/MWh</t>
        </is>
      </c>
    </row>
    <row r="383">
      <c r="A383" s="53" t="n">
        <v>44726</v>
      </c>
      <c r="B383" t="inlineStr">
        <is>
          <t>2022-06-14</t>
        </is>
      </c>
      <c r="C383" s="45" t="n">
        <v>291.5729</v>
      </c>
      <c r="D383" t="inlineStr">
        <is>
          <t>€/MWh</t>
        </is>
      </c>
      <c r="E383" s="54" t="n">
        <v>0.291573</v>
      </c>
      <c r="F383" s="54" t="n">
        <v>0.322334</v>
      </c>
      <c r="G383" t="inlineStr">
        <is>
          <t>calculado</t>
        </is>
      </c>
      <c r="H383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383" t="inlineStr">
        <is>
          <t>2022-06-13</t>
        </is>
      </c>
      <c r="K383" t="inlineStr">
        <is>
          <t>ESIOS 1001 geo 8741</t>
        </is>
      </c>
      <c r="L383" t="inlineStr">
        <is>
          <t>24 valores; mín 244.74, máx 366.25 €/MWh</t>
        </is>
      </c>
    </row>
    <row r="384">
      <c r="A384" s="53" t="n">
        <v>44727</v>
      </c>
      <c r="B384" t="inlineStr">
        <is>
          <t>2022-06-15</t>
        </is>
      </c>
      <c r="C384" s="45" t="n">
        <v>306.5896</v>
      </c>
      <c r="D384" t="inlineStr">
        <is>
          <t>€/MWh</t>
        </is>
      </c>
      <c r="E384" s="54" t="n">
        <v>0.30659</v>
      </c>
      <c r="F384" s="54" t="n">
        <v>0.338935</v>
      </c>
      <c r="G384" t="inlineStr">
        <is>
          <t>calculado</t>
        </is>
      </c>
      <c r="H384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384" t="inlineStr">
        <is>
          <t>2022-06-14</t>
        </is>
      </c>
      <c r="K384" t="inlineStr">
        <is>
          <t>ESIOS 1001 geo 8741</t>
        </is>
      </c>
      <c r="L384" t="inlineStr">
        <is>
          <t>24 valores; mín 257.79, máx 358.24 €/MWh</t>
        </is>
      </c>
    </row>
    <row r="385">
      <c r="A385" s="53" t="n">
        <v>44728</v>
      </c>
      <c r="B385" t="inlineStr">
        <is>
          <t>2022-06-16</t>
        </is>
      </c>
      <c r="C385" s="45" t="n">
        <v>349.9004</v>
      </c>
      <c r="D385" t="inlineStr">
        <is>
          <t>€/MWh</t>
        </is>
      </c>
      <c r="E385" s="54" t="n">
        <v>0.3499</v>
      </c>
      <c r="F385" s="54" t="n">
        <v>0.386815</v>
      </c>
      <c r="G385" t="inlineStr">
        <is>
          <t>calculado</t>
        </is>
      </c>
      <c r="H385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385" t="inlineStr">
        <is>
          <t>2022-06-15</t>
        </is>
      </c>
      <c r="K385" t="inlineStr">
        <is>
          <t>ESIOS 1001 geo 8741</t>
        </is>
      </c>
      <c r="L385" t="inlineStr">
        <is>
          <t>24 valores; mín 294.85, máx 428.98 €/MWh</t>
        </is>
      </c>
    </row>
    <row r="386">
      <c r="A386" s="53" t="n">
        <v>44729</v>
      </c>
      <c r="B386" t="inlineStr">
        <is>
          <t>2022-06-17</t>
        </is>
      </c>
      <c r="C386" s="45" t="n">
        <v>356.9767</v>
      </c>
      <c r="D386" t="inlineStr">
        <is>
          <t>€/MWh</t>
        </is>
      </c>
      <c r="E386" s="54" t="n">
        <v>0.356977</v>
      </c>
      <c r="F386" s="54" t="n">
        <v>0.394638</v>
      </c>
      <c r="G386" t="inlineStr">
        <is>
          <t>calculado</t>
        </is>
      </c>
      <c r="H386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386" t="inlineStr">
        <is>
          <t>2022-06-16</t>
        </is>
      </c>
      <c r="K386" t="inlineStr">
        <is>
          <t>ESIOS 1001 geo 8741</t>
        </is>
      </c>
      <c r="L386" t="inlineStr">
        <is>
          <t>24 valores; mín 295.38, máx 423.98 €/MWh</t>
        </is>
      </c>
    </row>
    <row r="387">
      <c r="A387" s="53" t="n">
        <v>44730</v>
      </c>
      <c r="B387" t="inlineStr">
        <is>
          <t>2022-06-18</t>
        </is>
      </c>
      <c r="C387" s="45" t="n">
        <v>264.4971</v>
      </c>
      <c r="D387" t="inlineStr">
        <is>
          <t>€/MWh</t>
        </is>
      </c>
      <c r="E387" s="54" t="n">
        <v>0.264497</v>
      </c>
      <c r="F387" s="54" t="n">
        <v>0.292402</v>
      </c>
      <c r="G387" t="inlineStr">
        <is>
          <t>calculado</t>
        </is>
      </c>
      <c r="H387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387" t="inlineStr">
        <is>
          <t>2022-06-17</t>
        </is>
      </c>
      <c r="K387" t="inlineStr">
        <is>
          <t>ESIOS 1001 geo 8741</t>
        </is>
      </c>
      <c r="L387" t="inlineStr">
        <is>
          <t>24 valores; mín 164.59, máx 382.47 €/MWh</t>
        </is>
      </c>
    </row>
    <row r="388">
      <c r="A388" s="53" t="n">
        <v>44731</v>
      </c>
      <c r="B388" t="inlineStr">
        <is>
          <t>2022-06-19</t>
        </is>
      </c>
      <c r="C388" s="45" t="n">
        <v>231.975</v>
      </c>
      <c r="D388" t="inlineStr">
        <is>
          <t>€/MWh</t>
        </is>
      </c>
      <c r="E388" s="54" t="n">
        <v>0.231975</v>
      </c>
      <c r="F388" s="54" t="n">
        <v>0.256448</v>
      </c>
      <c r="G388" t="inlineStr">
        <is>
          <t>calculado</t>
        </is>
      </c>
      <c r="H388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388" t="inlineStr">
        <is>
          <t>2022-06-18</t>
        </is>
      </c>
      <c r="K388" t="inlineStr">
        <is>
          <t>ESIOS 1001 geo 8741</t>
        </is>
      </c>
      <c r="L388" t="inlineStr">
        <is>
          <t>24 valores; mín 104.71, máx 384.06 €/MWh</t>
        </is>
      </c>
    </row>
    <row r="389">
      <c r="A389" s="53" t="n">
        <v>44732</v>
      </c>
      <c r="B389" t="inlineStr">
        <is>
          <t>2022-06-20</t>
        </is>
      </c>
      <c r="C389" s="45" t="n">
        <v>350.4608</v>
      </c>
      <c r="D389" t="inlineStr">
        <is>
          <t>€/MWh</t>
        </is>
      </c>
      <c r="E389" s="54" t="n">
        <v>0.350461</v>
      </c>
      <c r="F389" s="54" t="n">
        <v>0.387434</v>
      </c>
      <c r="G389" t="inlineStr">
        <is>
          <t>calculado</t>
        </is>
      </c>
      <c r="H389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389" t="inlineStr">
        <is>
          <t>2022-06-19</t>
        </is>
      </c>
      <c r="K389" t="inlineStr">
        <is>
          <t>ESIOS 1001 geo 8741</t>
        </is>
      </c>
      <c r="L389" t="inlineStr">
        <is>
          <t>24 valores; mín 235.21, máx 412.94 €/MWh</t>
        </is>
      </c>
    </row>
    <row r="390">
      <c r="A390" s="53" t="n">
        <v>44733</v>
      </c>
      <c r="B390" t="inlineStr">
        <is>
          <t>2022-06-21</t>
        </is>
      </c>
      <c r="C390" s="45" t="n">
        <v>364.1917</v>
      </c>
      <c r="D390" t="inlineStr">
        <is>
          <t>€/MWh</t>
        </is>
      </c>
      <c r="E390" s="54" t="n">
        <v>0.364192</v>
      </c>
      <c r="F390" s="54" t="n">
        <v>0.402614</v>
      </c>
      <c r="G390" t="inlineStr">
        <is>
          <t>calculado</t>
        </is>
      </c>
      <c r="H390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390" t="inlineStr">
        <is>
          <t>2022-06-20</t>
        </is>
      </c>
      <c r="K390" t="inlineStr">
        <is>
          <t>ESIOS 1001 geo 8741</t>
        </is>
      </c>
      <c r="L390" t="inlineStr">
        <is>
          <t>24 valores; mín 284.43, máx 427.60 €/MWh</t>
        </is>
      </c>
    </row>
    <row r="391">
      <c r="A391" s="53" t="n">
        <v>44734</v>
      </c>
      <c r="B391" t="inlineStr">
        <is>
          <t>2022-06-22</t>
        </is>
      </c>
      <c r="C391" s="45" t="n">
        <v>372.3279</v>
      </c>
      <c r="D391" t="inlineStr">
        <is>
          <t>€/MWh</t>
        </is>
      </c>
      <c r="E391" s="54" t="n">
        <v>0.372328</v>
      </c>
      <c r="F391" s="54" t="n">
        <v>0.411608</v>
      </c>
      <c r="G391" t="inlineStr">
        <is>
          <t>calculado</t>
        </is>
      </c>
      <c r="H391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391" t="inlineStr">
        <is>
          <t>2022-06-21</t>
        </is>
      </c>
      <c r="K391" t="inlineStr">
        <is>
          <t>ESIOS 1001 geo 8741</t>
        </is>
      </c>
      <c r="L391" t="inlineStr">
        <is>
          <t>24 valores; mín 299.74, máx 461.88 €/MWh</t>
        </is>
      </c>
    </row>
    <row r="392">
      <c r="A392" s="53" t="n">
        <v>44735</v>
      </c>
      <c r="B392" t="inlineStr">
        <is>
          <t>2022-06-23</t>
        </is>
      </c>
      <c r="C392" s="45" t="n">
        <v>364.4671</v>
      </c>
      <c r="D392" t="inlineStr">
        <is>
          <t>€/MWh</t>
        </is>
      </c>
      <c r="E392" s="54" t="n">
        <v>0.364467</v>
      </c>
      <c r="F392" s="54" t="n">
        <v>0.402918</v>
      </c>
      <c r="G392" t="inlineStr">
        <is>
          <t>calculado</t>
        </is>
      </c>
      <c r="H392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392" t="inlineStr">
        <is>
          <t>2022-06-22</t>
        </is>
      </c>
      <c r="K392" t="inlineStr">
        <is>
          <t>ESIOS 1001 geo 8741</t>
        </is>
      </c>
      <c r="L392" t="inlineStr">
        <is>
          <t>24 valores; mín 278.96, máx 423.71 €/MWh</t>
        </is>
      </c>
    </row>
    <row r="393">
      <c r="A393" s="53" t="n">
        <v>44736</v>
      </c>
      <c r="B393" t="inlineStr">
        <is>
          <t>2022-06-24</t>
        </is>
      </c>
      <c r="C393" s="45" t="n">
        <v>315.6217</v>
      </c>
      <c r="D393" t="inlineStr">
        <is>
          <t>€/MWh</t>
        </is>
      </c>
      <c r="E393" s="54" t="n">
        <v>0.315622</v>
      </c>
      <c r="F393" s="54" t="n">
        <v>0.34892</v>
      </c>
      <c r="G393" t="inlineStr">
        <is>
          <t>calculado</t>
        </is>
      </c>
      <c r="H393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393" t="inlineStr">
        <is>
          <t>2022-06-23</t>
        </is>
      </c>
      <c r="K393" t="inlineStr">
        <is>
          <t>ESIOS 1001 geo 8741</t>
        </is>
      </c>
      <c r="L393" t="inlineStr">
        <is>
          <t>24 valores; mín 240.29, máx 414.37 €/MWh</t>
        </is>
      </c>
    </row>
    <row r="394">
      <c r="A394" s="53" t="n">
        <v>44737</v>
      </c>
      <c r="B394" t="inlineStr">
        <is>
          <t>2022-06-25</t>
        </is>
      </c>
      <c r="C394" s="45" t="n">
        <v>265.3375</v>
      </c>
      <c r="D394" t="inlineStr">
        <is>
          <t>€/MWh</t>
        </is>
      </c>
      <c r="E394" s="54" t="n">
        <v>0.265338</v>
      </c>
      <c r="F394" s="54" t="n">
        <v>0.293331</v>
      </c>
      <c r="G394" t="inlineStr">
        <is>
          <t>calculado</t>
        </is>
      </c>
      <c r="H394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394" t="inlineStr">
        <is>
          <t>2022-06-24</t>
        </is>
      </c>
      <c r="K394" t="inlineStr">
        <is>
          <t>ESIOS 1001 geo 8741</t>
        </is>
      </c>
      <c r="L394" t="inlineStr">
        <is>
          <t>24 valores; mín 143.67, máx 366.05 €/MWh</t>
        </is>
      </c>
    </row>
    <row r="395">
      <c r="A395" s="53" t="n">
        <v>44738</v>
      </c>
      <c r="B395" t="inlineStr">
        <is>
          <t>2022-06-26</t>
        </is>
      </c>
      <c r="C395" s="45" t="n">
        <v>229.9217</v>
      </c>
      <c r="D395" t="inlineStr">
        <is>
          <t>€/MWh</t>
        </is>
      </c>
      <c r="E395" s="54" t="n">
        <v>0.229922</v>
      </c>
      <c r="F395" s="54" t="n">
        <v>0.254178</v>
      </c>
      <c r="G395" t="inlineStr">
        <is>
          <t>calculado</t>
        </is>
      </c>
      <c r="H395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395" t="inlineStr">
        <is>
          <t>2022-06-25</t>
        </is>
      </c>
      <c r="K395" t="inlineStr">
        <is>
          <t>ESIOS 1001 geo 8741</t>
        </is>
      </c>
      <c r="L395" t="inlineStr">
        <is>
          <t>24 valores; mín 143.11, máx 310.77 €/MWh</t>
        </is>
      </c>
    </row>
    <row r="396">
      <c r="A396" s="53" t="n">
        <v>44739</v>
      </c>
      <c r="B396" t="inlineStr">
        <is>
          <t>2022-06-27</t>
        </is>
      </c>
      <c r="C396" s="45" t="n">
        <v>280.6992</v>
      </c>
      <c r="D396" t="inlineStr">
        <is>
          <t>€/MWh</t>
        </is>
      </c>
      <c r="E396" s="54" t="n">
        <v>0.280699</v>
      </c>
      <c r="F396" s="54" t="n">
        <v>0.310313</v>
      </c>
      <c r="G396" t="inlineStr">
        <is>
          <t>calculado</t>
        </is>
      </c>
      <c r="H396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396" t="inlineStr">
        <is>
          <t>2022-06-26</t>
        </is>
      </c>
      <c r="K396" t="inlineStr">
        <is>
          <t>ESIOS 1001 geo 8741</t>
        </is>
      </c>
      <c r="L396" t="inlineStr">
        <is>
          <t>24 valores; mín 237.66, máx 368.86 €/MWh</t>
        </is>
      </c>
    </row>
    <row r="397">
      <c r="A397" s="53" t="n">
        <v>44740</v>
      </c>
      <c r="B397" t="inlineStr">
        <is>
          <t>2022-06-28</t>
        </is>
      </c>
      <c r="C397" s="45" t="n">
        <v>352.5158</v>
      </c>
      <c r="D397" t="inlineStr">
        <is>
          <t>€/MWh</t>
        </is>
      </c>
      <c r="E397" s="54" t="n">
        <v>0.352516</v>
      </c>
      <c r="F397" s="54" t="n">
        <v>0.389706</v>
      </c>
      <c r="G397" t="inlineStr">
        <is>
          <t>calculado</t>
        </is>
      </c>
      <c r="H397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397" t="inlineStr">
        <is>
          <t>2022-06-27</t>
        </is>
      </c>
      <c r="K397" t="inlineStr">
        <is>
          <t>ESIOS 1001 geo 8741</t>
        </is>
      </c>
      <c r="L397" t="inlineStr">
        <is>
          <t>24 valores; mín 304.93, máx 418.89 €/MWh</t>
        </is>
      </c>
    </row>
    <row r="398">
      <c r="A398" s="53" t="n">
        <v>44741</v>
      </c>
      <c r="B398" t="inlineStr">
        <is>
          <t>2022-06-29</t>
        </is>
      </c>
      <c r="C398" s="45" t="n">
        <v>306.2021</v>
      </c>
      <c r="D398" t="inlineStr">
        <is>
          <t>€/MWh</t>
        </is>
      </c>
      <c r="E398" s="54" t="n">
        <v>0.306202</v>
      </c>
      <c r="F398" s="54" t="n">
        <v>0.338506</v>
      </c>
      <c r="G398" t="inlineStr">
        <is>
          <t>calculado</t>
        </is>
      </c>
      <c r="H398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398" t="inlineStr">
        <is>
          <t>2022-06-28</t>
        </is>
      </c>
      <c r="K398" t="inlineStr">
        <is>
          <t>ESIOS 1001 geo 8741</t>
        </is>
      </c>
      <c r="L398" t="inlineStr">
        <is>
          <t>24 valores; mín 219.86, máx 356.09 €/MWh</t>
        </is>
      </c>
    </row>
    <row r="399">
      <c r="A399" s="53" t="n">
        <v>44742</v>
      </c>
      <c r="B399" t="inlineStr">
        <is>
          <t>2022-06-30</t>
        </is>
      </c>
      <c r="C399" s="45" t="n">
        <v>283.6058</v>
      </c>
      <c r="D399" t="inlineStr">
        <is>
          <t>€/MWh</t>
        </is>
      </c>
      <c r="E399" s="54" t="n">
        <v>0.283606</v>
      </c>
      <c r="F399" s="54" t="n">
        <v>0.313526</v>
      </c>
      <c r="G399" t="inlineStr">
        <is>
          <t>calculado</t>
        </is>
      </c>
      <c r="H399" t="inlineStr">
        <is>
          <t>IEE 0.5 % con cuota mínima 1 €/MWh (RDL 17/2021 DA 6ª (prorrogado por RDL 29/2021, 6/2022, 11/2022 y 20/2022)) + IVA 10 % (RDL 12/2021 art. 1 (prorrogado por RDL 29/2021 y RDL 6/2022) (condición: mes anterior &gt; 45 €/MWh))</t>
        </is>
      </c>
      <c r="J399" t="inlineStr">
        <is>
          <t>2022-06-29</t>
        </is>
      </c>
      <c r="K399" t="inlineStr">
        <is>
          <t>ESIOS 1001 geo 8741</t>
        </is>
      </c>
      <c r="L399" t="inlineStr">
        <is>
          <t>24 valores; mín 213.33, máx 356.92 €/MWh</t>
        </is>
      </c>
    </row>
    <row r="400">
      <c r="A400" s="53" t="n">
        <v>44743</v>
      </c>
      <c r="B400" t="inlineStr">
        <is>
          <t>2022-07-01</t>
        </is>
      </c>
      <c r="C400" s="45" t="n">
        <v>312.0875</v>
      </c>
      <c r="D400" t="inlineStr">
        <is>
          <t>€/MWh</t>
        </is>
      </c>
      <c r="E400" s="54" t="n">
        <v>0.312088</v>
      </c>
      <c r="F400" s="54" t="n">
        <v>0.32933</v>
      </c>
      <c r="G400" t="inlineStr">
        <is>
          <t>calculado</t>
        </is>
      </c>
      <c r="H400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400" t="inlineStr">
        <is>
          <t>2022-06-30</t>
        </is>
      </c>
      <c r="K400" t="inlineStr">
        <is>
          <t>ESIOS 1001 geo 8741</t>
        </is>
      </c>
      <c r="L400" t="inlineStr">
        <is>
          <t>24 valores; mín 269.77, máx 362.02 €/MWh</t>
        </is>
      </c>
    </row>
    <row r="401">
      <c r="A401" s="53" t="n">
        <v>44744</v>
      </c>
      <c r="B401" t="inlineStr">
        <is>
          <t>2022-07-02</t>
        </is>
      </c>
      <c r="C401" s="45" t="n">
        <v>292.4558</v>
      </c>
      <c r="D401" t="inlineStr">
        <is>
          <t>€/MWh</t>
        </is>
      </c>
      <c r="E401" s="54" t="n">
        <v>0.292456</v>
      </c>
      <c r="F401" s="54" t="n">
        <v>0.308614</v>
      </c>
      <c r="G401" t="inlineStr">
        <is>
          <t>calculado</t>
        </is>
      </c>
      <c r="H401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401" t="inlineStr">
        <is>
          <t>2022-07-01</t>
        </is>
      </c>
      <c r="K401" t="inlineStr">
        <is>
          <t>ESIOS 1001 geo 8741</t>
        </is>
      </c>
      <c r="L401" t="inlineStr">
        <is>
          <t>24 valores; mín 216.55, máx 375.33 €/MWh</t>
        </is>
      </c>
    </row>
    <row r="402">
      <c r="A402" s="53" t="n">
        <v>44745</v>
      </c>
      <c r="B402" t="inlineStr">
        <is>
          <t>2022-07-03</t>
        </is>
      </c>
      <c r="C402" s="45" t="n">
        <v>272.3671</v>
      </c>
      <c r="D402" t="inlineStr">
        <is>
          <t>€/MWh</t>
        </is>
      </c>
      <c r="E402" s="54" t="n">
        <v>0.272367</v>
      </c>
      <c r="F402" s="54" t="n">
        <v>0.287415</v>
      </c>
      <c r="G402" t="inlineStr">
        <is>
          <t>calculado</t>
        </is>
      </c>
      <c r="H402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402" t="inlineStr">
        <is>
          <t>2022-07-02</t>
        </is>
      </c>
      <c r="K402" t="inlineStr">
        <is>
          <t>ESIOS 1001 geo 8741</t>
        </is>
      </c>
      <c r="L402" t="inlineStr">
        <is>
          <t>24 valores; mín 183.90, máx 352.36 €/MWh</t>
        </is>
      </c>
    </row>
    <row r="403">
      <c r="A403" s="53" t="n">
        <v>44746</v>
      </c>
      <c r="B403" t="inlineStr">
        <is>
          <t>2022-07-04</t>
        </is>
      </c>
      <c r="C403" s="45" t="n">
        <v>348.4563</v>
      </c>
      <c r="D403" t="inlineStr">
        <is>
          <t>€/MWh</t>
        </is>
      </c>
      <c r="E403" s="54" t="n">
        <v>0.348456</v>
      </c>
      <c r="F403" s="54" t="n">
        <v>0.367709</v>
      </c>
      <c r="G403" t="inlineStr">
        <is>
          <t>calculado</t>
        </is>
      </c>
      <c r="H403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403" t="inlineStr">
        <is>
          <t>2022-07-03</t>
        </is>
      </c>
      <c r="K403" t="inlineStr">
        <is>
          <t>ESIOS 1001 geo 8741</t>
        </is>
      </c>
      <c r="L403" t="inlineStr">
        <is>
          <t>24 valores; mín 287.96, máx 380.66 €/MWh</t>
        </is>
      </c>
    </row>
    <row r="404">
      <c r="A404" s="53" t="n">
        <v>44747</v>
      </c>
      <c r="B404" t="inlineStr">
        <is>
          <t>2022-07-05</t>
        </is>
      </c>
      <c r="C404" s="45" t="n">
        <v>318.6008</v>
      </c>
      <c r="D404" t="inlineStr">
        <is>
          <t>€/MWh</t>
        </is>
      </c>
      <c r="E404" s="54" t="n">
        <v>0.318601</v>
      </c>
      <c r="F404" s="54" t="n">
        <v>0.336203</v>
      </c>
      <c r="G404" t="inlineStr">
        <is>
          <t>calculado</t>
        </is>
      </c>
      <c r="H404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404" t="inlineStr">
        <is>
          <t>2022-07-04</t>
        </is>
      </c>
      <c r="K404" t="inlineStr">
        <is>
          <t>ESIOS 1001 geo 8741</t>
        </is>
      </c>
      <c r="L404" t="inlineStr">
        <is>
          <t>24 valores; mín 267.09, máx 382.11 €/MWh</t>
        </is>
      </c>
    </row>
    <row r="405">
      <c r="A405" s="53" t="n">
        <v>44748</v>
      </c>
      <c r="B405" t="inlineStr">
        <is>
          <t>2022-07-06</t>
        </is>
      </c>
      <c r="C405" s="45" t="n">
        <v>320.185</v>
      </c>
      <c r="D405" t="inlineStr">
        <is>
          <t>€/MWh</t>
        </is>
      </c>
      <c r="E405" s="54" t="n">
        <v>0.320185</v>
      </c>
      <c r="F405" s="54" t="n">
        <v>0.337875</v>
      </c>
      <c r="G405" t="inlineStr">
        <is>
          <t>calculado</t>
        </is>
      </c>
      <c r="H405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405" t="inlineStr">
        <is>
          <t>2022-07-05</t>
        </is>
      </c>
      <c r="K405" t="inlineStr">
        <is>
          <t>ESIOS 1001 geo 8741</t>
        </is>
      </c>
      <c r="L405" t="inlineStr">
        <is>
          <t>24 valores; mín 257.55, máx 391.43 €/MWh</t>
        </is>
      </c>
    </row>
    <row r="406">
      <c r="A406" s="53" t="n">
        <v>44749</v>
      </c>
      <c r="B406" t="inlineStr">
        <is>
          <t>2022-07-07</t>
        </is>
      </c>
      <c r="C406" s="45" t="n">
        <v>264.4596</v>
      </c>
      <c r="D406" t="inlineStr">
        <is>
          <t>€/MWh</t>
        </is>
      </c>
      <c r="E406" s="54" t="n">
        <v>0.26446</v>
      </c>
      <c r="F406" s="54" t="n">
        <v>0.279071</v>
      </c>
      <c r="G406" t="inlineStr">
        <is>
          <t>calculado</t>
        </is>
      </c>
      <c r="H406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406" t="inlineStr">
        <is>
          <t>2022-07-06</t>
        </is>
      </c>
      <c r="K406" t="inlineStr">
        <is>
          <t>ESIOS 1001 geo 8741</t>
        </is>
      </c>
      <c r="L406" t="inlineStr">
        <is>
          <t>24 valores; mín 221.52, máx 359.78 €/MWh</t>
        </is>
      </c>
    </row>
    <row r="407">
      <c r="A407" s="53" t="n">
        <v>44750</v>
      </c>
      <c r="B407" t="inlineStr">
        <is>
          <t>2022-07-08</t>
        </is>
      </c>
      <c r="C407" s="45" t="n">
        <v>324.2</v>
      </c>
      <c r="D407" t="inlineStr">
        <is>
          <t>€/MWh</t>
        </is>
      </c>
      <c r="E407" s="54" t="n">
        <v>0.3242</v>
      </c>
      <c r="F407" s="54" t="n">
        <v>0.342112</v>
      </c>
      <c r="G407" t="inlineStr">
        <is>
          <t>calculado</t>
        </is>
      </c>
      <c r="H407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407" t="inlineStr">
        <is>
          <t>2022-07-07</t>
        </is>
      </c>
      <c r="K407" t="inlineStr">
        <is>
          <t>ESIOS 1001 geo 8741</t>
        </is>
      </c>
      <c r="L407" t="inlineStr">
        <is>
          <t>24 valores; mín 281.05, máx 392.76 €/MWh</t>
        </is>
      </c>
    </row>
    <row r="408">
      <c r="A408" s="53" t="n">
        <v>44751</v>
      </c>
      <c r="B408" t="inlineStr">
        <is>
          <t>2022-07-09</t>
        </is>
      </c>
      <c r="C408" s="45" t="n">
        <v>326.5525</v>
      </c>
      <c r="D408" t="inlineStr">
        <is>
          <t>€/MWh</t>
        </is>
      </c>
      <c r="E408" s="54" t="n">
        <v>0.326553</v>
      </c>
      <c r="F408" s="54" t="n">
        <v>0.344595</v>
      </c>
      <c r="G408" t="inlineStr">
        <is>
          <t>calculado</t>
        </is>
      </c>
      <c r="H408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408" t="inlineStr">
        <is>
          <t>2022-07-08</t>
        </is>
      </c>
      <c r="K408" t="inlineStr">
        <is>
          <t>ESIOS 1001 geo 8741</t>
        </is>
      </c>
      <c r="L408" t="inlineStr">
        <is>
          <t>24 valores; mín 270.82, máx 413.83 €/MWh</t>
        </is>
      </c>
    </row>
    <row r="409">
      <c r="A409" s="53" t="n">
        <v>44752</v>
      </c>
      <c r="B409" t="inlineStr">
        <is>
          <t>2022-07-10</t>
        </is>
      </c>
      <c r="C409" s="45" t="n">
        <v>357.545</v>
      </c>
      <c r="D409" t="inlineStr">
        <is>
          <t>€/MWh</t>
        </is>
      </c>
      <c r="E409" s="54" t="n">
        <v>0.357545</v>
      </c>
      <c r="F409" s="54" t="n">
        <v>0.377299</v>
      </c>
      <c r="G409" t="inlineStr">
        <is>
          <t>calculado</t>
        </is>
      </c>
      <c r="H409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409" t="inlineStr">
        <is>
          <t>2022-07-09</t>
        </is>
      </c>
      <c r="K409" t="inlineStr">
        <is>
          <t>ESIOS 1001 geo 8741</t>
        </is>
      </c>
      <c r="L409" t="inlineStr">
        <is>
          <t>24 valores; mín 287.05, máx 466.51 €/MWh</t>
        </is>
      </c>
    </row>
    <row r="410">
      <c r="A410" s="53" t="n">
        <v>44753</v>
      </c>
      <c r="B410" t="inlineStr">
        <is>
          <t>2022-07-11</t>
        </is>
      </c>
      <c r="C410" s="45" t="n">
        <v>393.7479</v>
      </c>
      <c r="D410" t="inlineStr">
        <is>
          <t>€/MWh</t>
        </is>
      </c>
      <c r="E410" s="54" t="n">
        <v>0.393748</v>
      </c>
      <c r="F410" s="54" t="n">
        <v>0.415502</v>
      </c>
      <c r="G410" t="inlineStr">
        <is>
          <t>calculado</t>
        </is>
      </c>
      <c r="H410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410" t="inlineStr">
        <is>
          <t>2022-07-10</t>
        </is>
      </c>
      <c r="K410" t="inlineStr">
        <is>
          <t>ESIOS 1001 geo 8741</t>
        </is>
      </c>
      <c r="L410" t="inlineStr">
        <is>
          <t>24 valores; mín 319.39, máx 458.63 €/MWh</t>
        </is>
      </c>
    </row>
    <row r="411">
      <c r="A411" s="53" t="n">
        <v>44754</v>
      </c>
      <c r="B411" t="inlineStr">
        <is>
          <t>2022-07-12</t>
        </is>
      </c>
      <c r="C411" s="45" t="n">
        <v>399.3658</v>
      </c>
      <c r="D411" t="inlineStr">
        <is>
          <t>€/MWh</t>
        </is>
      </c>
      <c r="E411" s="54" t="n">
        <v>0.399366</v>
      </c>
      <c r="F411" s="54" t="n">
        <v>0.421431</v>
      </c>
      <c r="G411" t="inlineStr">
        <is>
          <t>calculado</t>
        </is>
      </c>
      <c r="H411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411" t="inlineStr">
        <is>
          <t>2022-07-11</t>
        </is>
      </c>
      <c r="K411" t="inlineStr">
        <is>
          <t>ESIOS 1001 geo 8741</t>
        </is>
      </c>
      <c r="L411" t="inlineStr">
        <is>
          <t>24 valores; mín 348.48, máx 483.42 €/MWh</t>
        </is>
      </c>
    </row>
    <row r="412">
      <c r="A412" s="53" t="n">
        <v>44755</v>
      </c>
      <c r="B412" t="inlineStr">
        <is>
          <t>2022-07-13</t>
        </is>
      </c>
      <c r="C412" s="45" t="n">
        <v>415.0496</v>
      </c>
      <c r="D412" t="inlineStr">
        <is>
          <t>€/MWh</t>
        </is>
      </c>
      <c r="E412" s="54" t="n">
        <v>0.41505</v>
      </c>
      <c r="F412" s="54" t="n">
        <v>0.437981</v>
      </c>
      <c r="G412" t="inlineStr">
        <is>
          <t>calculado</t>
        </is>
      </c>
      <c r="H412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412" t="inlineStr">
        <is>
          <t>2022-07-12</t>
        </is>
      </c>
      <c r="K412" t="inlineStr">
        <is>
          <t>ESIOS 1001 geo 8741</t>
        </is>
      </c>
      <c r="L412" t="inlineStr">
        <is>
          <t>24 valores; mín 349.92, máx 471.52 €/MWh</t>
        </is>
      </c>
    </row>
    <row r="413">
      <c r="A413" s="53" t="n">
        <v>44756</v>
      </c>
      <c r="B413" t="inlineStr">
        <is>
          <t>2022-07-14</t>
        </is>
      </c>
      <c r="C413" s="45" t="n">
        <v>407.5563</v>
      </c>
      <c r="D413" t="inlineStr">
        <is>
          <t>€/MWh</t>
        </is>
      </c>
      <c r="E413" s="54" t="n">
        <v>0.407556</v>
      </c>
      <c r="F413" s="54" t="n">
        <v>0.430074</v>
      </c>
      <c r="G413" t="inlineStr">
        <is>
          <t>calculado</t>
        </is>
      </c>
      <c r="H413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413" t="inlineStr">
        <is>
          <t>2022-07-13</t>
        </is>
      </c>
      <c r="K413" t="inlineStr">
        <is>
          <t>ESIOS 1001 geo 8741</t>
        </is>
      </c>
      <c r="L413" t="inlineStr">
        <is>
          <t>24 valores; mín 338.91, máx 451.56 €/MWh</t>
        </is>
      </c>
    </row>
    <row r="414">
      <c r="A414" s="53" t="n">
        <v>44757</v>
      </c>
      <c r="B414" t="inlineStr">
        <is>
          <t>2022-07-15</t>
        </is>
      </c>
      <c r="C414" s="45" t="n">
        <v>397.2117</v>
      </c>
      <c r="D414" t="inlineStr">
        <is>
          <t>€/MWh</t>
        </is>
      </c>
      <c r="E414" s="54" t="n">
        <v>0.397212</v>
      </c>
      <c r="F414" s="54" t="n">
        <v>0.419158</v>
      </c>
      <c r="G414" t="inlineStr">
        <is>
          <t>calculado</t>
        </is>
      </c>
      <c r="H414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414" t="inlineStr">
        <is>
          <t>2022-07-14</t>
        </is>
      </c>
      <c r="K414" t="inlineStr">
        <is>
          <t>ESIOS 1001 geo 8741</t>
        </is>
      </c>
      <c r="L414" t="inlineStr">
        <is>
          <t>24 valores; mín 343.85, máx 477.34 €/MWh</t>
        </is>
      </c>
    </row>
    <row r="415">
      <c r="A415" s="53" t="n">
        <v>44758</v>
      </c>
      <c r="B415" t="inlineStr">
        <is>
          <t>2022-07-16</t>
        </is>
      </c>
      <c r="C415" s="45" t="n">
        <v>359.7208</v>
      </c>
      <c r="D415" t="inlineStr">
        <is>
          <t>€/MWh</t>
        </is>
      </c>
      <c r="E415" s="54" t="n">
        <v>0.359721</v>
      </c>
      <c r="F415" s="54" t="n">
        <v>0.379595</v>
      </c>
      <c r="G415" t="inlineStr">
        <is>
          <t>calculado</t>
        </is>
      </c>
      <c r="H415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415" t="inlineStr">
        <is>
          <t>2022-07-15</t>
        </is>
      </c>
      <c r="K415" t="inlineStr">
        <is>
          <t>ESIOS 1001 geo 8741</t>
        </is>
      </c>
      <c r="L415" t="inlineStr">
        <is>
          <t>24 valores; mín 294.06, máx 435.82 €/MWh</t>
        </is>
      </c>
    </row>
    <row r="416">
      <c r="A416" s="53" t="n">
        <v>44759</v>
      </c>
      <c r="B416" t="inlineStr">
        <is>
          <t>2022-07-17</t>
        </is>
      </c>
      <c r="C416" s="45" t="n">
        <v>283.7417</v>
      </c>
      <c r="D416" t="inlineStr">
        <is>
          <t>€/MWh</t>
        </is>
      </c>
      <c r="E416" s="54" t="n">
        <v>0.283742</v>
      </c>
      <c r="F416" s="54" t="n">
        <v>0.299418</v>
      </c>
      <c r="G416" t="inlineStr">
        <is>
          <t>calculado</t>
        </is>
      </c>
      <c r="H416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416" t="inlineStr">
        <is>
          <t>2022-07-16</t>
        </is>
      </c>
      <c r="K416" t="inlineStr">
        <is>
          <t>ESIOS 1001 geo 8741</t>
        </is>
      </c>
      <c r="L416" t="inlineStr">
        <is>
          <t>24 valores; mín 211.39, máx 368.02 €/MWh</t>
        </is>
      </c>
    </row>
    <row r="417">
      <c r="A417" s="53" t="n">
        <v>44760</v>
      </c>
      <c r="B417" t="inlineStr">
        <is>
          <t>2022-07-18</t>
        </is>
      </c>
      <c r="C417" s="45" t="n">
        <v>297.9387</v>
      </c>
      <c r="D417" t="inlineStr">
        <is>
          <t>€/MWh</t>
        </is>
      </c>
      <c r="E417" s="54" t="n">
        <v>0.297939</v>
      </c>
      <c r="F417" s="54" t="n">
        <v>0.3144</v>
      </c>
      <c r="G417" t="inlineStr">
        <is>
          <t>calculado</t>
        </is>
      </c>
      <c r="H417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417" t="inlineStr">
        <is>
          <t>2022-07-17</t>
        </is>
      </c>
      <c r="K417" t="inlineStr">
        <is>
          <t>ESIOS 1001 geo 8741</t>
        </is>
      </c>
      <c r="L417" t="inlineStr">
        <is>
          <t>24 valores; mín 222.89, máx 332.71 €/MWh</t>
        </is>
      </c>
    </row>
    <row r="418">
      <c r="A418" s="53" t="n">
        <v>44761</v>
      </c>
      <c r="B418" t="inlineStr">
        <is>
          <t>2022-07-19</t>
        </is>
      </c>
      <c r="C418" s="45" t="n">
        <v>296.1858</v>
      </c>
      <c r="D418" t="inlineStr">
        <is>
          <t>€/MWh</t>
        </is>
      </c>
      <c r="E418" s="54" t="n">
        <v>0.296186</v>
      </c>
      <c r="F418" s="54" t="n">
        <v>0.31255</v>
      </c>
      <c r="G418" t="inlineStr">
        <is>
          <t>calculado</t>
        </is>
      </c>
      <c r="H418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418" t="inlineStr">
        <is>
          <t>2022-07-18</t>
        </is>
      </c>
      <c r="K418" t="inlineStr">
        <is>
          <t>ESIOS 1001 geo 8741</t>
        </is>
      </c>
      <c r="L418" t="inlineStr">
        <is>
          <t>24 valores; mín 238.09, máx 372.60 €/MWh</t>
        </is>
      </c>
    </row>
    <row r="419">
      <c r="A419" s="53" t="n">
        <v>44762</v>
      </c>
      <c r="B419" t="inlineStr">
        <is>
          <t>2022-07-20</t>
        </is>
      </c>
      <c r="C419" s="45" t="n">
        <v>316.1562</v>
      </c>
      <c r="D419" t="inlineStr">
        <is>
          <t>€/MWh</t>
        </is>
      </c>
      <c r="E419" s="54" t="n">
        <v>0.316156</v>
      </c>
      <c r="F419" s="54" t="n">
        <v>0.333624</v>
      </c>
      <c r="G419" t="inlineStr">
        <is>
          <t>calculado</t>
        </is>
      </c>
      <c r="H419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419" t="inlineStr">
        <is>
          <t>2022-07-19</t>
        </is>
      </c>
      <c r="K419" t="inlineStr">
        <is>
          <t>ESIOS 1001 geo 8741</t>
        </is>
      </c>
      <c r="L419" t="inlineStr">
        <is>
          <t>24 valores; mín 274.89, máx 358.78 €/MWh</t>
        </is>
      </c>
    </row>
    <row r="420">
      <c r="A420" s="53" t="n">
        <v>44763</v>
      </c>
      <c r="B420" t="inlineStr">
        <is>
          <t>2022-07-21</t>
        </is>
      </c>
      <c r="C420" s="45" t="n">
        <v>311.4137</v>
      </c>
      <c r="D420" t="inlineStr">
        <is>
          <t>€/MWh</t>
        </is>
      </c>
      <c r="E420" s="54" t="n">
        <v>0.311414</v>
      </c>
      <c r="F420" s="54" t="n">
        <v>0.328619</v>
      </c>
      <c r="G420" t="inlineStr">
        <is>
          <t>calculado</t>
        </is>
      </c>
      <c r="H420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420" t="inlineStr">
        <is>
          <t>2022-07-20</t>
        </is>
      </c>
      <c r="K420" t="inlineStr">
        <is>
          <t>ESIOS 1001 geo 8741</t>
        </is>
      </c>
      <c r="L420" t="inlineStr">
        <is>
          <t>24 valores; mín 268.00, máx 360.48 €/MWh</t>
        </is>
      </c>
    </row>
    <row r="421">
      <c r="A421" s="53" t="n">
        <v>44764</v>
      </c>
      <c r="B421" t="inlineStr">
        <is>
          <t>2022-07-22</t>
        </is>
      </c>
      <c r="C421" s="45" t="n">
        <v>302.9292</v>
      </c>
      <c r="D421" t="inlineStr">
        <is>
          <t>€/MWh</t>
        </is>
      </c>
      <c r="E421" s="54" t="n">
        <v>0.302929</v>
      </c>
      <c r="F421" s="54" t="n">
        <v>0.319666</v>
      </c>
      <c r="G421" t="inlineStr">
        <is>
          <t>calculado</t>
        </is>
      </c>
      <c r="H421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421" t="inlineStr">
        <is>
          <t>2022-07-21</t>
        </is>
      </c>
      <c r="K421" t="inlineStr">
        <is>
          <t>ESIOS 1001 geo 8741</t>
        </is>
      </c>
      <c r="L421" t="inlineStr">
        <is>
          <t>24 valores; mín 243.71, máx 346.87 €/MWh</t>
        </is>
      </c>
    </row>
    <row r="422">
      <c r="A422" s="53" t="n">
        <v>44765</v>
      </c>
      <c r="B422" t="inlineStr">
        <is>
          <t>2022-07-23</t>
        </is>
      </c>
      <c r="C422" s="45" t="n">
        <v>315.4779</v>
      </c>
      <c r="D422" t="inlineStr">
        <is>
          <t>€/MWh</t>
        </is>
      </c>
      <c r="E422" s="54" t="n">
        <v>0.315478</v>
      </c>
      <c r="F422" s="54" t="n">
        <v>0.332908</v>
      </c>
      <c r="G422" t="inlineStr">
        <is>
          <t>calculado</t>
        </is>
      </c>
      <c r="H422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422" t="inlineStr">
        <is>
          <t>2022-07-22</t>
        </is>
      </c>
      <c r="K422" t="inlineStr">
        <is>
          <t>ESIOS 1001 geo 8741</t>
        </is>
      </c>
      <c r="L422" t="inlineStr">
        <is>
          <t>24 valores; mín 266.97, máx 389.70 €/MWh</t>
        </is>
      </c>
    </row>
    <row r="423">
      <c r="A423" s="53" t="n">
        <v>44766</v>
      </c>
      <c r="B423" t="inlineStr">
        <is>
          <t>2022-07-24</t>
        </is>
      </c>
      <c r="C423" s="45" t="n">
        <v>311.86</v>
      </c>
      <c r="D423" t="inlineStr">
        <is>
          <t>€/MWh</t>
        </is>
      </c>
      <c r="E423" s="54" t="n">
        <v>0.31186</v>
      </c>
      <c r="F423" s="54" t="n">
        <v>0.32909</v>
      </c>
      <c r="G423" t="inlineStr">
        <is>
          <t>calculado</t>
        </is>
      </c>
      <c r="H423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423" t="inlineStr">
        <is>
          <t>2022-07-23</t>
        </is>
      </c>
      <c r="K423" t="inlineStr">
        <is>
          <t>ESIOS 1001 geo 8741</t>
        </is>
      </c>
      <c r="L423" t="inlineStr">
        <is>
          <t>24 valores; mín 202.34, máx 427.86 €/MWh</t>
        </is>
      </c>
    </row>
    <row r="424">
      <c r="A424" s="53" t="n">
        <v>44767</v>
      </c>
      <c r="B424" t="inlineStr">
        <is>
          <t>2022-07-25</t>
        </is>
      </c>
      <c r="C424" s="45" t="n">
        <v>349.7025</v>
      </c>
      <c r="D424" t="inlineStr">
        <is>
          <t>€/MWh</t>
        </is>
      </c>
      <c r="E424" s="54" t="n">
        <v>0.349703</v>
      </c>
      <c r="F424" s="54" t="n">
        <v>0.369024</v>
      </c>
      <c r="G424" t="inlineStr">
        <is>
          <t>calculado</t>
        </is>
      </c>
      <c r="H424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424" t="inlineStr">
        <is>
          <t>2022-07-24</t>
        </is>
      </c>
      <c r="K424" t="inlineStr">
        <is>
          <t>ESIOS 1001 geo 8741</t>
        </is>
      </c>
      <c r="L424" t="inlineStr">
        <is>
          <t>24 valores; mín 262.63, máx 394.57 €/MWh</t>
        </is>
      </c>
    </row>
    <row r="425">
      <c r="A425" s="53" t="n">
        <v>44768</v>
      </c>
      <c r="B425" t="inlineStr">
        <is>
          <t>2022-07-26</t>
        </is>
      </c>
      <c r="C425" s="45" t="n">
        <v>330.1425</v>
      </c>
      <c r="D425" t="inlineStr">
        <is>
          <t>€/MWh</t>
        </is>
      </c>
      <c r="E425" s="54" t="n">
        <v>0.330143</v>
      </c>
      <c r="F425" s="54" t="n">
        <v>0.348383</v>
      </c>
      <c r="G425" t="inlineStr">
        <is>
          <t>calculado</t>
        </is>
      </c>
      <c r="H425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425" t="inlineStr">
        <is>
          <t>2022-07-25</t>
        </is>
      </c>
      <c r="K425" t="inlineStr">
        <is>
          <t>ESIOS 1001 geo 8741</t>
        </is>
      </c>
      <c r="L425" t="inlineStr">
        <is>
          <t>24 valores; mín 276.42, máx 377.36 €/MWh</t>
        </is>
      </c>
    </row>
    <row r="426">
      <c r="A426" s="53" t="n">
        <v>44769</v>
      </c>
      <c r="B426" t="inlineStr">
        <is>
          <t>2022-07-27</t>
        </is>
      </c>
      <c r="C426" s="45" t="n">
        <v>339.6388</v>
      </c>
      <c r="D426" t="inlineStr">
        <is>
          <t>€/MWh</t>
        </is>
      </c>
      <c r="E426" s="54" t="n">
        <v>0.339639</v>
      </c>
      <c r="F426" s="54" t="n">
        <v>0.358404</v>
      </c>
      <c r="G426" t="inlineStr">
        <is>
          <t>calculado</t>
        </is>
      </c>
      <c r="H426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426" t="inlineStr">
        <is>
          <t>2022-07-26</t>
        </is>
      </c>
      <c r="K426" t="inlineStr">
        <is>
          <t>ESIOS 1001 geo 8741</t>
        </is>
      </c>
      <c r="L426" t="inlineStr">
        <is>
          <t>24 valores; mín 307.75, máx 394.50 €/MWh</t>
        </is>
      </c>
    </row>
    <row r="427">
      <c r="A427" s="53" t="n">
        <v>44770</v>
      </c>
      <c r="B427" t="inlineStr">
        <is>
          <t>2022-07-28</t>
        </is>
      </c>
      <c r="C427" s="45" t="n">
        <v>392.6179</v>
      </c>
      <c r="D427" t="inlineStr">
        <is>
          <t>€/MWh</t>
        </is>
      </c>
      <c r="E427" s="54" t="n">
        <v>0.392618</v>
      </c>
      <c r="F427" s="54" t="n">
        <v>0.41431</v>
      </c>
      <c r="G427" t="inlineStr">
        <is>
          <t>calculado</t>
        </is>
      </c>
      <c r="H427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427" t="inlineStr">
        <is>
          <t>2022-07-27</t>
        </is>
      </c>
      <c r="K427" t="inlineStr">
        <is>
          <t>ESIOS 1001 geo 8741</t>
        </is>
      </c>
      <c r="L427" t="inlineStr">
        <is>
          <t>24 valores; mín 331.14, máx 433.40 €/MWh</t>
        </is>
      </c>
    </row>
    <row r="428">
      <c r="A428" s="53" t="n">
        <v>44771</v>
      </c>
      <c r="B428" t="inlineStr">
        <is>
          <t>2022-07-29</t>
        </is>
      </c>
      <c r="C428" s="45" t="n">
        <v>376.9492</v>
      </c>
      <c r="D428" t="inlineStr">
        <is>
          <t>€/MWh</t>
        </is>
      </c>
      <c r="E428" s="54" t="n">
        <v>0.376949</v>
      </c>
      <c r="F428" s="54" t="n">
        <v>0.397776</v>
      </c>
      <c r="G428" t="inlineStr">
        <is>
          <t>calculado</t>
        </is>
      </c>
      <c r="H428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428" t="inlineStr">
        <is>
          <t>2022-07-28</t>
        </is>
      </c>
      <c r="K428" t="inlineStr">
        <is>
          <t>ESIOS 1001 geo 8741</t>
        </is>
      </c>
      <c r="L428" t="inlineStr">
        <is>
          <t>24 valores; mín 304.78, máx 430.65 €/MWh</t>
        </is>
      </c>
    </row>
    <row r="429">
      <c r="A429" s="53" t="n">
        <v>44772</v>
      </c>
      <c r="B429" t="inlineStr">
        <is>
          <t>2022-07-30</t>
        </is>
      </c>
      <c r="C429" s="45" t="n">
        <v>287.2083</v>
      </c>
      <c r="D429" t="inlineStr">
        <is>
          <t>€/MWh</t>
        </is>
      </c>
      <c r="E429" s="54" t="n">
        <v>0.287208</v>
      </c>
      <c r="F429" s="54" t="n">
        <v>0.303077</v>
      </c>
      <c r="G429" t="inlineStr">
        <is>
          <t>calculado</t>
        </is>
      </c>
      <c r="H429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429" t="inlineStr">
        <is>
          <t>2022-07-29</t>
        </is>
      </c>
      <c r="K429" t="inlineStr">
        <is>
          <t>ESIOS 1001 geo 8741</t>
        </is>
      </c>
      <c r="L429" t="inlineStr">
        <is>
          <t>24 valores; mín 243.19, máx 338.62 €/MWh</t>
        </is>
      </c>
    </row>
    <row r="430">
      <c r="A430" s="53" t="n">
        <v>44773</v>
      </c>
      <c r="B430" t="inlineStr">
        <is>
          <t>2022-07-31</t>
        </is>
      </c>
      <c r="C430" s="45" t="n">
        <v>250.5563</v>
      </c>
      <c r="D430" t="inlineStr">
        <is>
          <t>€/MWh</t>
        </is>
      </c>
      <c r="E430" s="54" t="n">
        <v>0.250556</v>
      </c>
      <c r="F430" s="54" t="n">
        <v>0.2644</v>
      </c>
      <c r="G430" t="inlineStr">
        <is>
          <t>calculado</t>
        </is>
      </c>
      <c r="H430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430" t="inlineStr">
        <is>
          <t>2022-07-30</t>
        </is>
      </c>
      <c r="K430" t="inlineStr">
        <is>
          <t>ESIOS 1001 geo 8741</t>
        </is>
      </c>
      <c r="L430" t="inlineStr">
        <is>
          <t>24 valores; mín 190.70, máx 313.74 €/MWh</t>
        </is>
      </c>
    </row>
    <row r="431">
      <c r="A431" s="53" t="n">
        <v>44774</v>
      </c>
      <c r="B431" t="inlineStr">
        <is>
          <t>2022-08-01</t>
        </is>
      </c>
      <c r="C431" s="45" t="n">
        <v>325.6262</v>
      </c>
      <c r="D431" t="inlineStr">
        <is>
          <t>€/MWh</t>
        </is>
      </c>
      <c r="E431" s="54" t="n">
        <v>0.325626</v>
      </c>
      <c r="F431" s="54" t="n">
        <v>0.343617</v>
      </c>
      <c r="G431" t="inlineStr">
        <is>
          <t>calculado</t>
        </is>
      </c>
      <c r="H431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431" t="inlineStr">
        <is>
          <t>2022-07-31</t>
        </is>
      </c>
      <c r="K431" t="inlineStr">
        <is>
          <t>ESIOS 1001 geo 8741</t>
        </is>
      </c>
      <c r="L431" t="inlineStr">
        <is>
          <t>24 valores; mín 284.44, máx 378.00 €/MWh</t>
        </is>
      </c>
    </row>
    <row r="432">
      <c r="A432" s="53" t="n">
        <v>44775</v>
      </c>
      <c r="B432" t="inlineStr">
        <is>
          <t>2022-08-02</t>
        </is>
      </c>
      <c r="C432" s="45" t="n">
        <v>355.5592</v>
      </c>
      <c r="D432" t="inlineStr">
        <is>
          <t>€/MWh</t>
        </is>
      </c>
      <c r="E432" s="54" t="n">
        <v>0.355559</v>
      </c>
      <c r="F432" s="54" t="n">
        <v>0.375204</v>
      </c>
      <c r="G432" t="inlineStr">
        <is>
          <t>calculado</t>
        </is>
      </c>
      <c r="H432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432" t="inlineStr">
        <is>
          <t>2022-08-01</t>
        </is>
      </c>
      <c r="K432" t="inlineStr">
        <is>
          <t>ESIOS 1001 geo 8741</t>
        </is>
      </c>
      <c r="L432" t="inlineStr">
        <is>
          <t>24 valores; mín 308.81, máx 417.74 €/MWh</t>
        </is>
      </c>
    </row>
    <row r="433">
      <c r="A433" s="53" t="n">
        <v>44776</v>
      </c>
      <c r="B433" t="inlineStr">
        <is>
          <t>2022-08-03</t>
        </is>
      </c>
      <c r="C433" s="45" t="n">
        <v>355.5487</v>
      </c>
      <c r="D433" t="inlineStr">
        <is>
          <t>€/MWh</t>
        </is>
      </c>
      <c r="E433" s="54" t="n">
        <v>0.355549</v>
      </c>
      <c r="F433" s="54" t="n">
        <v>0.375193</v>
      </c>
      <c r="G433" t="inlineStr">
        <is>
          <t>calculado</t>
        </is>
      </c>
      <c r="H433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433" t="inlineStr">
        <is>
          <t>2022-08-02</t>
        </is>
      </c>
      <c r="K433" t="inlineStr">
        <is>
          <t>ESIOS 1001 geo 8741</t>
        </is>
      </c>
      <c r="L433" t="inlineStr">
        <is>
          <t>24 valores; mín 280.82, máx 417.32 €/MWh</t>
        </is>
      </c>
    </row>
    <row r="434">
      <c r="A434" s="53" t="n">
        <v>44777</v>
      </c>
      <c r="B434" t="inlineStr">
        <is>
          <t>2022-08-04</t>
        </is>
      </c>
      <c r="C434" s="45" t="n">
        <v>345.1125</v>
      </c>
      <c r="D434" t="inlineStr">
        <is>
          <t>€/MWh</t>
        </is>
      </c>
      <c r="E434" s="54" t="n">
        <v>0.345112</v>
      </c>
      <c r="F434" s="54" t="n">
        <v>0.36418</v>
      </c>
      <c r="G434" t="inlineStr">
        <is>
          <t>calculado</t>
        </is>
      </c>
      <c r="H434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434" t="inlineStr">
        <is>
          <t>2022-08-03</t>
        </is>
      </c>
      <c r="K434" t="inlineStr">
        <is>
          <t>ESIOS 1001 geo 8741</t>
        </is>
      </c>
      <c r="L434" t="inlineStr">
        <is>
          <t>24 valores; mín 272.33, máx 392.19 €/MWh</t>
        </is>
      </c>
    </row>
    <row r="435">
      <c r="A435" s="53" t="n">
        <v>44778</v>
      </c>
      <c r="B435" t="inlineStr">
        <is>
          <t>2022-08-05</t>
        </is>
      </c>
      <c r="C435" s="45" t="n">
        <v>322.4125</v>
      </c>
      <c r="D435" t="inlineStr">
        <is>
          <t>€/MWh</t>
        </is>
      </c>
      <c r="E435" s="54" t="n">
        <v>0.322412</v>
      </c>
      <c r="F435" s="54" t="n">
        <v>0.340226</v>
      </c>
      <c r="G435" t="inlineStr">
        <is>
          <t>calculado</t>
        </is>
      </c>
      <c r="H435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435" t="inlineStr">
        <is>
          <t>2022-08-04</t>
        </is>
      </c>
      <c r="K435" t="inlineStr">
        <is>
          <t>ESIOS 1001 geo 8741</t>
        </is>
      </c>
      <c r="L435" t="inlineStr">
        <is>
          <t>24 valores; mín 274.95, máx 386.04 €/MWh</t>
        </is>
      </c>
    </row>
    <row r="436">
      <c r="A436" s="53" t="n">
        <v>44779</v>
      </c>
      <c r="B436" t="inlineStr">
        <is>
          <t>2022-08-06</t>
        </is>
      </c>
      <c r="C436" s="45" t="n">
        <v>293.7883</v>
      </c>
      <c r="D436" t="inlineStr">
        <is>
          <t>€/MWh</t>
        </is>
      </c>
      <c r="E436" s="54" t="n">
        <v>0.293788</v>
      </c>
      <c r="F436" s="54" t="n">
        <v>0.31002</v>
      </c>
      <c r="G436" t="inlineStr">
        <is>
          <t>calculado</t>
        </is>
      </c>
      <c r="H436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436" t="inlineStr">
        <is>
          <t>2022-08-05</t>
        </is>
      </c>
      <c r="K436" t="inlineStr">
        <is>
          <t>ESIOS 1001 geo 8741</t>
        </is>
      </c>
      <c r="L436" t="inlineStr">
        <is>
          <t>24 valores; mín 241.12, máx 366.73 €/MWh</t>
        </is>
      </c>
    </row>
    <row r="437">
      <c r="A437" s="53" t="n">
        <v>44780</v>
      </c>
      <c r="B437" t="inlineStr">
        <is>
          <t>2022-08-07</t>
        </is>
      </c>
      <c r="C437" s="45" t="n">
        <v>300.0408</v>
      </c>
      <c r="D437" t="inlineStr">
        <is>
          <t>€/MWh</t>
        </is>
      </c>
      <c r="E437" s="54" t="n">
        <v>0.300041</v>
      </c>
      <c r="F437" s="54" t="n">
        <v>0.316618</v>
      </c>
      <c r="G437" t="inlineStr">
        <is>
          <t>calculado</t>
        </is>
      </c>
      <c r="H437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437" t="inlineStr">
        <is>
          <t>2022-08-06</t>
        </is>
      </c>
      <c r="K437" t="inlineStr">
        <is>
          <t>ESIOS 1001 geo 8741</t>
        </is>
      </c>
      <c r="L437" t="inlineStr">
        <is>
          <t>24 valores; mín 186.44, máx 413.75 €/MWh</t>
        </is>
      </c>
    </row>
    <row r="438">
      <c r="A438" s="53" t="n">
        <v>44781</v>
      </c>
      <c r="B438" t="inlineStr">
        <is>
          <t>2022-08-08</t>
        </is>
      </c>
      <c r="C438" s="45" t="n">
        <v>363.5342</v>
      </c>
      <c r="D438" t="inlineStr">
        <is>
          <t>€/MWh</t>
        </is>
      </c>
      <c r="E438" s="54" t="n">
        <v>0.363534</v>
      </c>
      <c r="F438" s="54" t="n">
        <v>0.383619</v>
      </c>
      <c r="G438" t="inlineStr">
        <is>
          <t>calculado</t>
        </is>
      </c>
      <c r="H438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438" t="inlineStr">
        <is>
          <t>2022-08-07</t>
        </is>
      </c>
      <c r="K438" t="inlineStr">
        <is>
          <t>ESIOS 1001 geo 8741</t>
        </is>
      </c>
      <c r="L438" t="inlineStr">
        <is>
          <t>24 valores; mín 288.90, máx 407.39 €/MWh</t>
        </is>
      </c>
    </row>
    <row r="439">
      <c r="A439" s="53" t="n">
        <v>44782</v>
      </c>
      <c r="B439" t="inlineStr">
        <is>
          <t>2022-08-09</t>
        </is>
      </c>
      <c r="C439" s="45" t="n">
        <v>365.1196</v>
      </c>
      <c r="D439" t="inlineStr">
        <is>
          <t>€/MWh</t>
        </is>
      </c>
      <c r="E439" s="54" t="n">
        <v>0.36512</v>
      </c>
      <c r="F439" s="54" t="n">
        <v>0.385292</v>
      </c>
      <c r="G439" t="inlineStr">
        <is>
          <t>calculado</t>
        </is>
      </c>
      <c r="H439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439" t="inlineStr">
        <is>
          <t>2022-08-08</t>
        </is>
      </c>
      <c r="K439" t="inlineStr">
        <is>
          <t>ESIOS 1001 geo 8741</t>
        </is>
      </c>
      <c r="L439" t="inlineStr">
        <is>
          <t>24 valores; mín 290.07, máx 419.15 €/MWh</t>
        </is>
      </c>
    </row>
    <row r="440">
      <c r="A440" s="53" t="n">
        <v>44783</v>
      </c>
      <c r="B440" t="inlineStr">
        <is>
          <t>2022-08-10</t>
        </is>
      </c>
      <c r="C440" s="45" t="n">
        <v>367.6925</v>
      </c>
      <c r="D440" t="inlineStr">
        <is>
          <t>€/MWh</t>
        </is>
      </c>
      <c r="E440" s="54" t="n">
        <v>0.367693</v>
      </c>
      <c r="F440" s="54" t="n">
        <v>0.388008</v>
      </c>
      <c r="G440" t="inlineStr">
        <is>
          <t>calculado</t>
        </is>
      </c>
      <c r="H440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440" t="inlineStr">
        <is>
          <t>2022-08-09</t>
        </is>
      </c>
      <c r="K440" t="inlineStr">
        <is>
          <t>ESIOS 1001 geo 8741</t>
        </is>
      </c>
      <c r="L440" t="inlineStr">
        <is>
          <t>24 valores; mín 289.18, máx 423.66 €/MWh</t>
        </is>
      </c>
    </row>
    <row r="441">
      <c r="A441" s="53" t="n">
        <v>44784</v>
      </c>
      <c r="B441" t="inlineStr">
        <is>
          <t>2022-08-11</t>
        </is>
      </c>
      <c r="C441" s="45" t="n">
        <v>370.5342</v>
      </c>
      <c r="D441" t="inlineStr">
        <is>
          <t>€/MWh</t>
        </is>
      </c>
      <c r="E441" s="54" t="n">
        <v>0.370534</v>
      </c>
      <c r="F441" s="54" t="n">
        <v>0.391006</v>
      </c>
      <c r="G441" t="inlineStr">
        <is>
          <t>calculado</t>
        </is>
      </c>
      <c r="H441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441" t="inlineStr">
        <is>
          <t>2022-08-10</t>
        </is>
      </c>
      <c r="K441" t="inlineStr">
        <is>
          <t>ESIOS 1001 geo 8741</t>
        </is>
      </c>
      <c r="L441" t="inlineStr">
        <is>
          <t>24 valores; mín 283.82, máx 421.70 €/MWh</t>
        </is>
      </c>
    </row>
    <row r="442">
      <c r="A442" s="53" t="n">
        <v>44785</v>
      </c>
      <c r="B442" t="inlineStr">
        <is>
          <t>2022-08-12</t>
        </is>
      </c>
      <c r="C442" s="45" t="n">
        <v>398.4058</v>
      </c>
      <c r="D442" t="inlineStr">
        <is>
          <t>€/MWh</t>
        </is>
      </c>
      <c r="E442" s="54" t="n">
        <v>0.398406</v>
      </c>
      <c r="F442" s="54" t="n">
        <v>0.420418</v>
      </c>
      <c r="G442" t="inlineStr">
        <is>
          <t>calculado</t>
        </is>
      </c>
      <c r="H442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442" t="inlineStr">
        <is>
          <t>2022-08-11</t>
        </is>
      </c>
      <c r="K442" t="inlineStr">
        <is>
          <t>ESIOS 1001 geo 8741</t>
        </is>
      </c>
      <c r="L442" t="inlineStr">
        <is>
          <t>24 valores; mín 306.43, máx 453.15 €/MWh</t>
        </is>
      </c>
    </row>
    <row r="443">
      <c r="A443" s="53" t="n">
        <v>44786</v>
      </c>
      <c r="B443" t="inlineStr">
        <is>
          <t>2022-08-13</t>
        </is>
      </c>
      <c r="C443" s="45" t="n">
        <v>371.9792</v>
      </c>
      <c r="D443" t="inlineStr">
        <is>
          <t>€/MWh</t>
        </is>
      </c>
      <c r="E443" s="54" t="n">
        <v>0.371979</v>
      </c>
      <c r="F443" s="54" t="n">
        <v>0.392531</v>
      </c>
      <c r="G443" t="inlineStr">
        <is>
          <t>calculado</t>
        </is>
      </c>
      <c r="H443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443" t="inlineStr">
        <is>
          <t>2022-08-12</t>
        </is>
      </c>
      <c r="K443" t="inlineStr">
        <is>
          <t>ESIOS 1001 geo 8741</t>
        </is>
      </c>
      <c r="L443" t="inlineStr">
        <is>
          <t>24 valores; mín 259.78, máx 489.48 €/MWh</t>
        </is>
      </c>
    </row>
    <row r="444">
      <c r="A444" s="53" t="n">
        <v>44787</v>
      </c>
      <c r="B444" t="inlineStr">
        <is>
          <t>2022-08-14</t>
        </is>
      </c>
      <c r="C444" s="45" t="n">
        <v>338.5333</v>
      </c>
      <c r="D444" t="inlineStr">
        <is>
          <t>€/MWh</t>
        </is>
      </c>
      <c r="E444" s="54" t="n">
        <v>0.338533</v>
      </c>
      <c r="F444" s="54" t="n">
        <v>0.357237</v>
      </c>
      <c r="G444" t="inlineStr">
        <is>
          <t>calculado</t>
        </is>
      </c>
      <c r="H444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444" t="inlineStr">
        <is>
          <t>2022-08-13</t>
        </is>
      </c>
      <c r="K444" t="inlineStr">
        <is>
          <t>ESIOS 1001 geo 8741</t>
        </is>
      </c>
      <c r="L444" t="inlineStr">
        <is>
          <t>24 valores; mín 203.61, máx 481.67 €/MWh</t>
        </is>
      </c>
    </row>
    <row r="445">
      <c r="A445" s="53" t="n">
        <v>44788</v>
      </c>
      <c r="B445" t="inlineStr">
        <is>
          <t>2022-08-15</t>
        </is>
      </c>
      <c r="C445" s="45" t="n">
        <v>312.7433</v>
      </c>
      <c r="D445" t="inlineStr">
        <is>
          <t>€/MWh</t>
        </is>
      </c>
      <c r="E445" s="54" t="n">
        <v>0.312743</v>
      </c>
      <c r="F445" s="54" t="n">
        <v>0.330022</v>
      </c>
      <c r="G445" t="inlineStr">
        <is>
          <t>calculado</t>
        </is>
      </c>
      <c r="H445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445" t="inlineStr">
        <is>
          <t>2022-08-14</t>
        </is>
      </c>
      <c r="K445" t="inlineStr">
        <is>
          <t>ESIOS 1001 geo 8741</t>
        </is>
      </c>
      <c r="L445" t="inlineStr">
        <is>
          <t>24 valores; mín 227.74, máx 399.48 €/MWh</t>
        </is>
      </c>
    </row>
    <row r="446">
      <c r="A446" s="53" t="n">
        <v>44789</v>
      </c>
      <c r="B446" t="inlineStr">
        <is>
          <t>2022-08-16</t>
        </is>
      </c>
      <c r="C446" s="45" t="n">
        <v>332.0971</v>
      </c>
      <c r="D446" t="inlineStr">
        <is>
          <t>€/MWh</t>
        </is>
      </c>
      <c r="E446" s="54" t="n">
        <v>0.332097</v>
      </c>
      <c r="F446" s="54" t="n">
        <v>0.350445</v>
      </c>
      <c r="G446" t="inlineStr">
        <is>
          <t>calculado</t>
        </is>
      </c>
      <c r="H446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446" t="inlineStr">
        <is>
          <t>2022-08-15</t>
        </is>
      </c>
      <c r="K446" t="inlineStr">
        <is>
          <t>ESIOS 1001 geo 8741</t>
        </is>
      </c>
      <c r="L446" t="inlineStr">
        <is>
          <t>24 valores; mín 225.32, máx 400.31 €/MWh</t>
        </is>
      </c>
    </row>
    <row r="447">
      <c r="A447" s="53" t="n">
        <v>44790</v>
      </c>
      <c r="B447" t="inlineStr">
        <is>
          <t>2022-08-17</t>
        </is>
      </c>
      <c r="C447" s="45" t="n">
        <v>328.5938</v>
      </c>
      <c r="D447" t="inlineStr">
        <is>
          <t>€/MWh</t>
        </is>
      </c>
      <c r="E447" s="54" t="n">
        <v>0.328594</v>
      </c>
      <c r="F447" s="54" t="n">
        <v>0.346749</v>
      </c>
      <c r="G447" t="inlineStr">
        <is>
          <t>calculado</t>
        </is>
      </c>
      <c r="H447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447" t="inlineStr">
        <is>
          <t>2022-08-16</t>
        </is>
      </c>
      <c r="K447" t="inlineStr">
        <is>
          <t>ESIOS 1001 geo 8741</t>
        </is>
      </c>
      <c r="L447" t="inlineStr">
        <is>
          <t>24 valores; mín 243.46, máx 394.35 €/MWh</t>
        </is>
      </c>
    </row>
    <row r="448">
      <c r="A448" s="53" t="n">
        <v>44791</v>
      </c>
      <c r="B448" t="inlineStr">
        <is>
          <t>2022-08-18</t>
        </is>
      </c>
      <c r="C448" s="45" t="n">
        <v>304.9633</v>
      </c>
      <c r="D448" t="inlineStr">
        <is>
          <t>€/MWh</t>
        </is>
      </c>
      <c r="E448" s="54" t="n">
        <v>0.304963</v>
      </c>
      <c r="F448" s="54" t="n">
        <v>0.321813</v>
      </c>
      <c r="G448" t="inlineStr">
        <is>
          <t>calculado</t>
        </is>
      </c>
      <c r="H448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448" t="inlineStr">
        <is>
          <t>2022-08-17</t>
        </is>
      </c>
      <c r="K448" t="inlineStr">
        <is>
          <t>ESIOS 1001 geo 8741</t>
        </is>
      </c>
      <c r="L448" t="inlineStr">
        <is>
          <t>24 valores; mín 227.42, máx 406.79 €/MWh</t>
        </is>
      </c>
    </row>
    <row r="449">
      <c r="A449" s="53" t="n">
        <v>44792</v>
      </c>
      <c r="B449" t="inlineStr">
        <is>
          <t>2022-08-19</t>
        </is>
      </c>
      <c r="C449" s="45" t="n">
        <v>316.5725</v>
      </c>
      <c r="D449" t="inlineStr">
        <is>
          <t>€/MWh</t>
        </is>
      </c>
      <c r="E449" s="54" t="n">
        <v>0.316572</v>
      </c>
      <c r="F449" s="54" t="n">
        <v>0.334063</v>
      </c>
      <c r="G449" t="inlineStr">
        <is>
          <t>calculado</t>
        </is>
      </c>
      <c r="H449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449" t="inlineStr">
        <is>
          <t>2022-08-18</t>
        </is>
      </c>
      <c r="K449" t="inlineStr">
        <is>
          <t>ESIOS 1001 geo 8741</t>
        </is>
      </c>
      <c r="L449" t="inlineStr">
        <is>
          <t>24 valores; mín 262.55, máx 471.30 €/MWh</t>
        </is>
      </c>
    </row>
    <row r="450">
      <c r="A450" s="53" t="n">
        <v>44793</v>
      </c>
      <c r="B450" t="inlineStr">
        <is>
          <t>2022-08-20</t>
        </is>
      </c>
      <c r="C450" s="45" t="n">
        <v>369.1229</v>
      </c>
      <c r="D450" t="inlineStr">
        <is>
          <t>€/MWh</t>
        </is>
      </c>
      <c r="E450" s="54" t="n">
        <v>0.369123</v>
      </c>
      <c r="F450" s="54" t="n">
        <v>0.389517</v>
      </c>
      <c r="G450" t="inlineStr">
        <is>
          <t>calculado</t>
        </is>
      </c>
      <c r="H450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450" t="inlineStr">
        <is>
          <t>2022-08-19</t>
        </is>
      </c>
      <c r="K450" t="inlineStr">
        <is>
          <t>ESIOS 1001 geo 8741</t>
        </is>
      </c>
      <c r="L450" t="inlineStr">
        <is>
          <t>24 valores; mín 261.31, máx 456.07 €/MWh</t>
        </is>
      </c>
    </row>
    <row r="451">
      <c r="A451" s="53" t="n">
        <v>44794</v>
      </c>
      <c r="B451" t="inlineStr">
        <is>
          <t>2022-08-21</t>
        </is>
      </c>
      <c r="C451" s="45" t="n">
        <v>341.0196</v>
      </c>
      <c r="D451" t="inlineStr">
        <is>
          <t>€/MWh</t>
        </is>
      </c>
      <c r="E451" s="54" t="n">
        <v>0.34102</v>
      </c>
      <c r="F451" s="54" t="n">
        <v>0.359861</v>
      </c>
      <c r="G451" t="inlineStr">
        <is>
          <t>calculado</t>
        </is>
      </c>
      <c r="H451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451" t="inlineStr">
        <is>
          <t>2022-08-20</t>
        </is>
      </c>
      <c r="K451" t="inlineStr">
        <is>
          <t>ESIOS 1001 geo 8741</t>
        </is>
      </c>
      <c r="L451" t="inlineStr">
        <is>
          <t>24 valores; mín 125.37, máx 505.34 €/MWh</t>
        </is>
      </c>
    </row>
    <row r="452">
      <c r="A452" s="53" t="n">
        <v>44795</v>
      </c>
      <c r="B452" t="inlineStr">
        <is>
          <t>2022-08-22</t>
        </is>
      </c>
      <c r="C452" s="45" t="n">
        <v>379.99</v>
      </c>
      <c r="D452" t="inlineStr">
        <is>
          <t>€/MWh</t>
        </is>
      </c>
      <c r="E452" s="54" t="n">
        <v>0.37999</v>
      </c>
      <c r="F452" s="54" t="n">
        <v>0.400984</v>
      </c>
      <c r="G452" t="inlineStr">
        <is>
          <t>calculado</t>
        </is>
      </c>
      <c r="H452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452" t="inlineStr">
        <is>
          <t>2022-08-21</t>
        </is>
      </c>
      <c r="K452" t="inlineStr">
        <is>
          <t>ESIOS 1001 geo 8741</t>
        </is>
      </c>
      <c r="L452" t="inlineStr">
        <is>
          <t>24 valores; mín 291.78, máx 496.39 €/MWh</t>
        </is>
      </c>
    </row>
    <row r="453">
      <c r="A453" s="53" t="n">
        <v>44796</v>
      </c>
      <c r="B453" t="inlineStr">
        <is>
          <t>2022-08-23</t>
        </is>
      </c>
      <c r="C453" s="45" t="n">
        <v>488.11</v>
      </c>
      <c r="D453" t="inlineStr">
        <is>
          <t>€/MWh</t>
        </is>
      </c>
      <c r="E453" s="54" t="n">
        <v>0.48811</v>
      </c>
      <c r="F453" s="54" t="n">
        <v>0.515078</v>
      </c>
      <c r="G453" t="inlineStr">
        <is>
          <t>calculado</t>
        </is>
      </c>
      <c r="H453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453" t="inlineStr">
        <is>
          <t>2022-08-22</t>
        </is>
      </c>
      <c r="K453" t="inlineStr">
        <is>
          <t>ESIOS 1001 geo 8741</t>
        </is>
      </c>
      <c r="L453" t="inlineStr">
        <is>
          <t>24 valores; mín 423.30, máx 610.31 €/MWh</t>
        </is>
      </c>
    </row>
    <row r="454">
      <c r="A454" s="53" t="n">
        <v>44797</v>
      </c>
      <c r="B454" t="inlineStr">
        <is>
          <t>2022-08-24</t>
        </is>
      </c>
      <c r="C454" s="45" t="n">
        <v>566.9512</v>
      </c>
      <c r="D454" t="inlineStr">
        <is>
          <t>€/MWh</t>
        </is>
      </c>
      <c r="E454" s="54" t="n">
        <v>0.566951</v>
      </c>
      <c r="F454" s="54" t="n">
        <v>0.598275</v>
      </c>
      <c r="G454" t="inlineStr">
        <is>
          <t>calculado</t>
        </is>
      </c>
      <c r="H454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454" t="inlineStr">
        <is>
          <t>2022-08-23</t>
        </is>
      </c>
      <c r="K454" t="inlineStr">
        <is>
          <t>ESIOS 1001 geo 8741</t>
        </is>
      </c>
      <c r="L454" t="inlineStr">
        <is>
          <t>24 valores; mín 418.28, máx 692.88 €/MWh</t>
        </is>
      </c>
    </row>
    <row r="455">
      <c r="A455" s="53" t="n">
        <v>44798</v>
      </c>
      <c r="B455" t="inlineStr">
        <is>
          <t>2022-08-25</t>
        </is>
      </c>
      <c r="C455" s="45" t="n">
        <v>500.1946</v>
      </c>
      <c r="D455" t="inlineStr">
        <is>
          <t>€/MWh</t>
        </is>
      </c>
      <c r="E455" s="54" t="n">
        <v>0.5001949999999999</v>
      </c>
      <c r="F455" s="54" t="n">
        <v>0.52783</v>
      </c>
      <c r="G455" t="inlineStr">
        <is>
          <t>calculado</t>
        </is>
      </c>
      <c r="H455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455" t="inlineStr">
        <is>
          <t>2022-08-24</t>
        </is>
      </c>
      <c r="K455" t="inlineStr">
        <is>
          <t>ESIOS 1001 geo 8741</t>
        </is>
      </c>
      <c r="L455" t="inlineStr">
        <is>
          <t>24 valores; mín 372.96, máx 603.08 €/MWh</t>
        </is>
      </c>
    </row>
    <row r="456">
      <c r="A456" s="53" t="n">
        <v>44799</v>
      </c>
      <c r="B456" t="inlineStr">
        <is>
          <t>2022-08-26</t>
        </is>
      </c>
      <c r="C456" s="45" t="n">
        <v>438.6417</v>
      </c>
      <c r="D456" t="inlineStr">
        <is>
          <t>€/MWh</t>
        </is>
      </c>
      <c r="E456" s="54" t="n">
        <v>0.438642</v>
      </c>
      <c r="F456" s="54" t="n">
        <v>0.462877</v>
      </c>
      <c r="G456" t="inlineStr">
        <is>
          <t>calculado</t>
        </is>
      </c>
      <c r="H456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456" t="inlineStr">
        <is>
          <t>2022-08-25</t>
        </is>
      </c>
      <c r="K456" t="inlineStr">
        <is>
          <t>ESIOS 1001 geo 8741</t>
        </is>
      </c>
      <c r="L456" t="inlineStr">
        <is>
          <t>24 valores; mín 358.93, máx 548.29 €/MWh</t>
        </is>
      </c>
    </row>
    <row r="457">
      <c r="A457" s="53" t="n">
        <v>44800</v>
      </c>
      <c r="B457" t="inlineStr">
        <is>
          <t>2022-08-27</t>
        </is>
      </c>
      <c r="C457" s="45" t="n">
        <v>477.0675</v>
      </c>
      <c r="D457" t="inlineStr">
        <is>
          <t>€/MWh</t>
        </is>
      </c>
      <c r="E457" s="54" t="n">
        <v>0.477067</v>
      </c>
      <c r="F457" s="54" t="n">
        <v>0.503425</v>
      </c>
      <c r="G457" t="inlineStr">
        <is>
          <t>calculado</t>
        </is>
      </c>
      <c r="H457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457" t="inlineStr">
        <is>
          <t>2022-08-26</t>
        </is>
      </c>
      <c r="K457" t="inlineStr">
        <is>
          <t>ESIOS 1001 geo 8741</t>
        </is>
      </c>
      <c r="L457" t="inlineStr">
        <is>
          <t>24 valores; mín 381.23, máx 581.64 €/MWh</t>
        </is>
      </c>
    </row>
    <row r="458">
      <c r="A458" s="53" t="n">
        <v>44801</v>
      </c>
      <c r="B458" t="inlineStr">
        <is>
          <t>2022-08-28</t>
        </is>
      </c>
      <c r="C458" s="45" t="n">
        <v>479.8771</v>
      </c>
      <c r="D458" t="inlineStr">
        <is>
          <t>€/MWh</t>
        </is>
      </c>
      <c r="E458" s="54" t="n">
        <v>0.479877</v>
      </c>
      <c r="F458" s="54" t="n">
        <v>0.50639</v>
      </c>
      <c r="G458" t="inlineStr">
        <is>
          <t>calculado</t>
        </is>
      </c>
      <c r="H458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458" t="inlineStr">
        <is>
          <t>2022-08-27</t>
        </is>
      </c>
      <c r="K458" t="inlineStr">
        <is>
          <t>ESIOS 1001 geo 8741</t>
        </is>
      </c>
      <c r="L458" t="inlineStr">
        <is>
          <t>24 valores; mín 292.37, máx 665.19 €/MWh</t>
        </is>
      </c>
    </row>
    <row r="459">
      <c r="A459" s="53" t="n">
        <v>44802</v>
      </c>
      <c r="B459" t="inlineStr">
        <is>
          <t>2022-08-29</t>
        </is>
      </c>
      <c r="C459" s="45" t="n">
        <v>544.1213</v>
      </c>
      <c r="D459" t="inlineStr">
        <is>
          <t>€/MWh</t>
        </is>
      </c>
      <c r="E459" s="54" t="n">
        <v>0.544121</v>
      </c>
      <c r="F459" s="54" t="n">
        <v>0.574184</v>
      </c>
      <c r="G459" t="inlineStr">
        <is>
          <t>calculado</t>
        </is>
      </c>
      <c r="H459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459" t="inlineStr">
        <is>
          <t>2022-08-28</t>
        </is>
      </c>
      <c r="K459" t="inlineStr">
        <is>
          <t>ESIOS 1001 geo 8741</t>
        </is>
      </c>
      <c r="L459" t="inlineStr">
        <is>
          <t>24 valores; mín 382.99, máx 644.20 €/MWh</t>
        </is>
      </c>
    </row>
    <row r="460">
      <c r="A460" s="53" t="n">
        <v>44803</v>
      </c>
      <c r="B460" t="inlineStr">
        <is>
          <t>2022-08-30</t>
        </is>
      </c>
      <c r="C460" s="45" t="n">
        <v>588.9538</v>
      </c>
      <c r="D460" t="inlineStr">
        <is>
          <t>€/MWh</t>
        </is>
      </c>
      <c r="E460" s="54" t="n">
        <v>0.588954</v>
      </c>
      <c r="F460" s="54" t="n">
        <v>0.621493</v>
      </c>
      <c r="G460" t="inlineStr">
        <is>
          <t>calculado</t>
        </is>
      </c>
      <c r="H460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460" t="inlineStr">
        <is>
          <t>2022-08-29</t>
        </is>
      </c>
      <c r="K460" t="inlineStr">
        <is>
          <t>ESIOS 1001 geo 8741</t>
        </is>
      </c>
      <c r="L460" t="inlineStr">
        <is>
          <t>24 valores; mín 433.22, máx 712.60 €/MWh</t>
        </is>
      </c>
    </row>
    <row r="461">
      <c r="A461" s="53" t="n">
        <v>44804</v>
      </c>
      <c r="B461" t="inlineStr">
        <is>
          <t>2022-08-31</t>
        </is>
      </c>
      <c r="C461" s="45" t="n">
        <v>609.2817</v>
      </c>
      <c r="D461" t="inlineStr">
        <is>
          <t>€/MWh</t>
        </is>
      </c>
      <c r="E461" s="54" t="n">
        <v>0.609282</v>
      </c>
      <c r="F461" s="54" t="n">
        <v>0.642945</v>
      </c>
      <c r="G461" t="inlineStr">
        <is>
          <t>calculado</t>
        </is>
      </c>
      <c r="H461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461" t="inlineStr">
        <is>
          <t>2022-08-30</t>
        </is>
      </c>
      <c r="K461" t="inlineStr">
        <is>
          <t>ESIOS 1001 geo 8741</t>
        </is>
      </c>
      <c r="L461" t="inlineStr">
        <is>
          <t>24 valores; mín 482.75, máx 706.28 €/MWh</t>
        </is>
      </c>
    </row>
    <row r="462">
      <c r="A462" s="53" t="n">
        <v>44805</v>
      </c>
      <c r="B462" t="inlineStr">
        <is>
          <t>2022-09-01</t>
        </is>
      </c>
      <c r="C462" s="45" t="n">
        <v>578.5078999999999</v>
      </c>
      <c r="D462" t="inlineStr">
        <is>
          <t>€/MWh</t>
        </is>
      </c>
      <c r="E462" s="54" t="n">
        <v>0.578508</v>
      </c>
      <c r="F462" s="54" t="n">
        <v>0.61047</v>
      </c>
      <c r="G462" t="inlineStr">
        <is>
          <t>calculado</t>
        </is>
      </c>
      <c r="H462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462" t="inlineStr">
        <is>
          <t>2022-08-31</t>
        </is>
      </c>
      <c r="K462" t="inlineStr">
        <is>
          <t>ESIOS 1001 geo 8741</t>
        </is>
      </c>
      <c r="L462" t="inlineStr">
        <is>
          <t>24 valores; mín 437.94, máx 660.17 €/MWh</t>
        </is>
      </c>
    </row>
    <row r="463">
      <c r="A463" s="53" t="n">
        <v>44806</v>
      </c>
      <c r="B463" t="inlineStr">
        <is>
          <t>2022-09-02</t>
        </is>
      </c>
      <c r="C463" s="45" t="n">
        <v>486.1958</v>
      </c>
      <c r="D463" t="inlineStr">
        <is>
          <t>€/MWh</t>
        </is>
      </c>
      <c r="E463" s="54" t="n">
        <v>0.486196</v>
      </c>
      <c r="F463" s="54" t="n">
        <v>0.513058</v>
      </c>
      <c r="G463" t="inlineStr">
        <is>
          <t>calculado</t>
        </is>
      </c>
      <c r="H463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463" t="inlineStr">
        <is>
          <t>2022-09-01</t>
        </is>
      </c>
      <c r="K463" t="inlineStr">
        <is>
          <t>ESIOS 1001 geo 8741</t>
        </is>
      </c>
      <c r="L463" t="inlineStr">
        <is>
          <t>24 valores; mín 380.44, máx 558.56 €/MWh</t>
        </is>
      </c>
    </row>
    <row r="464">
      <c r="A464" s="53" t="n">
        <v>44807</v>
      </c>
      <c r="B464" t="inlineStr">
        <is>
          <t>2022-09-03</t>
        </is>
      </c>
      <c r="C464" s="45" t="n">
        <v>369.2346</v>
      </c>
      <c r="D464" t="inlineStr">
        <is>
          <t>€/MWh</t>
        </is>
      </c>
      <c r="E464" s="54" t="n">
        <v>0.369235</v>
      </c>
      <c r="F464" s="54" t="n">
        <v>0.389635</v>
      </c>
      <c r="G464" t="inlineStr">
        <is>
          <t>calculado</t>
        </is>
      </c>
      <c r="H464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464" t="inlineStr">
        <is>
          <t>2022-09-02</t>
        </is>
      </c>
      <c r="K464" t="inlineStr">
        <is>
          <t>ESIOS 1001 geo 8741</t>
        </is>
      </c>
      <c r="L464" t="inlineStr">
        <is>
          <t>24 valores; mín 185.41, máx 509.36 €/MWh</t>
        </is>
      </c>
    </row>
    <row r="465">
      <c r="A465" s="53" t="n">
        <v>44808</v>
      </c>
      <c r="B465" t="inlineStr">
        <is>
          <t>2022-09-04</t>
        </is>
      </c>
      <c r="C465" s="45" t="n">
        <v>251.5721</v>
      </c>
      <c r="D465" t="inlineStr">
        <is>
          <t>€/MWh</t>
        </is>
      </c>
      <c r="E465" s="54" t="n">
        <v>0.251572</v>
      </c>
      <c r="F465" s="54" t="n">
        <v>0.265471</v>
      </c>
      <c r="G465" t="inlineStr">
        <is>
          <t>calculado</t>
        </is>
      </c>
      <c r="H465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465" t="inlineStr">
        <is>
          <t>2022-09-03</t>
        </is>
      </c>
      <c r="K465" t="inlineStr">
        <is>
          <t>ESIOS 1001 geo 8741</t>
        </is>
      </c>
      <c r="L465" t="inlineStr">
        <is>
          <t>24 valores; mín 54.58, máx 372.12 €/MWh</t>
        </is>
      </c>
    </row>
    <row r="466">
      <c r="A466" s="53" t="n">
        <v>44809</v>
      </c>
      <c r="B466" t="inlineStr">
        <is>
          <t>2022-09-05</t>
        </is>
      </c>
      <c r="C466" s="45" t="n">
        <v>331.6121</v>
      </c>
      <c r="D466" t="inlineStr">
        <is>
          <t>€/MWh</t>
        </is>
      </c>
      <c r="E466" s="54" t="n">
        <v>0.331612</v>
      </c>
      <c r="F466" s="54" t="n">
        <v>0.349934</v>
      </c>
      <c r="G466" t="inlineStr">
        <is>
          <t>calculado</t>
        </is>
      </c>
      <c r="H466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466" t="inlineStr">
        <is>
          <t>2022-09-04</t>
        </is>
      </c>
      <c r="K466" t="inlineStr">
        <is>
          <t>ESIOS 1001 geo 8741</t>
        </is>
      </c>
      <c r="L466" t="inlineStr">
        <is>
          <t>24 valores; mín 211.05, máx 463.52 €/MWh</t>
        </is>
      </c>
    </row>
    <row r="467">
      <c r="A467" s="53" t="n">
        <v>44810</v>
      </c>
      <c r="B467" t="inlineStr">
        <is>
          <t>2022-09-06</t>
        </is>
      </c>
      <c r="C467" s="45" t="n">
        <v>389.6558</v>
      </c>
      <c r="D467" t="inlineStr">
        <is>
          <t>€/MWh</t>
        </is>
      </c>
      <c r="E467" s="54" t="n">
        <v>0.389656</v>
      </c>
      <c r="F467" s="54" t="n">
        <v>0.411184</v>
      </c>
      <c r="G467" t="inlineStr">
        <is>
          <t>calculado</t>
        </is>
      </c>
      <c r="H467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467" t="inlineStr">
        <is>
          <t>2022-09-05</t>
        </is>
      </c>
      <c r="K467" t="inlineStr">
        <is>
          <t>ESIOS 1001 geo 8741</t>
        </is>
      </c>
      <c r="L467" t="inlineStr">
        <is>
          <t>24 valores; mín 293.30, máx 522.99 €/MWh</t>
        </is>
      </c>
    </row>
    <row r="468">
      <c r="A468" s="53" t="n">
        <v>44811</v>
      </c>
      <c r="B468" t="inlineStr">
        <is>
          <t>2022-09-07</t>
        </is>
      </c>
      <c r="C468" s="45" t="n">
        <v>295.6983</v>
      </c>
      <c r="D468" t="inlineStr">
        <is>
          <t>€/MWh</t>
        </is>
      </c>
      <c r="E468" s="54" t="n">
        <v>0.295698</v>
      </c>
      <c r="F468" s="54" t="n">
        <v>0.312036</v>
      </c>
      <c r="G468" t="inlineStr">
        <is>
          <t>calculado</t>
        </is>
      </c>
      <c r="H468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468" t="inlineStr">
        <is>
          <t>2022-09-06</t>
        </is>
      </c>
      <c r="K468" t="inlineStr">
        <is>
          <t>ESIOS 1001 geo 8741</t>
        </is>
      </c>
      <c r="L468" t="inlineStr">
        <is>
          <t>24 valores; mín 167.58, máx 414.34 €/MWh</t>
        </is>
      </c>
    </row>
    <row r="469">
      <c r="A469" s="53" t="n">
        <v>44812</v>
      </c>
      <c r="B469" t="inlineStr">
        <is>
          <t>2022-09-08</t>
        </is>
      </c>
      <c r="C469" s="45" t="n">
        <v>328.0792</v>
      </c>
      <c r="D469" t="inlineStr">
        <is>
          <t>€/MWh</t>
        </is>
      </c>
      <c r="E469" s="54" t="n">
        <v>0.328079</v>
      </c>
      <c r="F469" s="54" t="n">
        <v>0.346206</v>
      </c>
      <c r="G469" t="inlineStr">
        <is>
          <t>calculado</t>
        </is>
      </c>
      <c r="H469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469" t="inlineStr">
        <is>
          <t>2022-09-07</t>
        </is>
      </c>
      <c r="K469" t="inlineStr">
        <is>
          <t>ESIOS 1001 geo 8741</t>
        </is>
      </c>
      <c r="L469" t="inlineStr">
        <is>
          <t>24 valores; mín 260.97, máx 470.89 €/MWh</t>
        </is>
      </c>
    </row>
    <row r="470">
      <c r="A470" s="53" t="n">
        <v>44813</v>
      </c>
      <c r="B470" t="inlineStr">
        <is>
          <t>2022-09-09</t>
        </is>
      </c>
      <c r="C470" s="45" t="n">
        <v>331.6583</v>
      </c>
      <c r="D470" t="inlineStr">
        <is>
          <t>€/MWh</t>
        </is>
      </c>
      <c r="E470" s="54" t="n">
        <v>0.331658</v>
      </c>
      <c r="F470" s="54" t="n">
        <v>0.349982</v>
      </c>
      <c r="G470" t="inlineStr">
        <is>
          <t>calculado</t>
        </is>
      </c>
      <c r="H470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470" t="inlineStr">
        <is>
          <t>2022-09-08</t>
        </is>
      </c>
      <c r="K470" t="inlineStr">
        <is>
          <t>ESIOS 1001 geo 8741</t>
        </is>
      </c>
      <c r="L470" t="inlineStr">
        <is>
          <t>24 valores; mín 243.88, máx 466.73 €/MWh</t>
        </is>
      </c>
    </row>
    <row r="471">
      <c r="A471" s="53" t="n">
        <v>44814</v>
      </c>
      <c r="B471" t="inlineStr">
        <is>
          <t>2022-09-10</t>
        </is>
      </c>
      <c r="C471" s="45" t="n">
        <v>348.8596</v>
      </c>
      <c r="D471" t="inlineStr">
        <is>
          <t>€/MWh</t>
        </is>
      </c>
      <c r="E471" s="54" t="n">
        <v>0.34886</v>
      </c>
      <c r="F471" s="54" t="n">
        <v>0.368134</v>
      </c>
      <c r="G471" t="inlineStr">
        <is>
          <t>calculado</t>
        </is>
      </c>
      <c r="H471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471" t="inlineStr">
        <is>
          <t>2022-09-09</t>
        </is>
      </c>
      <c r="K471" t="inlineStr">
        <is>
          <t>ESIOS 1001 geo 8741</t>
        </is>
      </c>
      <c r="L471" t="inlineStr">
        <is>
          <t>24 valores; mín 239.51, máx 492.96 €/MWh</t>
        </is>
      </c>
    </row>
    <row r="472">
      <c r="A472" s="53" t="n">
        <v>44815</v>
      </c>
      <c r="B472" t="inlineStr">
        <is>
          <t>2022-09-11</t>
        </is>
      </c>
      <c r="C472" s="45" t="n">
        <v>342.7271</v>
      </c>
      <c r="D472" t="inlineStr">
        <is>
          <t>€/MWh</t>
        </is>
      </c>
      <c r="E472" s="54" t="n">
        <v>0.342727</v>
      </c>
      <c r="F472" s="54" t="n">
        <v>0.361663</v>
      </c>
      <c r="G472" t="inlineStr">
        <is>
          <t>calculado</t>
        </is>
      </c>
      <c r="H472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472" t="inlineStr">
        <is>
          <t>2022-09-10</t>
        </is>
      </c>
      <c r="K472" t="inlineStr">
        <is>
          <t>ESIOS 1001 geo 8741</t>
        </is>
      </c>
      <c r="L472" t="inlineStr">
        <is>
          <t>24 valores; mín 196.38, máx 462.06 €/MWh</t>
        </is>
      </c>
    </row>
    <row r="473">
      <c r="A473" s="53" t="n">
        <v>44816</v>
      </c>
      <c r="B473" t="inlineStr">
        <is>
          <t>2022-09-12</t>
        </is>
      </c>
      <c r="C473" s="45" t="n">
        <v>383.545</v>
      </c>
      <c r="D473" t="inlineStr">
        <is>
          <t>€/MWh</t>
        </is>
      </c>
      <c r="E473" s="54" t="n">
        <v>0.383545</v>
      </c>
      <c r="F473" s="54" t="n">
        <v>0.404736</v>
      </c>
      <c r="G473" t="inlineStr">
        <is>
          <t>calculado</t>
        </is>
      </c>
      <c r="H473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473" t="inlineStr">
        <is>
          <t>2022-09-11</t>
        </is>
      </c>
      <c r="K473" t="inlineStr">
        <is>
          <t>ESIOS 1001 geo 8741</t>
        </is>
      </c>
      <c r="L473" t="inlineStr">
        <is>
          <t>24 valores; mín 282.70, máx 479.91 €/MWh</t>
        </is>
      </c>
    </row>
    <row r="474">
      <c r="A474" s="53" t="n">
        <v>44817</v>
      </c>
      <c r="B474" t="inlineStr">
        <is>
          <t>2022-09-13</t>
        </is>
      </c>
      <c r="C474" s="45" t="n">
        <v>306.6429</v>
      </c>
      <c r="D474" t="inlineStr">
        <is>
          <t>€/MWh</t>
        </is>
      </c>
      <c r="E474" s="54" t="n">
        <v>0.306643</v>
      </c>
      <c r="F474" s="54" t="n">
        <v>0.323585</v>
      </c>
      <c r="G474" t="inlineStr">
        <is>
          <t>calculado</t>
        </is>
      </c>
      <c r="H474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474" t="inlineStr">
        <is>
          <t>2022-09-12</t>
        </is>
      </c>
      <c r="K474" t="inlineStr">
        <is>
          <t>ESIOS 1001 geo 8741</t>
        </is>
      </c>
      <c r="L474" t="inlineStr">
        <is>
          <t>24 valores; mín 244.43, máx 447.95 €/MWh</t>
        </is>
      </c>
    </row>
    <row r="475">
      <c r="A475" s="53" t="n">
        <v>44818</v>
      </c>
      <c r="B475" t="inlineStr">
        <is>
          <t>2022-09-14</t>
        </is>
      </c>
      <c r="C475" s="45" t="n">
        <v>342.2354</v>
      </c>
      <c r="D475" t="inlineStr">
        <is>
          <t>€/MWh</t>
        </is>
      </c>
      <c r="E475" s="54" t="n">
        <v>0.342235</v>
      </c>
      <c r="F475" s="54" t="n">
        <v>0.361144</v>
      </c>
      <c r="G475" t="inlineStr">
        <is>
          <t>calculado</t>
        </is>
      </c>
      <c r="H475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475" t="inlineStr">
        <is>
          <t>2022-09-13</t>
        </is>
      </c>
      <c r="K475" t="inlineStr">
        <is>
          <t>ESIOS 1001 geo 8741</t>
        </is>
      </c>
      <c r="L475" t="inlineStr">
        <is>
          <t>24 valores; mín 270.27, máx 515.03 €/MWh</t>
        </is>
      </c>
    </row>
    <row r="476">
      <c r="A476" s="53" t="n">
        <v>44819</v>
      </c>
      <c r="B476" t="inlineStr">
        <is>
          <t>2022-09-15</t>
        </is>
      </c>
      <c r="C476" s="45" t="n">
        <v>424.4992</v>
      </c>
      <c r="D476" t="inlineStr">
        <is>
          <t>€/MWh</t>
        </is>
      </c>
      <c r="E476" s="54" t="n">
        <v>0.424499</v>
      </c>
      <c r="F476" s="54" t="n">
        <v>0.447953</v>
      </c>
      <c r="G476" t="inlineStr">
        <is>
          <t>calculado</t>
        </is>
      </c>
      <c r="H476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476" t="inlineStr">
        <is>
          <t>2022-09-14</t>
        </is>
      </c>
      <c r="K476" t="inlineStr">
        <is>
          <t>ESIOS 1001 geo 8741</t>
        </is>
      </c>
      <c r="L476" t="inlineStr">
        <is>
          <t>24 valores; mín 367.71, máx 485.63 €/MWh</t>
        </is>
      </c>
    </row>
    <row r="477">
      <c r="A477" s="53" t="n">
        <v>44820</v>
      </c>
      <c r="B477" t="inlineStr">
        <is>
          <t>2022-09-16</t>
        </is>
      </c>
      <c r="C477" s="45" t="n">
        <v>373.4087</v>
      </c>
      <c r="D477" t="inlineStr">
        <is>
          <t>€/MWh</t>
        </is>
      </c>
      <c r="E477" s="54" t="n">
        <v>0.373409</v>
      </c>
      <c r="F477" s="54" t="n">
        <v>0.39404</v>
      </c>
      <c r="G477" t="inlineStr">
        <is>
          <t>calculado</t>
        </is>
      </c>
      <c r="H477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477" t="inlineStr">
        <is>
          <t>2022-09-15</t>
        </is>
      </c>
      <c r="K477" t="inlineStr">
        <is>
          <t>ESIOS 1001 geo 8741</t>
        </is>
      </c>
      <c r="L477" t="inlineStr">
        <is>
          <t>24 valores; mín 295.01, máx 421.66 €/MWh</t>
        </is>
      </c>
    </row>
    <row r="478">
      <c r="A478" s="53" t="n">
        <v>44821</v>
      </c>
      <c r="B478" t="inlineStr">
        <is>
          <t>2022-09-17</t>
        </is>
      </c>
      <c r="C478" s="45" t="n">
        <v>222.3554</v>
      </c>
      <c r="D478" t="inlineStr">
        <is>
          <t>€/MWh</t>
        </is>
      </c>
      <c r="E478" s="54" t="n">
        <v>0.222355</v>
      </c>
      <c r="F478" s="54" t="n">
        <v>0.234641</v>
      </c>
      <c r="G478" t="inlineStr">
        <is>
          <t>calculado</t>
        </is>
      </c>
      <c r="H478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478" t="inlineStr">
        <is>
          <t>2022-09-16</t>
        </is>
      </c>
      <c r="K478" t="inlineStr">
        <is>
          <t>ESIOS 1001 geo 8741</t>
        </is>
      </c>
      <c r="L478" t="inlineStr">
        <is>
          <t>24 valores; mín 108.66, máx 349.11 €/MWh</t>
        </is>
      </c>
    </row>
    <row r="479">
      <c r="A479" s="53" t="n">
        <v>44822</v>
      </c>
      <c r="B479" t="inlineStr">
        <is>
          <t>2022-09-18</t>
        </is>
      </c>
      <c r="C479" s="45" t="n">
        <v>246.965</v>
      </c>
      <c r="D479" t="inlineStr">
        <is>
          <t>€/MWh</t>
        </is>
      </c>
      <c r="E479" s="54" t="n">
        <v>0.246965</v>
      </c>
      <c r="F479" s="54" t="n">
        <v>0.26061</v>
      </c>
      <c r="G479" t="inlineStr">
        <is>
          <t>calculado</t>
        </is>
      </c>
      <c r="H479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479" t="inlineStr">
        <is>
          <t>2022-09-17</t>
        </is>
      </c>
      <c r="K479" t="inlineStr">
        <is>
          <t>ESIOS 1001 geo 8741</t>
        </is>
      </c>
      <c r="L479" t="inlineStr">
        <is>
          <t>24 valores; mín 133.40, máx 329.81 €/MWh</t>
        </is>
      </c>
    </row>
    <row r="480">
      <c r="A480" s="53" t="n">
        <v>44823</v>
      </c>
      <c r="B480" t="inlineStr">
        <is>
          <t>2022-09-19</t>
        </is>
      </c>
      <c r="C480" s="45" t="n">
        <v>353.5008</v>
      </c>
      <c r="D480" t="inlineStr">
        <is>
          <t>€/MWh</t>
        </is>
      </c>
      <c r="E480" s="54" t="n">
        <v>0.353501</v>
      </c>
      <c r="F480" s="54" t="n">
        <v>0.373032</v>
      </c>
      <c r="G480" t="inlineStr">
        <is>
          <t>calculado</t>
        </is>
      </c>
      <c r="H480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480" t="inlineStr">
        <is>
          <t>2022-09-18</t>
        </is>
      </c>
      <c r="K480" t="inlineStr">
        <is>
          <t>ESIOS 1001 geo 8741</t>
        </is>
      </c>
      <c r="L480" t="inlineStr">
        <is>
          <t>24 valores; mín 300.54, máx 453.97 €/MWh</t>
        </is>
      </c>
    </row>
    <row r="481">
      <c r="A481" s="53" t="n">
        <v>44824</v>
      </c>
      <c r="B481" t="inlineStr">
        <is>
          <t>2022-09-20</t>
        </is>
      </c>
      <c r="C481" s="45" t="n">
        <v>326.0525</v>
      </c>
      <c r="D481" t="inlineStr">
        <is>
          <t>€/MWh</t>
        </is>
      </c>
      <c r="E481" s="54" t="n">
        <v>0.326053</v>
      </c>
      <c r="F481" s="54" t="n">
        <v>0.344067</v>
      </c>
      <c r="G481" t="inlineStr">
        <is>
          <t>calculado</t>
        </is>
      </c>
      <c r="H481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481" t="inlineStr">
        <is>
          <t>2022-09-19</t>
        </is>
      </c>
      <c r="K481" t="inlineStr">
        <is>
          <t>ESIOS 1001 geo 8741</t>
        </is>
      </c>
      <c r="L481" t="inlineStr">
        <is>
          <t>24 valores; mín 263.05, máx 404.76 €/MWh</t>
        </is>
      </c>
    </row>
    <row r="482">
      <c r="A482" s="53" t="n">
        <v>44825</v>
      </c>
      <c r="B482" t="inlineStr">
        <is>
          <t>2022-09-21</t>
        </is>
      </c>
      <c r="C482" s="45" t="n">
        <v>322.5663</v>
      </c>
      <c r="D482" t="inlineStr">
        <is>
          <t>€/MWh</t>
        </is>
      </c>
      <c r="E482" s="54" t="n">
        <v>0.322566</v>
      </c>
      <c r="F482" s="54" t="n">
        <v>0.340388</v>
      </c>
      <c r="G482" t="inlineStr">
        <is>
          <t>calculado</t>
        </is>
      </c>
      <c r="H482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482" t="inlineStr">
        <is>
          <t>2022-09-20</t>
        </is>
      </c>
      <c r="K482" t="inlineStr">
        <is>
          <t>ESIOS 1001 geo 8741</t>
        </is>
      </c>
      <c r="L482" t="inlineStr">
        <is>
          <t>24 valores; mín 273.48, máx 412.17 €/MWh</t>
        </is>
      </c>
    </row>
    <row r="483">
      <c r="A483" s="53" t="n">
        <v>44826</v>
      </c>
      <c r="B483" t="inlineStr">
        <is>
          <t>2022-09-22</t>
        </is>
      </c>
      <c r="C483" s="45" t="n">
        <v>380.3721</v>
      </c>
      <c r="D483" t="inlineStr">
        <is>
          <t>€/MWh</t>
        </is>
      </c>
      <c r="E483" s="54" t="n">
        <v>0.380372</v>
      </c>
      <c r="F483" s="54" t="n">
        <v>0.401388</v>
      </c>
      <c r="G483" t="inlineStr">
        <is>
          <t>calculado</t>
        </is>
      </c>
      <c r="H483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483" t="inlineStr">
        <is>
          <t>2022-09-21</t>
        </is>
      </c>
      <c r="K483" t="inlineStr">
        <is>
          <t>ESIOS 1001 geo 8741</t>
        </is>
      </c>
      <c r="L483" t="inlineStr">
        <is>
          <t>24 valores; mín 296.07, máx 498.26 €/MWh</t>
        </is>
      </c>
    </row>
    <row r="484">
      <c r="A484" s="53" t="n">
        <v>44827</v>
      </c>
      <c r="B484" t="inlineStr">
        <is>
          <t>2022-09-23</t>
        </is>
      </c>
      <c r="C484" s="45" t="n">
        <v>327.6875</v>
      </c>
      <c r="D484" t="inlineStr">
        <is>
          <t>€/MWh</t>
        </is>
      </c>
      <c r="E484" s="54" t="n">
        <v>0.327688</v>
      </c>
      <c r="F484" s="54" t="n">
        <v>0.345792</v>
      </c>
      <c r="G484" t="inlineStr">
        <is>
          <t>calculado</t>
        </is>
      </c>
      <c r="H484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484" t="inlineStr">
        <is>
          <t>2022-09-22</t>
        </is>
      </c>
      <c r="K484" t="inlineStr">
        <is>
          <t>ESIOS 1001 geo 8741</t>
        </is>
      </c>
      <c r="L484" t="inlineStr">
        <is>
          <t>24 valores; mín 240.41, máx 412.57 €/MWh</t>
        </is>
      </c>
    </row>
    <row r="485">
      <c r="A485" s="53" t="n">
        <v>44828</v>
      </c>
      <c r="B485" t="inlineStr">
        <is>
          <t>2022-09-24</t>
        </is>
      </c>
      <c r="C485" s="45" t="n">
        <v>205.9379</v>
      </c>
      <c r="D485" t="inlineStr">
        <is>
          <t>€/MWh</t>
        </is>
      </c>
      <c r="E485" s="54" t="n">
        <v>0.205938</v>
      </c>
      <c r="F485" s="54" t="n">
        <v>0.217316</v>
      </c>
      <c r="G485" t="inlineStr">
        <is>
          <t>calculado</t>
        </is>
      </c>
      <c r="H485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485" t="inlineStr">
        <is>
          <t>2022-09-23</t>
        </is>
      </c>
      <c r="K485" t="inlineStr">
        <is>
          <t>ESIOS 1001 geo 8741</t>
        </is>
      </c>
      <c r="L485" t="inlineStr">
        <is>
          <t>24 valores; mín 102.89, máx 287.72 €/MWh</t>
        </is>
      </c>
    </row>
    <row r="486">
      <c r="A486" s="53" t="n">
        <v>44829</v>
      </c>
      <c r="B486" t="inlineStr">
        <is>
          <t>2022-09-25</t>
        </is>
      </c>
      <c r="C486" s="45" t="n">
        <v>136.3858</v>
      </c>
      <c r="D486" t="inlineStr">
        <is>
          <t>€/MWh</t>
        </is>
      </c>
      <c r="E486" s="54" t="n">
        <v>0.136386</v>
      </c>
      <c r="F486" s="54" t="n">
        <v>0.144255</v>
      </c>
      <c r="G486" t="inlineStr">
        <is>
          <t>calculado</t>
        </is>
      </c>
      <c r="H486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486" t="inlineStr">
        <is>
          <t>2022-09-24</t>
        </is>
      </c>
      <c r="K486" t="inlineStr">
        <is>
          <t>ESIOS 1001 geo 8741</t>
        </is>
      </c>
      <c r="L486" t="inlineStr">
        <is>
          <t>24 valores; mín 39.59, máx 226.50 €/MWh</t>
        </is>
      </c>
    </row>
    <row r="487">
      <c r="A487" s="53" t="n">
        <v>44830</v>
      </c>
      <c r="B487" t="inlineStr">
        <is>
          <t>2022-09-26</t>
        </is>
      </c>
      <c r="C487" s="45" t="n">
        <v>235.2083</v>
      </c>
      <c r="D487" t="inlineStr">
        <is>
          <t>€/MWh</t>
        </is>
      </c>
      <c r="E487" s="54" t="n">
        <v>0.235208</v>
      </c>
      <c r="F487" s="54" t="n">
        <v>0.248204</v>
      </c>
      <c r="G487" t="inlineStr">
        <is>
          <t>calculado</t>
        </is>
      </c>
      <c r="H487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487" t="inlineStr">
        <is>
          <t>2022-09-25</t>
        </is>
      </c>
      <c r="K487" t="inlineStr">
        <is>
          <t>ESIOS 1001 geo 8741</t>
        </is>
      </c>
      <c r="L487" t="inlineStr">
        <is>
          <t>24 valores; mín 164.01, máx 390.26 €/MWh</t>
        </is>
      </c>
    </row>
    <row r="488">
      <c r="A488" s="53" t="n">
        <v>44831</v>
      </c>
      <c r="B488" t="inlineStr">
        <is>
          <t>2022-09-27</t>
        </is>
      </c>
      <c r="C488" s="45" t="n">
        <v>213.3217</v>
      </c>
      <c r="D488" t="inlineStr">
        <is>
          <t>€/MWh</t>
        </is>
      </c>
      <c r="E488" s="54" t="n">
        <v>0.213322</v>
      </c>
      <c r="F488" s="54" t="n">
        <v>0.225108</v>
      </c>
      <c r="G488" t="inlineStr">
        <is>
          <t>calculado</t>
        </is>
      </c>
      <c r="H488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488" t="inlineStr">
        <is>
          <t>2022-09-26</t>
        </is>
      </c>
      <c r="K488" t="inlineStr">
        <is>
          <t>ESIOS 1001 geo 8741</t>
        </is>
      </c>
      <c r="L488" t="inlineStr">
        <is>
          <t>24 valores; mín 76.77, máx 324.00 €/MWh</t>
        </is>
      </c>
    </row>
    <row r="489">
      <c r="A489" s="53" t="n">
        <v>44832</v>
      </c>
      <c r="B489" t="inlineStr">
        <is>
          <t>2022-09-28</t>
        </is>
      </c>
      <c r="C489" s="45" t="n">
        <v>203.7162</v>
      </c>
      <c r="D489" t="inlineStr">
        <is>
          <t>€/MWh</t>
        </is>
      </c>
      <c r="E489" s="54" t="n">
        <v>0.203716</v>
      </c>
      <c r="F489" s="54" t="n">
        <v>0.214972</v>
      </c>
      <c r="G489" t="inlineStr">
        <is>
          <t>calculado</t>
        </is>
      </c>
      <c r="H489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489" t="inlineStr">
        <is>
          <t>2022-09-27</t>
        </is>
      </c>
      <c r="K489" t="inlineStr">
        <is>
          <t>ESIOS 1001 geo 8741</t>
        </is>
      </c>
      <c r="L489" t="inlineStr">
        <is>
          <t>24 valores; mín 88.50, máx 352.77 €/MWh</t>
        </is>
      </c>
    </row>
    <row r="490">
      <c r="A490" s="53" t="n">
        <v>44833</v>
      </c>
      <c r="B490" t="inlineStr">
        <is>
          <t>2022-09-29</t>
        </is>
      </c>
      <c r="C490" s="45" t="n">
        <v>203.8008</v>
      </c>
      <c r="D490" t="inlineStr">
        <is>
          <t>€/MWh</t>
        </is>
      </c>
      <c r="E490" s="54" t="n">
        <v>0.203801</v>
      </c>
      <c r="F490" s="54" t="n">
        <v>0.215061</v>
      </c>
      <c r="G490" t="inlineStr">
        <is>
          <t>calculado</t>
        </is>
      </c>
      <c r="H490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490" t="inlineStr">
        <is>
          <t>2022-09-28</t>
        </is>
      </c>
      <c r="K490" t="inlineStr">
        <is>
          <t>ESIOS 1001 geo 8741</t>
        </is>
      </c>
      <c r="L490" t="inlineStr">
        <is>
          <t>24 valores; mín 147.95, máx 345.62 €/MWh</t>
        </is>
      </c>
    </row>
    <row r="491">
      <c r="A491" s="53" t="n">
        <v>44834</v>
      </c>
      <c r="B491" t="inlineStr">
        <is>
          <t>2022-09-30</t>
        </is>
      </c>
      <c r="C491" s="45" t="n">
        <v>226.6146</v>
      </c>
      <c r="D491" t="inlineStr">
        <is>
          <t>€/MWh</t>
        </is>
      </c>
      <c r="E491" s="54" t="n">
        <v>0.226615</v>
      </c>
      <c r="F491" s="54" t="n">
        <v>0.239135</v>
      </c>
      <c r="G491" t="inlineStr">
        <is>
          <t>calculado</t>
        </is>
      </c>
      <c r="H491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491" t="inlineStr">
        <is>
          <t>2022-09-29</t>
        </is>
      </c>
      <c r="K491" t="inlineStr">
        <is>
          <t>ESIOS 1001 geo 8741</t>
        </is>
      </c>
      <c r="L491" t="inlineStr">
        <is>
          <t>24 valores; mín 157.54, máx 404.50 €/MWh</t>
        </is>
      </c>
    </row>
    <row r="492">
      <c r="A492" s="53" t="n">
        <v>44835</v>
      </c>
      <c r="B492" t="inlineStr">
        <is>
          <t>2022-10-01</t>
        </is>
      </c>
      <c r="C492" s="45" t="n">
        <v>216.9375</v>
      </c>
      <c r="D492" t="inlineStr">
        <is>
          <t>€/MWh</t>
        </is>
      </c>
      <c r="E492" s="54" t="n">
        <v>0.216938</v>
      </c>
      <c r="F492" s="54" t="n">
        <v>0.228923</v>
      </c>
      <c r="G492" t="inlineStr">
        <is>
          <t>calculado</t>
        </is>
      </c>
      <c r="H492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492" t="inlineStr">
        <is>
          <t>2022-09-30</t>
        </is>
      </c>
      <c r="K492" t="inlineStr">
        <is>
          <t>ESIOS 1001 geo 8741</t>
        </is>
      </c>
      <c r="L492" t="inlineStr">
        <is>
          <t>24 valores; mín 143.16, máx 341.35 €/MWh</t>
        </is>
      </c>
    </row>
    <row r="493">
      <c r="A493" s="53" t="n">
        <v>44836</v>
      </c>
      <c r="B493" t="inlineStr">
        <is>
          <t>2022-10-02</t>
        </is>
      </c>
      <c r="C493" s="45" t="n">
        <v>238.5633</v>
      </c>
      <c r="D493" t="inlineStr">
        <is>
          <t>€/MWh</t>
        </is>
      </c>
      <c r="E493" s="54" t="n">
        <v>0.238563</v>
      </c>
      <c r="F493" s="54" t="n">
        <v>0.251744</v>
      </c>
      <c r="G493" t="inlineStr">
        <is>
          <t>calculado</t>
        </is>
      </c>
      <c r="H493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493" t="inlineStr">
        <is>
          <t>2022-10-01</t>
        </is>
      </c>
      <c r="K493" t="inlineStr">
        <is>
          <t>ESIOS 1001 geo 8741</t>
        </is>
      </c>
      <c r="L493" t="inlineStr">
        <is>
          <t>24 valores; mín 150.00, máx 340.02 €/MWh</t>
        </is>
      </c>
    </row>
    <row r="494">
      <c r="A494" s="53" t="n">
        <v>44837</v>
      </c>
      <c r="B494" t="inlineStr">
        <is>
          <t>2022-10-03</t>
        </is>
      </c>
      <c r="C494" s="45" t="n">
        <v>342.6679</v>
      </c>
      <c r="D494" t="inlineStr">
        <is>
          <t>€/MWh</t>
        </is>
      </c>
      <c r="E494" s="54" t="n">
        <v>0.342668</v>
      </c>
      <c r="F494" s="54" t="n">
        <v>0.3616</v>
      </c>
      <c r="G494" t="inlineStr">
        <is>
          <t>calculado</t>
        </is>
      </c>
      <c r="H494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494" t="inlineStr">
        <is>
          <t>2022-10-02</t>
        </is>
      </c>
      <c r="K494" t="inlineStr">
        <is>
          <t>ESIOS 1001 geo 8741</t>
        </is>
      </c>
      <c r="L494" t="inlineStr">
        <is>
          <t>24 valores; mín 281.35, máx 456.84 €/MWh</t>
        </is>
      </c>
    </row>
    <row r="495">
      <c r="A495" s="53" t="n">
        <v>44838</v>
      </c>
      <c r="B495" t="inlineStr">
        <is>
          <t>2022-10-04</t>
        </is>
      </c>
      <c r="C495" s="45" t="n">
        <v>381.4454</v>
      </c>
      <c r="D495" t="inlineStr">
        <is>
          <t>€/MWh</t>
        </is>
      </c>
      <c r="E495" s="54" t="n">
        <v>0.381445</v>
      </c>
      <c r="F495" s="54" t="n">
        <v>0.40252</v>
      </c>
      <c r="G495" t="inlineStr">
        <is>
          <t>calculado</t>
        </is>
      </c>
      <c r="H495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495" t="inlineStr">
        <is>
          <t>2022-10-03</t>
        </is>
      </c>
      <c r="K495" t="inlineStr">
        <is>
          <t>ESIOS 1001 geo 8741</t>
        </is>
      </c>
      <c r="L495" t="inlineStr">
        <is>
          <t>24 valores; mín 277.32, máx 512.53 €/MWh</t>
        </is>
      </c>
    </row>
    <row r="496">
      <c r="A496" s="53" t="n">
        <v>44839</v>
      </c>
      <c r="B496" t="inlineStr">
        <is>
          <t>2022-10-05</t>
        </is>
      </c>
      <c r="C496" s="45" t="n">
        <v>365.1979</v>
      </c>
      <c r="D496" t="inlineStr">
        <is>
          <t>€/MWh</t>
        </is>
      </c>
      <c r="E496" s="54" t="n">
        <v>0.365198</v>
      </c>
      <c r="F496" s="54" t="n">
        <v>0.385375</v>
      </c>
      <c r="G496" t="inlineStr">
        <is>
          <t>calculado</t>
        </is>
      </c>
      <c r="H496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496" t="inlineStr">
        <is>
          <t>2022-10-04</t>
        </is>
      </c>
      <c r="K496" t="inlineStr">
        <is>
          <t>ESIOS 1001 geo 8741</t>
        </is>
      </c>
      <c r="L496" t="inlineStr">
        <is>
          <t>24 valores; mín 282.41, máx 474.37 €/MWh</t>
        </is>
      </c>
    </row>
    <row r="497">
      <c r="A497" s="53" t="n">
        <v>44840</v>
      </c>
      <c r="B497" t="inlineStr">
        <is>
          <t>2022-10-06</t>
        </is>
      </c>
      <c r="C497" s="45" t="n">
        <v>263.1029</v>
      </c>
      <c r="D497" t="inlineStr">
        <is>
          <t>€/MWh</t>
        </is>
      </c>
      <c r="E497" s="54" t="n">
        <v>0.263103</v>
      </c>
      <c r="F497" s="54" t="n">
        <v>0.277639</v>
      </c>
      <c r="G497" t="inlineStr">
        <is>
          <t>calculado</t>
        </is>
      </c>
      <c r="H497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497" t="inlineStr">
        <is>
          <t>2022-10-05</t>
        </is>
      </c>
      <c r="K497" t="inlineStr">
        <is>
          <t>ESIOS 1001 geo 8741</t>
        </is>
      </c>
      <c r="L497" t="inlineStr">
        <is>
          <t>24 valores; mín 200.55, máx 430.50 €/MWh</t>
        </is>
      </c>
    </row>
    <row r="498">
      <c r="A498" s="53" t="n">
        <v>44841</v>
      </c>
      <c r="B498" t="inlineStr">
        <is>
          <t>2022-10-07</t>
        </is>
      </c>
      <c r="C498" s="45" t="n">
        <v>328.4758</v>
      </c>
      <c r="D498" t="inlineStr">
        <is>
          <t>€/MWh</t>
        </is>
      </c>
      <c r="E498" s="54" t="n">
        <v>0.328476</v>
      </c>
      <c r="F498" s="54" t="n">
        <v>0.346624</v>
      </c>
      <c r="G498" t="inlineStr">
        <is>
          <t>calculado</t>
        </is>
      </c>
      <c r="H498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498" t="inlineStr">
        <is>
          <t>2022-10-06</t>
        </is>
      </c>
      <c r="K498" t="inlineStr">
        <is>
          <t>ESIOS 1001 geo 8741</t>
        </is>
      </c>
      <c r="L498" t="inlineStr">
        <is>
          <t>24 valores; mín 249.71, máx 460.41 €/MWh</t>
        </is>
      </c>
    </row>
    <row r="499">
      <c r="A499" s="53" t="n">
        <v>44842</v>
      </c>
      <c r="B499" t="inlineStr">
        <is>
          <t>2022-10-08</t>
        </is>
      </c>
      <c r="C499" s="45" t="n">
        <v>238.9542</v>
      </c>
      <c r="D499" t="inlineStr">
        <is>
          <t>€/MWh</t>
        </is>
      </c>
      <c r="E499" s="54" t="n">
        <v>0.238954</v>
      </c>
      <c r="F499" s="54" t="n">
        <v>0.252156</v>
      </c>
      <c r="G499" t="inlineStr">
        <is>
          <t>calculado</t>
        </is>
      </c>
      <c r="H499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499" t="inlineStr">
        <is>
          <t>2022-10-07</t>
        </is>
      </c>
      <c r="K499" t="inlineStr">
        <is>
          <t>ESIOS 1001 geo 8741</t>
        </is>
      </c>
      <c r="L499" t="inlineStr">
        <is>
          <t>24 valores; mín 159.44, máx 323.61 €/MWh</t>
        </is>
      </c>
    </row>
    <row r="500">
      <c r="A500" s="53" t="n">
        <v>44843</v>
      </c>
      <c r="B500" t="inlineStr">
        <is>
          <t>2022-10-09</t>
        </is>
      </c>
      <c r="C500" s="45" t="n">
        <v>224.1233</v>
      </c>
      <c r="D500" t="inlineStr">
        <is>
          <t>€/MWh</t>
        </is>
      </c>
      <c r="E500" s="54" t="n">
        <v>0.224123</v>
      </c>
      <c r="F500" s="54" t="n">
        <v>0.236506</v>
      </c>
      <c r="G500" t="inlineStr">
        <is>
          <t>calculado</t>
        </is>
      </c>
      <c r="H500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500" t="inlineStr">
        <is>
          <t>2022-10-08</t>
        </is>
      </c>
      <c r="K500" t="inlineStr">
        <is>
          <t>ESIOS 1001 geo 8741</t>
        </is>
      </c>
      <c r="L500" t="inlineStr">
        <is>
          <t>24 valores; mín 149.27, máx 337.90 €/MWh</t>
        </is>
      </c>
    </row>
    <row r="501">
      <c r="A501" s="53" t="n">
        <v>44844</v>
      </c>
      <c r="B501" t="inlineStr">
        <is>
          <t>2022-10-10</t>
        </is>
      </c>
      <c r="C501" s="45" t="n">
        <v>315.115</v>
      </c>
      <c r="D501" t="inlineStr">
        <is>
          <t>€/MWh</t>
        </is>
      </c>
      <c r="E501" s="54" t="n">
        <v>0.315115</v>
      </c>
      <c r="F501" s="54" t="n">
        <v>0.332525</v>
      </c>
      <c r="G501" t="inlineStr">
        <is>
          <t>calculado</t>
        </is>
      </c>
      <c r="H501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501" t="inlineStr">
        <is>
          <t>2022-10-09</t>
        </is>
      </c>
      <c r="K501" t="inlineStr">
        <is>
          <t>ESIOS 1001 geo 8741</t>
        </is>
      </c>
      <c r="L501" t="inlineStr">
        <is>
          <t>24 valores; mín 239.80, máx 468.76 €/MWh</t>
        </is>
      </c>
    </row>
    <row r="502">
      <c r="A502" s="53" t="n">
        <v>44845</v>
      </c>
      <c r="B502" t="inlineStr">
        <is>
          <t>2022-10-11</t>
        </is>
      </c>
      <c r="C502" s="45" t="n">
        <v>323.9871</v>
      </c>
      <c r="D502" t="inlineStr">
        <is>
          <t>€/MWh</t>
        </is>
      </c>
      <c r="E502" s="54" t="n">
        <v>0.323987</v>
      </c>
      <c r="F502" s="54" t="n">
        <v>0.341887</v>
      </c>
      <c r="G502" t="inlineStr">
        <is>
          <t>calculado</t>
        </is>
      </c>
      <c r="H502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502" t="inlineStr">
        <is>
          <t>2022-10-10</t>
        </is>
      </c>
      <c r="K502" t="inlineStr">
        <is>
          <t>ESIOS 1001 geo 8741</t>
        </is>
      </c>
      <c r="L502" t="inlineStr">
        <is>
          <t>24 valores; mín 269.17, máx 432.68 €/MWh</t>
        </is>
      </c>
    </row>
    <row r="503">
      <c r="A503" s="53" t="n">
        <v>44846</v>
      </c>
      <c r="B503" t="inlineStr">
        <is>
          <t>2022-10-12</t>
        </is>
      </c>
      <c r="C503" s="45" t="n">
        <v>267.5163</v>
      </c>
      <c r="D503" t="inlineStr">
        <is>
          <t>€/MWh</t>
        </is>
      </c>
      <c r="E503" s="54" t="n">
        <v>0.267516</v>
      </c>
      <c r="F503" s="54" t="n">
        <v>0.282297</v>
      </c>
      <c r="G503" t="inlineStr">
        <is>
          <t>calculado</t>
        </is>
      </c>
      <c r="H503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503" t="inlineStr">
        <is>
          <t>2022-10-11</t>
        </is>
      </c>
      <c r="K503" t="inlineStr">
        <is>
          <t>ESIOS 1001 geo 8741</t>
        </is>
      </c>
      <c r="L503" t="inlineStr">
        <is>
          <t>24 valores; mín 205.56, máx 340.29 €/MWh</t>
        </is>
      </c>
    </row>
    <row r="504">
      <c r="A504" s="53" t="n">
        <v>44847</v>
      </c>
      <c r="B504" t="inlineStr">
        <is>
          <t>2022-10-13</t>
        </is>
      </c>
      <c r="C504" s="45" t="n">
        <v>302.8992</v>
      </c>
      <c r="D504" t="inlineStr">
        <is>
          <t>€/MWh</t>
        </is>
      </c>
      <c r="E504" s="54" t="n">
        <v>0.302899</v>
      </c>
      <c r="F504" s="54" t="n">
        <v>0.319634</v>
      </c>
      <c r="G504" t="inlineStr">
        <is>
          <t>calculado</t>
        </is>
      </c>
      <c r="H504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504" t="inlineStr">
        <is>
          <t>2022-10-12</t>
        </is>
      </c>
      <c r="K504" t="inlineStr">
        <is>
          <t>ESIOS 1001 geo 8741</t>
        </is>
      </c>
      <c r="L504" t="inlineStr">
        <is>
          <t>24 valores; mín 230.26, máx 387.92 €/MWh</t>
        </is>
      </c>
    </row>
    <row r="505">
      <c r="A505" s="53" t="n">
        <v>44848</v>
      </c>
      <c r="B505" t="inlineStr">
        <is>
          <t>2022-10-14</t>
        </is>
      </c>
      <c r="C505" s="45" t="n">
        <v>285.2412</v>
      </c>
      <c r="D505" t="inlineStr">
        <is>
          <t>€/MWh</t>
        </is>
      </c>
      <c r="E505" s="54" t="n">
        <v>0.285241</v>
      </c>
      <c r="F505" s="54" t="n">
        <v>0.301001</v>
      </c>
      <c r="G505" t="inlineStr">
        <is>
          <t>calculado</t>
        </is>
      </c>
      <c r="H505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505" t="inlineStr">
        <is>
          <t>2022-10-13</t>
        </is>
      </c>
      <c r="K505" t="inlineStr">
        <is>
          <t>ESIOS 1001 geo 8741</t>
        </is>
      </c>
      <c r="L505" t="inlineStr">
        <is>
          <t>24 valores; mín 206.84, máx 402.33 €/MWh</t>
        </is>
      </c>
    </row>
    <row r="506">
      <c r="A506" s="53" t="n">
        <v>44849</v>
      </c>
      <c r="B506" t="inlineStr">
        <is>
          <t>2022-10-15</t>
        </is>
      </c>
      <c r="C506" s="45" t="n">
        <v>201.8338</v>
      </c>
      <c r="D506" t="inlineStr">
        <is>
          <t>€/MWh</t>
        </is>
      </c>
      <c r="E506" s="54" t="n">
        <v>0.201834</v>
      </c>
      <c r="F506" s="54" t="n">
        <v>0.212985</v>
      </c>
      <c r="G506" t="inlineStr">
        <is>
          <t>calculado</t>
        </is>
      </c>
      <c r="H506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506" t="inlineStr">
        <is>
          <t>2022-10-14</t>
        </is>
      </c>
      <c r="K506" t="inlineStr">
        <is>
          <t>ESIOS 1001 geo 8741</t>
        </is>
      </c>
      <c r="L506" t="inlineStr">
        <is>
          <t>24 valores; mín 113.53, máx 258.43 €/MWh</t>
        </is>
      </c>
    </row>
    <row r="507">
      <c r="A507" s="53" t="n">
        <v>44850</v>
      </c>
      <c r="B507" t="inlineStr">
        <is>
          <t>2022-10-16</t>
        </is>
      </c>
      <c r="C507" s="45" t="n">
        <v>154.8017</v>
      </c>
      <c r="D507" t="inlineStr">
        <is>
          <t>€/MWh</t>
        </is>
      </c>
      <c r="E507" s="54" t="n">
        <v>0.154802</v>
      </c>
      <c r="F507" s="54" t="n">
        <v>0.163592</v>
      </c>
      <c r="G507" t="inlineStr">
        <is>
          <t>calculado</t>
        </is>
      </c>
      <c r="H507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507" t="inlineStr">
        <is>
          <t>2022-10-15</t>
        </is>
      </c>
      <c r="K507" t="inlineStr">
        <is>
          <t>ESIOS 1001 geo 8741</t>
        </is>
      </c>
      <c r="L507" t="inlineStr">
        <is>
          <t>24 valores; mín 109.93, máx 201.10 €/MWh</t>
        </is>
      </c>
    </row>
    <row r="508">
      <c r="A508" s="53" t="n">
        <v>44851</v>
      </c>
      <c r="B508" t="inlineStr">
        <is>
          <t>2022-10-17</t>
        </is>
      </c>
      <c r="C508" s="45" t="n">
        <v>227.03</v>
      </c>
      <c r="D508" t="inlineStr">
        <is>
          <t>€/MWh</t>
        </is>
      </c>
      <c r="E508" s="54" t="n">
        <v>0.22703</v>
      </c>
      <c r="F508" s="54" t="n">
        <v>0.239573</v>
      </c>
      <c r="G508" t="inlineStr">
        <is>
          <t>calculado</t>
        </is>
      </c>
      <c r="H508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508" t="inlineStr">
        <is>
          <t>2022-10-16</t>
        </is>
      </c>
      <c r="K508" t="inlineStr">
        <is>
          <t>ESIOS 1001 geo 8741</t>
        </is>
      </c>
      <c r="L508" t="inlineStr">
        <is>
          <t>24 valores; mín 142.97, máx 339.06 €/MWh</t>
        </is>
      </c>
    </row>
    <row r="509">
      <c r="A509" s="53" t="n">
        <v>44852</v>
      </c>
      <c r="B509" t="inlineStr">
        <is>
          <t>2022-10-18</t>
        </is>
      </c>
      <c r="C509" s="45" t="n">
        <v>183.3792</v>
      </c>
      <c r="D509" t="inlineStr">
        <is>
          <t>€/MWh</t>
        </is>
      </c>
      <c r="E509" s="54" t="n">
        <v>0.183379</v>
      </c>
      <c r="F509" s="54" t="n">
        <v>0.193598</v>
      </c>
      <c r="G509" t="inlineStr">
        <is>
          <t>calculado</t>
        </is>
      </c>
      <c r="H509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509" t="inlineStr">
        <is>
          <t>2022-10-17</t>
        </is>
      </c>
      <c r="K509" t="inlineStr">
        <is>
          <t>ESIOS 1001 geo 8741</t>
        </is>
      </c>
      <c r="L509" t="inlineStr">
        <is>
          <t>24 valores; mín 106.02, máx 284.76 €/MWh</t>
        </is>
      </c>
    </row>
    <row r="510">
      <c r="A510" s="53" t="n">
        <v>44853</v>
      </c>
      <c r="B510" t="inlineStr">
        <is>
          <t>2022-10-19</t>
        </is>
      </c>
      <c r="C510" s="45" t="n">
        <v>142.0125</v>
      </c>
      <c r="D510" t="inlineStr">
        <is>
          <t>€/MWh</t>
        </is>
      </c>
      <c r="E510" s="54" t="n">
        <v>0.142013</v>
      </c>
      <c r="F510" s="54" t="n">
        <v>0.150163</v>
      </c>
      <c r="G510" t="inlineStr">
        <is>
          <t>calculado</t>
        </is>
      </c>
      <c r="H510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510" t="inlineStr">
        <is>
          <t>2022-10-18</t>
        </is>
      </c>
      <c r="K510" t="inlineStr">
        <is>
          <t>ESIOS 1001 geo 8741</t>
        </is>
      </c>
      <c r="L510" t="inlineStr">
        <is>
          <t>24 valores; mín 78.01, máx 248.01 €/MWh</t>
        </is>
      </c>
    </row>
    <row r="511">
      <c r="A511" s="53" t="n">
        <v>44854</v>
      </c>
      <c r="B511" t="inlineStr">
        <is>
          <t>2022-10-20</t>
        </is>
      </c>
      <c r="C511" s="45" t="n">
        <v>147.3287</v>
      </c>
      <c r="D511" t="inlineStr">
        <is>
          <t>€/MWh</t>
        </is>
      </c>
      <c r="E511" s="54" t="n">
        <v>0.147329</v>
      </c>
      <c r="F511" s="54" t="n">
        <v>0.155745</v>
      </c>
      <c r="G511" t="inlineStr">
        <is>
          <t>calculado</t>
        </is>
      </c>
      <c r="H511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511" t="inlineStr">
        <is>
          <t>2022-10-19</t>
        </is>
      </c>
      <c r="K511" t="inlineStr">
        <is>
          <t>ESIOS 1001 geo 8741</t>
        </is>
      </c>
      <c r="L511" t="inlineStr">
        <is>
          <t>24 valores; mín 90.68, máx 229.65 €/MWh</t>
        </is>
      </c>
    </row>
    <row r="512">
      <c r="A512" s="53" t="n">
        <v>44855</v>
      </c>
      <c r="B512" t="inlineStr">
        <is>
          <t>2022-10-21</t>
        </is>
      </c>
      <c r="C512" s="45" t="n">
        <v>172.7942</v>
      </c>
      <c r="D512" t="inlineStr">
        <is>
          <t>€/MWh</t>
        </is>
      </c>
      <c r="E512" s="54" t="n">
        <v>0.172794</v>
      </c>
      <c r="F512" s="54" t="n">
        <v>0.182484</v>
      </c>
      <c r="G512" t="inlineStr">
        <is>
          <t>calculado</t>
        </is>
      </c>
      <c r="H512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512" t="inlineStr">
        <is>
          <t>2022-10-20</t>
        </is>
      </c>
      <c r="K512" t="inlineStr">
        <is>
          <t>ESIOS 1001 geo 8741</t>
        </is>
      </c>
      <c r="L512" t="inlineStr">
        <is>
          <t>24 valores; mín 103.00, máx 290.20 €/MWh</t>
        </is>
      </c>
    </row>
    <row r="513">
      <c r="A513" s="53" t="n">
        <v>44856</v>
      </c>
      <c r="B513" t="inlineStr">
        <is>
          <t>2022-10-22</t>
        </is>
      </c>
      <c r="C513" s="45" t="n">
        <v>143.7792</v>
      </c>
      <c r="D513" t="inlineStr">
        <is>
          <t>€/MWh</t>
        </is>
      </c>
      <c r="E513" s="54" t="n">
        <v>0.143779</v>
      </c>
      <c r="F513" s="54" t="n">
        <v>0.152018</v>
      </c>
      <c r="G513" t="inlineStr">
        <is>
          <t>calculado</t>
        </is>
      </c>
      <c r="H513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513" t="inlineStr">
        <is>
          <t>2022-10-21</t>
        </is>
      </c>
      <c r="K513" t="inlineStr">
        <is>
          <t>ESIOS 1001 geo 8741</t>
        </is>
      </c>
      <c r="L513" t="inlineStr">
        <is>
          <t>24 valores; mín 84.99, máx 189.19 €/MWh</t>
        </is>
      </c>
    </row>
    <row r="514">
      <c r="A514" s="53" t="n">
        <v>44857</v>
      </c>
      <c r="B514" t="inlineStr">
        <is>
          <t>2022-10-23</t>
        </is>
      </c>
      <c r="C514" s="45" t="n">
        <v>109.6996</v>
      </c>
      <c r="D514" t="inlineStr">
        <is>
          <t>€/MWh</t>
        </is>
      </c>
      <c r="E514" s="54" t="n">
        <v>0.1097</v>
      </c>
      <c r="F514" s="54" t="n">
        <v>0.116235</v>
      </c>
      <c r="G514" t="inlineStr">
        <is>
          <t>calculado</t>
        </is>
      </c>
      <c r="H514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514" t="inlineStr">
        <is>
          <t>2022-10-22</t>
        </is>
      </c>
      <c r="K514" t="inlineStr">
        <is>
          <t>ESIOS 1001 geo 8741</t>
        </is>
      </c>
      <c r="L514" t="inlineStr">
        <is>
          <t>24 valores; mín 34.20, máx 181.67 €/MWh</t>
        </is>
      </c>
    </row>
    <row r="515">
      <c r="A515" s="53" t="n">
        <v>44858</v>
      </c>
      <c r="B515" t="inlineStr">
        <is>
          <t>2022-10-24</t>
        </is>
      </c>
      <c r="C515" s="45" t="n">
        <v>177.7383</v>
      </c>
      <c r="D515" t="inlineStr">
        <is>
          <t>€/MWh</t>
        </is>
      </c>
      <c r="E515" s="54" t="n">
        <v>0.177738</v>
      </c>
      <c r="F515" s="54" t="n">
        <v>0.187675</v>
      </c>
      <c r="G515" t="inlineStr">
        <is>
          <t>calculado</t>
        </is>
      </c>
      <c r="H515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515" t="inlineStr">
        <is>
          <t>2022-10-23</t>
        </is>
      </c>
      <c r="K515" t="inlineStr">
        <is>
          <t>ESIOS 1001 geo 8741</t>
        </is>
      </c>
      <c r="L515" t="inlineStr">
        <is>
          <t>24 valores; mín 118.55, máx 296.53 €/MWh</t>
        </is>
      </c>
    </row>
    <row r="516">
      <c r="A516" s="53" t="n">
        <v>44859</v>
      </c>
      <c r="B516" t="inlineStr">
        <is>
          <t>2022-10-25</t>
        </is>
      </c>
      <c r="C516" s="45" t="n">
        <v>169.9508</v>
      </c>
      <c r="D516" t="inlineStr">
        <is>
          <t>€/MWh</t>
        </is>
      </c>
      <c r="E516" s="54" t="n">
        <v>0.169951</v>
      </c>
      <c r="F516" s="54" t="n">
        <v>0.179498</v>
      </c>
      <c r="G516" t="inlineStr">
        <is>
          <t>calculado</t>
        </is>
      </c>
      <c r="H516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516" t="inlineStr">
        <is>
          <t>2022-10-24</t>
        </is>
      </c>
      <c r="K516" t="inlineStr">
        <is>
          <t>ESIOS 1001 geo 8741</t>
        </is>
      </c>
      <c r="L516" t="inlineStr">
        <is>
          <t>24 valores; mín 107.82, máx 261.88 €/MWh</t>
        </is>
      </c>
    </row>
    <row r="517">
      <c r="A517" s="53" t="n">
        <v>44860</v>
      </c>
      <c r="B517" t="inlineStr">
        <is>
          <t>2022-10-26</t>
        </is>
      </c>
      <c r="C517" s="45" t="n">
        <v>172.9375</v>
      </c>
      <c r="D517" t="inlineStr">
        <is>
          <t>€/MWh</t>
        </is>
      </c>
      <c r="E517" s="54" t="n">
        <v>0.172937</v>
      </c>
      <c r="F517" s="54" t="n">
        <v>0.182634</v>
      </c>
      <c r="G517" t="inlineStr">
        <is>
          <t>calculado</t>
        </is>
      </c>
      <c r="H517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517" t="inlineStr">
        <is>
          <t>2022-10-25</t>
        </is>
      </c>
      <c r="K517" t="inlineStr">
        <is>
          <t>ESIOS 1001 geo 8741</t>
        </is>
      </c>
      <c r="L517" t="inlineStr">
        <is>
          <t>24 valores; mín 116.90, máx 256.56 €/MWh</t>
        </is>
      </c>
    </row>
    <row r="518">
      <c r="A518" s="53" t="n">
        <v>44861</v>
      </c>
      <c r="B518" t="inlineStr">
        <is>
          <t>2022-10-27</t>
        </is>
      </c>
      <c r="C518" s="45" t="n">
        <v>184.01</v>
      </c>
      <c r="D518" t="inlineStr">
        <is>
          <t>€/MWh</t>
        </is>
      </c>
      <c r="E518" s="54" t="n">
        <v>0.18401</v>
      </c>
      <c r="F518" s="54" t="n">
        <v>0.194261</v>
      </c>
      <c r="G518" t="inlineStr">
        <is>
          <t>calculado</t>
        </is>
      </c>
      <c r="H518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518" t="inlineStr">
        <is>
          <t>2022-10-26</t>
        </is>
      </c>
      <c r="K518" t="inlineStr">
        <is>
          <t>ESIOS 1001 geo 8741</t>
        </is>
      </c>
      <c r="L518" t="inlineStr">
        <is>
          <t>24 valores; mín 128.52, máx 262.84 €/MWh</t>
        </is>
      </c>
    </row>
    <row r="519">
      <c r="A519" s="53" t="n">
        <v>44862</v>
      </c>
      <c r="B519" t="inlineStr">
        <is>
          <t>2022-10-28</t>
        </is>
      </c>
      <c r="C519" s="45" t="n">
        <v>180.2275</v>
      </c>
      <c r="D519" t="inlineStr">
        <is>
          <t>€/MWh</t>
        </is>
      </c>
      <c r="E519" s="54" t="n">
        <v>0.180227</v>
      </c>
      <c r="F519" s="54" t="n">
        <v>0.190289</v>
      </c>
      <c r="G519" t="inlineStr">
        <is>
          <t>calculado</t>
        </is>
      </c>
      <c r="H519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519" t="inlineStr">
        <is>
          <t>2022-10-27</t>
        </is>
      </c>
      <c r="K519" t="inlineStr">
        <is>
          <t>ESIOS 1001 geo 8741</t>
        </is>
      </c>
      <c r="L519" t="inlineStr">
        <is>
          <t>24 valores; mín 125.42, máx 246.63 €/MWh</t>
        </is>
      </c>
    </row>
    <row r="520">
      <c r="A520" s="53" t="n">
        <v>44863</v>
      </c>
      <c r="B520" t="inlineStr">
        <is>
          <t>2022-10-29</t>
        </is>
      </c>
      <c r="C520" s="45" t="n">
        <v>140</v>
      </c>
      <c r="D520" t="inlineStr">
        <is>
          <t>€/MWh</t>
        </is>
      </c>
      <c r="E520" s="54" t="n">
        <v>0.14</v>
      </c>
      <c r="F520" s="54" t="n">
        <v>0.14805</v>
      </c>
      <c r="G520" t="inlineStr">
        <is>
          <t>calculado</t>
        </is>
      </c>
      <c r="H520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520" t="inlineStr">
        <is>
          <t>2022-10-28</t>
        </is>
      </c>
      <c r="K520" t="inlineStr">
        <is>
          <t>ESIOS 1001 geo 8741</t>
        </is>
      </c>
      <c r="L520" t="inlineStr">
        <is>
          <t>24 valores; mín 113.61, máx 179.10 €/MWh</t>
        </is>
      </c>
    </row>
    <row r="521">
      <c r="A521" s="53" t="n">
        <v>44864</v>
      </c>
      <c r="B521" t="inlineStr">
        <is>
          <t>2022-10-30</t>
        </is>
      </c>
      <c r="C521" s="45" t="n">
        <v>178.4316</v>
      </c>
      <c r="D521" t="inlineStr">
        <is>
          <t>€/MWh</t>
        </is>
      </c>
      <c r="E521" s="54" t="n">
        <v>0.178432</v>
      </c>
      <c r="F521" s="54" t="n">
        <v>0.188403</v>
      </c>
      <c r="G521" t="inlineStr">
        <is>
          <t>calculado</t>
        </is>
      </c>
      <c r="H521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521" t="inlineStr">
        <is>
          <t>2022-10-29</t>
        </is>
      </c>
      <c r="K521" t="inlineStr">
        <is>
          <t>ESIOS 1001 geo 8741</t>
        </is>
      </c>
      <c r="L521" t="inlineStr">
        <is>
          <t>25 valores; mín 140.16, máx 281.03 €/MWh</t>
        </is>
      </c>
    </row>
    <row r="522">
      <c r="A522" s="53" t="n">
        <v>44865</v>
      </c>
      <c r="B522" t="inlineStr">
        <is>
          <t>2022-10-31</t>
        </is>
      </c>
      <c r="C522" s="45" t="n">
        <v>250.3492</v>
      </c>
      <c r="D522" t="inlineStr">
        <is>
          <t>€/MWh</t>
        </is>
      </c>
      <c r="E522" s="54" t="n">
        <v>0.250349</v>
      </c>
      <c r="F522" s="54" t="n">
        <v>0.264181</v>
      </c>
      <c r="G522" t="inlineStr">
        <is>
          <t>calculado</t>
        </is>
      </c>
      <c r="H522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522" t="inlineStr">
        <is>
          <t>2022-10-30</t>
        </is>
      </c>
      <c r="K522" t="inlineStr">
        <is>
          <t>ESIOS 1001 geo 8741</t>
        </is>
      </c>
      <c r="L522" t="inlineStr">
        <is>
          <t>24 valores; mín 173.92, máx 377.58 €/MWh</t>
        </is>
      </c>
    </row>
    <row r="523">
      <c r="A523" s="53" t="n">
        <v>44866</v>
      </c>
      <c r="B523" t="inlineStr">
        <is>
          <t>2022-11-01</t>
        </is>
      </c>
      <c r="C523" s="45" t="n">
        <v>176.8083</v>
      </c>
      <c r="D523" t="inlineStr">
        <is>
          <t>€/MWh</t>
        </is>
      </c>
      <c r="E523" s="54" t="n">
        <v>0.176808</v>
      </c>
      <c r="F523" s="54" t="n">
        <v>0.186699</v>
      </c>
      <c r="G523" t="inlineStr">
        <is>
          <t>calculado</t>
        </is>
      </c>
      <c r="H523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523" t="inlineStr">
        <is>
          <t>2022-10-31</t>
        </is>
      </c>
      <c r="K523" t="inlineStr">
        <is>
          <t>ESIOS 1001 geo 8741</t>
        </is>
      </c>
      <c r="L523" t="inlineStr">
        <is>
          <t>24 valores; mín 132.97, máx 253.81 €/MWh</t>
        </is>
      </c>
    </row>
    <row r="524">
      <c r="A524" s="53" t="n">
        <v>44867</v>
      </c>
      <c r="B524" t="inlineStr">
        <is>
          <t>2022-11-02</t>
        </is>
      </c>
      <c r="C524" s="45" t="n">
        <v>215.9604</v>
      </c>
      <c r="D524" t="inlineStr">
        <is>
          <t>€/MWh</t>
        </is>
      </c>
      <c r="E524" s="54" t="n">
        <v>0.21596</v>
      </c>
      <c r="F524" s="54" t="n">
        <v>0.227892</v>
      </c>
      <c r="G524" t="inlineStr">
        <is>
          <t>calculado</t>
        </is>
      </c>
      <c r="H524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524" t="inlineStr">
        <is>
          <t>2022-11-01</t>
        </is>
      </c>
      <c r="K524" t="inlineStr">
        <is>
          <t>ESIOS 1001 geo 8741</t>
        </is>
      </c>
      <c r="L524" t="inlineStr">
        <is>
          <t>24 valores; mín 161.26, máx 324.99 €/MWh</t>
        </is>
      </c>
    </row>
    <row r="525">
      <c r="A525" s="53" t="n">
        <v>44868</v>
      </c>
      <c r="B525" t="inlineStr">
        <is>
          <t>2022-11-03</t>
        </is>
      </c>
      <c r="C525" s="45" t="n">
        <v>194.8525</v>
      </c>
      <c r="D525" t="inlineStr">
        <is>
          <t>€/MWh</t>
        </is>
      </c>
      <c r="E525" s="54" t="n">
        <v>0.194852</v>
      </c>
      <c r="F525" s="54" t="n">
        <v>0.205645</v>
      </c>
      <c r="G525" t="inlineStr">
        <is>
          <t>calculado</t>
        </is>
      </c>
      <c r="H525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525" t="inlineStr">
        <is>
          <t>2022-11-02</t>
        </is>
      </c>
      <c r="K525" t="inlineStr">
        <is>
          <t>ESIOS 1001 geo 8741</t>
        </is>
      </c>
      <c r="L525" t="inlineStr">
        <is>
          <t>24 valores; mín 130.98, máx 292.82 €/MWh</t>
        </is>
      </c>
    </row>
    <row r="526">
      <c r="A526" s="53" t="n">
        <v>44869</v>
      </c>
      <c r="B526" t="inlineStr">
        <is>
          <t>2022-11-04</t>
        </is>
      </c>
      <c r="C526" s="45" t="n">
        <v>235.3871</v>
      </c>
      <c r="D526" t="inlineStr">
        <is>
          <t>€/MWh</t>
        </is>
      </c>
      <c r="E526" s="54" t="n">
        <v>0.235387</v>
      </c>
      <c r="F526" s="54" t="n">
        <v>0.248392</v>
      </c>
      <c r="G526" t="inlineStr">
        <is>
          <t>calculado</t>
        </is>
      </c>
      <c r="H526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526" t="inlineStr">
        <is>
          <t>2022-11-03</t>
        </is>
      </c>
      <c r="K526" t="inlineStr">
        <is>
          <t>ESIOS 1001 geo 8741</t>
        </is>
      </c>
      <c r="L526" t="inlineStr">
        <is>
          <t>24 valores; mín 173.36, máx 357.28 €/MWh</t>
        </is>
      </c>
    </row>
    <row r="527">
      <c r="A527" s="53" t="n">
        <v>44870</v>
      </c>
      <c r="B527" t="inlineStr">
        <is>
          <t>2022-11-05</t>
        </is>
      </c>
      <c r="C527" s="45" t="n">
        <v>188.115</v>
      </c>
      <c r="D527" t="inlineStr">
        <is>
          <t>€/MWh</t>
        </is>
      </c>
      <c r="E527" s="54" t="n">
        <v>0.188115</v>
      </c>
      <c r="F527" s="54" t="n">
        <v>0.198571</v>
      </c>
      <c r="G527" t="inlineStr">
        <is>
          <t>calculado</t>
        </is>
      </c>
      <c r="H527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527" t="inlineStr">
        <is>
          <t>2022-11-04</t>
        </is>
      </c>
      <c r="K527" t="inlineStr">
        <is>
          <t>ESIOS 1001 geo 8741</t>
        </is>
      </c>
      <c r="L527" t="inlineStr">
        <is>
          <t>24 valores; mín 151.53, máx 243.89 €/MWh</t>
        </is>
      </c>
    </row>
    <row r="528">
      <c r="A528" s="53" t="n">
        <v>44871</v>
      </c>
      <c r="B528" t="inlineStr">
        <is>
          <t>2022-11-06</t>
        </is>
      </c>
      <c r="C528" s="45" t="n">
        <v>161.3554</v>
      </c>
      <c r="D528" t="inlineStr">
        <is>
          <t>€/MWh</t>
        </is>
      </c>
      <c r="E528" s="54" t="n">
        <v>0.161355</v>
      </c>
      <c r="F528" s="54" t="n">
        <v>0.170473</v>
      </c>
      <c r="G528" t="inlineStr">
        <is>
          <t>calculado</t>
        </is>
      </c>
      <c r="H528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528" t="inlineStr">
        <is>
          <t>2022-11-05</t>
        </is>
      </c>
      <c r="K528" t="inlineStr">
        <is>
          <t>ESIOS 1001 geo 8741</t>
        </is>
      </c>
      <c r="L528" t="inlineStr">
        <is>
          <t>24 valores; mín 136.36, máx 203.24 €/MWh</t>
        </is>
      </c>
    </row>
    <row r="529">
      <c r="A529" s="53" t="n">
        <v>44872</v>
      </c>
      <c r="B529" t="inlineStr">
        <is>
          <t>2022-11-07</t>
        </is>
      </c>
      <c r="C529" s="45" t="n">
        <v>194.5446</v>
      </c>
      <c r="D529" t="inlineStr">
        <is>
          <t>€/MWh</t>
        </is>
      </c>
      <c r="E529" s="54" t="n">
        <v>0.194545</v>
      </c>
      <c r="F529" s="54" t="n">
        <v>0.205322</v>
      </c>
      <c r="G529" t="inlineStr">
        <is>
          <t>calculado</t>
        </is>
      </c>
      <c r="H529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529" t="inlineStr">
        <is>
          <t>2022-11-06</t>
        </is>
      </c>
      <c r="K529" t="inlineStr">
        <is>
          <t>ESIOS 1001 geo 8741</t>
        </is>
      </c>
      <c r="L529" t="inlineStr">
        <is>
          <t>24 valores; mín 143.41, máx 276.92 €/MWh</t>
        </is>
      </c>
    </row>
    <row r="530">
      <c r="A530" s="53" t="n">
        <v>44873</v>
      </c>
      <c r="B530" t="inlineStr">
        <is>
          <t>2022-11-08</t>
        </is>
      </c>
      <c r="C530" s="45" t="n">
        <v>186.9133</v>
      </c>
      <c r="D530" t="inlineStr">
        <is>
          <t>€/MWh</t>
        </is>
      </c>
      <c r="E530" s="54" t="n">
        <v>0.186913</v>
      </c>
      <c r="F530" s="54" t="n">
        <v>0.197309</v>
      </c>
      <c r="G530" t="inlineStr">
        <is>
          <t>calculado</t>
        </is>
      </c>
      <c r="H530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530" t="inlineStr">
        <is>
          <t>2022-11-07</t>
        </is>
      </c>
      <c r="K530" t="inlineStr">
        <is>
          <t>ESIOS 1001 geo 8741</t>
        </is>
      </c>
      <c r="L530" t="inlineStr">
        <is>
          <t>24 valores; mín 108.41, máx 277.46 €/MWh</t>
        </is>
      </c>
    </row>
    <row r="531">
      <c r="A531" s="53" t="n">
        <v>44874</v>
      </c>
      <c r="B531" t="inlineStr">
        <is>
          <t>2022-11-09</t>
        </is>
      </c>
      <c r="C531" s="45" t="n">
        <v>212.9296</v>
      </c>
      <c r="D531" t="inlineStr">
        <is>
          <t>€/MWh</t>
        </is>
      </c>
      <c r="E531" s="54" t="n">
        <v>0.21293</v>
      </c>
      <c r="F531" s="54" t="n">
        <v>0.224694</v>
      </c>
      <c r="G531" t="inlineStr">
        <is>
          <t>calculado</t>
        </is>
      </c>
      <c r="H531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531" t="inlineStr">
        <is>
          <t>2022-11-08</t>
        </is>
      </c>
      <c r="K531" t="inlineStr">
        <is>
          <t>ESIOS 1001 geo 8741</t>
        </is>
      </c>
      <c r="L531" t="inlineStr">
        <is>
          <t>24 valores; mín 137.92, máx 319.66 €/MWh</t>
        </is>
      </c>
    </row>
    <row r="532">
      <c r="A532" s="53" t="n">
        <v>44875</v>
      </c>
      <c r="B532" t="inlineStr">
        <is>
          <t>2022-11-10</t>
        </is>
      </c>
      <c r="C532" s="45" t="n">
        <v>228.5967</v>
      </c>
      <c r="D532" t="inlineStr">
        <is>
          <t>€/MWh</t>
        </is>
      </c>
      <c r="E532" s="54" t="n">
        <v>0.228597</v>
      </c>
      <c r="F532" s="54" t="n">
        <v>0.241227</v>
      </c>
      <c r="G532" t="inlineStr">
        <is>
          <t>calculado</t>
        </is>
      </c>
      <c r="H532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532" t="inlineStr">
        <is>
          <t>2022-11-09</t>
        </is>
      </c>
      <c r="K532" t="inlineStr">
        <is>
          <t>ESIOS 1001 geo 8741</t>
        </is>
      </c>
      <c r="L532" t="inlineStr">
        <is>
          <t>24 valores; mín 167.68, máx 342.39 €/MWh</t>
        </is>
      </c>
    </row>
    <row r="533">
      <c r="A533" s="53" t="n">
        <v>44876</v>
      </c>
      <c r="B533" t="inlineStr">
        <is>
          <t>2022-11-11</t>
        </is>
      </c>
      <c r="C533" s="45" t="n">
        <v>203.4054</v>
      </c>
      <c r="D533" t="inlineStr">
        <is>
          <t>€/MWh</t>
        </is>
      </c>
      <c r="E533" s="54" t="n">
        <v>0.203405</v>
      </c>
      <c r="F533" s="54" t="n">
        <v>0.214644</v>
      </c>
      <c r="G533" t="inlineStr">
        <is>
          <t>calculado</t>
        </is>
      </c>
      <c r="H533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533" t="inlineStr">
        <is>
          <t>2022-11-10</t>
        </is>
      </c>
      <c r="K533" t="inlineStr">
        <is>
          <t>ESIOS 1001 geo 8741</t>
        </is>
      </c>
      <c r="L533" t="inlineStr">
        <is>
          <t>24 valores; mín 156.82, máx 268.87 €/MWh</t>
        </is>
      </c>
    </row>
    <row r="534">
      <c r="A534" s="53" t="n">
        <v>44877</v>
      </c>
      <c r="B534" t="inlineStr">
        <is>
          <t>2022-11-12</t>
        </is>
      </c>
      <c r="C534" s="45" t="n">
        <v>150.8663</v>
      </c>
      <c r="D534" t="inlineStr">
        <is>
          <t>€/MWh</t>
        </is>
      </c>
      <c r="E534" s="54" t="n">
        <v>0.150866</v>
      </c>
      <c r="F534" s="54" t="n">
        <v>0.15946</v>
      </c>
      <c r="G534" t="inlineStr">
        <is>
          <t>calculado</t>
        </is>
      </c>
      <c r="H534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534" t="inlineStr">
        <is>
          <t>2022-11-11</t>
        </is>
      </c>
      <c r="K534" t="inlineStr">
        <is>
          <t>ESIOS 1001 geo 8741</t>
        </is>
      </c>
      <c r="L534" t="inlineStr">
        <is>
          <t>24 valores; mín 112.56, máx 236.44 €/MWh</t>
        </is>
      </c>
    </row>
    <row r="535">
      <c r="A535" s="53" t="n">
        <v>44878</v>
      </c>
      <c r="B535" t="inlineStr">
        <is>
          <t>2022-11-13</t>
        </is>
      </c>
      <c r="C535" s="45" t="n">
        <v>181.6554</v>
      </c>
      <c r="D535" t="inlineStr">
        <is>
          <t>€/MWh</t>
        </is>
      </c>
      <c r="E535" s="54" t="n">
        <v>0.181655</v>
      </c>
      <c r="F535" s="54" t="n">
        <v>0.191788</v>
      </c>
      <c r="G535" t="inlineStr">
        <is>
          <t>calculado</t>
        </is>
      </c>
      <c r="H535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535" t="inlineStr">
        <is>
          <t>2022-11-12</t>
        </is>
      </c>
      <c r="K535" t="inlineStr">
        <is>
          <t>ESIOS 1001 geo 8741</t>
        </is>
      </c>
      <c r="L535" t="inlineStr">
        <is>
          <t>24 valores; mín 143.77, máx 225.75 €/MWh</t>
        </is>
      </c>
    </row>
    <row r="536">
      <c r="A536" s="53" t="n">
        <v>44879</v>
      </c>
      <c r="B536" t="inlineStr">
        <is>
          <t>2022-11-14</t>
        </is>
      </c>
      <c r="C536" s="45" t="n">
        <v>224.9713</v>
      </c>
      <c r="D536" t="inlineStr">
        <is>
          <t>€/MWh</t>
        </is>
      </c>
      <c r="E536" s="54" t="n">
        <v>0.224971</v>
      </c>
      <c r="F536" s="54" t="n">
        <v>0.237401</v>
      </c>
      <c r="G536" t="inlineStr">
        <is>
          <t>calculado</t>
        </is>
      </c>
      <c r="H536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536" t="inlineStr">
        <is>
          <t>2022-11-13</t>
        </is>
      </c>
      <c r="K536" t="inlineStr">
        <is>
          <t>ESIOS 1001 geo 8741</t>
        </is>
      </c>
      <c r="L536" t="inlineStr">
        <is>
          <t>24 valores; mín 177.33, máx 286.12 €/MWh</t>
        </is>
      </c>
    </row>
    <row r="537">
      <c r="A537" s="53" t="n">
        <v>44880</v>
      </c>
      <c r="B537" t="inlineStr">
        <is>
          <t>2022-11-15</t>
        </is>
      </c>
      <c r="C537" s="45" t="n">
        <v>185.8521</v>
      </c>
      <c r="D537" t="inlineStr">
        <is>
          <t>€/MWh</t>
        </is>
      </c>
      <c r="E537" s="54" t="n">
        <v>0.185852</v>
      </c>
      <c r="F537" s="54" t="n">
        <v>0.196195</v>
      </c>
      <c r="G537" t="inlineStr">
        <is>
          <t>calculado</t>
        </is>
      </c>
      <c r="H537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537" t="inlineStr">
        <is>
          <t>2022-11-14</t>
        </is>
      </c>
      <c r="K537" t="inlineStr">
        <is>
          <t>ESIOS 1001 geo 8741</t>
        </is>
      </c>
      <c r="L537" t="inlineStr">
        <is>
          <t>24 valores; mín 132.52, máx 275.41 €/MWh</t>
        </is>
      </c>
    </row>
    <row r="538">
      <c r="A538" s="53" t="n">
        <v>44881</v>
      </c>
      <c r="B538" t="inlineStr">
        <is>
          <t>2022-11-16</t>
        </is>
      </c>
      <c r="C538" s="45" t="n">
        <v>175.5033</v>
      </c>
      <c r="D538" t="inlineStr">
        <is>
          <t>€/MWh</t>
        </is>
      </c>
      <c r="E538" s="54" t="n">
        <v>0.175503</v>
      </c>
      <c r="F538" s="54" t="n">
        <v>0.185328</v>
      </c>
      <c r="G538" t="inlineStr">
        <is>
          <t>calculado</t>
        </is>
      </c>
      <c r="H538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538" t="inlineStr">
        <is>
          <t>2022-11-15</t>
        </is>
      </c>
      <c r="K538" t="inlineStr">
        <is>
          <t>ESIOS 1001 geo 8741</t>
        </is>
      </c>
      <c r="L538" t="inlineStr">
        <is>
          <t>24 valores; mín 127.23, máx 234.89 €/MWh</t>
        </is>
      </c>
    </row>
    <row r="539">
      <c r="A539" s="53" t="n">
        <v>44882</v>
      </c>
      <c r="B539" t="inlineStr">
        <is>
          <t>2022-11-17</t>
        </is>
      </c>
      <c r="C539" s="45" t="n">
        <v>145.1696</v>
      </c>
      <c r="D539" t="inlineStr">
        <is>
          <t>€/MWh</t>
        </is>
      </c>
      <c r="E539" s="54" t="n">
        <v>0.14517</v>
      </c>
      <c r="F539" s="54" t="n">
        <v>0.153478</v>
      </c>
      <c r="G539" t="inlineStr">
        <is>
          <t>calculado</t>
        </is>
      </c>
      <c r="H539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539" t="inlineStr">
        <is>
          <t>2022-11-16</t>
        </is>
      </c>
      <c r="K539" t="inlineStr">
        <is>
          <t>ESIOS 1001 geo 8741</t>
        </is>
      </c>
      <c r="L539" t="inlineStr">
        <is>
          <t>24 valores; mín 35.23, máx 253.78 €/MWh</t>
        </is>
      </c>
    </row>
    <row r="540">
      <c r="A540" s="53" t="n">
        <v>44883</v>
      </c>
      <c r="B540" t="inlineStr">
        <is>
          <t>2022-11-18</t>
        </is>
      </c>
      <c r="C540" s="45" t="n">
        <v>186.1513</v>
      </c>
      <c r="D540" t="inlineStr">
        <is>
          <t>€/MWh</t>
        </is>
      </c>
      <c r="E540" s="54" t="n">
        <v>0.186151</v>
      </c>
      <c r="F540" s="54" t="n">
        <v>0.196509</v>
      </c>
      <c r="G540" t="inlineStr">
        <is>
          <t>calculado</t>
        </is>
      </c>
      <c r="H540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540" t="inlineStr">
        <is>
          <t>2022-11-17</t>
        </is>
      </c>
      <c r="K540" t="inlineStr">
        <is>
          <t>ESIOS 1001 geo 8741</t>
        </is>
      </c>
      <c r="L540" t="inlineStr">
        <is>
          <t>24 valores; mín 135.52, máx 328.66 €/MWh</t>
        </is>
      </c>
    </row>
    <row r="541">
      <c r="A541" s="53" t="n">
        <v>44884</v>
      </c>
      <c r="B541" t="inlineStr">
        <is>
          <t>2022-11-19</t>
        </is>
      </c>
      <c r="C541" s="45" t="n">
        <v>92.97</v>
      </c>
      <c r="D541" t="inlineStr">
        <is>
          <t>€/MWh</t>
        </is>
      </c>
      <c r="E541" s="54" t="n">
        <v>0.09297</v>
      </c>
      <c r="F541" s="54" t="n">
        <v>0.09866900000000001</v>
      </c>
      <c r="G541" t="inlineStr">
        <is>
          <t>calculado</t>
        </is>
      </c>
      <c r="H541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541" t="inlineStr">
        <is>
          <t>2022-11-18</t>
        </is>
      </c>
      <c r="K541" t="inlineStr">
        <is>
          <t>ESIOS 1001 geo 8741</t>
        </is>
      </c>
      <c r="L541" t="inlineStr">
        <is>
          <t>24 valores; mín 41.25, máx 154.70 €/MWh</t>
        </is>
      </c>
    </row>
    <row r="542">
      <c r="A542" s="53" t="n">
        <v>44885</v>
      </c>
      <c r="B542" t="inlineStr">
        <is>
          <t>2022-11-20</t>
        </is>
      </c>
      <c r="C542" s="45" t="n">
        <v>134.2496</v>
      </c>
      <c r="D542" t="inlineStr">
        <is>
          <t>€/MWh</t>
        </is>
      </c>
      <c r="E542" s="54" t="n">
        <v>0.13425</v>
      </c>
      <c r="F542" s="54" t="n">
        <v>0.142012</v>
      </c>
      <c r="G542" t="inlineStr">
        <is>
          <t>calculado</t>
        </is>
      </c>
      <c r="H542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542" t="inlineStr">
        <is>
          <t>2022-11-19</t>
        </is>
      </c>
      <c r="K542" t="inlineStr">
        <is>
          <t>ESIOS 1001 geo 8741</t>
        </is>
      </c>
      <c r="L542" t="inlineStr">
        <is>
          <t>24 valores; mín 98.40, máx 202.48 €/MWh</t>
        </is>
      </c>
    </row>
    <row r="543">
      <c r="A543" s="53" t="n">
        <v>44886</v>
      </c>
      <c r="B543" t="inlineStr">
        <is>
          <t>2022-11-21</t>
        </is>
      </c>
      <c r="C543" s="45" t="n">
        <v>140.5687</v>
      </c>
      <c r="D543" t="inlineStr">
        <is>
          <t>€/MWh</t>
        </is>
      </c>
      <c r="E543" s="54" t="n">
        <v>0.140569</v>
      </c>
      <c r="F543" s="54" t="n">
        <v>0.148647</v>
      </c>
      <c r="G543" t="inlineStr">
        <is>
          <t>calculado</t>
        </is>
      </c>
      <c r="H543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543" t="inlineStr">
        <is>
          <t>2022-11-20</t>
        </is>
      </c>
      <c r="K543" t="inlineStr">
        <is>
          <t>ESIOS 1001 geo 8741</t>
        </is>
      </c>
      <c r="L543" t="inlineStr">
        <is>
          <t>24 valores; mín 79.57, máx 200.37 €/MWh</t>
        </is>
      </c>
    </row>
    <row r="544">
      <c r="A544" s="53" t="n">
        <v>44887</v>
      </c>
      <c r="B544" t="inlineStr">
        <is>
          <t>2022-11-22</t>
        </is>
      </c>
      <c r="C544" s="45" t="n">
        <v>132.5571</v>
      </c>
      <c r="D544" t="inlineStr">
        <is>
          <t>€/MWh</t>
        </is>
      </c>
      <c r="E544" s="54" t="n">
        <v>0.132557</v>
      </c>
      <c r="F544" s="54" t="n">
        <v>0.140235</v>
      </c>
      <c r="G544" t="inlineStr">
        <is>
          <t>calculado</t>
        </is>
      </c>
      <c r="H544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544" t="inlineStr">
        <is>
          <t>2022-11-21</t>
        </is>
      </c>
      <c r="K544" t="inlineStr">
        <is>
          <t>ESIOS 1001 geo 8741</t>
        </is>
      </c>
      <c r="L544" t="inlineStr">
        <is>
          <t>24 valores; mín 73.15, máx 209.29 €/MWh</t>
        </is>
      </c>
    </row>
    <row r="545">
      <c r="A545" s="53" t="n">
        <v>44888</v>
      </c>
      <c r="B545" t="inlineStr">
        <is>
          <t>2022-11-23</t>
        </is>
      </c>
      <c r="C545" s="45" t="n">
        <v>154.1958</v>
      </c>
      <c r="D545" t="inlineStr">
        <is>
          <t>€/MWh</t>
        </is>
      </c>
      <c r="E545" s="54" t="n">
        <v>0.154196</v>
      </c>
      <c r="F545" s="54" t="n">
        <v>0.162956</v>
      </c>
      <c r="G545" t="inlineStr">
        <is>
          <t>calculado</t>
        </is>
      </c>
      <c r="H545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545" t="inlineStr">
        <is>
          <t>2022-11-22</t>
        </is>
      </c>
      <c r="K545" t="inlineStr">
        <is>
          <t>ESIOS 1001 geo 8741</t>
        </is>
      </c>
      <c r="L545" t="inlineStr">
        <is>
          <t>24 valores; mín 11.68, máx 283.81 €/MWh</t>
        </is>
      </c>
    </row>
    <row r="546">
      <c r="A546" s="53" t="n">
        <v>44889</v>
      </c>
      <c r="B546" t="inlineStr">
        <is>
          <t>2022-11-24</t>
        </is>
      </c>
      <c r="C546" s="45" t="n">
        <v>230.4233</v>
      </c>
      <c r="D546" t="inlineStr">
        <is>
          <t>€/MWh</t>
        </is>
      </c>
      <c r="E546" s="54" t="n">
        <v>0.230423</v>
      </c>
      <c r="F546" s="54" t="n">
        <v>0.243154</v>
      </c>
      <c r="G546" t="inlineStr">
        <is>
          <t>calculado</t>
        </is>
      </c>
      <c r="H546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546" t="inlineStr">
        <is>
          <t>2022-11-23</t>
        </is>
      </c>
      <c r="K546" t="inlineStr">
        <is>
          <t>ESIOS 1001 geo 8741</t>
        </is>
      </c>
      <c r="L546" t="inlineStr">
        <is>
          <t>24 valores; mín 171.25, máx 339.10 €/MWh</t>
        </is>
      </c>
    </row>
    <row r="547">
      <c r="A547" s="53" t="n">
        <v>44890</v>
      </c>
      <c r="B547" t="inlineStr">
        <is>
          <t>2022-11-25</t>
        </is>
      </c>
      <c r="C547" s="45" t="n">
        <v>241.7696</v>
      </c>
      <c r="D547" t="inlineStr">
        <is>
          <t>€/MWh</t>
        </is>
      </c>
      <c r="E547" s="54" t="n">
        <v>0.24177</v>
      </c>
      <c r="F547" s="54" t="n">
        <v>0.255127</v>
      </c>
      <c r="G547" t="inlineStr">
        <is>
          <t>calculado</t>
        </is>
      </c>
      <c r="H547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547" t="inlineStr">
        <is>
          <t>2022-11-24</t>
        </is>
      </c>
      <c r="K547" t="inlineStr">
        <is>
          <t>ESIOS 1001 geo 8741</t>
        </is>
      </c>
      <c r="L547" t="inlineStr">
        <is>
          <t>24 valores; mín 177.34, máx 330.54 €/MWh</t>
        </is>
      </c>
    </row>
    <row r="548">
      <c r="A548" s="53" t="n">
        <v>44891</v>
      </c>
      <c r="B548" t="inlineStr">
        <is>
          <t>2022-11-26</t>
        </is>
      </c>
      <c r="C548" s="45" t="n">
        <v>203.1717</v>
      </c>
      <c r="D548" t="inlineStr">
        <is>
          <t>€/MWh</t>
        </is>
      </c>
      <c r="E548" s="54" t="n">
        <v>0.203172</v>
      </c>
      <c r="F548" s="54" t="n">
        <v>0.214397</v>
      </c>
      <c r="G548" t="inlineStr">
        <is>
          <t>calculado</t>
        </is>
      </c>
      <c r="H548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548" t="inlineStr">
        <is>
          <t>2022-11-25</t>
        </is>
      </c>
      <c r="K548" t="inlineStr">
        <is>
          <t>ESIOS 1001 geo 8741</t>
        </is>
      </c>
      <c r="L548" t="inlineStr">
        <is>
          <t>24 valores; mín 156.53, máx 260.75 €/MWh</t>
        </is>
      </c>
    </row>
    <row r="549">
      <c r="A549" s="53" t="n">
        <v>44892</v>
      </c>
      <c r="B549" t="inlineStr">
        <is>
          <t>2022-11-27</t>
        </is>
      </c>
      <c r="C549" s="45" t="n">
        <v>193.3121</v>
      </c>
      <c r="D549" t="inlineStr">
        <is>
          <t>€/MWh</t>
        </is>
      </c>
      <c r="E549" s="54" t="n">
        <v>0.193312</v>
      </c>
      <c r="F549" s="54" t="n">
        <v>0.204028</v>
      </c>
      <c r="G549" t="inlineStr">
        <is>
          <t>calculado</t>
        </is>
      </c>
      <c r="H549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549" t="inlineStr">
        <is>
          <t>2022-11-26</t>
        </is>
      </c>
      <c r="K549" t="inlineStr">
        <is>
          <t>ESIOS 1001 geo 8741</t>
        </is>
      </c>
      <c r="L549" t="inlineStr">
        <is>
          <t>24 valores; mín 146.77, máx 234.58 €/MWh</t>
        </is>
      </c>
    </row>
    <row r="550">
      <c r="A550" s="53" t="n">
        <v>44893</v>
      </c>
      <c r="B550" t="inlineStr">
        <is>
          <t>2022-11-28</t>
        </is>
      </c>
      <c r="C550" s="45" t="n">
        <v>187.5646</v>
      </c>
      <c r="D550" t="inlineStr">
        <is>
          <t>€/MWh</t>
        </is>
      </c>
      <c r="E550" s="54" t="n">
        <v>0.187565</v>
      </c>
      <c r="F550" s="54" t="n">
        <v>0.197993</v>
      </c>
      <c r="G550" t="inlineStr">
        <is>
          <t>calculado</t>
        </is>
      </c>
      <c r="H550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550" t="inlineStr">
        <is>
          <t>2022-11-27</t>
        </is>
      </c>
      <c r="K550" t="inlineStr">
        <is>
          <t>ESIOS 1001 geo 8741</t>
        </is>
      </c>
      <c r="L550" t="inlineStr">
        <is>
          <t>24 valores; mín 118.19, máx 304.44 €/MWh</t>
        </is>
      </c>
    </row>
    <row r="551">
      <c r="A551" s="53" t="n">
        <v>44894</v>
      </c>
      <c r="B551" t="inlineStr">
        <is>
          <t>2022-11-29</t>
        </is>
      </c>
      <c r="C551" s="45" t="n">
        <v>227.6075</v>
      </c>
      <c r="D551" t="inlineStr">
        <is>
          <t>€/MWh</t>
        </is>
      </c>
      <c r="E551" s="54" t="n">
        <v>0.227607</v>
      </c>
      <c r="F551" s="54" t="n">
        <v>0.240183</v>
      </c>
      <c r="G551" t="inlineStr">
        <is>
          <t>calculado</t>
        </is>
      </c>
      <c r="H551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551" t="inlineStr">
        <is>
          <t>2022-11-28</t>
        </is>
      </c>
      <c r="K551" t="inlineStr">
        <is>
          <t>ESIOS 1001 geo 8741</t>
        </is>
      </c>
      <c r="L551" t="inlineStr">
        <is>
          <t>24 valores; mín 171.16, máx 352.19 €/MWh</t>
        </is>
      </c>
    </row>
    <row r="552">
      <c r="A552" s="53" t="n">
        <v>44895</v>
      </c>
      <c r="B552" t="inlineStr">
        <is>
          <t>2022-11-30</t>
        </is>
      </c>
      <c r="C552" s="45" t="n">
        <v>295.7083</v>
      </c>
      <c r="D552" t="inlineStr">
        <is>
          <t>€/MWh</t>
        </is>
      </c>
      <c r="E552" s="54" t="n">
        <v>0.295708</v>
      </c>
      <c r="F552" s="54" t="n">
        <v>0.312046</v>
      </c>
      <c r="G552" t="inlineStr">
        <is>
          <t>calculado</t>
        </is>
      </c>
      <c r="H552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552" t="inlineStr">
        <is>
          <t>2022-11-29</t>
        </is>
      </c>
      <c r="K552" t="inlineStr">
        <is>
          <t>ESIOS 1001 geo 8741</t>
        </is>
      </c>
      <c r="L552" t="inlineStr">
        <is>
          <t>24 valores; mín 240.23, máx 378.03 €/MWh</t>
        </is>
      </c>
    </row>
    <row r="553">
      <c r="A553" s="53" t="n">
        <v>44896</v>
      </c>
      <c r="B553" t="inlineStr">
        <is>
          <t>2022-12-01</t>
        </is>
      </c>
      <c r="C553" s="45" t="n">
        <v>301.8796</v>
      </c>
      <c r="D553" t="inlineStr">
        <is>
          <t>€/MWh</t>
        </is>
      </c>
      <c r="E553" s="54" t="n">
        <v>0.30188</v>
      </c>
      <c r="F553" s="54" t="n">
        <v>0.318558</v>
      </c>
      <c r="G553" t="inlineStr">
        <is>
          <t>calculado</t>
        </is>
      </c>
      <c r="H553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553" t="inlineStr">
        <is>
          <t>2022-11-30</t>
        </is>
      </c>
      <c r="K553" t="inlineStr">
        <is>
          <t>ESIOS 1001 geo 8741</t>
        </is>
      </c>
      <c r="L553" t="inlineStr">
        <is>
          <t>24 valores; mín 268.49, máx 359.34 €/MWh</t>
        </is>
      </c>
    </row>
    <row r="554">
      <c r="A554" s="53" t="n">
        <v>44897</v>
      </c>
      <c r="B554" t="inlineStr">
        <is>
          <t>2022-12-02</t>
        </is>
      </c>
      <c r="C554" s="45" t="n">
        <v>315.1146</v>
      </c>
      <c r="D554" t="inlineStr">
        <is>
          <t>€/MWh</t>
        </is>
      </c>
      <c r="E554" s="54" t="n">
        <v>0.315115</v>
      </c>
      <c r="F554" s="54" t="n">
        <v>0.332525</v>
      </c>
      <c r="G554" t="inlineStr">
        <is>
          <t>calculado</t>
        </is>
      </c>
      <c r="H554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554" t="inlineStr">
        <is>
          <t>2022-12-01</t>
        </is>
      </c>
      <c r="K554" t="inlineStr">
        <is>
          <t>ESIOS 1001 geo 8741</t>
        </is>
      </c>
      <c r="L554" t="inlineStr">
        <is>
          <t>24 valores; mín 256.03, máx 404.32 €/MWh</t>
        </is>
      </c>
    </row>
    <row r="555">
      <c r="A555" s="53" t="n">
        <v>44898</v>
      </c>
      <c r="B555" t="inlineStr">
        <is>
          <t>2022-12-03</t>
        </is>
      </c>
      <c r="C555" s="45" t="n">
        <v>247.41</v>
      </c>
      <c r="D555" t="inlineStr">
        <is>
          <t>€/MWh</t>
        </is>
      </c>
      <c r="E555" s="54" t="n">
        <v>0.24741</v>
      </c>
      <c r="F555" s="54" t="n">
        <v>0.261079</v>
      </c>
      <c r="G555" t="inlineStr">
        <is>
          <t>calculado</t>
        </is>
      </c>
      <c r="H555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555" t="inlineStr">
        <is>
          <t>2022-12-02</t>
        </is>
      </c>
      <c r="K555" t="inlineStr">
        <is>
          <t>ESIOS 1001 geo 8741</t>
        </is>
      </c>
      <c r="L555" t="inlineStr">
        <is>
          <t>24 valores; mín 204.80, máx 271.14 €/MWh</t>
        </is>
      </c>
    </row>
    <row r="556">
      <c r="A556" s="53" t="n">
        <v>44899</v>
      </c>
      <c r="B556" t="inlineStr">
        <is>
          <t>2022-12-04</t>
        </is>
      </c>
      <c r="C556" s="45" t="n">
        <v>325.6917</v>
      </c>
      <c r="D556" t="inlineStr">
        <is>
          <t>€/MWh</t>
        </is>
      </c>
      <c r="E556" s="54" t="n">
        <v>0.325692</v>
      </c>
      <c r="F556" s="54" t="n">
        <v>0.343686</v>
      </c>
      <c r="G556" t="inlineStr">
        <is>
          <t>calculado</t>
        </is>
      </c>
      <c r="H556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556" t="inlineStr">
        <is>
          <t>2022-12-03</t>
        </is>
      </c>
      <c r="K556" t="inlineStr">
        <is>
          <t>ESIOS 1001 geo 8741</t>
        </is>
      </c>
      <c r="L556" t="inlineStr">
        <is>
          <t>24 valores; mín 280.91, máx 388.27 €/MWh</t>
        </is>
      </c>
    </row>
    <row r="557">
      <c r="A557" s="53" t="n">
        <v>44900</v>
      </c>
      <c r="B557" t="inlineStr">
        <is>
          <t>2022-12-05</t>
        </is>
      </c>
      <c r="C557" s="45" t="n">
        <v>378.2212</v>
      </c>
      <c r="D557" t="inlineStr">
        <is>
          <t>€/MWh</t>
        </is>
      </c>
      <c r="E557" s="54" t="n">
        <v>0.378221</v>
      </c>
      <c r="F557" s="54" t="n">
        <v>0.399118</v>
      </c>
      <c r="G557" t="inlineStr">
        <is>
          <t>calculado</t>
        </is>
      </c>
      <c r="H557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557" t="inlineStr">
        <is>
          <t>2022-12-04</t>
        </is>
      </c>
      <c r="K557" t="inlineStr">
        <is>
          <t>ESIOS 1001 geo 8741</t>
        </is>
      </c>
      <c r="L557" t="inlineStr">
        <is>
          <t>24 valores; mín 300.00, máx 450.64 €/MWh</t>
        </is>
      </c>
    </row>
    <row r="558">
      <c r="A558" s="53" t="n">
        <v>44901</v>
      </c>
      <c r="B558" t="inlineStr">
        <is>
          <t>2022-12-06</t>
        </is>
      </c>
      <c r="C558" s="45" t="n">
        <v>377.1925</v>
      </c>
      <c r="D558" t="inlineStr">
        <is>
          <t>€/MWh</t>
        </is>
      </c>
      <c r="E558" s="54" t="n">
        <v>0.377193</v>
      </c>
      <c r="F558" s="54" t="n">
        <v>0.398032</v>
      </c>
      <c r="G558" t="inlineStr">
        <is>
          <t>calculado</t>
        </is>
      </c>
      <c r="H558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558" t="inlineStr">
        <is>
          <t>2022-12-05</t>
        </is>
      </c>
      <c r="K558" t="inlineStr">
        <is>
          <t>ESIOS 1001 geo 8741</t>
        </is>
      </c>
      <c r="L558" t="inlineStr">
        <is>
          <t>24 valores; mín 339.77, máx 419.76 €/MWh</t>
        </is>
      </c>
    </row>
    <row r="559">
      <c r="A559" s="53" t="n">
        <v>44902</v>
      </c>
      <c r="B559" t="inlineStr">
        <is>
          <t>2022-12-07</t>
        </is>
      </c>
      <c r="C559" s="45" t="n">
        <v>374.21</v>
      </c>
      <c r="D559" t="inlineStr">
        <is>
          <t>€/MWh</t>
        </is>
      </c>
      <c r="E559" s="54" t="n">
        <v>0.37421</v>
      </c>
      <c r="F559" s="54" t="n">
        <v>0.394885</v>
      </c>
      <c r="G559" t="inlineStr">
        <is>
          <t>calculado</t>
        </is>
      </c>
      <c r="H559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559" t="inlineStr">
        <is>
          <t>2022-12-06</t>
        </is>
      </c>
      <c r="K559" t="inlineStr">
        <is>
          <t>ESIOS 1001 geo 8741</t>
        </is>
      </c>
      <c r="L559" t="inlineStr">
        <is>
          <t>24 valores; mín 327.66, máx 416.03 €/MWh</t>
        </is>
      </c>
    </row>
    <row r="560">
      <c r="A560" s="53" t="n">
        <v>44903</v>
      </c>
      <c r="B560" t="inlineStr">
        <is>
          <t>2022-12-08</t>
        </is>
      </c>
      <c r="C560" s="45" t="n">
        <v>247.9458</v>
      </c>
      <c r="D560" t="inlineStr">
        <is>
          <t>€/MWh</t>
        </is>
      </c>
      <c r="E560" s="54" t="n">
        <v>0.247946</v>
      </c>
      <c r="F560" s="54" t="n">
        <v>0.261645</v>
      </c>
      <c r="G560" t="inlineStr">
        <is>
          <t>calculado</t>
        </is>
      </c>
      <c r="H560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560" t="inlineStr">
        <is>
          <t>2022-12-07</t>
        </is>
      </c>
      <c r="K560" t="inlineStr">
        <is>
          <t>ESIOS 1001 geo 8741</t>
        </is>
      </c>
      <c r="L560" t="inlineStr">
        <is>
          <t>24 valores; mín 216.91, máx 275.32 €/MWh</t>
        </is>
      </c>
    </row>
    <row r="561">
      <c r="A561" s="53" t="n">
        <v>44904</v>
      </c>
      <c r="B561" t="inlineStr">
        <is>
          <t>2022-12-09</t>
        </is>
      </c>
      <c r="C561" s="45" t="n">
        <v>316.0967</v>
      </c>
      <c r="D561" t="inlineStr">
        <is>
          <t>€/MWh</t>
        </is>
      </c>
      <c r="E561" s="54" t="n">
        <v>0.316097</v>
      </c>
      <c r="F561" s="54" t="n">
        <v>0.333561</v>
      </c>
      <c r="G561" t="inlineStr">
        <is>
          <t>calculado</t>
        </is>
      </c>
      <c r="H561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561" t="inlineStr">
        <is>
          <t>2022-12-08</t>
        </is>
      </c>
      <c r="K561" t="inlineStr">
        <is>
          <t>ESIOS 1001 geo 8741</t>
        </is>
      </c>
      <c r="L561" t="inlineStr">
        <is>
          <t>24 valores; mín 272.60, máx 371.45 €/MWh</t>
        </is>
      </c>
    </row>
    <row r="562">
      <c r="A562" s="53" t="n">
        <v>44905</v>
      </c>
      <c r="B562" t="inlineStr">
        <is>
          <t>2022-12-10</t>
        </is>
      </c>
      <c r="C562" s="45" t="n">
        <v>235.3046</v>
      </c>
      <c r="D562" t="inlineStr">
        <is>
          <t>€/MWh</t>
        </is>
      </c>
      <c r="E562" s="54" t="n">
        <v>0.235305</v>
      </c>
      <c r="F562" s="54" t="n">
        <v>0.248305</v>
      </c>
      <c r="G562" t="inlineStr">
        <is>
          <t>calculado</t>
        </is>
      </c>
      <c r="H562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562" t="inlineStr">
        <is>
          <t>2022-12-09</t>
        </is>
      </c>
      <c r="K562" t="inlineStr">
        <is>
          <t>ESIOS 1001 geo 8741</t>
        </is>
      </c>
      <c r="L562" t="inlineStr">
        <is>
          <t>24 valores; mín 196.62, máx 312.83 €/MWh</t>
        </is>
      </c>
    </row>
    <row r="563">
      <c r="A563" s="53" t="n">
        <v>44906</v>
      </c>
      <c r="B563" t="inlineStr">
        <is>
          <t>2022-12-11</t>
        </is>
      </c>
      <c r="C563" s="45" t="n">
        <v>292.485</v>
      </c>
      <c r="D563" t="inlineStr">
        <is>
          <t>€/MWh</t>
        </is>
      </c>
      <c r="E563" s="54" t="n">
        <v>0.292485</v>
      </c>
      <c r="F563" s="54" t="n">
        <v>0.308645</v>
      </c>
      <c r="G563" t="inlineStr">
        <is>
          <t>calculado</t>
        </is>
      </c>
      <c r="H563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563" t="inlineStr">
        <is>
          <t>2022-12-10</t>
        </is>
      </c>
      <c r="K563" t="inlineStr">
        <is>
          <t>ESIOS 1001 geo 8741</t>
        </is>
      </c>
      <c r="L563" t="inlineStr">
        <is>
          <t>24 valores; mín 269.05, máx 330.78 €/MWh</t>
        </is>
      </c>
    </row>
    <row r="564">
      <c r="A564" s="53" t="n">
        <v>44907</v>
      </c>
      <c r="B564" t="inlineStr">
        <is>
          <t>2022-12-12</t>
        </is>
      </c>
      <c r="C564" s="45" t="n">
        <v>218.8433</v>
      </c>
      <c r="D564" t="inlineStr">
        <is>
          <t>€/MWh</t>
        </is>
      </c>
      <c r="E564" s="54" t="n">
        <v>0.218843</v>
      </c>
      <c r="F564" s="54" t="n">
        <v>0.230934</v>
      </c>
      <c r="G564" t="inlineStr">
        <is>
          <t>calculado</t>
        </is>
      </c>
      <c r="H564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564" t="inlineStr">
        <is>
          <t>2022-12-11</t>
        </is>
      </c>
      <c r="K564" t="inlineStr">
        <is>
          <t>ESIOS 1001 geo 8741</t>
        </is>
      </c>
      <c r="L564" t="inlineStr">
        <is>
          <t>24 valores; mín 176.14, máx 277.97 €/MWh</t>
        </is>
      </c>
    </row>
    <row r="565">
      <c r="A565" s="53" t="n">
        <v>44908</v>
      </c>
      <c r="B565" t="inlineStr">
        <is>
          <t>2022-12-13</t>
        </is>
      </c>
      <c r="C565" s="45" t="n">
        <v>200.2404</v>
      </c>
      <c r="D565" t="inlineStr">
        <is>
          <t>€/MWh</t>
        </is>
      </c>
      <c r="E565" s="54" t="n">
        <v>0.20024</v>
      </c>
      <c r="F565" s="54" t="n">
        <v>0.211304</v>
      </c>
      <c r="G565" t="inlineStr">
        <is>
          <t>calculado</t>
        </is>
      </c>
      <c r="H565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565" t="inlineStr">
        <is>
          <t>2022-12-12</t>
        </is>
      </c>
      <c r="K565" t="inlineStr">
        <is>
          <t>ESIOS 1001 geo 8741</t>
        </is>
      </c>
      <c r="L565" t="inlineStr">
        <is>
          <t>24 valores; mín 42.25, máx 304.58 €/MWh</t>
        </is>
      </c>
    </row>
    <row r="566">
      <c r="A566" s="53" t="n">
        <v>44909</v>
      </c>
      <c r="B566" t="inlineStr">
        <is>
          <t>2022-12-14</t>
        </is>
      </c>
      <c r="C566" s="45" t="n">
        <v>167.2871</v>
      </c>
      <c r="D566" t="inlineStr">
        <is>
          <t>€/MWh</t>
        </is>
      </c>
      <c r="E566" s="54" t="n">
        <v>0.167287</v>
      </c>
      <c r="F566" s="54" t="n">
        <v>0.176701</v>
      </c>
      <c r="G566" t="inlineStr">
        <is>
          <t>calculado</t>
        </is>
      </c>
      <c r="H566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566" t="inlineStr">
        <is>
          <t>2022-12-13</t>
        </is>
      </c>
      <c r="K566" t="inlineStr">
        <is>
          <t>ESIOS 1001 geo 8741</t>
        </is>
      </c>
      <c r="L566" t="inlineStr">
        <is>
          <t>24 valores; mín 36.33, máx 352.67 €/MWh</t>
        </is>
      </c>
    </row>
    <row r="567">
      <c r="A567" s="53" t="n">
        <v>44910</v>
      </c>
      <c r="B567" t="inlineStr">
        <is>
          <t>2022-12-15</t>
        </is>
      </c>
      <c r="C567" s="45" t="n">
        <v>258.0333</v>
      </c>
      <c r="D567" t="inlineStr">
        <is>
          <t>€/MWh</t>
        </is>
      </c>
      <c r="E567" s="54" t="n">
        <v>0.258033</v>
      </c>
      <c r="F567" s="54" t="n">
        <v>0.27229</v>
      </c>
      <c r="G567" t="inlineStr">
        <is>
          <t>calculado</t>
        </is>
      </c>
      <c r="H567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567" t="inlineStr">
        <is>
          <t>2022-12-14</t>
        </is>
      </c>
      <c r="K567" t="inlineStr">
        <is>
          <t>ESIOS 1001 geo 8741</t>
        </is>
      </c>
      <c r="L567" t="inlineStr">
        <is>
          <t>24 valores; mín 159.71, máx 377.89 €/MWh</t>
        </is>
      </c>
    </row>
    <row r="568">
      <c r="A568" s="53" t="n">
        <v>44911</v>
      </c>
      <c r="B568" t="inlineStr">
        <is>
          <t>2022-12-16</t>
        </is>
      </c>
      <c r="C568" s="45" t="n">
        <v>248.5496</v>
      </c>
      <c r="D568" t="inlineStr">
        <is>
          <t>€/MWh</t>
        </is>
      </c>
      <c r="E568" s="54" t="n">
        <v>0.24855</v>
      </c>
      <c r="F568" s="54" t="n">
        <v>0.262282</v>
      </c>
      <c r="G568" t="inlineStr">
        <is>
          <t>calculado</t>
        </is>
      </c>
      <c r="H568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568" t="inlineStr">
        <is>
          <t>2022-12-15</t>
        </is>
      </c>
      <c r="K568" t="inlineStr">
        <is>
          <t>ESIOS 1001 geo 8741</t>
        </is>
      </c>
      <c r="L568" t="inlineStr">
        <is>
          <t>24 valores; mín 199.63, máx 319.46 €/MWh</t>
        </is>
      </c>
    </row>
    <row r="569">
      <c r="A569" s="53" t="n">
        <v>44912</v>
      </c>
      <c r="B569" t="inlineStr">
        <is>
          <t>2022-12-17</t>
        </is>
      </c>
      <c r="C569" s="45" t="n">
        <v>250.3646</v>
      </c>
      <c r="D569" t="inlineStr">
        <is>
          <t>€/MWh</t>
        </is>
      </c>
      <c r="E569" s="54" t="n">
        <v>0.250365</v>
      </c>
      <c r="F569" s="54" t="n">
        <v>0.264197</v>
      </c>
      <c r="G569" t="inlineStr">
        <is>
          <t>calculado</t>
        </is>
      </c>
      <c r="H569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569" t="inlineStr">
        <is>
          <t>2022-12-16</t>
        </is>
      </c>
      <c r="K569" t="inlineStr">
        <is>
          <t>ESIOS 1001 geo 8741</t>
        </is>
      </c>
      <c r="L569" t="inlineStr">
        <is>
          <t>24 valores; mín 207.81, máx 285.05 €/MWh</t>
        </is>
      </c>
    </row>
    <row r="570">
      <c r="A570" s="53" t="n">
        <v>44913</v>
      </c>
      <c r="B570" t="inlineStr">
        <is>
          <t>2022-12-18</t>
        </is>
      </c>
      <c r="C570" s="45" t="n">
        <v>170.9954</v>
      </c>
      <c r="D570" t="inlineStr">
        <is>
          <t>€/MWh</t>
        </is>
      </c>
      <c r="E570" s="54" t="n">
        <v>0.170995</v>
      </c>
      <c r="F570" s="54" t="n">
        <v>0.180595</v>
      </c>
      <c r="G570" t="inlineStr">
        <is>
          <t>calculado</t>
        </is>
      </c>
      <c r="H570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570" t="inlineStr">
        <is>
          <t>2022-12-17</t>
        </is>
      </c>
      <c r="K570" t="inlineStr">
        <is>
          <t>ESIOS 1001 geo 8741</t>
        </is>
      </c>
      <c r="L570" t="inlineStr">
        <is>
          <t>24 valores; mín 143.11, máx 229.34 €/MWh</t>
        </is>
      </c>
    </row>
    <row r="571">
      <c r="A571" s="53" t="n">
        <v>44914</v>
      </c>
      <c r="B571" t="inlineStr">
        <is>
          <t>2022-12-19</t>
        </is>
      </c>
      <c r="C571" s="45" t="n">
        <v>171.6646</v>
      </c>
      <c r="D571" t="inlineStr">
        <is>
          <t>€/MWh</t>
        </is>
      </c>
      <c r="E571" s="54" t="n">
        <v>0.171665</v>
      </c>
      <c r="F571" s="54" t="n">
        <v>0.181298</v>
      </c>
      <c r="G571" t="inlineStr">
        <is>
          <t>calculado</t>
        </is>
      </c>
      <c r="H571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571" t="inlineStr">
        <is>
          <t>2022-12-18</t>
        </is>
      </c>
      <c r="K571" t="inlineStr">
        <is>
          <t>ESIOS 1001 geo 8741</t>
        </is>
      </c>
      <c r="L571" t="inlineStr">
        <is>
          <t>24 valores; mín 112.58, máx 264.10 €/MWh</t>
        </is>
      </c>
    </row>
    <row r="572">
      <c r="A572" s="53" t="n">
        <v>44915</v>
      </c>
      <c r="B572" t="inlineStr">
        <is>
          <t>2022-12-20</t>
        </is>
      </c>
      <c r="C572" s="45" t="n">
        <v>145.0758</v>
      </c>
      <c r="D572" t="inlineStr">
        <is>
          <t>€/MWh</t>
        </is>
      </c>
      <c r="E572" s="54" t="n">
        <v>0.145076</v>
      </c>
      <c r="F572" s="54" t="n">
        <v>0.15338</v>
      </c>
      <c r="G572" t="inlineStr">
        <is>
          <t>calculado</t>
        </is>
      </c>
      <c r="H572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572" t="inlineStr">
        <is>
          <t>2022-12-19</t>
        </is>
      </c>
      <c r="K572" t="inlineStr">
        <is>
          <t>ESIOS 1001 geo 8741</t>
        </is>
      </c>
      <c r="L572" t="inlineStr">
        <is>
          <t>24 valores; mín 48.48, máx 229.39 €/MWh</t>
        </is>
      </c>
    </row>
    <row r="573">
      <c r="A573" s="53" t="n">
        <v>44916</v>
      </c>
      <c r="B573" t="inlineStr">
        <is>
          <t>2022-12-21</t>
        </is>
      </c>
      <c r="C573" s="45" t="n">
        <v>137.0213</v>
      </c>
      <c r="D573" t="inlineStr">
        <is>
          <t>€/MWh</t>
        </is>
      </c>
      <c r="E573" s="54" t="n">
        <v>0.137021</v>
      </c>
      <c r="F573" s="54" t="n">
        <v>0.144922</v>
      </c>
      <c r="G573" t="inlineStr">
        <is>
          <t>calculado</t>
        </is>
      </c>
      <c r="H573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573" t="inlineStr">
        <is>
          <t>2022-12-20</t>
        </is>
      </c>
      <c r="K573" t="inlineStr">
        <is>
          <t>ESIOS 1001 geo 8741</t>
        </is>
      </c>
      <c r="L573" t="inlineStr">
        <is>
          <t>24 valores; mín 80.60, máx 212.84 €/MWh</t>
        </is>
      </c>
    </row>
    <row r="574">
      <c r="A574" s="53" t="n">
        <v>44917</v>
      </c>
      <c r="B574" t="inlineStr">
        <is>
          <t>2022-12-22</t>
        </is>
      </c>
      <c r="C574" s="45" t="n">
        <v>122.1992</v>
      </c>
      <c r="D574" t="inlineStr">
        <is>
          <t>€/MWh</t>
        </is>
      </c>
      <c r="E574" s="54" t="n">
        <v>0.122199</v>
      </c>
      <c r="F574" s="54" t="n">
        <v>0.129359</v>
      </c>
      <c r="G574" t="inlineStr">
        <is>
          <t>calculado</t>
        </is>
      </c>
      <c r="H574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574" t="inlineStr">
        <is>
          <t>2022-12-21</t>
        </is>
      </c>
      <c r="K574" t="inlineStr">
        <is>
          <t>ESIOS 1001 geo 8741</t>
        </is>
      </c>
      <c r="L574" t="inlineStr">
        <is>
          <t>24 valores; mín 67.00, máx 186.85 €/MWh</t>
        </is>
      </c>
    </row>
    <row r="575">
      <c r="A575" s="53" t="n">
        <v>44918</v>
      </c>
      <c r="B575" t="inlineStr">
        <is>
          <t>2022-12-23</t>
        </is>
      </c>
      <c r="C575" s="45" t="n">
        <v>86.2779</v>
      </c>
      <c r="D575" t="inlineStr">
        <is>
          <t>€/MWh</t>
        </is>
      </c>
      <c r="E575" s="54" t="n">
        <v>0.08627799999999999</v>
      </c>
      <c r="F575" s="54" t="n">
        <v>0.091642</v>
      </c>
      <c r="G575" t="inlineStr">
        <is>
          <t>calculado</t>
        </is>
      </c>
      <c r="H575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575" t="inlineStr">
        <is>
          <t>2022-12-22</t>
        </is>
      </c>
      <c r="K575" t="inlineStr">
        <is>
          <t>ESIOS 1001 geo 8741</t>
        </is>
      </c>
      <c r="L575" t="inlineStr">
        <is>
          <t>24 valores; mín 38.24, máx 176.66 €/MWh</t>
        </is>
      </c>
    </row>
    <row r="576">
      <c r="A576" s="53" t="n">
        <v>44919</v>
      </c>
      <c r="B576" t="inlineStr">
        <is>
          <t>2022-12-24</t>
        </is>
      </c>
      <c r="C576" s="45" t="n">
        <v>79.3492</v>
      </c>
      <c r="D576" t="inlineStr">
        <is>
          <t>€/MWh</t>
        </is>
      </c>
      <c r="E576" s="54" t="n">
        <v>0.079349</v>
      </c>
      <c r="F576" s="54" t="n">
        <v>0.084367</v>
      </c>
      <c r="G576" t="inlineStr">
        <is>
          <t>calculado</t>
        </is>
      </c>
      <c r="H576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576" t="inlineStr">
        <is>
          <t>2022-12-23</t>
        </is>
      </c>
      <c r="K576" t="inlineStr">
        <is>
          <t>ESIOS 1001 geo 8741</t>
        </is>
      </c>
      <c r="L576" t="inlineStr">
        <is>
          <t>24 valores; mín 55.37, máx 152.79 €/MWh</t>
        </is>
      </c>
    </row>
    <row r="577">
      <c r="A577" s="53" t="n">
        <v>44920</v>
      </c>
      <c r="B577" t="inlineStr">
        <is>
          <t>2022-12-25</t>
        </is>
      </c>
      <c r="C577" s="45" t="n">
        <v>58.7133</v>
      </c>
      <c r="D577" t="inlineStr">
        <is>
          <t>€/MWh</t>
        </is>
      </c>
      <c r="E577" s="54" t="n">
        <v>0.058713</v>
      </c>
      <c r="F577" s="54" t="n">
        <v>0.062699</v>
      </c>
      <c r="G577" t="inlineStr">
        <is>
          <t>calculado</t>
        </is>
      </c>
      <c r="H577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577" t="inlineStr">
        <is>
          <t>2022-12-24</t>
        </is>
      </c>
      <c r="K577" t="inlineStr">
        <is>
          <t>ESIOS 1001 geo 8741</t>
        </is>
      </c>
      <c r="L577" t="inlineStr">
        <is>
          <t>24 valores; mín 42.33, máx 89.20 €/MWh</t>
        </is>
      </c>
    </row>
    <row r="578">
      <c r="A578" s="53" t="n">
        <v>44921</v>
      </c>
      <c r="B578" t="inlineStr">
        <is>
          <t>2022-12-26</t>
        </is>
      </c>
      <c r="C578" s="45" t="n">
        <v>169.9988</v>
      </c>
      <c r="D578" t="inlineStr">
        <is>
          <t>€/MWh</t>
        </is>
      </c>
      <c r="E578" s="54" t="n">
        <v>0.169999</v>
      </c>
      <c r="F578" s="54" t="n">
        <v>0.179549</v>
      </c>
      <c r="G578" t="inlineStr">
        <is>
          <t>calculado</t>
        </is>
      </c>
      <c r="H578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578" t="inlineStr">
        <is>
          <t>2022-12-25</t>
        </is>
      </c>
      <c r="K578" t="inlineStr">
        <is>
          <t>ESIOS 1001 geo 8741</t>
        </is>
      </c>
      <c r="L578" t="inlineStr">
        <is>
          <t>24 valores; mín 102.32, máx 330.96 €/MWh</t>
        </is>
      </c>
    </row>
    <row r="579">
      <c r="A579" s="53" t="n">
        <v>44922</v>
      </c>
      <c r="B579" t="inlineStr">
        <is>
          <t>2022-12-27</t>
        </is>
      </c>
      <c r="C579" s="45" t="n">
        <v>197.9742</v>
      </c>
      <c r="D579" t="inlineStr">
        <is>
          <t>€/MWh</t>
        </is>
      </c>
      <c r="E579" s="54" t="n">
        <v>0.197974</v>
      </c>
      <c r="F579" s="54" t="n">
        <v>0.208923</v>
      </c>
      <c r="G579" t="inlineStr">
        <is>
          <t>calculado</t>
        </is>
      </c>
      <c r="H579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579" t="inlineStr">
        <is>
          <t>2022-12-26</t>
        </is>
      </c>
      <c r="K579" t="inlineStr">
        <is>
          <t>ESIOS 1001 geo 8741</t>
        </is>
      </c>
      <c r="L579" t="inlineStr">
        <is>
          <t>24 valores; mín 130.81, máx 298.13 €/MWh</t>
        </is>
      </c>
    </row>
    <row r="580">
      <c r="A580" s="53" t="n">
        <v>44923</v>
      </c>
      <c r="B580" t="inlineStr">
        <is>
          <t>2022-12-28</t>
        </is>
      </c>
      <c r="C580" s="45" t="n">
        <v>112.6446</v>
      </c>
      <c r="D580" t="inlineStr">
        <is>
          <t>€/MWh</t>
        </is>
      </c>
      <c r="E580" s="54" t="n">
        <v>0.112645</v>
      </c>
      <c r="F580" s="54" t="n">
        <v>0.119327</v>
      </c>
      <c r="G580" t="inlineStr">
        <is>
          <t>calculado</t>
        </is>
      </c>
      <c r="H580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580" t="inlineStr">
        <is>
          <t>2022-12-27</t>
        </is>
      </c>
      <c r="K580" t="inlineStr">
        <is>
          <t>ESIOS 1001 geo 8741</t>
        </is>
      </c>
      <c r="L580" t="inlineStr">
        <is>
          <t>24 valores; mín 68.19, máx 188.63 €/MWh</t>
        </is>
      </c>
    </row>
    <row r="581">
      <c r="A581" s="53" t="n">
        <v>44924</v>
      </c>
      <c r="B581" t="inlineStr">
        <is>
          <t>2022-12-29</t>
        </is>
      </c>
      <c r="C581" s="45" t="n">
        <v>85.0904</v>
      </c>
      <c r="D581" t="inlineStr">
        <is>
          <t>€/MWh</t>
        </is>
      </c>
      <c r="E581" s="54" t="n">
        <v>0.08509</v>
      </c>
      <c r="F581" s="54" t="n">
        <v>0.090395</v>
      </c>
      <c r="G581" t="inlineStr">
        <is>
          <t>calculado</t>
        </is>
      </c>
      <c r="H581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581" t="inlineStr">
        <is>
          <t>2022-12-28</t>
        </is>
      </c>
      <c r="K581" t="inlineStr">
        <is>
          <t>ESIOS 1001 geo 8741</t>
        </is>
      </c>
      <c r="L581" t="inlineStr">
        <is>
          <t>24 valores; mín 46.13, máx 134.94 €/MWh</t>
        </is>
      </c>
    </row>
    <row r="582">
      <c r="A582" s="53" t="n">
        <v>44925</v>
      </c>
      <c r="B582" t="inlineStr">
        <is>
          <t>2022-12-30</t>
        </is>
      </c>
      <c r="C582" s="45" t="n">
        <v>69.9192</v>
      </c>
      <c r="D582" t="inlineStr">
        <is>
          <t>€/MWh</t>
        </is>
      </c>
      <c r="E582" s="54" t="n">
        <v>0.069919</v>
      </c>
      <c r="F582" s="54" t="n">
        <v>0.074465</v>
      </c>
      <c r="G582" t="inlineStr">
        <is>
          <t>calculado</t>
        </is>
      </c>
      <c r="H582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582" t="inlineStr">
        <is>
          <t>2022-12-29</t>
        </is>
      </c>
      <c r="K582" t="inlineStr">
        <is>
          <t>ESIOS 1001 geo 8741</t>
        </is>
      </c>
      <c r="L582" t="inlineStr">
        <is>
          <t>24 valores; mín 37.31, máx 121.75 €/MWh</t>
        </is>
      </c>
    </row>
    <row r="583">
      <c r="A583" s="53" t="n">
        <v>44926</v>
      </c>
      <c r="B583" t="inlineStr">
        <is>
          <t>2022-12-31</t>
        </is>
      </c>
      <c r="C583" s="45" t="n">
        <v>38.0225</v>
      </c>
      <c r="D583" t="inlineStr">
        <is>
          <t>€/MWh</t>
        </is>
      </c>
      <c r="E583" s="54" t="n">
        <v>0.038023</v>
      </c>
      <c r="F583" s="54" t="n">
        <v>0.040974</v>
      </c>
      <c r="G583" t="inlineStr">
        <is>
          <t>calculado</t>
        </is>
      </c>
      <c r="H583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583" t="inlineStr">
        <is>
          <t>2022-12-30</t>
        </is>
      </c>
      <c r="K583" t="inlineStr">
        <is>
          <t>ESIOS 1001 geo 8741</t>
        </is>
      </c>
      <c r="L583" t="inlineStr">
        <is>
          <t>24 valores; mín 25.80, máx 50.06 €/MWh</t>
        </is>
      </c>
    </row>
    <row r="584">
      <c r="A584" s="53" t="n">
        <v>44927</v>
      </c>
      <c r="B584" t="inlineStr">
        <is>
          <t>2023-01-01</t>
        </is>
      </c>
      <c r="C584" s="45" t="n">
        <v>61.3129</v>
      </c>
      <c r="D584" t="inlineStr">
        <is>
          <t>€/MWh</t>
        </is>
      </c>
      <c r="E584" s="54" t="n">
        <v>0.061313</v>
      </c>
      <c r="F584" s="54" t="n">
        <v>0.065429</v>
      </c>
      <c r="G584" t="inlineStr">
        <is>
          <t>calculado</t>
        </is>
      </c>
      <c r="H584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584" t="inlineStr">
        <is>
          <t>2022-12-31</t>
        </is>
      </c>
      <c r="K584" t="inlineStr">
        <is>
          <t>ESIOS 1001 geo 8741</t>
        </is>
      </c>
      <c r="L584" t="inlineStr">
        <is>
          <t>24 valores; mín 41.45, máx 86.19 €/MWh</t>
        </is>
      </c>
    </row>
    <row r="585">
      <c r="A585" s="53" t="n">
        <v>44928</v>
      </c>
      <c r="B585" t="inlineStr">
        <is>
          <t>2023-01-02</t>
        </is>
      </c>
      <c r="C585" s="45" t="n">
        <v>199.1558</v>
      </c>
      <c r="D585" t="inlineStr">
        <is>
          <t>€/MWh</t>
        </is>
      </c>
      <c r="E585" s="54" t="n">
        <v>0.199156</v>
      </c>
      <c r="F585" s="54" t="n">
        <v>0.210164</v>
      </c>
      <c r="G585" t="inlineStr">
        <is>
          <t>calculado</t>
        </is>
      </c>
      <c r="H585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585" t="inlineStr">
        <is>
          <t>2023-01-01</t>
        </is>
      </c>
      <c r="K585" t="inlineStr">
        <is>
          <t>ESIOS 1001 geo 8741</t>
        </is>
      </c>
      <c r="L585" t="inlineStr">
        <is>
          <t>24 valores; mín 104.45, máx 302.19 €/MWh</t>
        </is>
      </c>
    </row>
    <row r="586">
      <c r="A586" s="53" t="n">
        <v>44929</v>
      </c>
      <c r="B586" t="inlineStr">
        <is>
          <t>2023-01-03</t>
        </is>
      </c>
      <c r="C586" s="45" t="n">
        <v>225.4087</v>
      </c>
      <c r="D586" t="inlineStr">
        <is>
          <t>€/MWh</t>
        </is>
      </c>
      <c r="E586" s="54" t="n">
        <v>0.225409</v>
      </c>
      <c r="F586" s="54" t="n">
        <v>0.237863</v>
      </c>
      <c r="G586" t="inlineStr">
        <is>
          <t>calculado</t>
        </is>
      </c>
      <c r="H586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586" t="inlineStr">
        <is>
          <t>2023-01-02</t>
        </is>
      </c>
      <c r="K586" t="inlineStr">
        <is>
          <t>ESIOS 1001 geo 8741</t>
        </is>
      </c>
      <c r="L586" t="inlineStr">
        <is>
          <t>24 valores; mín 175.74, máx 298.14 €/MWh</t>
        </is>
      </c>
    </row>
    <row r="587">
      <c r="A587" s="53" t="n">
        <v>44930</v>
      </c>
      <c r="B587" t="inlineStr">
        <is>
          <t>2023-01-04</t>
        </is>
      </c>
      <c r="C587" s="45" t="n">
        <v>201.6546</v>
      </c>
      <c r="D587" t="inlineStr">
        <is>
          <t>€/MWh</t>
        </is>
      </c>
      <c r="E587" s="54" t="n">
        <v>0.201655</v>
      </c>
      <c r="F587" s="54" t="n">
        <v>0.212796</v>
      </c>
      <c r="G587" t="inlineStr">
        <is>
          <t>calculado</t>
        </is>
      </c>
      <c r="H587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587" t="inlineStr">
        <is>
          <t>2023-01-03</t>
        </is>
      </c>
      <c r="K587" t="inlineStr">
        <is>
          <t>ESIOS 1001 geo 8741</t>
        </is>
      </c>
      <c r="L587" t="inlineStr">
        <is>
          <t>24 valores; mín 142.74, máx 300.19 €/MWh</t>
        </is>
      </c>
    </row>
    <row r="588">
      <c r="A588" s="53" t="n">
        <v>44931</v>
      </c>
      <c r="B588" t="inlineStr">
        <is>
          <t>2023-01-05</t>
        </is>
      </c>
      <c r="C588" s="45" t="n">
        <v>194.3967</v>
      </c>
      <c r="D588" t="inlineStr">
        <is>
          <t>€/MWh</t>
        </is>
      </c>
      <c r="E588" s="54" t="n">
        <v>0.194397</v>
      </c>
      <c r="F588" s="54" t="n">
        <v>0.205167</v>
      </c>
      <c r="G588" t="inlineStr">
        <is>
          <t>calculado</t>
        </is>
      </c>
      <c r="H588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588" t="inlineStr">
        <is>
          <t>2023-01-04</t>
        </is>
      </c>
      <c r="K588" t="inlineStr">
        <is>
          <t>ESIOS 1001 geo 8741</t>
        </is>
      </c>
      <c r="L588" t="inlineStr">
        <is>
          <t>24 valores; mín 118.39, máx 314.57 €/MWh</t>
        </is>
      </c>
    </row>
    <row r="589">
      <c r="A589" s="53" t="n">
        <v>44932</v>
      </c>
      <c r="B589" t="inlineStr">
        <is>
          <t>2023-01-06</t>
        </is>
      </c>
      <c r="C589" s="45" t="n">
        <v>152.6121</v>
      </c>
      <c r="D589" t="inlineStr">
        <is>
          <t>€/MWh</t>
        </is>
      </c>
      <c r="E589" s="54" t="n">
        <v>0.152612</v>
      </c>
      <c r="F589" s="54" t="n">
        <v>0.161293</v>
      </c>
      <c r="G589" t="inlineStr">
        <is>
          <t>calculado</t>
        </is>
      </c>
      <c r="H589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589" t="inlineStr">
        <is>
          <t>2023-01-05</t>
        </is>
      </c>
      <c r="K589" t="inlineStr">
        <is>
          <t>ESIOS 1001 geo 8741</t>
        </is>
      </c>
      <c r="L589" t="inlineStr">
        <is>
          <t>24 valores; mín 108.74, máx 186.17 €/MWh</t>
        </is>
      </c>
    </row>
    <row r="590">
      <c r="A590" s="53" t="n">
        <v>44933</v>
      </c>
      <c r="B590" t="inlineStr">
        <is>
          <t>2023-01-07</t>
        </is>
      </c>
      <c r="C590" s="45" t="n">
        <v>61.6667</v>
      </c>
      <c r="D590" t="inlineStr">
        <is>
          <t>€/MWh</t>
        </is>
      </c>
      <c r="E590" s="54" t="n">
        <v>0.061667</v>
      </c>
      <c r="F590" s="54" t="n">
        <v>0.0658</v>
      </c>
      <c r="G590" t="inlineStr">
        <is>
          <t>calculado</t>
        </is>
      </c>
      <c r="H590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590" t="inlineStr">
        <is>
          <t>2023-01-06</t>
        </is>
      </c>
      <c r="K590" t="inlineStr">
        <is>
          <t>ESIOS 1001 geo 8741</t>
        </is>
      </c>
      <c r="L590" t="inlineStr">
        <is>
          <t>24 valores; mín 32.63, máx 98.99 €/MWh</t>
        </is>
      </c>
    </row>
    <row r="591">
      <c r="A591" s="53" t="n">
        <v>44934</v>
      </c>
      <c r="B591" t="inlineStr">
        <is>
          <t>2023-01-08</t>
        </is>
      </c>
      <c r="C591" s="45" t="n">
        <v>44.345</v>
      </c>
      <c r="D591" t="inlineStr">
        <is>
          <t>€/MWh</t>
        </is>
      </c>
      <c r="E591" s="54" t="n">
        <v>0.044345</v>
      </c>
      <c r="F591" s="54" t="n">
        <v>0.047612</v>
      </c>
      <c r="G591" t="inlineStr">
        <is>
          <t>calculado</t>
        </is>
      </c>
      <c r="H591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591" t="inlineStr">
        <is>
          <t>2023-01-07</t>
        </is>
      </c>
      <c r="K591" t="inlineStr">
        <is>
          <t>ESIOS 1001 geo 8741</t>
        </is>
      </c>
      <c r="L591" t="inlineStr">
        <is>
          <t>24 valores; mín 33.28, máx 67.66 €/MWh</t>
        </is>
      </c>
    </row>
    <row r="592">
      <c r="A592" s="53" t="n">
        <v>44935</v>
      </c>
      <c r="B592" t="inlineStr">
        <is>
          <t>2023-01-09</t>
        </is>
      </c>
      <c r="C592" s="45" t="n">
        <v>159.8846</v>
      </c>
      <c r="D592" t="inlineStr">
        <is>
          <t>€/MWh</t>
        </is>
      </c>
      <c r="E592" s="54" t="n">
        <v>0.159885</v>
      </c>
      <c r="F592" s="54" t="n">
        <v>0.168929</v>
      </c>
      <c r="G592" t="inlineStr">
        <is>
          <t>calculado</t>
        </is>
      </c>
      <c r="H592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592" t="inlineStr">
        <is>
          <t>2023-01-08</t>
        </is>
      </c>
      <c r="K592" t="inlineStr">
        <is>
          <t>ESIOS 1001 geo 8741</t>
        </is>
      </c>
      <c r="L592" t="inlineStr">
        <is>
          <t>24 valores; mín 41.07, máx 294.12 €/MWh</t>
        </is>
      </c>
    </row>
    <row r="593">
      <c r="A593" s="53" t="n">
        <v>44936</v>
      </c>
      <c r="B593" t="inlineStr">
        <is>
          <t>2023-01-10</t>
        </is>
      </c>
      <c r="C593" s="45" t="n">
        <v>187.7217</v>
      </c>
      <c r="D593" t="inlineStr">
        <is>
          <t>€/MWh</t>
        </is>
      </c>
      <c r="E593" s="54" t="n">
        <v>0.187722</v>
      </c>
      <c r="F593" s="54" t="n">
        <v>0.198158</v>
      </c>
      <c r="G593" t="inlineStr">
        <is>
          <t>calculado</t>
        </is>
      </c>
      <c r="H593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593" t="inlineStr">
        <is>
          <t>2023-01-09</t>
        </is>
      </c>
      <c r="K593" t="inlineStr">
        <is>
          <t>ESIOS 1001 geo 8741</t>
        </is>
      </c>
      <c r="L593" t="inlineStr">
        <is>
          <t>24 valores; mín 128.58, máx 266.46 €/MWh</t>
        </is>
      </c>
    </row>
    <row r="594">
      <c r="A594" s="53" t="n">
        <v>44937</v>
      </c>
      <c r="B594" t="inlineStr">
        <is>
          <t>2023-01-11</t>
        </is>
      </c>
      <c r="C594" s="45" t="n">
        <v>158.9646</v>
      </c>
      <c r="D594" t="inlineStr">
        <is>
          <t>€/MWh</t>
        </is>
      </c>
      <c r="E594" s="54" t="n">
        <v>0.158965</v>
      </c>
      <c r="F594" s="54" t="n">
        <v>0.167963</v>
      </c>
      <c r="G594" t="inlineStr">
        <is>
          <t>calculado</t>
        </is>
      </c>
      <c r="H594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594" t="inlineStr">
        <is>
          <t>2023-01-10</t>
        </is>
      </c>
      <c r="K594" t="inlineStr">
        <is>
          <t>ESIOS 1001 geo 8741</t>
        </is>
      </c>
      <c r="L594" t="inlineStr">
        <is>
          <t>24 valores; mín 40.45, máx 255.38 €/MWh</t>
        </is>
      </c>
    </row>
    <row r="595">
      <c r="A595" s="53" t="n">
        <v>44938</v>
      </c>
      <c r="B595" t="inlineStr">
        <is>
          <t>2023-01-12</t>
        </is>
      </c>
      <c r="C595" s="45" t="n">
        <v>166.82</v>
      </c>
      <c r="D595" t="inlineStr">
        <is>
          <t>€/MWh</t>
        </is>
      </c>
      <c r="E595" s="54" t="n">
        <v>0.16682</v>
      </c>
      <c r="F595" s="54" t="n">
        <v>0.176211</v>
      </c>
      <c r="G595" t="inlineStr">
        <is>
          <t>calculado</t>
        </is>
      </c>
      <c r="H595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595" t="inlineStr">
        <is>
          <t>2023-01-11</t>
        </is>
      </c>
      <c r="K595" t="inlineStr">
        <is>
          <t>ESIOS 1001 geo 8741</t>
        </is>
      </c>
      <c r="L595" t="inlineStr">
        <is>
          <t>24 valores; mín 97.95, máx 262.40 €/MWh</t>
        </is>
      </c>
    </row>
    <row r="596">
      <c r="A596" s="53" t="n">
        <v>44939</v>
      </c>
      <c r="B596" t="inlineStr">
        <is>
          <t>2023-01-13</t>
        </is>
      </c>
      <c r="C596" s="45" t="n">
        <v>162.3508</v>
      </c>
      <c r="D596" t="inlineStr">
        <is>
          <t>€/MWh</t>
        </is>
      </c>
      <c r="E596" s="54" t="n">
        <v>0.162351</v>
      </c>
      <c r="F596" s="54" t="n">
        <v>0.171518</v>
      </c>
      <c r="G596" t="inlineStr">
        <is>
          <t>calculado</t>
        </is>
      </c>
      <c r="H596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596" t="inlineStr">
        <is>
          <t>2023-01-12</t>
        </is>
      </c>
      <c r="K596" t="inlineStr">
        <is>
          <t>ESIOS 1001 geo 8741</t>
        </is>
      </c>
      <c r="L596" t="inlineStr">
        <is>
          <t>24 valores; mín 79.04, máx 277.59 €/MWh</t>
        </is>
      </c>
    </row>
    <row r="597">
      <c r="A597" s="53" t="n">
        <v>44940</v>
      </c>
      <c r="B597" t="inlineStr">
        <is>
          <t>2023-01-14</t>
        </is>
      </c>
      <c r="C597" s="45" t="n">
        <v>91.2754</v>
      </c>
      <c r="D597" t="inlineStr">
        <is>
          <t>€/MWh</t>
        </is>
      </c>
      <c r="E597" s="54" t="n">
        <v>0.091275</v>
      </c>
      <c r="F597" s="54" t="n">
        <v>0.096889</v>
      </c>
      <c r="G597" t="inlineStr">
        <is>
          <t>calculado</t>
        </is>
      </c>
      <c r="H597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597" t="inlineStr">
        <is>
          <t>2023-01-13</t>
        </is>
      </c>
      <c r="K597" t="inlineStr">
        <is>
          <t>ESIOS 1001 geo 8741</t>
        </is>
      </c>
      <c r="L597" t="inlineStr">
        <is>
          <t>24 valores; mín 65.97, máx 125.04 €/MWh</t>
        </is>
      </c>
    </row>
    <row r="598">
      <c r="A598" s="53" t="n">
        <v>44941</v>
      </c>
      <c r="B598" t="inlineStr">
        <is>
          <t>2023-01-15</t>
        </is>
      </c>
      <c r="C598" s="45" t="n">
        <v>54.3892</v>
      </c>
      <c r="D598" t="inlineStr">
        <is>
          <t>€/MWh</t>
        </is>
      </c>
      <c r="E598" s="54" t="n">
        <v>0.054389</v>
      </c>
      <c r="F598" s="54" t="n">
        <v>0.058159</v>
      </c>
      <c r="G598" t="inlineStr">
        <is>
          <t>calculado</t>
        </is>
      </c>
      <c r="H598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598" t="inlineStr">
        <is>
          <t>2023-01-14</t>
        </is>
      </c>
      <c r="K598" t="inlineStr">
        <is>
          <t>ESIOS 1001 geo 8741</t>
        </is>
      </c>
      <c r="L598" t="inlineStr">
        <is>
          <t>24 valores; mín 36.95, máx 79.99 €/MWh</t>
        </is>
      </c>
    </row>
    <row r="599">
      <c r="A599" s="53" t="n">
        <v>44942</v>
      </c>
      <c r="B599" t="inlineStr">
        <is>
          <t>2023-01-16</t>
        </is>
      </c>
      <c r="C599" s="45" t="n">
        <v>69.2054</v>
      </c>
      <c r="D599" t="inlineStr">
        <is>
          <t>€/MWh</t>
        </is>
      </c>
      <c r="E599" s="54" t="n">
        <v>0.069205</v>
      </c>
      <c r="F599" s="54" t="n">
        <v>0.073716</v>
      </c>
      <c r="G599" t="inlineStr">
        <is>
          <t>calculado</t>
        </is>
      </c>
      <c r="H599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599" t="inlineStr">
        <is>
          <t>2023-01-15</t>
        </is>
      </c>
      <c r="K599" t="inlineStr">
        <is>
          <t>ESIOS 1001 geo 8741</t>
        </is>
      </c>
      <c r="L599" t="inlineStr">
        <is>
          <t>24 valores; mín 26.49, máx 132.45 €/MWh</t>
        </is>
      </c>
    </row>
    <row r="600">
      <c r="A600" s="53" t="n">
        <v>44943</v>
      </c>
      <c r="B600" t="inlineStr">
        <is>
          <t>2023-01-17</t>
        </is>
      </c>
      <c r="C600" s="45" t="n">
        <v>60.1017</v>
      </c>
      <c r="D600" t="inlineStr">
        <is>
          <t>€/MWh</t>
        </is>
      </c>
      <c r="E600" s="54" t="n">
        <v>0.060102</v>
      </c>
      <c r="F600" s="54" t="n">
        <v>0.06415700000000001</v>
      </c>
      <c r="G600" t="inlineStr">
        <is>
          <t>calculado</t>
        </is>
      </c>
      <c r="H600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600" t="inlineStr">
        <is>
          <t>2023-01-16</t>
        </is>
      </c>
      <c r="K600" t="inlineStr">
        <is>
          <t>ESIOS 1001 geo 8741</t>
        </is>
      </c>
      <c r="L600" t="inlineStr">
        <is>
          <t>24 valores; mín 25.60, máx 112.75 €/MWh</t>
        </is>
      </c>
    </row>
    <row r="601">
      <c r="A601" s="53" t="n">
        <v>44944</v>
      </c>
      <c r="B601" t="inlineStr">
        <is>
          <t>2023-01-18</t>
        </is>
      </c>
      <c r="C601" s="45" t="n">
        <v>79.53919999999999</v>
      </c>
      <c r="D601" t="inlineStr">
        <is>
          <t>€/MWh</t>
        </is>
      </c>
      <c r="E601" s="54" t="n">
        <v>0.079539</v>
      </c>
      <c r="F601" s="54" t="n">
        <v>0.084566</v>
      </c>
      <c r="G601" t="inlineStr">
        <is>
          <t>calculado</t>
        </is>
      </c>
      <c r="H601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601" t="inlineStr">
        <is>
          <t>2023-01-17</t>
        </is>
      </c>
      <c r="K601" t="inlineStr">
        <is>
          <t>ESIOS 1001 geo 8741</t>
        </is>
      </c>
      <c r="L601" t="inlineStr">
        <is>
          <t>24 valores; mín 20.83, máx 238.70 €/MWh</t>
        </is>
      </c>
    </row>
    <row r="602">
      <c r="A602" s="53" t="n">
        <v>44945</v>
      </c>
      <c r="B602" t="inlineStr">
        <is>
          <t>2023-01-19</t>
        </is>
      </c>
      <c r="C602" s="45" t="n">
        <v>96.9533</v>
      </c>
      <c r="D602" t="inlineStr">
        <is>
          <t>€/MWh</t>
        </is>
      </c>
      <c r="E602" s="54" t="n">
        <v>0.096953</v>
      </c>
      <c r="F602" s="54" t="n">
        <v>0.102851</v>
      </c>
      <c r="G602" t="inlineStr">
        <is>
          <t>calculado</t>
        </is>
      </c>
      <c r="H602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602" t="inlineStr">
        <is>
          <t>2023-01-18</t>
        </is>
      </c>
      <c r="K602" t="inlineStr">
        <is>
          <t>ESIOS 1001 geo 8741</t>
        </is>
      </c>
      <c r="L602" t="inlineStr">
        <is>
          <t>24 valores; mín 55.83, máx 159.81 €/MWh</t>
        </is>
      </c>
    </row>
    <row r="603">
      <c r="A603" s="53" t="n">
        <v>44946</v>
      </c>
      <c r="B603" t="inlineStr">
        <is>
          <t>2023-01-20</t>
        </is>
      </c>
      <c r="C603" s="45" t="n">
        <v>163.9817</v>
      </c>
      <c r="D603" t="inlineStr">
        <is>
          <t>€/MWh</t>
        </is>
      </c>
      <c r="E603" s="54" t="n">
        <v>0.163982</v>
      </c>
      <c r="F603" s="54" t="n">
        <v>0.173231</v>
      </c>
      <c r="G603" t="inlineStr">
        <is>
          <t>calculado</t>
        </is>
      </c>
      <c r="H603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603" t="inlineStr">
        <is>
          <t>2023-01-19</t>
        </is>
      </c>
      <c r="K603" t="inlineStr">
        <is>
          <t>ESIOS 1001 geo 8741</t>
        </is>
      </c>
      <c r="L603" t="inlineStr">
        <is>
          <t>24 valores; mín 57.77, máx 344.68 €/MWh</t>
        </is>
      </c>
    </row>
    <row r="604">
      <c r="A604" s="53" t="n">
        <v>44947</v>
      </c>
      <c r="B604" t="inlineStr">
        <is>
          <t>2023-01-21</t>
        </is>
      </c>
      <c r="C604" s="45" t="n">
        <v>97.14879999999999</v>
      </c>
      <c r="D604" t="inlineStr">
        <is>
          <t>€/MWh</t>
        </is>
      </c>
      <c r="E604" s="54" t="n">
        <v>0.097149</v>
      </c>
      <c r="F604" s="54" t="n">
        <v>0.103056</v>
      </c>
      <c r="G604" t="inlineStr">
        <is>
          <t>calculado</t>
        </is>
      </c>
      <c r="H604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604" t="inlineStr">
        <is>
          <t>2023-01-20</t>
        </is>
      </c>
      <c r="K604" t="inlineStr">
        <is>
          <t>ESIOS 1001 geo 8741</t>
        </is>
      </c>
      <c r="L604" t="inlineStr">
        <is>
          <t>24 valores; mín 69.30, máx 155.99 €/MWh</t>
        </is>
      </c>
    </row>
    <row r="605">
      <c r="A605" s="53" t="n">
        <v>44948</v>
      </c>
      <c r="B605" t="inlineStr">
        <is>
          <t>2023-01-22</t>
        </is>
      </c>
      <c r="C605" s="45" t="n">
        <v>72.3717</v>
      </c>
      <c r="D605" t="inlineStr">
        <is>
          <t>€/MWh</t>
        </is>
      </c>
      <c r="E605" s="54" t="n">
        <v>0.07237200000000001</v>
      </c>
      <c r="F605" s="54" t="n">
        <v>0.07704</v>
      </c>
      <c r="G605" t="inlineStr">
        <is>
          <t>calculado</t>
        </is>
      </c>
      <c r="H605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605" t="inlineStr">
        <is>
          <t>2023-01-21</t>
        </is>
      </c>
      <c r="K605" t="inlineStr">
        <is>
          <t>ESIOS 1001 geo 8741</t>
        </is>
      </c>
      <c r="L605" t="inlineStr">
        <is>
          <t>24 valores; mín 41.76, máx 175.44 €/MWh</t>
        </is>
      </c>
    </row>
    <row r="606">
      <c r="A606" s="53" t="n">
        <v>44949</v>
      </c>
      <c r="B606" t="inlineStr">
        <is>
          <t>2023-01-23</t>
        </is>
      </c>
      <c r="C606" s="45" t="n">
        <v>143.465</v>
      </c>
      <c r="D606" t="inlineStr">
        <is>
          <t>€/MWh</t>
        </is>
      </c>
      <c r="E606" s="54" t="n">
        <v>0.143465</v>
      </c>
      <c r="F606" s="54" t="n">
        <v>0.151688</v>
      </c>
      <c r="G606" t="inlineStr">
        <is>
          <t>calculado</t>
        </is>
      </c>
      <c r="H606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606" t="inlineStr">
        <is>
          <t>2023-01-22</t>
        </is>
      </c>
      <c r="K606" t="inlineStr">
        <is>
          <t>ESIOS 1001 geo 8741</t>
        </is>
      </c>
      <c r="L606" t="inlineStr">
        <is>
          <t>24 valores; mín 76.44, máx 277.91 €/MWh</t>
        </is>
      </c>
    </row>
    <row r="607">
      <c r="A607" s="53" t="n">
        <v>44950</v>
      </c>
      <c r="B607" t="inlineStr">
        <is>
          <t>2023-01-24</t>
        </is>
      </c>
      <c r="C607" s="45" t="n">
        <v>161.0312</v>
      </c>
      <c r="D607" t="inlineStr">
        <is>
          <t>€/MWh</t>
        </is>
      </c>
      <c r="E607" s="54" t="n">
        <v>0.161031</v>
      </c>
      <c r="F607" s="54" t="n">
        <v>0.170133</v>
      </c>
      <c r="G607" t="inlineStr">
        <is>
          <t>calculado</t>
        </is>
      </c>
      <c r="H607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607" t="inlineStr">
        <is>
          <t>2023-01-23</t>
        </is>
      </c>
      <c r="K607" t="inlineStr">
        <is>
          <t>ESIOS 1001 geo 8741</t>
        </is>
      </c>
      <c r="L607" t="inlineStr">
        <is>
          <t>24 valores; mín 88.51, máx 357.20 €/MWh</t>
        </is>
      </c>
    </row>
    <row r="608">
      <c r="A608" s="53" t="n">
        <v>44951</v>
      </c>
      <c r="B608" t="inlineStr">
        <is>
          <t>2023-01-25</t>
        </is>
      </c>
      <c r="C608" s="45" t="n">
        <v>168.5671</v>
      </c>
      <c r="D608" t="inlineStr">
        <is>
          <t>€/MWh</t>
        </is>
      </c>
      <c r="E608" s="54" t="n">
        <v>0.168567</v>
      </c>
      <c r="F608" s="54" t="n">
        <v>0.178045</v>
      </c>
      <c r="G608" t="inlineStr">
        <is>
          <t>calculado</t>
        </is>
      </c>
      <c r="H608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608" t="inlineStr">
        <is>
          <t>2023-01-24</t>
        </is>
      </c>
      <c r="K608" t="inlineStr">
        <is>
          <t>ESIOS 1001 geo 8741</t>
        </is>
      </c>
      <c r="L608" t="inlineStr">
        <is>
          <t>24 valores; mín 114.64, máx 342.60 €/MWh</t>
        </is>
      </c>
    </row>
    <row r="609">
      <c r="A609" s="53" t="n">
        <v>44952</v>
      </c>
      <c r="B609" t="inlineStr">
        <is>
          <t>2023-01-26</t>
        </is>
      </c>
      <c r="C609" s="45" t="n">
        <v>134.9462</v>
      </c>
      <c r="D609" t="inlineStr">
        <is>
          <t>€/MWh</t>
        </is>
      </c>
      <c r="E609" s="54" t="n">
        <v>0.134946</v>
      </c>
      <c r="F609" s="54" t="n">
        <v>0.142744</v>
      </c>
      <c r="G609" t="inlineStr">
        <is>
          <t>calculado</t>
        </is>
      </c>
      <c r="H609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609" t="inlineStr">
        <is>
          <t>2023-01-25</t>
        </is>
      </c>
      <c r="K609" t="inlineStr">
        <is>
          <t>ESIOS 1001 geo 8741</t>
        </is>
      </c>
      <c r="L609" t="inlineStr">
        <is>
          <t>24 valores; mín 95.20, máx 211.01 €/MWh</t>
        </is>
      </c>
    </row>
    <row r="610">
      <c r="A610" s="53" t="n">
        <v>44953</v>
      </c>
      <c r="B610" t="inlineStr">
        <is>
          <t>2023-01-27</t>
        </is>
      </c>
      <c r="C610" s="45" t="n">
        <v>108.0717</v>
      </c>
      <c r="D610" t="inlineStr">
        <is>
          <t>€/MWh</t>
        </is>
      </c>
      <c r="E610" s="54" t="n">
        <v>0.108072</v>
      </c>
      <c r="F610" s="54" t="n">
        <v>0.114525</v>
      </c>
      <c r="G610" t="inlineStr">
        <is>
          <t>calculado</t>
        </is>
      </c>
      <c r="H610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610" t="inlineStr">
        <is>
          <t>2023-01-26</t>
        </is>
      </c>
      <c r="K610" t="inlineStr">
        <is>
          <t>ESIOS 1001 geo 8741</t>
        </is>
      </c>
      <c r="L610" t="inlineStr">
        <is>
          <t>24 valores; mín 60.83, máx 187.75 €/MWh</t>
        </is>
      </c>
    </row>
    <row r="611">
      <c r="A611" s="53" t="n">
        <v>44954</v>
      </c>
      <c r="B611" t="inlineStr">
        <is>
          <t>2023-01-28</t>
        </is>
      </c>
      <c r="C611" s="45" t="n">
        <v>72.34999999999999</v>
      </c>
      <c r="D611" t="inlineStr">
        <is>
          <t>€/MWh</t>
        </is>
      </c>
      <c r="E611" s="54" t="n">
        <v>0.07235</v>
      </c>
      <c r="F611" s="54" t="n">
        <v>0.077018</v>
      </c>
      <c r="G611" t="inlineStr">
        <is>
          <t>calculado</t>
        </is>
      </c>
      <c r="H611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611" t="inlineStr">
        <is>
          <t>2023-01-27</t>
        </is>
      </c>
      <c r="K611" t="inlineStr">
        <is>
          <t>ESIOS 1001 geo 8741</t>
        </is>
      </c>
      <c r="L611" t="inlineStr">
        <is>
          <t>24 valores; mín 37.14, máx 108.96 €/MWh</t>
        </is>
      </c>
    </row>
    <row r="612">
      <c r="A612" s="53" t="n">
        <v>44955</v>
      </c>
      <c r="B612" t="inlineStr">
        <is>
          <t>2023-01-29</t>
        </is>
      </c>
      <c r="C612" s="45" t="n">
        <v>108.2321</v>
      </c>
      <c r="D612" t="inlineStr">
        <is>
          <t>€/MWh</t>
        </is>
      </c>
      <c r="E612" s="54" t="n">
        <v>0.108232</v>
      </c>
      <c r="F612" s="54" t="n">
        <v>0.114694</v>
      </c>
      <c r="G612" t="inlineStr">
        <is>
          <t>calculado</t>
        </is>
      </c>
      <c r="H612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612" t="inlineStr">
        <is>
          <t>2023-01-28</t>
        </is>
      </c>
      <c r="K612" t="inlineStr">
        <is>
          <t>ESIOS 1001 geo 8741</t>
        </is>
      </c>
      <c r="L612" t="inlineStr">
        <is>
          <t>24 valores; mín 66.55, máx 233.29 €/MWh</t>
        </is>
      </c>
    </row>
    <row r="613">
      <c r="A613" s="53" t="n">
        <v>44956</v>
      </c>
      <c r="B613" t="inlineStr">
        <is>
          <t>2023-01-30</t>
        </is>
      </c>
      <c r="C613" s="45" t="n">
        <v>215.5821</v>
      </c>
      <c r="D613" t="inlineStr">
        <is>
          <t>€/MWh</t>
        </is>
      </c>
      <c r="E613" s="54" t="n">
        <v>0.215582</v>
      </c>
      <c r="F613" s="54" t="n">
        <v>0.227493</v>
      </c>
      <c r="G613" t="inlineStr">
        <is>
          <t>calculado</t>
        </is>
      </c>
      <c r="H613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613" t="inlineStr">
        <is>
          <t>2023-01-29</t>
        </is>
      </c>
      <c r="K613" t="inlineStr">
        <is>
          <t>ESIOS 1001 geo 8741</t>
        </is>
      </c>
      <c r="L613" t="inlineStr">
        <is>
          <t>24 valores; mín 140.80, máx 354.59 €/MWh</t>
        </is>
      </c>
    </row>
    <row r="614">
      <c r="A614" s="53" t="n">
        <v>44957</v>
      </c>
      <c r="B614" t="inlineStr">
        <is>
          <t>2023-01-31</t>
        </is>
      </c>
      <c r="C614" s="45" t="n">
        <v>205.1575</v>
      </c>
      <c r="D614" t="inlineStr">
        <is>
          <t>€/MWh</t>
        </is>
      </c>
      <c r="E614" s="54" t="n">
        <v>0.205157</v>
      </c>
      <c r="F614" s="54" t="n">
        <v>0.216492</v>
      </c>
      <c r="G614" t="inlineStr">
        <is>
          <t>calculado</t>
        </is>
      </c>
      <c r="H614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614" t="inlineStr">
        <is>
          <t>2023-01-30</t>
        </is>
      </c>
      <c r="K614" t="inlineStr">
        <is>
          <t>ESIOS 1001 geo 8741</t>
        </is>
      </c>
      <c r="L614" t="inlineStr">
        <is>
          <t>24 valores; mín 145.43, máx 317.04 €/MWh</t>
        </is>
      </c>
    </row>
    <row r="615">
      <c r="A615" s="53" t="n">
        <v>44958</v>
      </c>
      <c r="B615" t="inlineStr">
        <is>
          <t>2023-02-01</t>
        </is>
      </c>
      <c r="C615" s="45" t="n">
        <v>203.1779</v>
      </c>
      <c r="D615" t="inlineStr">
        <is>
          <t>€/MWh</t>
        </is>
      </c>
      <c r="E615" s="54" t="n">
        <v>0.203178</v>
      </c>
      <c r="F615" s="54" t="n">
        <v>0.214403</v>
      </c>
      <c r="G615" t="inlineStr">
        <is>
          <t>calculado</t>
        </is>
      </c>
      <c r="H615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615" t="inlineStr">
        <is>
          <t>2023-01-31</t>
        </is>
      </c>
      <c r="K615" t="inlineStr">
        <is>
          <t>ESIOS 1001 geo 8741</t>
        </is>
      </c>
      <c r="L615" t="inlineStr">
        <is>
          <t>24 valores; mín 143.76, máx 313.54 €/MWh</t>
        </is>
      </c>
    </row>
    <row r="616">
      <c r="A616" s="53" t="n">
        <v>44959</v>
      </c>
      <c r="B616" t="inlineStr">
        <is>
          <t>2023-02-02</t>
        </is>
      </c>
      <c r="C616" s="45" t="n">
        <v>213.4775</v>
      </c>
      <c r="D616" t="inlineStr">
        <is>
          <t>€/MWh</t>
        </is>
      </c>
      <c r="E616" s="54" t="n">
        <v>0.213477</v>
      </c>
      <c r="F616" s="54" t="n">
        <v>0.225272</v>
      </c>
      <c r="G616" t="inlineStr">
        <is>
          <t>calculado</t>
        </is>
      </c>
      <c r="H616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616" t="inlineStr">
        <is>
          <t>2023-02-01</t>
        </is>
      </c>
      <c r="K616" t="inlineStr">
        <is>
          <t>ESIOS 1001 geo 8741</t>
        </is>
      </c>
      <c r="L616" t="inlineStr">
        <is>
          <t>24 valores; mín 160.44, máx 295.81 €/MWh</t>
        </is>
      </c>
    </row>
    <row r="617">
      <c r="A617" s="53" t="n">
        <v>44960</v>
      </c>
      <c r="B617" t="inlineStr">
        <is>
          <t>2023-02-03</t>
        </is>
      </c>
      <c r="C617" s="45" t="n">
        <v>215.4708</v>
      </c>
      <c r="D617" t="inlineStr">
        <is>
          <t>€/MWh</t>
        </is>
      </c>
      <c r="E617" s="54" t="n">
        <v>0.215471</v>
      </c>
      <c r="F617" s="54" t="n">
        <v>0.227376</v>
      </c>
      <c r="G617" t="inlineStr">
        <is>
          <t>calculado</t>
        </is>
      </c>
      <c r="H617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617" t="inlineStr">
        <is>
          <t>2023-02-02</t>
        </is>
      </c>
      <c r="K617" t="inlineStr">
        <is>
          <t>ESIOS 1001 geo 8741</t>
        </is>
      </c>
      <c r="L617" t="inlineStr">
        <is>
          <t>24 valores; mín 150.95, máx 309.41 €/MWh</t>
        </is>
      </c>
    </row>
    <row r="618">
      <c r="A618" s="53" t="n">
        <v>44961</v>
      </c>
      <c r="B618" t="inlineStr">
        <is>
          <t>2023-02-04</t>
        </is>
      </c>
      <c r="C618" s="45" t="n">
        <v>168.8304</v>
      </c>
      <c r="D618" t="inlineStr">
        <is>
          <t>€/MWh</t>
        </is>
      </c>
      <c r="E618" s="54" t="n">
        <v>0.16883</v>
      </c>
      <c r="F618" s="54" t="n">
        <v>0.178322</v>
      </c>
      <c r="G618" t="inlineStr">
        <is>
          <t>calculado</t>
        </is>
      </c>
      <c r="H618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618" t="inlineStr">
        <is>
          <t>2023-02-03</t>
        </is>
      </c>
      <c r="K618" t="inlineStr">
        <is>
          <t>ESIOS 1001 geo 8741</t>
        </is>
      </c>
      <c r="L618" t="inlineStr">
        <is>
          <t>24 valores; mín 121.81, máx 208.76 €/MWh</t>
        </is>
      </c>
    </row>
    <row r="619">
      <c r="A619" s="53" t="n">
        <v>44962</v>
      </c>
      <c r="B619" t="inlineStr">
        <is>
          <t>2023-02-05</t>
        </is>
      </c>
      <c r="C619" s="45" t="n">
        <v>121.3104</v>
      </c>
      <c r="D619" t="inlineStr">
        <is>
          <t>€/MWh</t>
        </is>
      </c>
      <c r="E619" s="54" t="n">
        <v>0.12131</v>
      </c>
      <c r="F619" s="54" t="n">
        <v>0.128426</v>
      </c>
      <c r="G619" t="inlineStr">
        <is>
          <t>calculado</t>
        </is>
      </c>
      <c r="H619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619" t="inlineStr">
        <is>
          <t>2023-02-04</t>
        </is>
      </c>
      <c r="K619" t="inlineStr">
        <is>
          <t>ESIOS 1001 geo 8741</t>
        </is>
      </c>
      <c r="L619" t="inlineStr">
        <is>
          <t>24 valores; mín 46.51, máx 190.11 €/MWh</t>
        </is>
      </c>
    </row>
    <row r="620">
      <c r="A620" s="53" t="n">
        <v>44963</v>
      </c>
      <c r="B620" t="inlineStr">
        <is>
          <t>2023-02-06</t>
        </is>
      </c>
      <c r="C620" s="45" t="n">
        <v>211.865</v>
      </c>
      <c r="D620" t="inlineStr">
        <is>
          <t>€/MWh</t>
        </is>
      </c>
      <c r="E620" s="54" t="n">
        <v>0.211865</v>
      </c>
      <c r="F620" s="54" t="n">
        <v>0.223571</v>
      </c>
      <c r="G620" t="inlineStr">
        <is>
          <t>calculado</t>
        </is>
      </c>
      <c r="H620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620" t="inlineStr">
        <is>
          <t>2023-02-05</t>
        </is>
      </c>
      <c r="K620" t="inlineStr">
        <is>
          <t>ESIOS 1001 geo 8741</t>
        </is>
      </c>
      <c r="L620" t="inlineStr">
        <is>
          <t>24 valores; mín 137.77, máx 309.39 €/MWh</t>
        </is>
      </c>
    </row>
    <row r="621">
      <c r="A621" s="53" t="n">
        <v>44964</v>
      </c>
      <c r="B621" t="inlineStr">
        <is>
          <t>2023-02-07</t>
        </is>
      </c>
      <c r="C621" s="45" t="n">
        <v>212.5946</v>
      </c>
      <c r="D621" t="inlineStr">
        <is>
          <t>€/MWh</t>
        </is>
      </c>
      <c r="E621" s="54" t="n">
        <v>0.212595</v>
      </c>
      <c r="F621" s="54" t="n">
        <v>0.22434</v>
      </c>
      <c r="G621" t="inlineStr">
        <is>
          <t>calculado</t>
        </is>
      </c>
      <c r="H621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621" t="inlineStr">
        <is>
          <t>2023-02-06</t>
        </is>
      </c>
      <c r="K621" t="inlineStr">
        <is>
          <t>ESIOS 1001 geo 8741</t>
        </is>
      </c>
      <c r="L621" t="inlineStr">
        <is>
          <t>24 valores; mín 151.92, máx 285.43 €/MWh</t>
        </is>
      </c>
    </row>
    <row r="622">
      <c r="A622" s="53" t="n">
        <v>44965</v>
      </c>
      <c r="B622" t="inlineStr">
        <is>
          <t>2023-02-08</t>
        </is>
      </c>
      <c r="C622" s="45" t="n">
        <v>212.91</v>
      </c>
      <c r="D622" t="inlineStr">
        <is>
          <t>€/MWh</t>
        </is>
      </c>
      <c r="E622" s="54" t="n">
        <v>0.21291</v>
      </c>
      <c r="F622" s="54" t="n">
        <v>0.224673</v>
      </c>
      <c r="G622" t="inlineStr">
        <is>
          <t>calculado</t>
        </is>
      </c>
      <c r="H622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622" t="inlineStr">
        <is>
          <t>2023-02-07</t>
        </is>
      </c>
      <c r="K622" t="inlineStr">
        <is>
          <t>ESIOS 1001 geo 8741</t>
        </is>
      </c>
      <c r="L622" t="inlineStr">
        <is>
          <t>24 valores; mín 151.63, máx 284.51 €/MWh</t>
        </is>
      </c>
    </row>
    <row r="623">
      <c r="A623" s="53" t="n">
        <v>44966</v>
      </c>
      <c r="B623" t="inlineStr">
        <is>
          <t>2023-02-09</t>
        </is>
      </c>
      <c r="C623" s="45" t="n">
        <v>221.4375</v>
      </c>
      <c r="D623" t="inlineStr">
        <is>
          <t>€/MWh</t>
        </is>
      </c>
      <c r="E623" s="54" t="n">
        <v>0.221438</v>
      </c>
      <c r="F623" s="54" t="n">
        <v>0.233672</v>
      </c>
      <c r="G623" t="inlineStr">
        <is>
          <t>calculado</t>
        </is>
      </c>
      <c r="H623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623" t="inlineStr">
        <is>
          <t>2023-02-08</t>
        </is>
      </c>
      <c r="K623" t="inlineStr">
        <is>
          <t>ESIOS 1001 geo 8741</t>
        </is>
      </c>
      <c r="L623" t="inlineStr">
        <is>
          <t>24 valores; mín 187.14, máx 282.81 €/MWh</t>
        </is>
      </c>
    </row>
    <row r="624">
      <c r="A624" s="53" t="n">
        <v>44967</v>
      </c>
      <c r="B624" t="inlineStr">
        <is>
          <t>2023-02-10</t>
        </is>
      </c>
      <c r="C624" s="45" t="n">
        <v>217.2625</v>
      </c>
      <c r="D624" t="inlineStr">
        <is>
          <t>€/MWh</t>
        </is>
      </c>
      <c r="E624" s="54" t="n">
        <v>0.217263</v>
      </c>
      <c r="F624" s="54" t="n">
        <v>0.229266</v>
      </c>
      <c r="G624" t="inlineStr">
        <is>
          <t>calculado</t>
        </is>
      </c>
      <c r="H624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624" t="inlineStr">
        <is>
          <t>2023-02-09</t>
        </is>
      </c>
      <c r="K624" t="inlineStr">
        <is>
          <t>ESIOS 1001 geo 8741</t>
        </is>
      </c>
      <c r="L624" t="inlineStr">
        <is>
          <t>24 valores; mín 186.12, máx 276.68 €/MWh</t>
        </is>
      </c>
    </row>
    <row r="625">
      <c r="A625" s="53" t="n">
        <v>44968</v>
      </c>
      <c r="B625" t="inlineStr">
        <is>
          <t>2023-02-11</t>
        </is>
      </c>
      <c r="C625" s="45" t="n">
        <v>174.5079</v>
      </c>
      <c r="D625" t="inlineStr">
        <is>
          <t>€/MWh</t>
        </is>
      </c>
      <c r="E625" s="54" t="n">
        <v>0.174508</v>
      </c>
      <c r="F625" s="54" t="n">
        <v>0.184283</v>
      </c>
      <c r="G625" t="inlineStr">
        <is>
          <t>calculado</t>
        </is>
      </c>
      <c r="H625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625" t="inlineStr">
        <is>
          <t>2023-02-10</t>
        </is>
      </c>
      <c r="K625" t="inlineStr">
        <is>
          <t>ESIOS 1001 geo 8741</t>
        </is>
      </c>
      <c r="L625" t="inlineStr">
        <is>
          <t>24 valores; mín 139.08, máx 208.68 €/MWh</t>
        </is>
      </c>
    </row>
    <row r="626">
      <c r="A626" s="53" t="n">
        <v>44969</v>
      </c>
      <c r="B626" t="inlineStr">
        <is>
          <t>2023-02-12</t>
        </is>
      </c>
      <c r="C626" s="45" t="n">
        <v>184.47</v>
      </c>
      <c r="D626" t="inlineStr">
        <is>
          <t>€/MWh</t>
        </is>
      </c>
      <c r="E626" s="54" t="n">
        <v>0.18447</v>
      </c>
      <c r="F626" s="54" t="n">
        <v>0.194744</v>
      </c>
      <c r="G626" t="inlineStr">
        <is>
          <t>calculado</t>
        </is>
      </c>
      <c r="H626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626" t="inlineStr">
        <is>
          <t>2023-02-11</t>
        </is>
      </c>
      <c r="K626" t="inlineStr">
        <is>
          <t>ESIOS 1001 geo 8741</t>
        </is>
      </c>
      <c r="L626" t="inlineStr">
        <is>
          <t>24 valores; mín 158.18, máx 221.31 €/MWh</t>
        </is>
      </c>
    </row>
    <row r="627">
      <c r="A627" s="53" t="n">
        <v>44970</v>
      </c>
      <c r="B627" t="inlineStr">
        <is>
          <t>2023-02-13</t>
        </is>
      </c>
      <c r="C627" s="45" t="n">
        <v>222.9037</v>
      </c>
      <c r="D627" t="inlineStr">
        <is>
          <t>€/MWh</t>
        </is>
      </c>
      <c r="E627" s="54" t="n">
        <v>0.222904</v>
      </c>
      <c r="F627" s="54" t="n">
        <v>0.235219</v>
      </c>
      <c r="G627" t="inlineStr">
        <is>
          <t>calculado</t>
        </is>
      </c>
      <c r="H627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627" t="inlineStr">
        <is>
          <t>2023-02-12</t>
        </is>
      </c>
      <c r="K627" t="inlineStr">
        <is>
          <t>ESIOS 1001 geo 8741</t>
        </is>
      </c>
      <c r="L627" t="inlineStr">
        <is>
          <t>24 valores; mín 179.06, máx 306.34 €/MWh</t>
        </is>
      </c>
    </row>
    <row r="628">
      <c r="A628" s="53" t="n">
        <v>44971</v>
      </c>
      <c r="B628" t="inlineStr">
        <is>
          <t>2023-02-14</t>
        </is>
      </c>
      <c r="C628" s="45" t="n">
        <v>217.4233</v>
      </c>
      <c r="D628" t="inlineStr">
        <is>
          <t>€/MWh</t>
        </is>
      </c>
      <c r="E628" s="54" t="n">
        <v>0.217423</v>
      </c>
      <c r="F628" s="54" t="n">
        <v>0.229436</v>
      </c>
      <c r="G628" t="inlineStr">
        <is>
          <t>calculado</t>
        </is>
      </c>
      <c r="H628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628" t="inlineStr">
        <is>
          <t>2023-02-13</t>
        </is>
      </c>
      <c r="K628" t="inlineStr">
        <is>
          <t>ESIOS 1001 geo 8741</t>
        </is>
      </c>
      <c r="L628" t="inlineStr">
        <is>
          <t>24 valores; mín 175.56, máx 288.27 €/MWh</t>
        </is>
      </c>
    </row>
    <row r="629">
      <c r="A629" s="53" t="n">
        <v>44972</v>
      </c>
      <c r="B629" t="inlineStr">
        <is>
          <t>2023-02-15</t>
        </is>
      </c>
      <c r="C629" s="45" t="n">
        <v>219.1029</v>
      </c>
      <c r="D629" t="inlineStr">
        <is>
          <t>€/MWh</t>
        </is>
      </c>
      <c r="E629" s="54" t="n">
        <v>0.219103</v>
      </c>
      <c r="F629" s="54" t="n">
        <v>0.231208</v>
      </c>
      <c r="G629" t="inlineStr">
        <is>
          <t>calculado</t>
        </is>
      </c>
      <c r="H629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629" t="inlineStr">
        <is>
          <t>2023-02-14</t>
        </is>
      </c>
      <c r="K629" t="inlineStr">
        <is>
          <t>ESIOS 1001 geo 8741</t>
        </is>
      </c>
      <c r="L629" t="inlineStr">
        <is>
          <t>24 valores; mín 170.36, máx 290.57 €/MWh</t>
        </is>
      </c>
    </row>
    <row r="630">
      <c r="A630" s="53" t="n">
        <v>44973</v>
      </c>
      <c r="B630" t="inlineStr">
        <is>
          <t>2023-02-16</t>
        </is>
      </c>
      <c r="C630" s="45" t="n">
        <v>221.2808</v>
      </c>
      <c r="D630" t="inlineStr">
        <is>
          <t>€/MWh</t>
        </is>
      </c>
      <c r="E630" s="54" t="n">
        <v>0.221281</v>
      </c>
      <c r="F630" s="54" t="n">
        <v>0.233507</v>
      </c>
      <c r="G630" t="inlineStr">
        <is>
          <t>calculado</t>
        </is>
      </c>
      <c r="H630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630" t="inlineStr">
        <is>
          <t>2023-02-15</t>
        </is>
      </c>
      <c r="K630" t="inlineStr">
        <is>
          <t>ESIOS 1001 geo 8741</t>
        </is>
      </c>
      <c r="L630" t="inlineStr">
        <is>
          <t>24 valores; mín 172.47, máx 284.10 €/MWh</t>
        </is>
      </c>
    </row>
    <row r="631">
      <c r="A631" s="53" t="n">
        <v>44974</v>
      </c>
      <c r="B631" t="inlineStr">
        <is>
          <t>2023-02-17</t>
        </is>
      </c>
      <c r="C631" s="45" t="n">
        <v>207.6021</v>
      </c>
      <c r="D631" t="inlineStr">
        <is>
          <t>€/MWh</t>
        </is>
      </c>
      <c r="E631" s="54" t="n">
        <v>0.207602</v>
      </c>
      <c r="F631" s="54" t="n">
        <v>0.219072</v>
      </c>
      <c r="G631" t="inlineStr">
        <is>
          <t>calculado</t>
        </is>
      </c>
      <c r="H631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631" t="inlineStr">
        <is>
          <t>2023-02-16</t>
        </is>
      </c>
      <c r="K631" t="inlineStr">
        <is>
          <t>ESIOS 1001 geo 8741</t>
        </is>
      </c>
      <c r="L631" t="inlineStr">
        <is>
          <t>24 valores; mín 154.94, máx 278.36 €/MWh</t>
        </is>
      </c>
    </row>
    <row r="632">
      <c r="A632" s="53" t="n">
        <v>44975</v>
      </c>
      <c r="B632" t="inlineStr">
        <is>
          <t>2023-02-18</t>
        </is>
      </c>
      <c r="C632" s="45" t="n">
        <v>171.775</v>
      </c>
      <c r="D632" t="inlineStr">
        <is>
          <t>€/MWh</t>
        </is>
      </c>
      <c r="E632" s="54" t="n">
        <v>0.171775</v>
      </c>
      <c r="F632" s="54" t="n">
        <v>0.181414</v>
      </c>
      <c r="G632" t="inlineStr">
        <is>
          <t>calculado</t>
        </is>
      </c>
      <c r="H632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632" t="inlineStr">
        <is>
          <t>2023-02-17</t>
        </is>
      </c>
      <c r="K632" t="inlineStr">
        <is>
          <t>ESIOS 1001 geo 8741</t>
        </is>
      </c>
      <c r="L632" t="inlineStr">
        <is>
          <t>24 valores; mín 148.58, máx 201.15 €/MWh</t>
        </is>
      </c>
    </row>
    <row r="633">
      <c r="A633" s="53" t="n">
        <v>44976</v>
      </c>
      <c r="B633" t="inlineStr">
        <is>
          <t>2023-02-19</t>
        </is>
      </c>
      <c r="C633" s="45" t="n">
        <v>174.0158</v>
      </c>
      <c r="D633" t="inlineStr">
        <is>
          <t>€/MWh</t>
        </is>
      </c>
      <c r="E633" s="54" t="n">
        <v>0.174016</v>
      </c>
      <c r="F633" s="54" t="n">
        <v>0.183767</v>
      </c>
      <c r="G633" t="inlineStr">
        <is>
          <t>calculado</t>
        </is>
      </c>
      <c r="H633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633" t="inlineStr">
        <is>
          <t>2023-02-18</t>
        </is>
      </c>
      <c r="K633" t="inlineStr">
        <is>
          <t>ESIOS 1001 geo 8741</t>
        </is>
      </c>
      <c r="L633" t="inlineStr">
        <is>
          <t>24 valores; mín 148.36, máx 207.22 €/MWh</t>
        </is>
      </c>
    </row>
    <row r="634">
      <c r="A634" s="53" t="n">
        <v>44977</v>
      </c>
      <c r="B634" t="inlineStr">
        <is>
          <t>2023-02-20</t>
        </is>
      </c>
      <c r="C634" s="45" t="n">
        <v>211.5525</v>
      </c>
      <c r="D634" t="inlineStr">
        <is>
          <t>€/MWh</t>
        </is>
      </c>
      <c r="E634" s="54" t="n">
        <v>0.211553</v>
      </c>
      <c r="F634" s="54" t="n">
        <v>0.223241</v>
      </c>
      <c r="G634" t="inlineStr">
        <is>
          <t>calculado</t>
        </is>
      </c>
      <c r="H634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634" t="inlineStr">
        <is>
          <t>2023-02-19</t>
        </is>
      </c>
      <c r="K634" t="inlineStr">
        <is>
          <t>ESIOS 1001 geo 8741</t>
        </is>
      </c>
      <c r="L634" t="inlineStr">
        <is>
          <t>24 valores; mín 163.24, máx 285.32 €/MWh</t>
        </is>
      </c>
    </row>
    <row r="635">
      <c r="A635" s="53" t="n">
        <v>44978</v>
      </c>
      <c r="B635" t="inlineStr">
        <is>
          <t>2023-02-21</t>
        </is>
      </c>
      <c r="C635" s="45" t="n">
        <v>228.7879</v>
      </c>
      <c r="D635" t="inlineStr">
        <is>
          <t>€/MWh</t>
        </is>
      </c>
      <c r="E635" s="54" t="n">
        <v>0.228788</v>
      </c>
      <c r="F635" s="54" t="n">
        <v>0.241428</v>
      </c>
      <c r="G635" t="inlineStr">
        <is>
          <t>calculado</t>
        </is>
      </c>
      <c r="H635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635" t="inlineStr">
        <is>
          <t>2023-02-20</t>
        </is>
      </c>
      <c r="K635" t="inlineStr">
        <is>
          <t>ESIOS 1001 geo 8741</t>
        </is>
      </c>
      <c r="L635" t="inlineStr">
        <is>
          <t>24 valores; mín 183.15, máx 293.96 €/MWh</t>
        </is>
      </c>
    </row>
    <row r="636">
      <c r="A636" s="53" t="n">
        <v>44979</v>
      </c>
      <c r="B636" t="inlineStr">
        <is>
          <t>2023-02-22</t>
        </is>
      </c>
      <c r="C636" s="45" t="n">
        <v>220.7504</v>
      </c>
      <c r="D636" t="inlineStr">
        <is>
          <t>€/MWh</t>
        </is>
      </c>
      <c r="E636" s="54" t="n">
        <v>0.22075</v>
      </c>
      <c r="F636" s="54" t="n">
        <v>0.232947</v>
      </c>
      <c r="G636" t="inlineStr">
        <is>
          <t>calculado</t>
        </is>
      </c>
      <c r="H636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636" t="inlineStr">
        <is>
          <t>2023-02-21</t>
        </is>
      </c>
      <c r="K636" t="inlineStr">
        <is>
          <t>ESIOS 1001 geo 8741</t>
        </is>
      </c>
      <c r="L636" t="inlineStr">
        <is>
          <t>24 valores; mín 173.27, máx 280.75 €/MWh</t>
        </is>
      </c>
    </row>
    <row r="637">
      <c r="A637" s="53" t="n">
        <v>44980</v>
      </c>
      <c r="B637" t="inlineStr">
        <is>
          <t>2023-02-23</t>
        </is>
      </c>
      <c r="C637" s="45" t="n">
        <v>217.9683</v>
      </c>
      <c r="D637" t="inlineStr">
        <is>
          <t>€/MWh</t>
        </is>
      </c>
      <c r="E637" s="54" t="n">
        <v>0.217968</v>
      </c>
      <c r="F637" s="54" t="n">
        <v>0.230011</v>
      </c>
      <c r="G637" t="inlineStr">
        <is>
          <t>calculado</t>
        </is>
      </c>
      <c r="H637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637" t="inlineStr">
        <is>
          <t>2023-02-22</t>
        </is>
      </c>
      <c r="K637" t="inlineStr">
        <is>
          <t>ESIOS 1001 geo 8741</t>
        </is>
      </c>
      <c r="L637" t="inlineStr">
        <is>
          <t>24 valores; mín 175.95, máx 280.69 €/MWh</t>
        </is>
      </c>
    </row>
    <row r="638">
      <c r="A638" s="53" t="n">
        <v>44981</v>
      </c>
      <c r="B638" t="inlineStr">
        <is>
          <t>2023-02-24</t>
        </is>
      </c>
      <c r="C638" s="45" t="n">
        <v>225.5092</v>
      </c>
      <c r="D638" t="inlineStr">
        <is>
          <t>€/MWh</t>
        </is>
      </c>
      <c r="E638" s="54" t="n">
        <v>0.225509</v>
      </c>
      <c r="F638" s="54" t="n">
        <v>0.237969</v>
      </c>
      <c r="G638" t="inlineStr">
        <is>
          <t>calculado</t>
        </is>
      </c>
      <c r="H638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638" t="inlineStr">
        <is>
          <t>2023-02-23</t>
        </is>
      </c>
      <c r="K638" t="inlineStr">
        <is>
          <t>ESIOS 1001 geo 8741</t>
        </is>
      </c>
      <c r="L638" t="inlineStr">
        <is>
          <t>24 valores; mín 168.93, máx 293.92 €/MWh</t>
        </is>
      </c>
    </row>
    <row r="639">
      <c r="A639" s="53" t="n">
        <v>44982</v>
      </c>
      <c r="B639" t="inlineStr">
        <is>
          <t>2023-02-25</t>
        </is>
      </c>
      <c r="C639" s="45" t="n">
        <v>187.9863</v>
      </c>
      <c r="D639" t="inlineStr">
        <is>
          <t>€/MWh</t>
        </is>
      </c>
      <c r="E639" s="54" t="n">
        <v>0.187986</v>
      </c>
      <c r="F639" s="54" t="n">
        <v>0.198436</v>
      </c>
      <c r="G639" t="inlineStr">
        <is>
          <t>calculado</t>
        </is>
      </c>
      <c r="H639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639" t="inlineStr">
        <is>
          <t>2023-02-24</t>
        </is>
      </c>
      <c r="K639" t="inlineStr">
        <is>
          <t>ESIOS 1001 geo 8741</t>
        </is>
      </c>
      <c r="L639" t="inlineStr">
        <is>
          <t>24 valores; mín 156.96, máx 210.59 €/MWh</t>
        </is>
      </c>
    </row>
    <row r="640">
      <c r="A640" s="53" t="n">
        <v>44983</v>
      </c>
      <c r="B640" t="inlineStr">
        <is>
          <t>2023-02-26</t>
        </is>
      </c>
      <c r="C640" s="45" t="n">
        <v>120.3342</v>
      </c>
      <c r="D640" t="inlineStr">
        <is>
          <t>€/MWh</t>
        </is>
      </c>
      <c r="E640" s="54" t="n">
        <v>0.120334</v>
      </c>
      <c r="F640" s="54" t="n">
        <v>0.127401</v>
      </c>
      <c r="G640" t="inlineStr">
        <is>
          <t>calculado</t>
        </is>
      </c>
      <c r="H640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640" t="inlineStr">
        <is>
          <t>2023-02-25</t>
        </is>
      </c>
      <c r="K640" t="inlineStr">
        <is>
          <t>ESIOS 1001 geo 8741</t>
        </is>
      </c>
      <c r="L640" t="inlineStr">
        <is>
          <t>24 valores; mín 23.15, máx 186.05 €/MWh</t>
        </is>
      </c>
    </row>
    <row r="641">
      <c r="A641" s="53" t="n">
        <v>44984</v>
      </c>
      <c r="B641" t="inlineStr">
        <is>
          <t>2023-02-27</t>
        </is>
      </c>
      <c r="C641" s="45" t="n">
        <v>196.1592</v>
      </c>
      <c r="D641" t="inlineStr">
        <is>
          <t>€/MWh</t>
        </is>
      </c>
      <c r="E641" s="54" t="n">
        <v>0.196159</v>
      </c>
      <c r="F641" s="54" t="n">
        <v>0.207017</v>
      </c>
      <c r="G641" t="inlineStr">
        <is>
          <t>calculado</t>
        </is>
      </c>
      <c r="H641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641" t="inlineStr">
        <is>
          <t>2023-02-26</t>
        </is>
      </c>
      <c r="K641" t="inlineStr">
        <is>
          <t>ESIOS 1001 geo 8741</t>
        </is>
      </c>
      <c r="L641" t="inlineStr">
        <is>
          <t>24 valores; mín 143.92, máx 298.66 €/MWh</t>
        </is>
      </c>
    </row>
    <row r="642">
      <c r="A642" s="53" t="n">
        <v>44985</v>
      </c>
      <c r="B642" t="inlineStr">
        <is>
          <t>2023-02-28</t>
        </is>
      </c>
      <c r="C642" s="45" t="n">
        <v>211.8992</v>
      </c>
      <c r="D642" t="inlineStr">
        <is>
          <t>€/MWh</t>
        </is>
      </c>
      <c r="E642" s="54" t="n">
        <v>0.211899</v>
      </c>
      <c r="F642" s="54" t="n">
        <v>0.223607</v>
      </c>
      <c r="G642" t="inlineStr">
        <is>
          <t>calculado</t>
        </is>
      </c>
      <c r="H642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642" t="inlineStr">
        <is>
          <t>2023-02-27</t>
        </is>
      </c>
      <c r="K642" t="inlineStr">
        <is>
          <t>ESIOS 1001 geo 8741</t>
        </is>
      </c>
      <c r="L642" t="inlineStr">
        <is>
          <t>24 valores; mín 161.61, máx 297.54 €/MWh</t>
        </is>
      </c>
    </row>
    <row r="643">
      <c r="A643" s="53" t="n">
        <v>44986</v>
      </c>
      <c r="B643" t="inlineStr">
        <is>
          <t>2023-03-01</t>
        </is>
      </c>
      <c r="C643" s="45" t="n">
        <v>224.6971</v>
      </c>
      <c r="D643" t="inlineStr">
        <is>
          <t>€/MWh</t>
        </is>
      </c>
      <c r="E643" s="54" t="n">
        <v>0.224697</v>
      </c>
      <c r="F643" s="54" t="n">
        <v>0.237112</v>
      </c>
      <c r="G643" t="inlineStr">
        <is>
          <t>calculado</t>
        </is>
      </c>
      <c r="H643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643" t="inlineStr">
        <is>
          <t>2023-02-28</t>
        </is>
      </c>
      <c r="K643" t="inlineStr">
        <is>
          <t>ESIOS 1001 geo 8741</t>
        </is>
      </c>
      <c r="L643" t="inlineStr">
        <is>
          <t>24 valores; mín 182.50, máx 290.86 €/MWh</t>
        </is>
      </c>
    </row>
    <row r="644">
      <c r="A644" s="53" t="n">
        <v>44987</v>
      </c>
      <c r="B644" t="inlineStr">
        <is>
          <t>2023-03-02</t>
        </is>
      </c>
      <c r="C644" s="45" t="n">
        <v>221.1279</v>
      </c>
      <c r="D644" t="inlineStr">
        <is>
          <t>€/MWh</t>
        </is>
      </c>
      <c r="E644" s="54" t="n">
        <v>0.221128</v>
      </c>
      <c r="F644" s="54" t="n">
        <v>0.233345</v>
      </c>
      <c r="G644" t="inlineStr">
        <is>
          <t>calculado</t>
        </is>
      </c>
      <c r="H644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644" t="inlineStr">
        <is>
          <t>2023-03-01</t>
        </is>
      </c>
      <c r="K644" t="inlineStr">
        <is>
          <t>ESIOS 1001 geo 8741</t>
        </is>
      </c>
      <c r="L644" t="inlineStr">
        <is>
          <t>24 valores; mín 180.62, máx 309.08 €/MWh</t>
        </is>
      </c>
    </row>
    <row r="645">
      <c r="A645" s="53" t="n">
        <v>44988</v>
      </c>
      <c r="B645" t="inlineStr">
        <is>
          <t>2023-03-03</t>
        </is>
      </c>
      <c r="C645" s="45" t="n">
        <v>220.9542</v>
      </c>
      <c r="D645" t="inlineStr">
        <is>
          <t>€/MWh</t>
        </is>
      </c>
      <c r="E645" s="54" t="n">
        <v>0.220954</v>
      </c>
      <c r="F645" s="54" t="n">
        <v>0.233162</v>
      </c>
      <c r="G645" t="inlineStr">
        <is>
          <t>calculado</t>
        </is>
      </c>
      <c r="H645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645" t="inlineStr">
        <is>
          <t>2023-03-02</t>
        </is>
      </c>
      <c r="K645" t="inlineStr">
        <is>
          <t>ESIOS 1001 geo 8741</t>
        </is>
      </c>
      <c r="L645" t="inlineStr">
        <is>
          <t>24 valores; mín 177.35, máx 289.90 €/MWh</t>
        </is>
      </c>
    </row>
    <row r="646">
      <c r="A646" s="53" t="n">
        <v>44989</v>
      </c>
      <c r="B646" t="inlineStr">
        <is>
          <t>2023-03-04</t>
        </is>
      </c>
      <c r="C646" s="45" t="n">
        <v>187.5192</v>
      </c>
      <c r="D646" t="inlineStr">
        <is>
          <t>€/MWh</t>
        </is>
      </c>
      <c r="E646" s="54" t="n">
        <v>0.187519</v>
      </c>
      <c r="F646" s="54" t="n">
        <v>0.197945</v>
      </c>
      <c r="G646" t="inlineStr">
        <is>
          <t>calculado</t>
        </is>
      </c>
      <c r="H646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646" t="inlineStr">
        <is>
          <t>2023-03-03</t>
        </is>
      </c>
      <c r="K646" t="inlineStr">
        <is>
          <t>ESIOS 1001 geo 8741</t>
        </is>
      </c>
      <c r="L646" t="inlineStr">
        <is>
          <t>24 valores; mín 153.26, máx 227.03 €/MWh</t>
        </is>
      </c>
    </row>
    <row r="647">
      <c r="A647" s="53" t="n">
        <v>44990</v>
      </c>
      <c r="B647" t="inlineStr">
        <is>
          <t>2023-03-05</t>
        </is>
      </c>
      <c r="C647" s="45" t="n">
        <v>193.81</v>
      </c>
      <c r="D647" t="inlineStr">
        <is>
          <t>€/MWh</t>
        </is>
      </c>
      <c r="E647" s="54" t="n">
        <v>0.19381</v>
      </c>
      <c r="F647" s="54" t="n">
        <v>0.20455</v>
      </c>
      <c r="G647" t="inlineStr">
        <is>
          <t>calculado</t>
        </is>
      </c>
      <c r="H647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647" t="inlineStr">
        <is>
          <t>2023-03-04</t>
        </is>
      </c>
      <c r="K647" t="inlineStr">
        <is>
          <t>ESIOS 1001 geo 8741</t>
        </is>
      </c>
      <c r="L647" t="inlineStr">
        <is>
          <t>24 valores; mín 163.56, máx 237.18 €/MWh</t>
        </is>
      </c>
    </row>
    <row r="648">
      <c r="A648" s="53" t="n">
        <v>44991</v>
      </c>
      <c r="B648" t="inlineStr">
        <is>
          <t>2023-03-06</t>
        </is>
      </c>
      <c r="C648" s="45" t="n">
        <v>227.4892</v>
      </c>
      <c r="D648" t="inlineStr">
        <is>
          <t>€/MWh</t>
        </is>
      </c>
      <c r="E648" s="54" t="n">
        <v>0.227489</v>
      </c>
      <c r="F648" s="54" t="n">
        <v>0.240058</v>
      </c>
      <c r="G648" t="inlineStr">
        <is>
          <t>calculado</t>
        </is>
      </c>
      <c r="H648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648" t="inlineStr">
        <is>
          <t>2023-03-05</t>
        </is>
      </c>
      <c r="K648" t="inlineStr">
        <is>
          <t>ESIOS 1001 geo 8741</t>
        </is>
      </c>
      <c r="L648" t="inlineStr">
        <is>
          <t>24 valores; mín 184.30, máx 293.19 €/MWh</t>
        </is>
      </c>
    </row>
    <row r="649">
      <c r="A649" s="53" t="n">
        <v>44992</v>
      </c>
      <c r="B649" t="inlineStr">
        <is>
          <t>2023-03-07</t>
        </is>
      </c>
      <c r="C649" s="45" t="n">
        <v>197.4592</v>
      </c>
      <c r="D649" t="inlineStr">
        <is>
          <t>€/MWh</t>
        </is>
      </c>
      <c r="E649" s="54" t="n">
        <v>0.197459</v>
      </c>
      <c r="F649" s="54" t="n">
        <v>0.208382</v>
      </c>
      <c r="G649" t="inlineStr">
        <is>
          <t>calculado</t>
        </is>
      </c>
      <c r="H649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649" t="inlineStr">
        <is>
          <t>2023-03-06</t>
        </is>
      </c>
      <c r="K649" t="inlineStr">
        <is>
          <t>ESIOS 1001 geo 8741</t>
        </is>
      </c>
      <c r="L649" t="inlineStr">
        <is>
          <t>24 valores; mín 156.01, máx 268.84 €/MWh</t>
        </is>
      </c>
    </row>
    <row r="650">
      <c r="A650" s="53" t="n">
        <v>44993</v>
      </c>
      <c r="B650" t="inlineStr">
        <is>
          <t>2023-03-08</t>
        </is>
      </c>
      <c r="C650" s="45" t="n">
        <v>172.0287</v>
      </c>
      <c r="D650" t="inlineStr">
        <is>
          <t>€/MWh</t>
        </is>
      </c>
      <c r="E650" s="54" t="n">
        <v>0.172029</v>
      </c>
      <c r="F650" s="54" t="n">
        <v>0.18168</v>
      </c>
      <c r="G650" t="inlineStr">
        <is>
          <t>calculado</t>
        </is>
      </c>
      <c r="H650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650" t="inlineStr">
        <is>
          <t>2023-03-07</t>
        </is>
      </c>
      <c r="K650" t="inlineStr">
        <is>
          <t>ESIOS 1001 geo 8741</t>
        </is>
      </c>
      <c r="L650" t="inlineStr">
        <is>
          <t>24 valores; mín 115.94, máx 256.35 €/MWh</t>
        </is>
      </c>
    </row>
    <row r="651">
      <c r="A651" s="53" t="n">
        <v>44994</v>
      </c>
      <c r="B651" t="inlineStr">
        <is>
          <t>2023-03-09</t>
        </is>
      </c>
      <c r="C651" s="45" t="n">
        <v>145.1637</v>
      </c>
      <c r="D651" t="inlineStr">
        <is>
          <t>€/MWh</t>
        </is>
      </c>
      <c r="E651" s="54" t="n">
        <v>0.145164</v>
      </c>
      <c r="F651" s="54" t="n">
        <v>0.153472</v>
      </c>
      <c r="G651" t="inlineStr">
        <is>
          <t>calculado</t>
        </is>
      </c>
      <c r="H651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651" t="inlineStr">
        <is>
          <t>2023-03-08</t>
        </is>
      </c>
      <c r="K651" t="inlineStr">
        <is>
          <t>ESIOS 1001 geo 8741</t>
        </is>
      </c>
      <c r="L651" t="inlineStr">
        <is>
          <t>24 valores; mín 73.40, máx 233.88 €/MWh</t>
        </is>
      </c>
    </row>
    <row r="652">
      <c r="A652" s="53" t="n">
        <v>44995</v>
      </c>
      <c r="B652" t="inlineStr">
        <is>
          <t>2023-03-10</t>
        </is>
      </c>
      <c r="C652" s="45" t="n">
        <v>108.1688</v>
      </c>
      <c r="D652" t="inlineStr">
        <is>
          <t>€/MWh</t>
        </is>
      </c>
      <c r="E652" s="54" t="n">
        <v>0.108169</v>
      </c>
      <c r="F652" s="54" t="n">
        <v>0.114627</v>
      </c>
      <c r="G652" t="inlineStr">
        <is>
          <t>calculado</t>
        </is>
      </c>
      <c r="H652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652" t="inlineStr">
        <is>
          <t>2023-03-09</t>
        </is>
      </c>
      <c r="K652" t="inlineStr">
        <is>
          <t>ESIOS 1001 geo 8741</t>
        </is>
      </c>
      <c r="L652" t="inlineStr">
        <is>
          <t>24 valores; mín 40.03, máx 237.12 €/MWh</t>
        </is>
      </c>
    </row>
    <row r="653">
      <c r="A653" s="53" t="n">
        <v>44996</v>
      </c>
      <c r="B653" t="inlineStr">
        <is>
          <t>2023-03-11</t>
        </is>
      </c>
      <c r="C653" s="45" t="n">
        <v>64.5133</v>
      </c>
      <c r="D653" t="inlineStr">
        <is>
          <t>€/MWh</t>
        </is>
      </c>
      <c r="E653" s="54" t="n">
        <v>0.064513</v>
      </c>
      <c r="F653" s="54" t="n">
        <v>0.068789</v>
      </c>
      <c r="G653" t="inlineStr">
        <is>
          <t>calculado</t>
        </is>
      </c>
      <c r="H653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653" t="inlineStr">
        <is>
          <t>2023-03-10</t>
        </is>
      </c>
      <c r="K653" t="inlineStr">
        <is>
          <t>ESIOS 1001 geo 8741</t>
        </is>
      </c>
      <c r="L653" t="inlineStr">
        <is>
          <t>24 valores; mín 25.87, máx 141.57 €/MWh</t>
        </is>
      </c>
    </row>
    <row r="654">
      <c r="A654" s="53" t="n">
        <v>44997</v>
      </c>
      <c r="B654" t="inlineStr">
        <is>
          <t>2023-03-12</t>
        </is>
      </c>
      <c r="C654" s="45" t="n">
        <v>128.4133</v>
      </c>
      <c r="D654" t="inlineStr">
        <is>
          <t>€/MWh</t>
        </is>
      </c>
      <c r="E654" s="54" t="n">
        <v>0.128413</v>
      </c>
      <c r="F654" s="54" t="n">
        <v>0.135884</v>
      </c>
      <c r="G654" t="inlineStr">
        <is>
          <t>calculado</t>
        </is>
      </c>
      <c r="H654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654" t="inlineStr">
        <is>
          <t>2023-03-11</t>
        </is>
      </c>
      <c r="K654" t="inlineStr">
        <is>
          <t>ESIOS 1001 geo 8741</t>
        </is>
      </c>
      <c r="L654" t="inlineStr">
        <is>
          <t>24 valores; mín 89.97, máx 187.56 €/MWh</t>
        </is>
      </c>
    </row>
    <row r="655">
      <c r="A655" s="53" t="n">
        <v>44998</v>
      </c>
      <c r="B655" t="inlineStr">
        <is>
          <t>2023-03-13</t>
        </is>
      </c>
      <c r="C655" s="45" t="n">
        <v>104.0754</v>
      </c>
      <c r="D655" t="inlineStr">
        <is>
          <t>€/MWh</t>
        </is>
      </c>
      <c r="E655" s="54" t="n">
        <v>0.104075</v>
      </c>
      <c r="F655" s="54" t="n">
        <v>0.110329</v>
      </c>
      <c r="G655" t="inlineStr">
        <is>
          <t>calculado</t>
        </is>
      </c>
      <c r="H655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655" t="inlineStr">
        <is>
          <t>2023-03-12</t>
        </is>
      </c>
      <c r="K655" t="inlineStr">
        <is>
          <t>ESIOS 1001 geo 8741</t>
        </is>
      </c>
      <c r="L655" t="inlineStr">
        <is>
          <t>24 valores; mín 50.80, máx 178.34 €/MWh</t>
        </is>
      </c>
    </row>
    <row r="656">
      <c r="A656" s="53" t="n">
        <v>44999</v>
      </c>
      <c r="B656" t="inlineStr">
        <is>
          <t>2023-03-14</t>
        </is>
      </c>
      <c r="C656" s="45" t="n">
        <v>129.2079</v>
      </c>
      <c r="D656" t="inlineStr">
        <is>
          <t>€/MWh</t>
        </is>
      </c>
      <c r="E656" s="54" t="n">
        <v>0.129208</v>
      </c>
      <c r="F656" s="54" t="n">
        <v>0.136718</v>
      </c>
      <c r="G656" t="inlineStr">
        <is>
          <t>calculado</t>
        </is>
      </c>
      <c r="H656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656" t="inlineStr">
        <is>
          <t>2023-03-13</t>
        </is>
      </c>
      <c r="K656" t="inlineStr">
        <is>
          <t>ESIOS 1001 geo 8741</t>
        </is>
      </c>
      <c r="L656" t="inlineStr">
        <is>
          <t>24 valores; mín 31.23, máx 304.30 €/MWh</t>
        </is>
      </c>
    </row>
    <row r="657">
      <c r="A657" s="53" t="n">
        <v>45000</v>
      </c>
      <c r="B657" t="inlineStr">
        <is>
          <t>2023-03-15</t>
        </is>
      </c>
      <c r="C657" s="45" t="n">
        <v>208.7454</v>
      </c>
      <c r="D657" t="inlineStr">
        <is>
          <t>€/MWh</t>
        </is>
      </c>
      <c r="E657" s="54" t="n">
        <v>0.208745</v>
      </c>
      <c r="F657" s="54" t="n">
        <v>0.220279</v>
      </c>
      <c r="G657" t="inlineStr">
        <is>
          <t>calculado</t>
        </is>
      </c>
      <c r="H657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657" t="inlineStr">
        <is>
          <t>2023-03-14</t>
        </is>
      </c>
      <c r="K657" t="inlineStr">
        <is>
          <t>ESIOS 1001 geo 8741</t>
        </is>
      </c>
      <c r="L657" t="inlineStr">
        <is>
          <t>24 valores; mín 168.40, máx 316.34 €/MWh</t>
        </is>
      </c>
    </row>
    <row r="658">
      <c r="A658" s="53" t="n">
        <v>45001</v>
      </c>
      <c r="B658" t="inlineStr">
        <is>
          <t>2023-03-16</t>
        </is>
      </c>
      <c r="C658" s="45" t="n">
        <v>158.2088</v>
      </c>
      <c r="D658" t="inlineStr">
        <is>
          <t>€/MWh</t>
        </is>
      </c>
      <c r="E658" s="54" t="n">
        <v>0.158209</v>
      </c>
      <c r="F658" s="54" t="n">
        <v>0.167169</v>
      </c>
      <c r="G658" t="inlineStr">
        <is>
          <t>calculado</t>
        </is>
      </c>
      <c r="H658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658" t="inlineStr">
        <is>
          <t>2023-03-15</t>
        </is>
      </c>
      <c r="K658" t="inlineStr">
        <is>
          <t>ESIOS 1001 geo 8741</t>
        </is>
      </c>
      <c r="L658" t="inlineStr">
        <is>
          <t>24 valores; mín 79.33, máx 231.76 €/MWh</t>
        </is>
      </c>
    </row>
    <row r="659">
      <c r="A659" s="53" t="n">
        <v>45002</v>
      </c>
      <c r="B659" t="inlineStr">
        <is>
          <t>2023-03-17</t>
        </is>
      </c>
      <c r="C659" s="45" t="n">
        <v>139.1612</v>
      </c>
      <c r="D659" t="inlineStr">
        <is>
          <t>€/MWh</t>
        </is>
      </c>
      <c r="E659" s="54" t="n">
        <v>0.139161</v>
      </c>
      <c r="F659" s="54" t="n">
        <v>0.147169</v>
      </c>
      <c r="G659" t="inlineStr">
        <is>
          <t>calculado</t>
        </is>
      </c>
      <c r="H659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659" t="inlineStr">
        <is>
          <t>2023-03-16</t>
        </is>
      </c>
      <c r="K659" t="inlineStr">
        <is>
          <t>ESIOS 1001 geo 8741</t>
        </is>
      </c>
      <c r="L659" t="inlineStr">
        <is>
          <t>24 valores; mín 77.40, máx 242.11 €/MWh</t>
        </is>
      </c>
    </row>
    <row r="660">
      <c r="A660" s="53" t="n">
        <v>45003</v>
      </c>
      <c r="B660" t="inlineStr">
        <is>
          <t>2023-03-18</t>
        </is>
      </c>
      <c r="C660" s="45" t="n">
        <v>145.3458</v>
      </c>
      <c r="D660" t="inlineStr">
        <is>
          <t>€/MWh</t>
        </is>
      </c>
      <c r="E660" s="54" t="n">
        <v>0.145346</v>
      </c>
      <c r="F660" s="54" t="n">
        <v>0.153663</v>
      </c>
      <c r="G660" t="inlineStr">
        <is>
          <t>calculado</t>
        </is>
      </c>
      <c r="H660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660" t="inlineStr">
        <is>
          <t>2023-03-17</t>
        </is>
      </c>
      <c r="K660" t="inlineStr">
        <is>
          <t>ESIOS 1001 geo 8741</t>
        </is>
      </c>
      <c r="L660" t="inlineStr">
        <is>
          <t>24 valores; mín 107.82, máx 190.97 €/MWh</t>
        </is>
      </c>
    </row>
    <row r="661">
      <c r="A661" s="53" t="n">
        <v>45004</v>
      </c>
      <c r="B661" t="inlineStr">
        <is>
          <t>2023-03-19</t>
        </is>
      </c>
      <c r="C661" s="45" t="n">
        <v>140.8708</v>
      </c>
      <c r="D661" t="inlineStr">
        <is>
          <t>€/MWh</t>
        </is>
      </c>
      <c r="E661" s="54" t="n">
        <v>0.140871</v>
      </c>
      <c r="F661" s="54" t="n">
        <v>0.148964</v>
      </c>
      <c r="G661" t="inlineStr">
        <is>
          <t>calculado</t>
        </is>
      </c>
      <c r="H661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661" t="inlineStr">
        <is>
          <t>2023-03-18</t>
        </is>
      </c>
      <c r="K661" t="inlineStr">
        <is>
          <t>ESIOS 1001 geo 8741</t>
        </is>
      </c>
      <c r="L661" t="inlineStr">
        <is>
          <t>24 valores; mín 86.39, máx 201.24 €/MWh</t>
        </is>
      </c>
    </row>
    <row r="662">
      <c r="A662" s="53" t="n">
        <v>45005</v>
      </c>
      <c r="B662" t="inlineStr">
        <is>
          <t>2023-03-20</t>
        </is>
      </c>
      <c r="C662" s="45" t="n">
        <v>197.9363</v>
      </c>
      <c r="D662" t="inlineStr">
        <is>
          <t>€/MWh</t>
        </is>
      </c>
      <c r="E662" s="54" t="n">
        <v>0.197936</v>
      </c>
      <c r="F662" s="54" t="n">
        <v>0.208883</v>
      </c>
      <c r="G662" t="inlineStr">
        <is>
          <t>calculado</t>
        </is>
      </c>
      <c r="H662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662" t="inlineStr">
        <is>
          <t>2023-03-19</t>
        </is>
      </c>
      <c r="K662" t="inlineStr">
        <is>
          <t>ESIOS 1001 geo 8741</t>
        </is>
      </c>
      <c r="L662" t="inlineStr">
        <is>
          <t>24 valores; mín 160.31, máx 283.64 €/MWh</t>
        </is>
      </c>
    </row>
    <row r="663">
      <c r="A663" s="53" t="n">
        <v>45006</v>
      </c>
      <c r="B663" t="inlineStr">
        <is>
          <t>2023-03-21</t>
        </is>
      </c>
      <c r="C663" s="45" t="n">
        <v>193.5838</v>
      </c>
      <c r="D663" t="inlineStr">
        <is>
          <t>€/MWh</t>
        </is>
      </c>
      <c r="E663" s="54" t="n">
        <v>0.193584</v>
      </c>
      <c r="F663" s="54" t="n">
        <v>0.204313</v>
      </c>
      <c r="G663" t="inlineStr">
        <is>
          <t>calculado</t>
        </is>
      </c>
      <c r="H663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663" t="inlineStr">
        <is>
          <t>2023-03-20</t>
        </is>
      </c>
      <c r="K663" t="inlineStr">
        <is>
          <t>ESIOS 1001 geo 8741</t>
        </is>
      </c>
      <c r="L663" t="inlineStr">
        <is>
          <t>24 valores; mín 157.97, máx 258.70 €/MWh</t>
        </is>
      </c>
    </row>
    <row r="664">
      <c r="A664" s="53" t="n">
        <v>45007</v>
      </c>
      <c r="B664" t="inlineStr">
        <is>
          <t>2023-03-22</t>
        </is>
      </c>
      <c r="C664" s="45" t="n">
        <v>173.3675</v>
      </c>
      <c r="D664" t="inlineStr">
        <is>
          <t>€/MWh</t>
        </is>
      </c>
      <c r="E664" s="54" t="n">
        <v>0.173367</v>
      </c>
      <c r="F664" s="54" t="n">
        <v>0.183086</v>
      </c>
      <c r="G664" t="inlineStr">
        <is>
          <t>calculado</t>
        </is>
      </c>
      <c r="H664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664" t="inlineStr">
        <is>
          <t>2023-03-21</t>
        </is>
      </c>
      <c r="K664" t="inlineStr">
        <is>
          <t>ESIOS 1001 geo 8741</t>
        </is>
      </c>
      <c r="L664" t="inlineStr">
        <is>
          <t>24 valores; mín 125.48, máx 256.75 €/MWh</t>
        </is>
      </c>
    </row>
    <row r="665">
      <c r="A665" s="53" t="n">
        <v>45008</v>
      </c>
      <c r="B665" t="inlineStr">
        <is>
          <t>2023-03-23</t>
        </is>
      </c>
      <c r="C665" s="45" t="n">
        <v>154.8367</v>
      </c>
      <c r="D665" t="inlineStr">
        <is>
          <t>€/MWh</t>
        </is>
      </c>
      <c r="E665" s="54" t="n">
        <v>0.154837</v>
      </c>
      <c r="F665" s="54" t="n">
        <v>0.163629</v>
      </c>
      <c r="G665" t="inlineStr">
        <is>
          <t>calculado</t>
        </is>
      </c>
      <c r="H665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665" t="inlineStr">
        <is>
          <t>2023-03-22</t>
        </is>
      </c>
      <c r="K665" t="inlineStr">
        <is>
          <t>ESIOS 1001 geo 8741</t>
        </is>
      </c>
      <c r="L665" t="inlineStr">
        <is>
          <t>24 valores; mín 111.60, máx 235.51 €/MWh</t>
        </is>
      </c>
    </row>
    <row r="666">
      <c r="A666" s="53" t="n">
        <v>45009</v>
      </c>
      <c r="B666" t="inlineStr">
        <is>
          <t>2023-03-24</t>
        </is>
      </c>
      <c r="C666" s="45" t="n">
        <v>126.2738</v>
      </c>
      <c r="D666" t="inlineStr">
        <is>
          <t>€/MWh</t>
        </is>
      </c>
      <c r="E666" s="54" t="n">
        <v>0.126274</v>
      </c>
      <c r="F666" s="54" t="n">
        <v>0.133637</v>
      </c>
      <c r="G666" t="inlineStr">
        <is>
          <t>calculado</t>
        </is>
      </c>
      <c r="H666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666" t="inlineStr">
        <is>
          <t>2023-03-23</t>
        </is>
      </c>
      <c r="K666" t="inlineStr">
        <is>
          <t>ESIOS 1001 geo 8741</t>
        </is>
      </c>
      <c r="L666" t="inlineStr">
        <is>
          <t>24 valores; mín 59.98, máx 228.55 €/MWh</t>
        </is>
      </c>
    </row>
    <row r="667">
      <c r="A667" s="53" t="n">
        <v>45010</v>
      </c>
      <c r="B667" t="inlineStr">
        <is>
          <t>2023-03-25</t>
        </is>
      </c>
      <c r="C667" s="45" t="n">
        <v>73.235</v>
      </c>
      <c r="D667" t="inlineStr">
        <is>
          <t>€/MWh</t>
        </is>
      </c>
      <c r="E667" s="54" t="n">
        <v>0.07323499999999999</v>
      </c>
      <c r="F667" s="54" t="n">
        <v>0.077947</v>
      </c>
      <c r="G667" t="inlineStr">
        <is>
          <t>calculado</t>
        </is>
      </c>
      <c r="H667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667" t="inlineStr">
        <is>
          <t>2023-03-24</t>
        </is>
      </c>
      <c r="K667" t="inlineStr">
        <is>
          <t>ESIOS 1001 geo 8741</t>
        </is>
      </c>
      <c r="L667" t="inlineStr">
        <is>
          <t>24 valores; mín 27.31, máx 108.46 €/MWh</t>
        </is>
      </c>
    </row>
    <row r="668">
      <c r="A668" s="53" t="n">
        <v>45011</v>
      </c>
      <c r="B668" t="inlineStr">
        <is>
          <t>2023-03-26</t>
        </is>
      </c>
      <c r="C668" s="45" t="n">
        <v>64.36</v>
      </c>
      <c r="D668" t="inlineStr">
        <is>
          <t>€/MWh</t>
        </is>
      </c>
      <c r="E668" s="54" t="n">
        <v>0.06436</v>
      </c>
      <c r="F668" s="54" t="n">
        <v>0.06862799999999999</v>
      </c>
      <c r="G668" t="inlineStr">
        <is>
          <t>calculado</t>
        </is>
      </c>
      <c r="H668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668" t="inlineStr">
        <is>
          <t>2023-03-25</t>
        </is>
      </c>
      <c r="K668" t="inlineStr">
        <is>
          <t>ESIOS 1001 geo 8741</t>
        </is>
      </c>
      <c r="L668" t="inlineStr">
        <is>
          <t>23 valores; mín 27.86, máx 143.80 €/MWh</t>
        </is>
      </c>
    </row>
    <row r="669">
      <c r="A669" s="53" t="n">
        <v>45012</v>
      </c>
      <c r="B669" t="inlineStr">
        <is>
          <t>2023-03-27</t>
        </is>
      </c>
      <c r="C669" s="45" t="n">
        <v>176.6075</v>
      </c>
      <c r="D669" t="inlineStr">
        <is>
          <t>€/MWh</t>
        </is>
      </c>
      <c r="E669" s="54" t="n">
        <v>0.176608</v>
      </c>
      <c r="F669" s="54" t="n">
        <v>0.186488</v>
      </c>
      <c r="G669" t="inlineStr">
        <is>
          <t>calculado</t>
        </is>
      </c>
      <c r="H669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669" t="inlineStr">
        <is>
          <t>2023-03-26</t>
        </is>
      </c>
      <c r="K669" t="inlineStr">
        <is>
          <t>ESIOS 1001 geo 8741</t>
        </is>
      </c>
      <c r="L669" t="inlineStr">
        <is>
          <t>24 valores; mín 105.23, máx 312.47 €/MWh</t>
        </is>
      </c>
    </row>
    <row r="670">
      <c r="A670" s="53" t="n">
        <v>45013</v>
      </c>
      <c r="B670" t="inlineStr">
        <is>
          <t>2023-03-28</t>
        </is>
      </c>
      <c r="C670" s="45" t="n">
        <v>185.6467</v>
      </c>
      <c r="D670" t="inlineStr">
        <is>
          <t>€/MWh</t>
        </is>
      </c>
      <c r="E670" s="54" t="n">
        <v>0.185647</v>
      </c>
      <c r="F670" s="54" t="n">
        <v>0.195979</v>
      </c>
      <c r="G670" t="inlineStr">
        <is>
          <t>calculado</t>
        </is>
      </c>
      <c r="H670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670" t="inlineStr">
        <is>
          <t>2023-03-27</t>
        </is>
      </c>
      <c r="K670" t="inlineStr">
        <is>
          <t>ESIOS 1001 geo 8741</t>
        </is>
      </c>
      <c r="L670" t="inlineStr">
        <is>
          <t>24 valores; mín 129.76, máx 279.19 €/MWh</t>
        </is>
      </c>
    </row>
    <row r="671">
      <c r="A671" s="53" t="n">
        <v>45014</v>
      </c>
      <c r="B671" t="inlineStr">
        <is>
          <t>2023-03-29</t>
        </is>
      </c>
      <c r="C671" s="45" t="n">
        <v>137.1108</v>
      </c>
      <c r="D671" t="inlineStr">
        <is>
          <t>€/MWh</t>
        </is>
      </c>
      <c r="E671" s="54" t="n">
        <v>0.137111</v>
      </c>
      <c r="F671" s="54" t="n">
        <v>0.145016</v>
      </c>
      <c r="G671" t="inlineStr">
        <is>
          <t>calculado</t>
        </is>
      </c>
      <c r="H671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671" t="inlineStr">
        <is>
          <t>2023-03-28</t>
        </is>
      </c>
      <c r="K671" t="inlineStr">
        <is>
          <t>ESIOS 1001 geo 8741</t>
        </is>
      </c>
      <c r="L671" t="inlineStr">
        <is>
          <t>24 valores; mín 53.35, máx 216.64 €/MWh</t>
        </is>
      </c>
    </row>
    <row r="672">
      <c r="A672" s="53" t="n">
        <v>45015</v>
      </c>
      <c r="B672" t="inlineStr">
        <is>
          <t>2023-03-30</t>
        </is>
      </c>
      <c r="C672" s="45" t="n">
        <v>93.1604</v>
      </c>
      <c r="D672" t="inlineStr">
        <is>
          <t>€/MWh</t>
        </is>
      </c>
      <c r="E672" s="54" t="n">
        <v>0.09316000000000001</v>
      </c>
      <c r="F672" s="54" t="n">
        <v>0.098868</v>
      </c>
      <c r="G672" t="inlineStr">
        <is>
          <t>calculado</t>
        </is>
      </c>
      <c r="H672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672" t="inlineStr">
        <is>
          <t>2023-03-29</t>
        </is>
      </c>
      <c r="K672" t="inlineStr">
        <is>
          <t>ESIOS 1001 geo 8741</t>
        </is>
      </c>
      <c r="L672" t="inlineStr">
        <is>
          <t>24 valores; mín 45.13, máx 151.33 €/MWh</t>
        </is>
      </c>
    </row>
    <row r="673">
      <c r="A673" s="53" t="n">
        <v>45016</v>
      </c>
      <c r="B673" t="inlineStr">
        <is>
          <t>2023-03-31</t>
        </is>
      </c>
      <c r="C673" s="45" t="n">
        <v>75.64919999999999</v>
      </c>
      <c r="D673" t="inlineStr">
        <is>
          <t>€/MWh</t>
        </is>
      </c>
      <c r="E673" s="54" t="n">
        <v>0.07564899999999999</v>
      </c>
      <c r="F673" s="54" t="n">
        <v>0.080482</v>
      </c>
      <c r="G673" t="inlineStr">
        <is>
          <t>calculado</t>
        </is>
      </c>
      <c r="H673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673" t="inlineStr">
        <is>
          <t>2023-03-30</t>
        </is>
      </c>
      <c r="K673" t="inlineStr">
        <is>
          <t>ESIOS 1001 geo 8741</t>
        </is>
      </c>
      <c r="L673" t="inlineStr">
        <is>
          <t>24 valores; mín 44.57, máx 133.53 €/MWh</t>
        </is>
      </c>
    </row>
    <row r="674">
      <c r="A674" s="53" t="n">
        <v>45017</v>
      </c>
      <c r="B674" t="inlineStr">
        <is>
          <t>2023-04-01</t>
        </is>
      </c>
      <c r="C674" s="45" t="n">
        <v>67.5067</v>
      </c>
      <c r="D674" t="inlineStr">
        <is>
          <t>€/MWh</t>
        </is>
      </c>
      <c r="E674" s="54" t="n">
        <v>0.067507</v>
      </c>
      <c r="F674" s="54" t="n">
        <v>0.071932</v>
      </c>
      <c r="G674" t="inlineStr">
        <is>
          <t>calculado</t>
        </is>
      </c>
      <c r="H674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674" t="inlineStr">
        <is>
          <t>2023-03-31</t>
        </is>
      </c>
      <c r="K674" t="inlineStr">
        <is>
          <t>ESIOS 1001 geo 8741</t>
        </is>
      </c>
      <c r="L674" t="inlineStr">
        <is>
          <t>24 valores; mín 32.55, máx 120.84 €/MWh</t>
        </is>
      </c>
    </row>
    <row r="675">
      <c r="A675" s="53" t="n">
        <v>45018</v>
      </c>
      <c r="B675" t="inlineStr">
        <is>
          <t>2023-04-02</t>
        </is>
      </c>
      <c r="C675" s="45" t="n">
        <v>49.7092</v>
      </c>
      <c r="D675" t="inlineStr">
        <is>
          <t>€/MWh</t>
        </is>
      </c>
      <c r="E675" s="54" t="n">
        <v>0.049709</v>
      </c>
      <c r="F675" s="54" t="n">
        <v>0.053245</v>
      </c>
      <c r="G675" t="inlineStr">
        <is>
          <t>calculado</t>
        </is>
      </c>
      <c r="H675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675" t="inlineStr">
        <is>
          <t>2023-04-01</t>
        </is>
      </c>
      <c r="K675" t="inlineStr">
        <is>
          <t>ESIOS 1001 geo 8741</t>
        </is>
      </c>
      <c r="L675" t="inlineStr">
        <is>
          <t>24 valores; mín 27.27, máx 80.26 €/MWh</t>
        </is>
      </c>
    </row>
    <row r="676">
      <c r="A676" s="53" t="n">
        <v>45019</v>
      </c>
      <c r="B676" t="inlineStr">
        <is>
          <t>2023-04-03</t>
        </is>
      </c>
      <c r="C676" s="45" t="n">
        <v>134.18</v>
      </c>
      <c r="D676" t="inlineStr">
        <is>
          <t>€/MWh</t>
        </is>
      </c>
      <c r="E676" s="54" t="n">
        <v>0.13418</v>
      </c>
      <c r="F676" s="54" t="n">
        <v>0.141939</v>
      </c>
      <c r="G676" t="inlineStr">
        <is>
          <t>calculado</t>
        </is>
      </c>
      <c r="H676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676" t="inlineStr">
        <is>
          <t>2023-04-02</t>
        </is>
      </c>
      <c r="K676" t="inlineStr">
        <is>
          <t>ESIOS 1001 geo 8741</t>
        </is>
      </c>
      <c r="L676" t="inlineStr">
        <is>
          <t>24 valores; mín 77.49, máx 287.58 €/MWh</t>
        </is>
      </c>
    </row>
    <row r="677">
      <c r="A677" s="53" t="n">
        <v>45020</v>
      </c>
      <c r="B677" t="inlineStr">
        <is>
          <t>2023-04-04</t>
        </is>
      </c>
      <c r="C677" s="45" t="n">
        <v>122.3096</v>
      </c>
      <c r="D677" t="inlineStr">
        <is>
          <t>€/MWh</t>
        </is>
      </c>
      <c r="E677" s="54" t="n">
        <v>0.12231</v>
      </c>
      <c r="F677" s="54" t="n">
        <v>0.129475</v>
      </c>
      <c r="G677" t="inlineStr">
        <is>
          <t>calculado</t>
        </is>
      </c>
      <c r="H677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677" t="inlineStr">
        <is>
          <t>2023-04-03</t>
        </is>
      </c>
      <c r="K677" t="inlineStr">
        <is>
          <t>ESIOS 1001 geo 8741</t>
        </is>
      </c>
      <c r="L677" t="inlineStr">
        <is>
          <t>24 valores; mín 57.15, máx 215.26 €/MWh</t>
        </is>
      </c>
    </row>
    <row r="678">
      <c r="A678" s="53" t="n">
        <v>45021</v>
      </c>
      <c r="B678" t="inlineStr">
        <is>
          <t>2023-04-05</t>
        </is>
      </c>
      <c r="C678" s="45" t="n">
        <v>177.8683</v>
      </c>
      <c r="D678" t="inlineStr">
        <is>
          <t>€/MWh</t>
        </is>
      </c>
      <c r="E678" s="54" t="n">
        <v>0.177868</v>
      </c>
      <c r="F678" s="54" t="n">
        <v>0.187812</v>
      </c>
      <c r="G678" t="inlineStr">
        <is>
          <t>calculado</t>
        </is>
      </c>
      <c r="H678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678" t="inlineStr">
        <is>
          <t>2023-04-04</t>
        </is>
      </c>
      <c r="K678" t="inlineStr">
        <is>
          <t>ESIOS 1001 geo 8741</t>
        </is>
      </c>
      <c r="L678" t="inlineStr">
        <is>
          <t>24 valores; mín 99.99, máx 286.71 €/MWh</t>
        </is>
      </c>
    </row>
    <row r="679">
      <c r="A679" s="53" t="n">
        <v>45022</v>
      </c>
      <c r="B679" t="inlineStr">
        <is>
          <t>2023-04-06</t>
        </is>
      </c>
      <c r="C679" s="45" t="n">
        <v>162.9863</v>
      </c>
      <c r="D679" t="inlineStr">
        <is>
          <t>€/MWh</t>
        </is>
      </c>
      <c r="E679" s="54" t="n">
        <v>0.162986</v>
      </c>
      <c r="F679" s="54" t="n">
        <v>0.172186</v>
      </c>
      <c r="G679" t="inlineStr">
        <is>
          <t>calculado</t>
        </is>
      </c>
      <c r="H679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679" t="inlineStr">
        <is>
          <t>2023-04-05</t>
        </is>
      </c>
      <c r="K679" t="inlineStr">
        <is>
          <t>ESIOS 1001 geo 8741</t>
        </is>
      </c>
      <c r="L679" t="inlineStr">
        <is>
          <t>24 valores; mín 79.68, máx 247.25 €/MWh</t>
        </is>
      </c>
    </row>
    <row r="680">
      <c r="A680" s="53" t="n">
        <v>45023</v>
      </c>
      <c r="B680" t="inlineStr">
        <is>
          <t>2023-04-07</t>
        </is>
      </c>
      <c r="C680" s="45" t="n">
        <v>161.4396</v>
      </c>
      <c r="D680" t="inlineStr">
        <is>
          <t>€/MWh</t>
        </is>
      </c>
      <c r="E680" s="54" t="n">
        <v>0.16144</v>
      </c>
      <c r="F680" s="54" t="n">
        <v>0.170562</v>
      </c>
      <c r="G680" t="inlineStr">
        <is>
          <t>calculado</t>
        </is>
      </c>
      <c r="H680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680" t="inlineStr">
        <is>
          <t>2023-04-06</t>
        </is>
      </c>
      <c r="K680" t="inlineStr">
        <is>
          <t>ESIOS 1001 geo 8741</t>
        </is>
      </c>
      <c r="L680" t="inlineStr">
        <is>
          <t>24 valores; mín 64.80, máx 259.39 €/MWh</t>
        </is>
      </c>
    </row>
    <row r="681">
      <c r="A681" s="53" t="n">
        <v>45024</v>
      </c>
      <c r="B681" t="inlineStr">
        <is>
          <t>2023-04-08</t>
        </is>
      </c>
      <c r="C681" s="45" t="n">
        <v>131.7633</v>
      </c>
      <c r="D681" t="inlineStr">
        <is>
          <t>€/MWh</t>
        </is>
      </c>
      <c r="E681" s="54" t="n">
        <v>0.131763</v>
      </c>
      <c r="F681" s="54" t="n">
        <v>0.139401</v>
      </c>
      <c r="G681" t="inlineStr">
        <is>
          <t>calculado</t>
        </is>
      </c>
      <c r="H681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681" t="inlineStr">
        <is>
          <t>2023-04-07</t>
        </is>
      </c>
      <c r="K681" t="inlineStr">
        <is>
          <t>ESIOS 1001 geo 8741</t>
        </is>
      </c>
      <c r="L681" t="inlineStr">
        <is>
          <t>24 valores; mín 45.03, máx 186.09 €/MWh</t>
        </is>
      </c>
    </row>
    <row r="682">
      <c r="A682" s="53" t="n">
        <v>45025</v>
      </c>
      <c r="B682" t="inlineStr">
        <is>
          <t>2023-04-09</t>
        </is>
      </c>
      <c r="C682" s="45" t="n">
        <v>121.5475</v>
      </c>
      <c r="D682" t="inlineStr">
        <is>
          <t>€/MWh</t>
        </is>
      </c>
      <c r="E682" s="54" t="n">
        <v>0.121548</v>
      </c>
      <c r="F682" s="54" t="n">
        <v>0.128675</v>
      </c>
      <c r="G682" t="inlineStr">
        <is>
          <t>calculado</t>
        </is>
      </c>
      <c r="H682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682" t="inlineStr">
        <is>
          <t>2023-04-08</t>
        </is>
      </c>
      <c r="K682" t="inlineStr">
        <is>
          <t>ESIOS 1001 geo 8741</t>
        </is>
      </c>
      <c r="L682" t="inlineStr">
        <is>
          <t>24 valores; mín 34.26, máx 180.73 €/MWh</t>
        </is>
      </c>
    </row>
    <row r="683">
      <c r="A683" s="53" t="n">
        <v>45026</v>
      </c>
      <c r="B683" t="inlineStr">
        <is>
          <t>2023-04-10</t>
        </is>
      </c>
      <c r="C683" s="45" t="n">
        <v>126.3592</v>
      </c>
      <c r="D683" t="inlineStr">
        <is>
          <t>€/MWh</t>
        </is>
      </c>
      <c r="E683" s="54" t="n">
        <v>0.126359</v>
      </c>
      <c r="F683" s="54" t="n">
        <v>0.133727</v>
      </c>
      <c r="G683" t="inlineStr">
        <is>
          <t>calculado</t>
        </is>
      </c>
      <c r="H683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683" t="inlineStr">
        <is>
          <t>2023-04-09</t>
        </is>
      </c>
      <c r="K683" t="inlineStr">
        <is>
          <t>ESIOS 1001 geo 8741</t>
        </is>
      </c>
      <c r="L683" t="inlineStr">
        <is>
          <t>24 valores; mín 55.62, máx 192.08 €/MWh</t>
        </is>
      </c>
    </row>
    <row r="684">
      <c r="A684" s="53" t="n">
        <v>45027</v>
      </c>
      <c r="B684" t="inlineStr">
        <is>
          <t>2023-04-11</t>
        </is>
      </c>
      <c r="C684" s="45" t="n">
        <v>165.7954</v>
      </c>
      <c r="D684" t="inlineStr">
        <is>
          <t>€/MWh</t>
        </is>
      </c>
      <c r="E684" s="54" t="n">
        <v>0.165795</v>
      </c>
      <c r="F684" s="54" t="n">
        <v>0.175135</v>
      </c>
      <c r="G684" t="inlineStr">
        <is>
          <t>calculado</t>
        </is>
      </c>
      <c r="H684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684" t="inlineStr">
        <is>
          <t>2023-04-10</t>
        </is>
      </c>
      <c r="K684" t="inlineStr">
        <is>
          <t>ESIOS 1001 geo 8741</t>
        </is>
      </c>
      <c r="L684" t="inlineStr">
        <is>
          <t>24 valores; mín 93.17, máx 255.66 €/MWh</t>
        </is>
      </c>
    </row>
    <row r="685">
      <c r="A685" s="53" t="n">
        <v>45028</v>
      </c>
      <c r="B685" t="inlineStr">
        <is>
          <t>2023-04-12</t>
        </is>
      </c>
      <c r="C685" s="45" t="n">
        <v>103.0675</v>
      </c>
      <c r="D685" t="inlineStr">
        <is>
          <t>€/MWh</t>
        </is>
      </c>
      <c r="E685" s="54" t="n">
        <v>0.103067</v>
      </c>
      <c r="F685" s="54" t="n">
        <v>0.109271</v>
      </c>
      <c r="G685" t="inlineStr">
        <is>
          <t>calculado</t>
        </is>
      </c>
      <c r="H685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685" t="inlineStr">
        <is>
          <t>2023-04-11</t>
        </is>
      </c>
      <c r="K685" t="inlineStr">
        <is>
          <t>ESIOS 1001 geo 8741</t>
        </is>
      </c>
      <c r="L685" t="inlineStr">
        <is>
          <t>24 valores; mín 51.22, máx 172.78 €/MWh</t>
        </is>
      </c>
    </row>
    <row r="686">
      <c r="A686" s="53" t="n">
        <v>45029</v>
      </c>
      <c r="B686" t="inlineStr">
        <is>
          <t>2023-04-13</t>
        </is>
      </c>
      <c r="C686" s="45" t="n">
        <v>124.1717</v>
      </c>
      <c r="D686" t="inlineStr">
        <is>
          <t>€/MWh</t>
        </is>
      </c>
      <c r="E686" s="54" t="n">
        <v>0.124172</v>
      </c>
      <c r="F686" s="54" t="n">
        <v>0.13143</v>
      </c>
      <c r="G686" t="inlineStr">
        <is>
          <t>calculado</t>
        </is>
      </c>
      <c r="H686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686" t="inlineStr">
        <is>
          <t>2023-04-12</t>
        </is>
      </c>
      <c r="K686" t="inlineStr">
        <is>
          <t>ESIOS 1001 geo 8741</t>
        </is>
      </c>
      <c r="L686" t="inlineStr">
        <is>
          <t>24 valores; mín 49.56, máx 233.64 €/MWh</t>
        </is>
      </c>
    </row>
    <row r="687">
      <c r="A687" s="53" t="n">
        <v>45030</v>
      </c>
      <c r="B687" t="inlineStr">
        <is>
          <t>2023-04-14</t>
        </is>
      </c>
      <c r="C687" s="45" t="n">
        <v>111.5208</v>
      </c>
      <c r="D687" t="inlineStr">
        <is>
          <t>€/MWh</t>
        </is>
      </c>
      <c r="E687" s="54" t="n">
        <v>0.111521</v>
      </c>
      <c r="F687" s="54" t="n">
        <v>0.118147</v>
      </c>
      <c r="G687" t="inlineStr">
        <is>
          <t>calculado</t>
        </is>
      </c>
      <c r="H687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687" t="inlineStr">
        <is>
          <t>2023-04-13</t>
        </is>
      </c>
      <c r="K687" t="inlineStr">
        <is>
          <t>ESIOS 1001 geo 8741</t>
        </is>
      </c>
      <c r="L687" t="inlineStr">
        <is>
          <t>24 valores; mín 48.37, máx 188.07 €/MWh</t>
        </is>
      </c>
    </row>
    <row r="688">
      <c r="A688" s="53" t="n">
        <v>45031</v>
      </c>
      <c r="B688" t="inlineStr">
        <is>
          <t>2023-04-15</t>
        </is>
      </c>
      <c r="C688" s="45" t="n">
        <v>52.0829</v>
      </c>
      <c r="D688" t="inlineStr">
        <is>
          <t>€/MWh</t>
        </is>
      </c>
      <c r="E688" s="54" t="n">
        <v>0.052083</v>
      </c>
      <c r="F688" s="54" t="n">
        <v>0.055737</v>
      </c>
      <c r="G688" t="inlineStr">
        <is>
          <t>calculado</t>
        </is>
      </c>
      <c r="H688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688" t="inlineStr">
        <is>
          <t>2023-04-14</t>
        </is>
      </c>
      <c r="K688" t="inlineStr">
        <is>
          <t>ESIOS 1001 geo 8741</t>
        </is>
      </c>
      <c r="L688" t="inlineStr">
        <is>
          <t>24 valores; mín 25.05, máx 73.19 €/MWh</t>
        </is>
      </c>
    </row>
    <row r="689">
      <c r="A689" s="53" t="n">
        <v>45032</v>
      </c>
      <c r="B689" t="inlineStr">
        <is>
          <t>2023-04-16</t>
        </is>
      </c>
      <c r="C689" s="45" t="n">
        <v>59.5892</v>
      </c>
      <c r="D689" t="inlineStr">
        <is>
          <t>€/MWh</t>
        </is>
      </c>
      <c r="E689" s="54" t="n">
        <v>0.059589</v>
      </c>
      <c r="F689" s="54" t="n">
        <v>0.06361899999999999</v>
      </c>
      <c r="G689" t="inlineStr">
        <is>
          <t>calculado</t>
        </is>
      </c>
      <c r="H689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689" t="inlineStr">
        <is>
          <t>2023-04-15</t>
        </is>
      </c>
      <c r="K689" t="inlineStr">
        <is>
          <t>ESIOS 1001 geo 8741</t>
        </is>
      </c>
      <c r="L689" t="inlineStr">
        <is>
          <t>24 valores; mín 29.21, máx 170.18 €/MWh</t>
        </is>
      </c>
    </row>
    <row r="690">
      <c r="A690" s="53" t="n">
        <v>45033</v>
      </c>
      <c r="B690" t="inlineStr">
        <is>
          <t>2023-04-17</t>
        </is>
      </c>
      <c r="C690" s="45" t="n">
        <v>134.9746</v>
      </c>
      <c r="D690" t="inlineStr">
        <is>
          <t>€/MWh</t>
        </is>
      </c>
      <c r="E690" s="54" t="n">
        <v>0.134975</v>
      </c>
      <c r="F690" s="54" t="n">
        <v>0.142773</v>
      </c>
      <c r="G690" t="inlineStr">
        <is>
          <t>calculado</t>
        </is>
      </c>
      <c r="H690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690" t="inlineStr">
        <is>
          <t>2023-04-16</t>
        </is>
      </c>
      <c r="K690" t="inlineStr">
        <is>
          <t>ESIOS 1001 geo 8741</t>
        </is>
      </c>
      <c r="L690" t="inlineStr">
        <is>
          <t>24 valores; mín 78.64, máx 247.96 €/MWh</t>
        </is>
      </c>
    </row>
    <row r="691">
      <c r="A691" s="53" t="n">
        <v>45034</v>
      </c>
      <c r="B691" t="inlineStr">
        <is>
          <t>2023-04-18</t>
        </is>
      </c>
      <c r="C691" s="45" t="n">
        <v>170.0458</v>
      </c>
      <c r="D691" t="inlineStr">
        <is>
          <t>€/MWh</t>
        </is>
      </c>
      <c r="E691" s="54" t="n">
        <v>0.170046</v>
      </c>
      <c r="F691" s="54" t="n">
        <v>0.179598</v>
      </c>
      <c r="G691" t="inlineStr">
        <is>
          <t>calculado</t>
        </is>
      </c>
      <c r="H691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691" t="inlineStr">
        <is>
          <t>2023-04-17</t>
        </is>
      </c>
      <c r="K691" t="inlineStr">
        <is>
          <t>ESIOS 1001 geo 8741</t>
        </is>
      </c>
      <c r="L691" t="inlineStr">
        <is>
          <t>24 valores; mín 117.82, máx 256.12 €/MWh</t>
        </is>
      </c>
    </row>
    <row r="692">
      <c r="A692" s="53" t="n">
        <v>45035</v>
      </c>
      <c r="B692" t="inlineStr">
        <is>
          <t>2023-04-19</t>
        </is>
      </c>
      <c r="C692" s="45" t="n">
        <v>189.1633</v>
      </c>
      <c r="D692" t="inlineStr">
        <is>
          <t>€/MWh</t>
        </is>
      </c>
      <c r="E692" s="54" t="n">
        <v>0.189163</v>
      </c>
      <c r="F692" s="54" t="n">
        <v>0.199671</v>
      </c>
      <c r="G692" t="inlineStr">
        <is>
          <t>calculado</t>
        </is>
      </c>
      <c r="H692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692" t="inlineStr">
        <is>
          <t>2023-04-18</t>
        </is>
      </c>
      <c r="K692" t="inlineStr">
        <is>
          <t>ESIOS 1001 geo 8741</t>
        </is>
      </c>
      <c r="L692" t="inlineStr">
        <is>
          <t>24 valores; mín 149.41, máx 261.02 €/MWh</t>
        </is>
      </c>
    </row>
    <row r="693">
      <c r="A693" s="53" t="n">
        <v>45036</v>
      </c>
      <c r="B693" t="inlineStr">
        <is>
          <t>2023-04-20</t>
        </is>
      </c>
      <c r="C693" s="45" t="n">
        <v>183.5687</v>
      </c>
      <c r="D693" t="inlineStr">
        <is>
          <t>€/MWh</t>
        </is>
      </c>
      <c r="E693" s="54" t="n">
        <v>0.183569</v>
      </c>
      <c r="F693" s="54" t="n">
        <v>0.193797</v>
      </c>
      <c r="G693" t="inlineStr">
        <is>
          <t>calculado</t>
        </is>
      </c>
      <c r="H693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693" t="inlineStr">
        <is>
          <t>2023-04-19</t>
        </is>
      </c>
      <c r="K693" t="inlineStr">
        <is>
          <t>ESIOS 1001 geo 8741</t>
        </is>
      </c>
      <c r="L693" t="inlineStr">
        <is>
          <t>24 valores; mín 110.15, máx 264.87 €/MWh</t>
        </is>
      </c>
    </row>
    <row r="694">
      <c r="A694" s="53" t="n">
        <v>45037</v>
      </c>
      <c r="B694" t="inlineStr">
        <is>
          <t>2023-04-21</t>
        </is>
      </c>
      <c r="C694" s="45" t="n">
        <v>174.1821</v>
      </c>
      <c r="D694" t="inlineStr">
        <is>
          <t>€/MWh</t>
        </is>
      </c>
      <c r="E694" s="54" t="n">
        <v>0.174182</v>
      </c>
      <c r="F694" s="54" t="n">
        <v>0.183941</v>
      </c>
      <c r="G694" t="inlineStr">
        <is>
          <t>calculado</t>
        </is>
      </c>
      <c r="H694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694" t="inlineStr">
        <is>
          <t>2023-04-20</t>
        </is>
      </c>
      <c r="K694" t="inlineStr">
        <is>
          <t>ESIOS 1001 geo 8741</t>
        </is>
      </c>
      <c r="L694" t="inlineStr">
        <is>
          <t>24 valores; mín 80.08, máx 250.92 €/MWh</t>
        </is>
      </c>
    </row>
    <row r="695">
      <c r="A695" s="53" t="n">
        <v>45038</v>
      </c>
      <c r="B695" t="inlineStr">
        <is>
          <t>2023-04-22</t>
        </is>
      </c>
      <c r="C695" s="45" t="n">
        <v>119.8208</v>
      </c>
      <c r="D695" t="inlineStr">
        <is>
          <t>€/MWh</t>
        </is>
      </c>
      <c r="E695" s="54" t="n">
        <v>0.119821</v>
      </c>
      <c r="F695" s="54" t="n">
        <v>0.126862</v>
      </c>
      <c r="G695" t="inlineStr">
        <is>
          <t>calculado</t>
        </is>
      </c>
      <c r="H695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695" t="inlineStr">
        <is>
          <t>2023-04-21</t>
        </is>
      </c>
      <c r="K695" t="inlineStr">
        <is>
          <t>ESIOS 1001 geo 8741</t>
        </is>
      </c>
      <c r="L695" t="inlineStr">
        <is>
          <t>24 valores; mín 33.43, máx 173.67 €/MWh</t>
        </is>
      </c>
    </row>
    <row r="696">
      <c r="A696" s="53" t="n">
        <v>45039</v>
      </c>
      <c r="B696" t="inlineStr">
        <is>
          <t>2023-04-23</t>
        </is>
      </c>
      <c r="C696" s="45" t="n">
        <v>91.2042</v>
      </c>
      <c r="D696" t="inlineStr">
        <is>
          <t>€/MWh</t>
        </is>
      </c>
      <c r="E696" s="54" t="n">
        <v>0.09120399999999999</v>
      </c>
      <c r="F696" s="54" t="n">
        <v>0.096814</v>
      </c>
      <c r="G696" t="inlineStr">
        <is>
          <t>calculado</t>
        </is>
      </c>
      <c r="H696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696" t="inlineStr">
        <is>
          <t>2023-04-22</t>
        </is>
      </c>
      <c r="K696" t="inlineStr">
        <is>
          <t>ESIOS 1001 geo 8741</t>
        </is>
      </c>
      <c r="L696" t="inlineStr">
        <is>
          <t>24 valores; mín 29.41, máx 167.50 €/MWh</t>
        </is>
      </c>
    </row>
    <row r="697">
      <c r="A697" s="53" t="n">
        <v>45040</v>
      </c>
      <c r="B697" t="inlineStr">
        <is>
          <t>2023-04-24</t>
        </is>
      </c>
      <c r="C697" s="45" t="n">
        <v>165.3092</v>
      </c>
      <c r="D697" t="inlineStr">
        <is>
          <t>€/MWh</t>
        </is>
      </c>
      <c r="E697" s="54" t="n">
        <v>0.165309</v>
      </c>
      <c r="F697" s="54" t="n">
        <v>0.174625</v>
      </c>
      <c r="G697" t="inlineStr">
        <is>
          <t>calculado</t>
        </is>
      </c>
      <c r="H697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697" t="inlineStr">
        <is>
          <t>2023-04-23</t>
        </is>
      </c>
      <c r="K697" t="inlineStr">
        <is>
          <t>ESIOS 1001 geo 8741</t>
        </is>
      </c>
      <c r="L697" t="inlineStr">
        <is>
          <t>24 valores; mín 78.33, máx 254.78 €/MWh</t>
        </is>
      </c>
    </row>
    <row r="698">
      <c r="A698" s="53" t="n">
        <v>45041</v>
      </c>
      <c r="B698" t="inlineStr">
        <is>
          <t>2023-04-25</t>
        </is>
      </c>
      <c r="C698" s="45" t="n">
        <v>161.8496</v>
      </c>
      <c r="D698" t="inlineStr">
        <is>
          <t>€/MWh</t>
        </is>
      </c>
      <c r="E698" s="54" t="n">
        <v>0.16185</v>
      </c>
      <c r="F698" s="54" t="n">
        <v>0.170992</v>
      </c>
      <c r="G698" t="inlineStr">
        <is>
          <t>calculado</t>
        </is>
      </c>
      <c r="H698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698" t="inlineStr">
        <is>
          <t>2023-04-24</t>
        </is>
      </c>
      <c r="K698" t="inlineStr">
        <is>
          <t>ESIOS 1001 geo 8741</t>
        </is>
      </c>
      <c r="L698" t="inlineStr">
        <is>
          <t>24 valores; mín 75.10, máx 256.29 €/MWh</t>
        </is>
      </c>
    </row>
    <row r="699">
      <c r="A699" s="53" t="n">
        <v>45042</v>
      </c>
      <c r="B699" t="inlineStr">
        <is>
          <t>2023-04-26</t>
        </is>
      </c>
      <c r="C699" s="45" t="n">
        <v>181.8296</v>
      </c>
      <c r="D699" t="inlineStr">
        <is>
          <t>€/MWh</t>
        </is>
      </c>
      <c r="E699" s="54" t="n">
        <v>0.18183</v>
      </c>
      <c r="F699" s="54" t="n">
        <v>0.191971</v>
      </c>
      <c r="G699" t="inlineStr">
        <is>
          <t>calculado</t>
        </is>
      </c>
      <c r="H699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699" t="inlineStr">
        <is>
          <t>2023-04-25</t>
        </is>
      </c>
      <c r="K699" t="inlineStr">
        <is>
          <t>ESIOS 1001 geo 8741</t>
        </is>
      </c>
      <c r="L699" t="inlineStr">
        <is>
          <t>24 valores; mín 132.81, máx 261.75 €/MWh</t>
        </is>
      </c>
    </row>
    <row r="700">
      <c r="A700" s="53" t="n">
        <v>45043</v>
      </c>
      <c r="B700" t="inlineStr">
        <is>
          <t>2023-04-27</t>
        </is>
      </c>
      <c r="C700" s="45" t="n">
        <v>181.8708</v>
      </c>
      <c r="D700" t="inlineStr">
        <is>
          <t>€/MWh</t>
        </is>
      </c>
      <c r="E700" s="54" t="n">
        <v>0.181871</v>
      </c>
      <c r="F700" s="54" t="n">
        <v>0.192014</v>
      </c>
      <c r="G700" t="inlineStr">
        <is>
          <t>calculado</t>
        </is>
      </c>
      <c r="H700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700" t="inlineStr">
        <is>
          <t>2023-04-26</t>
        </is>
      </c>
      <c r="K700" t="inlineStr">
        <is>
          <t>ESIOS 1001 geo 8741</t>
        </is>
      </c>
      <c r="L700" t="inlineStr">
        <is>
          <t>24 valores; mín 140.77, máx 251.45 €/MWh</t>
        </is>
      </c>
    </row>
    <row r="701">
      <c r="A701" s="53" t="n">
        <v>45044</v>
      </c>
      <c r="B701" t="inlineStr">
        <is>
          <t>2023-04-28</t>
        </is>
      </c>
      <c r="C701" s="45" t="n">
        <v>180.5817</v>
      </c>
      <c r="D701" t="inlineStr">
        <is>
          <t>€/MWh</t>
        </is>
      </c>
      <c r="E701" s="54" t="n">
        <v>0.180582</v>
      </c>
      <c r="F701" s="54" t="n">
        <v>0.190661</v>
      </c>
      <c r="G701" t="inlineStr">
        <is>
          <t>calculado</t>
        </is>
      </c>
      <c r="H701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701" t="inlineStr">
        <is>
          <t>2023-04-27</t>
        </is>
      </c>
      <c r="K701" t="inlineStr">
        <is>
          <t>ESIOS 1001 geo 8741</t>
        </is>
      </c>
      <c r="L701" t="inlineStr">
        <is>
          <t>24 valores; mín 134.14, máx 239.61 €/MWh</t>
        </is>
      </c>
    </row>
    <row r="702">
      <c r="A702" s="53" t="n">
        <v>45045</v>
      </c>
      <c r="B702" t="inlineStr">
        <is>
          <t>2023-04-29</t>
        </is>
      </c>
      <c r="C702" s="45" t="n">
        <v>123.0733</v>
      </c>
      <c r="D702" t="inlineStr">
        <is>
          <t>€/MWh</t>
        </is>
      </c>
      <c r="E702" s="54" t="n">
        <v>0.123073</v>
      </c>
      <c r="F702" s="54" t="n">
        <v>0.130277</v>
      </c>
      <c r="G702" t="inlineStr">
        <is>
          <t>calculado</t>
        </is>
      </c>
      <c r="H702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702" t="inlineStr">
        <is>
          <t>2023-04-28</t>
        </is>
      </c>
      <c r="K702" t="inlineStr">
        <is>
          <t>ESIOS 1001 geo 8741</t>
        </is>
      </c>
      <c r="L702" t="inlineStr">
        <is>
          <t>24 valores; mín 30.98, máx 161.40 €/MWh</t>
        </is>
      </c>
    </row>
    <row r="703">
      <c r="A703" s="53" t="n">
        <v>45046</v>
      </c>
      <c r="B703" t="inlineStr">
        <is>
          <t>2023-04-30</t>
        </is>
      </c>
      <c r="C703" s="45" t="n">
        <v>106.2696</v>
      </c>
      <c r="D703" t="inlineStr">
        <is>
          <t>€/MWh</t>
        </is>
      </c>
      <c r="E703" s="54" t="n">
        <v>0.10627</v>
      </c>
      <c r="F703" s="54" t="n">
        <v>0.112633</v>
      </c>
      <c r="G703" t="inlineStr">
        <is>
          <t>calculado</t>
        </is>
      </c>
      <c r="H703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703" t="inlineStr">
        <is>
          <t>2023-04-29</t>
        </is>
      </c>
      <c r="K703" t="inlineStr">
        <is>
          <t>ESIOS 1001 geo 8741</t>
        </is>
      </c>
      <c r="L703" t="inlineStr">
        <is>
          <t>24 valores; mín 34.38, máx 165.01 €/MWh</t>
        </is>
      </c>
    </row>
    <row r="704">
      <c r="A704" s="53" t="n">
        <v>45047</v>
      </c>
      <c r="B704" t="inlineStr">
        <is>
          <t>2023-05-01</t>
        </is>
      </c>
      <c r="C704" s="45" t="n">
        <v>102.9842</v>
      </c>
      <c r="D704" t="inlineStr">
        <is>
          <t>€/MWh</t>
        </is>
      </c>
      <c r="E704" s="54" t="n">
        <v>0.102984</v>
      </c>
      <c r="F704" s="54" t="n">
        <v>0.109183</v>
      </c>
      <c r="G704" t="inlineStr">
        <is>
          <t>calculado</t>
        </is>
      </c>
      <c r="H704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704" t="inlineStr">
        <is>
          <t>2023-04-30</t>
        </is>
      </c>
      <c r="K704" t="inlineStr">
        <is>
          <t>ESIOS 1001 geo 8741</t>
        </is>
      </c>
      <c r="L704" t="inlineStr">
        <is>
          <t>24 valores; mín 31.36, máx 163.46 €/MWh</t>
        </is>
      </c>
    </row>
    <row r="705">
      <c r="A705" s="53" t="n">
        <v>45048</v>
      </c>
      <c r="B705" t="inlineStr">
        <is>
          <t>2023-05-02</t>
        </is>
      </c>
      <c r="C705" s="45" t="n">
        <v>179.0496</v>
      </c>
      <c r="D705" t="inlineStr">
        <is>
          <t>€/MWh</t>
        </is>
      </c>
      <c r="E705" s="54" t="n">
        <v>0.17905</v>
      </c>
      <c r="F705" s="54" t="n">
        <v>0.189052</v>
      </c>
      <c r="G705" t="inlineStr">
        <is>
          <t>calculado</t>
        </is>
      </c>
      <c r="H705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705" t="inlineStr">
        <is>
          <t>2023-05-01</t>
        </is>
      </c>
      <c r="K705" t="inlineStr">
        <is>
          <t>ESIOS 1001 geo 8741</t>
        </is>
      </c>
      <c r="L705" t="inlineStr">
        <is>
          <t>24 valores; mín 130.60, máx 260.46 €/MWh</t>
        </is>
      </c>
    </row>
    <row r="706">
      <c r="A706" s="53" t="n">
        <v>45049</v>
      </c>
      <c r="B706" t="inlineStr">
        <is>
          <t>2023-05-03</t>
        </is>
      </c>
      <c r="C706" s="45" t="n">
        <v>153.1879</v>
      </c>
      <c r="D706" t="inlineStr">
        <is>
          <t>€/MWh</t>
        </is>
      </c>
      <c r="E706" s="54" t="n">
        <v>0.153188</v>
      </c>
      <c r="F706" s="54" t="n">
        <v>0.161897</v>
      </c>
      <c r="G706" t="inlineStr">
        <is>
          <t>calculado</t>
        </is>
      </c>
      <c r="H706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706" t="inlineStr">
        <is>
          <t>2023-05-02</t>
        </is>
      </c>
      <c r="K706" t="inlineStr">
        <is>
          <t>ESIOS 1001 geo 8741</t>
        </is>
      </c>
      <c r="L706" t="inlineStr">
        <is>
          <t>24 valores; mín 78.49, máx 234.82 €/MWh</t>
        </is>
      </c>
    </row>
    <row r="707">
      <c r="A707" s="53" t="n">
        <v>45050</v>
      </c>
      <c r="B707" t="inlineStr">
        <is>
          <t>2023-05-04</t>
        </is>
      </c>
      <c r="C707" s="45" t="n">
        <v>159.9096</v>
      </c>
      <c r="D707" t="inlineStr">
        <is>
          <t>€/MWh</t>
        </is>
      </c>
      <c r="E707" s="54" t="n">
        <v>0.15991</v>
      </c>
      <c r="F707" s="54" t="n">
        <v>0.168955</v>
      </c>
      <c r="G707" t="inlineStr">
        <is>
          <t>calculado</t>
        </is>
      </c>
      <c r="H707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707" t="inlineStr">
        <is>
          <t>2023-05-03</t>
        </is>
      </c>
      <c r="K707" t="inlineStr">
        <is>
          <t>ESIOS 1001 geo 8741</t>
        </is>
      </c>
      <c r="L707" t="inlineStr">
        <is>
          <t>24 valores; mín 116.47, máx 239.90 €/MWh</t>
        </is>
      </c>
    </row>
    <row r="708">
      <c r="A708" s="53" t="n">
        <v>45051</v>
      </c>
      <c r="B708" t="inlineStr">
        <is>
          <t>2023-05-05</t>
        </is>
      </c>
      <c r="C708" s="45" t="n">
        <v>171.0842</v>
      </c>
      <c r="D708" t="inlineStr">
        <is>
          <t>€/MWh</t>
        </is>
      </c>
      <c r="E708" s="54" t="n">
        <v>0.171084</v>
      </c>
      <c r="F708" s="54" t="n">
        <v>0.180688</v>
      </c>
      <c r="G708" t="inlineStr">
        <is>
          <t>calculado</t>
        </is>
      </c>
      <c r="H708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708" t="inlineStr">
        <is>
          <t>2023-05-04</t>
        </is>
      </c>
      <c r="K708" t="inlineStr">
        <is>
          <t>ESIOS 1001 geo 8741</t>
        </is>
      </c>
      <c r="L708" t="inlineStr">
        <is>
          <t>24 valores; mín 133.97, máx 241.93 €/MWh</t>
        </is>
      </c>
    </row>
    <row r="709">
      <c r="A709" s="53" t="n">
        <v>45052</v>
      </c>
      <c r="B709" t="inlineStr">
        <is>
          <t>2023-05-06</t>
        </is>
      </c>
      <c r="C709" s="45" t="n">
        <v>129.3346</v>
      </c>
      <c r="D709" t="inlineStr">
        <is>
          <t>€/MWh</t>
        </is>
      </c>
      <c r="E709" s="54" t="n">
        <v>0.129335</v>
      </c>
      <c r="F709" s="54" t="n">
        <v>0.136851</v>
      </c>
      <c r="G709" t="inlineStr">
        <is>
          <t>calculado</t>
        </is>
      </c>
      <c r="H709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709" t="inlineStr">
        <is>
          <t>2023-05-05</t>
        </is>
      </c>
      <c r="K709" t="inlineStr">
        <is>
          <t>ESIOS 1001 geo 8741</t>
        </is>
      </c>
      <c r="L709" t="inlineStr">
        <is>
          <t>24 valores; mín 78.87, máx 161.11 €/MWh</t>
        </is>
      </c>
    </row>
    <row r="710">
      <c r="A710" s="53" t="n">
        <v>45053</v>
      </c>
      <c r="B710" t="inlineStr">
        <is>
          <t>2023-05-07</t>
        </is>
      </c>
      <c r="C710" s="45" t="n">
        <v>103.9875</v>
      </c>
      <c r="D710" t="inlineStr">
        <is>
          <t>€/MWh</t>
        </is>
      </c>
      <c r="E710" s="54" t="n">
        <v>0.103987</v>
      </c>
      <c r="F710" s="54" t="n">
        <v>0.110237</v>
      </c>
      <c r="G710" t="inlineStr">
        <is>
          <t>calculado</t>
        </is>
      </c>
      <c r="H710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710" t="inlineStr">
        <is>
          <t>2023-05-06</t>
        </is>
      </c>
      <c r="K710" t="inlineStr">
        <is>
          <t>ESIOS 1001 geo 8741</t>
        </is>
      </c>
      <c r="L710" t="inlineStr">
        <is>
          <t>24 valores; mín 34.29, máx 160.36 €/MWh</t>
        </is>
      </c>
    </row>
    <row r="711">
      <c r="A711" s="53" t="n">
        <v>45054</v>
      </c>
      <c r="B711" t="inlineStr">
        <is>
          <t>2023-05-08</t>
        </is>
      </c>
      <c r="C711" s="45" t="n">
        <v>171.3258</v>
      </c>
      <c r="D711" t="inlineStr">
        <is>
          <t>€/MWh</t>
        </is>
      </c>
      <c r="E711" s="54" t="n">
        <v>0.171326</v>
      </c>
      <c r="F711" s="54" t="n">
        <v>0.180942</v>
      </c>
      <c r="G711" t="inlineStr">
        <is>
          <t>calculado</t>
        </is>
      </c>
      <c r="H711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711" t="inlineStr">
        <is>
          <t>2023-05-07</t>
        </is>
      </c>
      <c r="K711" t="inlineStr">
        <is>
          <t>ESIOS 1001 geo 8741</t>
        </is>
      </c>
      <c r="L711" t="inlineStr">
        <is>
          <t>24 valores; mín 132.66, máx 238.58 €/MWh</t>
        </is>
      </c>
    </row>
    <row r="712">
      <c r="A712" s="53" t="n">
        <v>45055</v>
      </c>
      <c r="B712" t="inlineStr">
        <is>
          <t>2023-05-09</t>
        </is>
      </c>
      <c r="C712" s="45" t="n">
        <v>158.7042</v>
      </c>
      <c r="D712" t="inlineStr">
        <is>
          <t>€/MWh</t>
        </is>
      </c>
      <c r="E712" s="54" t="n">
        <v>0.158704</v>
      </c>
      <c r="F712" s="54" t="n">
        <v>0.167689</v>
      </c>
      <c r="G712" t="inlineStr">
        <is>
          <t>calculado</t>
        </is>
      </c>
      <c r="H712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712" t="inlineStr">
        <is>
          <t>2023-05-08</t>
        </is>
      </c>
      <c r="K712" t="inlineStr">
        <is>
          <t>ESIOS 1001 geo 8741</t>
        </is>
      </c>
      <c r="L712" t="inlineStr">
        <is>
          <t>24 valores; mín 88.10, máx 221.82 €/MWh</t>
        </is>
      </c>
    </row>
    <row r="713">
      <c r="A713" s="53" t="n">
        <v>45056</v>
      </c>
      <c r="B713" t="inlineStr">
        <is>
          <t>2023-05-10</t>
        </is>
      </c>
      <c r="C713" s="45" t="n">
        <v>150.6383</v>
      </c>
      <c r="D713" t="inlineStr">
        <is>
          <t>€/MWh</t>
        </is>
      </c>
      <c r="E713" s="54" t="n">
        <v>0.150638</v>
      </c>
      <c r="F713" s="54" t="n">
        <v>0.15922</v>
      </c>
      <c r="G713" t="inlineStr">
        <is>
          <t>calculado</t>
        </is>
      </c>
      <c r="H713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713" t="inlineStr">
        <is>
          <t>2023-05-09</t>
        </is>
      </c>
      <c r="K713" t="inlineStr">
        <is>
          <t>ESIOS 1001 geo 8741</t>
        </is>
      </c>
      <c r="L713" t="inlineStr">
        <is>
          <t>24 valores; mín 100.03, máx 239.90 €/MWh</t>
        </is>
      </c>
    </row>
    <row r="714">
      <c r="A714" s="53" t="n">
        <v>45057</v>
      </c>
      <c r="B714" t="inlineStr">
        <is>
          <t>2023-05-11</t>
        </is>
      </c>
      <c r="C714" s="45" t="n">
        <v>149.6454</v>
      </c>
      <c r="D714" t="inlineStr">
        <is>
          <t>€/MWh</t>
        </is>
      </c>
      <c r="E714" s="54" t="n">
        <v>0.149645</v>
      </c>
      <c r="F714" s="54" t="n">
        <v>0.158178</v>
      </c>
      <c r="G714" t="inlineStr">
        <is>
          <t>calculado</t>
        </is>
      </c>
      <c r="H714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714" t="inlineStr">
        <is>
          <t>2023-05-10</t>
        </is>
      </c>
      <c r="K714" t="inlineStr">
        <is>
          <t>ESIOS 1001 geo 8741</t>
        </is>
      </c>
      <c r="L714" t="inlineStr">
        <is>
          <t>24 valores; mín 100.93, máx 220.76 €/MWh</t>
        </is>
      </c>
    </row>
    <row r="715">
      <c r="A715" s="53" t="n">
        <v>45058</v>
      </c>
      <c r="B715" t="inlineStr">
        <is>
          <t>2023-05-12</t>
        </is>
      </c>
      <c r="C715" s="45" t="n">
        <v>140.4146</v>
      </c>
      <c r="D715" t="inlineStr">
        <is>
          <t>€/MWh</t>
        </is>
      </c>
      <c r="E715" s="54" t="n">
        <v>0.140415</v>
      </c>
      <c r="F715" s="54" t="n">
        <v>0.148485</v>
      </c>
      <c r="G715" t="inlineStr">
        <is>
          <t>calculado</t>
        </is>
      </c>
      <c r="H715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715" t="inlineStr">
        <is>
          <t>2023-05-11</t>
        </is>
      </c>
      <c r="K715" t="inlineStr">
        <is>
          <t>ESIOS 1001 geo 8741</t>
        </is>
      </c>
      <c r="L715" t="inlineStr">
        <is>
          <t>24 valores; mín 59.47, máx 202.57 €/MWh</t>
        </is>
      </c>
    </row>
    <row r="716">
      <c r="A716" s="53" t="n">
        <v>45059</v>
      </c>
      <c r="B716" t="inlineStr">
        <is>
          <t>2023-05-13</t>
        </is>
      </c>
      <c r="C716" s="45" t="n">
        <v>87.19629999999999</v>
      </c>
      <c r="D716" t="inlineStr">
        <is>
          <t>€/MWh</t>
        </is>
      </c>
      <c r="E716" s="54" t="n">
        <v>0.087196</v>
      </c>
      <c r="F716" s="54" t="n">
        <v>0.09260599999999999</v>
      </c>
      <c r="G716" t="inlineStr">
        <is>
          <t>calculado</t>
        </is>
      </c>
      <c r="H716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716" t="inlineStr">
        <is>
          <t>2023-05-12</t>
        </is>
      </c>
      <c r="K716" t="inlineStr">
        <is>
          <t>ESIOS 1001 geo 8741</t>
        </is>
      </c>
      <c r="L716" t="inlineStr">
        <is>
          <t>24 valores; mín 32.24, máx 140.53 €/MWh</t>
        </is>
      </c>
    </row>
    <row r="717">
      <c r="A717" s="53" t="n">
        <v>45060</v>
      </c>
      <c r="B717" t="inlineStr">
        <is>
          <t>2023-05-14</t>
        </is>
      </c>
      <c r="C717" s="45" t="n">
        <v>78.80880000000001</v>
      </c>
      <c r="D717" t="inlineStr">
        <is>
          <t>€/MWh</t>
        </is>
      </c>
      <c r="E717" s="54" t="n">
        <v>0.078809</v>
      </c>
      <c r="F717" s="54" t="n">
        <v>0.083799</v>
      </c>
      <c r="G717" t="inlineStr">
        <is>
          <t>calculado</t>
        </is>
      </c>
      <c r="H717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717" t="inlineStr">
        <is>
          <t>2023-05-13</t>
        </is>
      </c>
      <c r="K717" t="inlineStr">
        <is>
          <t>ESIOS 1001 geo 8741</t>
        </is>
      </c>
      <c r="L717" t="inlineStr">
        <is>
          <t>24 valores; mín 32.89, máx 137.29 €/MWh</t>
        </is>
      </c>
    </row>
    <row r="718">
      <c r="A718" s="53" t="n">
        <v>45061</v>
      </c>
      <c r="B718" t="inlineStr">
        <is>
          <t>2023-05-15</t>
        </is>
      </c>
      <c r="C718" s="45" t="n">
        <v>122.2396</v>
      </c>
      <c r="D718" t="inlineStr">
        <is>
          <t>€/MWh</t>
        </is>
      </c>
      <c r="E718" s="54" t="n">
        <v>0.12224</v>
      </c>
      <c r="F718" s="54" t="n">
        <v>0.129402</v>
      </c>
      <c r="G718" t="inlineStr">
        <is>
          <t>calculado</t>
        </is>
      </c>
      <c r="H718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718" t="inlineStr">
        <is>
          <t>2023-05-14</t>
        </is>
      </c>
      <c r="K718" t="inlineStr">
        <is>
          <t>ESIOS 1001 geo 8741</t>
        </is>
      </c>
      <c r="L718" t="inlineStr">
        <is>
          <t>24 valores; mín 55.41, máx 210.56 €/MWh</t>
        </is>
      </c>
    </row>
    <row r="719">
      <c r="A719" s="53" t="n">
        <v>45062</v>
      </c>
      <c r="B719" t="inlineStr">
        <is>
          <t>2023-05-16</t>
        </is>
      </c>
      <c r="C719" s="45" t="n">
        <v>104.6642</v>
      </c>
      <c r="D719" t="inlineStr">
        <is>
          <t>€/MWh</t>
        </is>
      </c>
      <c r="E719" s="54" t="n">
        <v>0.104664</v>
      </c>
      <c r="F719" s="54" t="n">
        <v>0.110947</v>
      </c>
      <c r="G719" t="inlineStr">
        <is>
          <t>calculado</t>
        </is>
      </c>
      <c r="H719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719" t="inlineStr">
        <is>
          <t>2023-05-15</t>
        </is>
      </c>
      <c r="K719" t="inlineStr">
        <is>
          <t>ESIOS 1001 geo 8741</t>
        </is>
      </c>
      <c r="L719" t="inlineStr">
        <is>
          <t>24 valores; mín 53.84, máx 204.49 €/MWh</t>
        </is>
      </c>
    </row>
    <row r="720">
      <c r="A720" s="53" t="n">
        <v>45063</v>
      </c>
      <c r="B720" t="inlineStr">
        <is>
          <t>2023-05-17</t>
        </is>
      </c>
      <c r="C720" s="45" t="n">
        <v>112.2975</v>
      </c>
      <c r="D720" t="inlineStr">
        <is>
          <t>€/MWh</t>
        </is>
      </c>
      <c r="E720" s="54" t="n">
        <v>0.112297</v>
      </c>
      <c r="F720" s="54" t="n">
        <v>0.118962</v>
      </c>
      <c r="G720" t="inlineStr">
        <is>
          <t>calculado</t>
        </is>
      </c>
      <c r="H720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720" t="inlineStr">
        <is>
          <t>2023-05-16</t>
        </is>
      </c>
      <c r="K720" t="inlineStr">
        <is>
          <t>ESIOS 1001 geo 8741</t>
        </is>
      </c>
      <c r="L720" t="inlineStr">
        <is>
          <t>24 valores; mín 69.28, máx 205.39 €/MWh</t>
        </is>
      </c>
    </row>
    <row r="721">
      <c r="A721" s="53" t="n">
        <v>45064</v>
      </c>
      <c r="B721" t="inlineStr">
        <is>
          <t>2023-05-18</t>
        </is>
      </c>
      <c r="C721" s="45" t="n">
        <v>114.2333</v>
      </c>
      <c r="D721" t="inlineStr">
        <is>
          <t>€/MWh</t>
        </is>
      </c>
      <c r="E721" s="54" t="n">
        <v>0.114233</v>
      </c>
      <c r="F721" s="54" t="n">
        <v>0.120995</v>
      </c>
      <c r="G721" t="inlineStr">
        <is>
          <t>calculado</t>
        </is>
      </c>
      <c r="H721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721" t="inlineStr">
        <is>
          <t>2023-05-17</t>
        </is>
      </c>
      <c r="K721" t="inlineStr">
        <is>
          <t>ESIOS 1001 geo 8741</t>
        </is>
      </c>
      <c r="L721" t="inlineStr">
        <is>
          <t>24 valores; mín 65.34, máx 200.29 €/MWh</t>
        </is>
      </c>
    </row>
    <row r="722">
      <c r="A722" s="53" t="n">
        <v>45065</v>
      </c>
      <c r="B722" t="inlineStr">
        <is>
          <t>2023-05-19</t>
        </is>
      </c>
      <c r="C722" s="45" t="n">
        <v>124.38</v>
      </c>
      <c r="D722" t="inlineStr">
        <is>
          <t>€/MWh</t>
        </is>
      </c>
      <c r="E722" s="54" t="n">
        <v>0.12438</v>
      </c>
      <c r="F722" s="54" t="n">
        <v>0.131649</v>
      </c>
      <c r="G722" t="inlineStr">
        <is>
          <t>calculado</t>
        </is>
      </c>
      <c r="H722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722" t="inlineStr">
        <is>
          <t>2023-05-18</t>
        </is>
      </c>
      <c r="K722" t="inlineStr">
        <is>
          <t>ESIOS 1001 geo 8741</t>
        </is>
      </c>
      <c r="L722" t="inlineStr">
        <is>
          <t>24 valores; mín 83.15, máx 202.37 €/MWh</t>
        </is>
      </c>
    </row>
    <row r="723">
      <c r="A723" s="53" t="n">
        <v>45066</v>
      </c>
      <c r="B723" t="inlineStr">
        <is>
          <t>2023-05-20</t>
        </is>
      </c>
      <c r="C723" s="45" t="n">
        <v>77.5971</v>
      </c>
      <c r="D723" t="inlineStr">
        <is>
          <t>€/MWh</t>
        </is>
      </c>
      <c r="E723" s="54" t="n">
        <v>0.077597</v>
      </c>
      <c r="F723" s="54" t="n">
        <v>0.082527</v>
      </c>
      <c r="G723" t="inlineStr">
        <is>
          <t>calculado</t>
        </is>
      </c>
      <c r="H723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723" t="inlineStr">
        <is>
          <t>2023-05-19</t>
        </is>
      </c>
      <c r="K723" t="inlineStr">
        <is>
          <t>ESIOS 1001 geo 8741</t>
        </is>
      </c>
      <c r="L723" t="inlineStr">
        <is>
          <t>24 valores; mín 31.08, máx 114.58 €/MWh</t>
        </is>
      </c>
    </row>
    <row r="724">
      <c r="A724" s="53" t="n">
        <v>45067</v>
      </c>
      <c r="B724" t="inlineStr">
        <is>
          <t>2023-05-21</t>
        </is>
      </c>
      <c r="C724" s="45" t="n">
        <v>63.7925</v>
      </c>
      <c r="D724" t="inlineStr">
        <is>
          <t>€/MWh</t>
        </is>
      </c>
      <c r="E724" s="54" t="n">
        <v>0.063793</v>
      </c>
      <c r="F724" s="54" t="n">
        <v>0.068032</v>
      </c>
      <c r="G724" t="inlineStr">
        <is>
          <t>calculado</t>
        </is>
      </c>
      <c r="H724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724" t="inlineStr">
        <is>
          <t>2023-05-20</t>
        </is>
      </c>
      <c r="K724" t="inlineStr">
        <is>
          <t>ESIOS 1001 geo 8741</t>
        </is>
      </c>
      <c r="L724" t="inlineStr">
        <is>
          <t>24 valores; mín 29.26, máx 123.27 €/MWh</t>
        </is>
      </c>
    </row>
    <row r="725">
      <c r="A725" s="53" t="n">
        <v>45068</v>
      </c>
      <c r="B725" t="inlineStr">
        <is>
          <t>2023-05-22</t>
        </is>
      </c>
      <c r="C725" s="45" t="n">
        <v>158.245</v>
      </c>
      <c r="D725" t="inlineStr">
        <is>
          <t>€/MWh</t>
        </is>
      </c>
      <c r="E725" s="54" t="n">
        <v>0.158245</v>
      </c>
      <c r="F725" s="54" t="n">
        <v>0.167207</v>
      </c>
      <c r="G725" t="inlineStr">
        <is>
          <t>calculado</t>
        </is>
      </c>
      <c r="H725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725" t="inlineStr">
        <is>
          <t>2023-05-21</t>
        </is>
      </c>
      <c r="K725" t="inlineStr">
        <is>
          <t>ESIOS 1001 geo 8741</t>
        </is>
      </c>
      <c r="L725" t="inlineStr">
        <is>
          <t>24 valores; mín 122.30, máx 207.96 €/MWh</t>
        </is>
      </c>
    </row>
    <row r="726">
      <c r="A726" s="53" t="n">
        <v>45069</v>
      </c>
      <c r="B726" t="inlineStr">
        <is>
          <t>2023-05-23</t>
        </is>
      </c>
      <c r="C726" s="45" t="n">
        <v>151.3292</v>
      </c>
      <c r="D726" t="inlineStr">
        <is>
          <t>€/MWh</t>
        </is>
      </c>
      <c r="E726" s="54" t="n">
        <v>0.151329</v>
      </c>
      <c r="F726" s="54" t="n">
        <v>0.159946</v>
      </c>
      <c r="G726" t="inlineStr">
        <is>
          <t>calculado</t>
        </is>
      </c>
      <c r="H726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726" t="inlineStr">
        <is>
          <t>2023-05-22</t>
        </is>
      </c>
      <c r="K726" t="inlineStr">
        <is>
          <t>ESIOS 1001 geo 8741</t>
        </is>
      </c>
      <c r="L726" t="inlineStr">
        <is>
          <t>24 valores; mín 116.07, máx 210.89 €/MWh</t>
        </is>
      </c>
    </row>
    <row r="727">
      <c r="A727" s="53" t="n">
        <v>45070</v>
      </c>
      <c r="B727" t="inlineStr">
        <is>
          <t>2023-05-24</t>
        </is>
      </c>
      <c r="C727" s="45" t="n">
        <v>153.4667</v>
      </c>
      <c r="D727" t="inlineStr">
        <is>
          <t>€/MWh</t>
        </is>
      </c>
      <c r="E727" s="54" t="n">
        <v>0.153467</v>
      </c>
      <c r="F727" s="54" t="n">
        <v>0.16219</v>
      </c>
      <c r="G727" t="inlineStr">
        <is>
          <t>calculado</t>
        </is>
      </c>
      <c r="H727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727" t="inlineStr">
        <is>
          <t>2023-05-23</t>
        </is>
      </c>
      <c r="K727" t="inlineStr">
        <is>
          <t>ESIOS 1001 geo 8741</t>
        </is>
      </c>
      <c r="L727" t="inlineStr">
        <is>
          <t>24 valores; mín 112.20, máx 212.22 €/MWh</t>
        </is>
      </c>
    </row>
    <row r="728">
      <c r="A728" s="53" t="n">
        <v>45071</v>
      </c>
      <c r="B728" t="inlineStr">
        <is>
          <t>2023-05-25</t>
        </is>
      </c>
      <c r="C728" s="45" t="n">
        <v>142.6667</v>
      </c>
      <c r="D728" t="inlineStr">
        <is>
          <t>€/MWh</t>
        </is>
      </c>
      <c r="E728" s="54" t="n">
        <v>0.142667</v>
      </c>
      <c r="F728" s="54" t="n">
        <v>0.15085</v>
      </c>
      <c r="G728" t="inlineStr">
        <is>
          <t>calculado</t>
        </is>
      </c>
      <c r="H728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728" t="inlineStr">
        <is>
          <t>2023-05-24</t>
        </is>
      </c>
      <c r="K728" t="inlineStr">
        <is>
          <t>ESIOS 1001 geo 8741</t>
        </is>
      </c>
      <c r="L728" t="inlineStr">
        <is>
          <t>24 valores; mín 87.41, máx 209.02 €/MWh</t>
        </is>
      </c>
    </row>
    <row r="729">
      <c r="A729" s="53" t="n">
        <v>45072</v>
      </c>
      <c r="B729" t="inlineStr">
        <is>
          <t>2023-05-26</t>
        </is>
      </c>
      <c r="C729" s="45" t="n">
        <v>130.7463</v>
      </c>
      <c r="D729" t="inlineStr">
        <is>
          <t>€/MWh</t>
        </is>
      </c>
      <c r="E729" s="54" t="n">
        <v>0.130746</v>
      </c>
      <c r="F729" s="54" t="n">
        <v>0.138334</v>
      </c>
      <c r="G729" t="inlineStr">
        <is>
          <t>calculado</t>
        </is>
      </c>
      <c r="H729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729" t="inlineStr">
        <is>
          <t>2023-05-25</t>
        </is>
      </c>
      <c r="K729" t="inlineStr">
        <is>
          <t>ESIOS 1001 geo 8741</t>
        </is>
      </c>
      <c r="L729" t="inlineStr">
        <is>
          <t>24 valores; mín 50.79, máx 231.07 €/MWh</t>
        </is>
      </c>
    </row>
    <row r="730">
      <c r="A730" s="53" t="n">
        <v>45073</v>
      </c>
      <c r="B730" t="inlineStr">
        <is>
          <t>2023-05-27</t>
        </is>
      </c>
      <c r="C730" s="45" t="n">
        <v>122.7517</v>
      </c>
      <c r="D730" t="inlineStr">
        <is>
          <t>€/MWh</t>
        </is>
      </c>
      <c r="E730" s="54" t="n">
        <v>0.122752</v>
      </c>
      <c r="F730" s="54" t="n">
        <v>0.129939</v>
      </c>
      <c r="G730" t="inlineStr">
        <is>
          <t>calculado</t>
        </is>
      </c>
      <c r="H730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730" t="inlineStr">
        <is>
          <t>2023-05-26</t>
        </is>
      </c>
      <c r="K730" t="inlineStr">
        <is>
          <t>ESIOS 1001 geo 8741</t>
        </is>
      </c>
      <c r="L730" t="inlineStr">
        <is>
          <t>24 valores; mín 89.67, máx 148.45 €/MWh</t>
        </is>
      </c>
    </row>
    <row r="731">
      <c r="A731" s="53" t="n">
        <v>45074</v>
      </c>
      <c r="B731" t="inlineStr">
        <is>
          <t>2023-05-28</t>
        </is>
      </c>
      <c r="C731" s="45" t="n">
        <v>122.7883</v>
      </c>
      <c r="D731" t="inlineStr">
        <is>
          <t>€/MWh</t>
        </is>
      </c>
      <c r="E731" s="54" t="n">
        <v>0.122788</v>
      </c>
      <c r="F731" s="54" t="n">
        <v>0.129978</v>
      </c>
      <c r="G731" t="inlineStr">
        <is>
          <t>calculado</t>
        </is>
      </c>
      <c r="H731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731" t="inlineStr">
        <is>
          <t>2023-05-27</t>
        </is>
      </c>
      <c r="K731" t="inlineStr">
        <is>
          <t>ESIOS 1001 geo 8741</t>
        </is>
      </c>
      <c r="L731" t="inlineStr">
        <is>
          <t>24 valores; mín 83.65, máx 152.45 €/MWh</t>
        </is>
      </c>
    </row>
    <row r="732">
      <c r="A732" s="53" t="n">
        <v>45075</v>
      </c>
      <c r="B732" t="inlineStr">
        <is>
          <t>2023-05-29</t>
        </is>
      </c>
      <c r="C732" s="45" t="n">
        <v>165.7862</v>
      </c>
      <c r="D732" t="inlineStr">
        <is>
          <t>€/MWh</t>
        </is>
      </c>
      <c r="E732" s="54" t="n">
        <v>0.165786</v>
      </c>
      <c r="F732" s="54" t="n">
        <v>0.175126</v>
      </c>
      <c r="G732" t="inlineStr">
        <is>
          <t>calculado</t>
        </is>
      </c>
      <c r="H732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732" t="inlineStr">
        <is>
          <t>2023-05-28</t>
        </is>
      </c>
      <c r="K732" t="inlineStr">
        <is>
          <t>ESIOS 1001 geo 8741</t>
        </is>
      </c>
      <c r="L732" t="inlineStr">
        <is>
          <t>24 valores; mín 125.26, máx 244.73 €/MWh</t>
        </is>
      </c>
    </row>
    <row r="733">
      <c r="A733" s="53" t="n">
        <v>45076</v>
      </c>
      <c r="B733" t="inlineStr">
        <is>
          <t>2023-05-30</t>
        </is>
      </c>
      <c r="C733" s="45" t="n">
        <v>160.18</v>
      </c>
      <c r="D733" t="inlineStr">
        <is>
          <t>€/MWh</t>
        </is>
      </c>
      <c r="E733" s="54" t="n">
        <v>0.16018</v>
      </c>
      <c r="F733" s="54" t="n">
        <v>0.169239</v>
      </c>
      <c r="G733" t="inlineStr">
        <is>
          <t>calculado</t>
        </is>
      </c>
      <c r="H733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733" t="inlineStr">
        <is>
          <t>2023-05-29</t>
        </is>
      </c>
      <c r="K733" t="inlineStr">
        <is>
          <t>ESIOS 1001 geo 8741</t>
        </is>
      </c>
      <c r="L733" t="inlineStr">
        <is>
          <t>24 valores; mín 121.23, máx 233.91 €/MWh</t>
        </is>
      </c>
    </row>
    <row r="734">
      <c r="A734" s="53" t="n">
        <v>45077</v>
      </c>
      <c r="B734" t="inlineStr">
        <is>
          <t>2023-05-31</t>
        </is>
      </c>
      <c r="C734" s="45" t="n">
        <v>155.5704</v>
      </c>
      <c r="D734" t="inlineStr">
        <is>
          <t>€/MWh</t>
        </is>
      </c>
      <c r="E734" s="54" t="n">
        <v>0.15557</v>
      </c>
      <c r="F734" s="54" t="n">
        <v>0.164399</v>
      </c>
      <c r="G734" t="inlineStr">
        <is>
          <t>calculado</t>
        </is>
      </c>
      <c r="H734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734" t="inlineStr">
        <is>
          <t>2023-05-30</t>
        </is>
      </c>
      <c r="K734" t="inlineStr">
        <is>
          <t>ESIOS 1001 geo 8741</t>
        </is>
      </c>
      <c r="L734" t="inlineStr">
        <is>
          <t>24 valores; mín 122.81, máx 228.09 €/MWh</t>
        </is>
      </c>
    </row>
    <row r="735">
      <c r="A735" s="53" t="n">
        <v>45078</v>
      </c>
      <c r="B735" t="inlineStr">
        <is>
          <t>2023-06-01</t>
        </is>
      </c>
      <c r="C735" s="45" t="n">
        <v>149.5112</v>
      </c>
      <c r="D735" t="inlineStr">
        <is>
          <t>€/MWh</t>
        </is>
      </c>
      <c r="E735" s="54" t="n">
        <v>0.149511</v>
      </c>
      <c r="F735" s="54" t="n">
        <v>0.158037</v>
      </c>
      <c r="G735" t="inlineStr">
        <is>
          <t>calculado</t>
        </is>
      </c>
      <c r="H735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735" t="inlineStr">
        <is>
          <t>2023-05-31</t>
        </is>
      </c>
      <c r="K735" t="inlineStr">
        <is>
          <t>ESIOS 1001 geo 8741</t>
        </is>
      </c>
      <c r="L735" t="inlineStr">
        <is>
          <t>24 valores; mín 113.21, máx 208.95 €/MWh</t>
        </is>
      </c>
    </row>
    <row r="736">
      <c r="A736" s="53" t="n">
        <v>45079</v>
      </c>
      <c r="B736" t="inlineStr">
        <is>
          <t>2023-06-02</t>
        </is>
      </c>
      <c r="C736" s="45" t="n">
        <v>152.0971</v>
      </c>
      <c r="D736" t="inlineStr">
        <is>
          <t>€/MWh</t>
        </is>
      </c>
      <c r="E736" s="54" t="n">
        <v>0.152097</v>
      </c>
      <c r="F736" s="54" t="n">
        <v>0.160752</v>
      </c>
      <c r="G736" t="inlineStr">
        <is>
          <t>calculado</t>
        </is>
      </c>
      <c r="H736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736" t="inlineStr">
        <is>
          <t>2023-06-01</t>
        </is>
      </c>
      <c r="K736" t="inlineStr">
        <is>
          <t>ESIOS 1001 geo 8741</t>
        </is>
      </c>
      <c r="L736" t="inlineStr">
        <is>
          <t>24 valores; mín 110.04, máx 209.55 €/MWh</t>
        </is>
      </c>
    </row>
    <row r="737">
      <c r="A737" s="53" t="n">
        <v>45080</v>
      </c>
      <c r="B737" t="inlineStr">
        <is>
          <t>2023-06-03</t>
        </is>
      </c>
      <c r="C737" s="45" t="n">
        <v>113.2367</v>
      </c>
      <c r="D737" t="inlineStr">
        <is>
          <t>€/MWh</t>
        </is>
      </c>
      <c r="E737" s="54" t="n">
        <v>0.113237</v>
      </c>
      <c r="F737" s="54" t="n">
        <v>0.119949</v>
      </c>
      <c r="G737" t="inlineStr">
        <is>
          <t>calculado</t>
        </is>
      </c>
      <c r="H737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737" t="inlineStr">
        <is>
          <t>2023-06-02</t>
        </is>
      </c>
      <c r="K737" t="inlineStr">
        <is>
          <t>ESIOS 1001 geo 8741</t>
        </is>
      </c>
      <c r="L737" t="inlineStr">
        <is>
          <t>24 valores; mín 85.88, máx 139.43 €/MWh</t>
        </is>
      </c>
    </row>
    <row r="738">
      <c r="A738" s="53" t="n">
        <v>45081</v>
      </c>
      <c r="B738" t="inlineStr">
        <is>
          <t>2023-06-04</t>
        </is>
      </c>
      <c r="C738" s="45" t="n">
        <v>102.33</v>
      </c>
      <c r="D738" t="inlineStr">
        <is>
          <t>€/MWh</t>
        </is>
      </c>
      <c r="E738" s="54" t="n">
        <v>0.10233</v>
      </c>
      <c r="F738" s="54" t="n">
        <v>0.108496</v>
      </c>
      <c r="G738" t="inlineStr">
        <is>
          <t>calculado</t>
        </is>
      </c>
      <c r="H738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738" t="inlineStr">
        <is>
          <t>2023-06-03</t>
        </is>
      </c>
      <c r="K738" t="inlineStr">
        <is>
          <t>ESIOS 1001 geo 8741</t>
        </is>
      </c>
      <c r="L738" t="inlineStr">
        <is>
          <t>24 valores; mín 53.54, máx 137.97 €/MWh</t>
        </is>
      </c>
    </row>
    <row r="739">
      <c r="A739" s="53" t="n">
        <v>45082</v>
      </c>
      <c r="B739" t="inlineStr">
        <is>
          <t>2023-06-05</t>
        </is>
      </c>
      <c r="C739" s="45" t="n">
        <v>151.6829</v>
      </c>
      <c r="D739" t="inlineStr">
        <is>
          <t>€/MWh</t>
        </is>
      </c>
      <c r="E739" s="54" t="n">
        <v>0.151683</v>
      </c>
      <c r="F739" s="54" t="n">
        <v>0.160317</v>
      </c>
      <c r="G739" t="inlineStr">
        <is>
          <t>calculado</t>
        </is>
      </c>
      <c r="H739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739" t="inlineStr">
        <is>
          <t>2023-06-04</t>
        </is>
      </c>
      <c r="K739" t="inlineStr">
        <is>
          <t>ESIOS 1001 geo 8741</t>
        </is>
      </c>
      <c r="L739" t="inlineStr">
        <is>
          <t>24 valores; mín 119.60, máx 209.13 €/MWh</t>
        </is>
      </c>
    </row>
    <row r="740">
      <c r="A740" s="53" t="n">
        <v>45083</v>
      </c>
      <c r="B740" t="inlineStr">
        <is>
          <t>2023-06-06</t>
        </is>
      </c>
      <c r="C740" s="45" t="n">
        <v>151.7046</v>
      </c>
      <c r="D740" t="inlineStr">
        <is>
          <t>€/MWh</t>
        </is>
      </c>
      <c r="E740" s="54" t="n">
        <v>0.151705</v>
      </c>
      <c r="F740" s="54" t="n">
        <v>0.16034</v>
      </c>
      <c r="G740" t="inlineStr">
        <is>
          <t>calculado</t>
        </is>
      </c>
      <c r="H740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740" t="inlineStr">
        <is>
          <t>2023-06-05</t>
        </is>
      </c>
      <c r="K740" t="inlineStr">
        <is>
          <t>ESIOS 1001 geo 8741</t>
        </is>
      </c>
      <c r="L740" t="inlineStr">
        <is>
          <t>24 valores; mín 113.93, máx 206.41 €/MWh</t>
        </is>
      </c>
    </row>
    <row r="741">
      <c r="A741" s="53" t="n">
        <v>45084</v>
      </c>
      <c r="B741" t="inlineStr">
        <is>
          <t>2023-06-07</t>
        </is>
      </c>
      <c r="C741" s="45" t="n">
        <v>151.6933</v>
      </c>
      <c r="D741" t="inlineStr">
        <is>
          <t>€/MWh</t>
        </is>
      </c>
      <c r="E741" s="54" t="n">
        <v>0.151693</v>
      </c>
      <c r="F741" s="54" t="n">
        <v>0.160328</v>
      </c>
      <c r="G741" t="inlineStr">
        <is>
          <t>calculado</t>
        </is>
      </c>
      <c r="H741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741" t="inlineStr">
        <is>
          <t>2023-06-06</t>
        </is>
      </c>
      <c r="K741" t="inlineStr">
        <is>
          <t>ESIOS 1001 geo 8741</t>
        </is>
      </c>
      <c r="L741" t="inlineStr">
        <is>
          <t>24 valores; mín 100.74, máx 212.92 €/MWh</t>
        </is>
      </c>
    </row>
    <row r="742">
      <c r="A742" s="53" t="n">
        <v>45085</v>
      </c>
      <c r="B742" t="inlineStr">
        <is>
          <t>2023-06-08</t>
        </is>
      </c>
      <c r="C742" s="45" t="n">
        <v>145.1258</v>
      </c>
      <c r="D742" t="inlineStr">
        <is>
          <t>€/MWh</t>
        </is>
      </c>
      <c r="E742" s="54" t="n">
        <v>0.145126</v>
      </c>
      <c r="F742" s="54" t="n">
        <v>0.153432</v>
      </c>
      <c r="G742" t="inlineStr">
        <is>
          <t>calculado</t>
        </is>
      </c>
      <c r="H742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742" t="inlineStr">
        <is>
          <t>2023-06-07</t>
        </is>
      </c>
      <c r="K742" t="inlineStr">
        <is>
          <t>ESIOS 1001 geo 8741</t>
        </is>
      </c>
      <c r="L742" t="inlineStr">
        <is>
          <t>24 valores; mín 107.50, máx 205.61 €/MWh</t>
        </is>
      </c>
    </row>
    <row r="743">
      <c r="A743" s="53" t="n">
        <v>45086</v>
      </c>
      <c r="B743" t="inlineStr">
        <is>
          <t>2023-06-09</t>
        </is>
      </c>
      <c r="C743" s="45" t="n">
        <v>147.14</v>
      </c>
      <c r="D743" t="inlineStr">
        <is>
          <t>€/MWh</t>
        </is>
      </c>
      <c r="E743" s="54" t="n">
        <v>0.14714</v>
      </c>
      <c r="F743" s="54" t="n">
        <v>0.155547</v>
      </c>
      <c r="G743" t="inlineStr">
        <is>
          <t>calculado</t>
        </is>
      </c>
      <c r="H743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743" t="inlineStr">
        <is>
          <t>2023-06-08</t>
        </is>
      </c>
      <c r="K743" t="inlineStr">
        <is>
          <t>ESIOS 1001 geo 8741</t>
        </is>
      </c>
      <c r="L743" t="inlineStr">
        <is>
          <t>24 valores; mín 112.26, máx 210.47 €/MWh</t>
        </is>
      </c>
    </row>
    <row r="744">
      <c r="A744" s="53" t="n">
        <v>45087</v>
      </c>
      <c r="B744" t="inlineStr">
        <is>
          <t>2023-06-10</t>
        </is>
      </c>
      <c r="C744" s="45" t="n">
        <v>114.1675</v>
      </c>
      <c r="D744" t="inlineStr">
        <is>
          <t>€/MWh</t>
        </is>
      </c>
      <c r="E744" s="54" t="n">
        <v>0.114168</v>
      </c>
      <c r="F744" s="54" t="n">
        <v>0.120926</v>
      </c>
      <c r="G744" t="inlineStr">
        <is>
          <t>calculado</t>
        </is>
      </c>
      <c r="H744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744" t="inlineStr">
        <is>
          <t>2023-06-09</t>
        </is>
      </c>
      <c r="K744" t="inlineStr">
        <is>
          <t>ESIOS 1001 geo 8741</t>
        </is>
      </c>
      <c r="L744" t="inlineStr">
        <is>
          <t>24 valores; mín 75.90, máx 149.28 €/MWh</t>
        </is>
      </c>
    </row>
    <row r="745">
      <c r="A745" s="53" t="n">
        <v>45088</v>
      </c>
      <c r="B745" t="inlineStr">
        <is>
          <t>2023-06-11</t>
        </is>
      </c>
      <c r="C745" s="45" t="n">
        <v>102.04</v>
      </c>
      <c r="D745" t="inlineStr">
        <is>
          <t>€/MWh</t>
        </is>
      </c>
      <c r="E745" s="54" t="n">
        <v>0.10204</v>
      </c>
      <c r="F745" s="54" t="n">
        <v>0.108192</v>
      </c>
      <c r="G745" t="inlineStr">
        <is>
          <t>calculado</t>
        </is>
      </c>
      <c r="H745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745" t="inlineStr">
        <is>
          <t>2023-06-10</t>
        </is>
      </c>
      <c r="K745" t="inlineStr">
        <is>
          <t>ESIOS 1001 geo 8741</t>
        </is>
      </c>
      <c r="L745" t="inlineStr">
        <is>
          <t>24 valores; mín 39.62, máx 147.40 €/MWh</t>
        </is>
      </c>
    </row>
    <row r="746">
      <c r="A746" s="53" t="n">
        <v>45089</v>
      </c>
      <c r="B746" t="inlineStr">
        <is>
          <t>2023-06-12</t>
        </is>
      </c>
      <c r="C746" s="45" t="n">
        <v>158.0429</v>
      </c>
      <c r="D746" t="inlineStr">
        <is>
          <t>€/MWh</t>
        </is>
      </c>
      <c r="E746" s="54" t="n">
        <v>0.158043</v>
      </c>
      <c r="F746" s="54" t="n">
        <v>0.166995</v>
      </c>
      <c r="G746" t="inlineStr">
        <is>
          <t>calculado</t>
        </is>
      </c>
      <c r="H746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746" t="inlineStr">
        <is>
          <t>2023-06-11</t>
        </is>
      </c>
      <c r="K746" t="inlineStr">
        <is>
          <t>ESIOS 1001 geo 8741</t>
        </is>
      </c>
      <c r="L746" t="inlineStr">
        <is>
          <t>24 valores; mín 116.62, máx 223.60 €/MWh</t>
        </is>
      </c>
    </row>
    <row r="747">
      <c r="A747" s="53" t="n">
        <v>45090</v>
      </c>
      <c r="B747" t="inlineStr">
        <is>
          <t>2023-06-13</t>
        </is>
      </c>
      <c r="C747" s="45" t="n">
        <v>155.4654</v>
      </c>
      <c r="D747" t="inlineStr">
        <is>
          <t>€/MWh</t>
        </is>
      </c>
      <c r="E747" s="54" t="n">
        <v>0.155465</v>
      </c>
      <c r="F747" s="54" t="n">
        <v>0.164289</v>
      </c>
      <c r="G747" t="inlineStr">
        <is>
          <t>calculado</t>
        </is>
      </c>
      <c r="H747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747" t="inlineStr">
        <is>
          <t>2023-06-12</t>
        </is>
      </c>
      <c r="K747" t="inlineStr">
        <is>
          <t>ESIOS 1001 geo 8741</t>
        </is>
      </c>
      <c r="L747" t="inlineStr">
        <is>
          <t>24 valores; mín 124.46, máx 210.82 €/MWh</t>
        </is>
      </c>
    </row>
    <row r="748">
      <c r="A748" s="53" t="n">
        <v>45091</v>
      </c>
      <c r="B748" t="inlineStr">
        <is>
          <t>2023-06-14</t>
        </is>
      </c>
      <c r="C748" s="45" t="n">
        <v>149.9133</v>
      </c>
      <c r="D748" t="inlineStr">
        <is>
          <t>€/MWh</t>
        </is>
      </c>
      <c r="E748" s="54" t="n">
        <v>0.149913</v>
      </c>
      <c r="F748" s="54" t="n">
        <v>0.158459</v>
      </c>
      <c r="G748" t="inlineStr">
        <is>
          <t>calculado</t>
        </is>
      </c>
      <c r="H748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748" t="inlineStr">
        <is>
          <t>2023-06-13</t>
        </is>
      </c>
      <c r="K748" t="inlineStr">
        <is>
          <t>ESIOS 1001 geo 8741</t>
        </is>
      </c>
      <c r="L748" t="inlineStr">
        <is>
          <t>24 valores; mín 122.48, máx 221.64 €/MWh</t>
        </is>
      </c>
    </row>
    <row r="749">
      <c r="A749" s="53" t="n">
        <v>45092</v>
      </c>
      <c r="B749" t="inlineStr">
        <is>
          <t>2023-06-15</t>
        </is>
      </c>
      <c r="C749" s="45" t="n">
        <v>173.9863</v>
      </c>
      <c r="D749" t="inlineStr">
        <is>
          <t>€/MWh</t>
        </is>
      </c>
      <c r="E749" s="54" t="n">
        <v>0.173986</v>
      </c>
      <c r="F749" s="54" t="n">
        <v>0.183736</v>
      </c>
      <c r="G749" t="inlineStr">
        <is>
          <t>calculado</t>
        </is>
      </c>
      <c r="H749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749" t="inlineStr">
        <is>
          <t>2023-06-14</t>
        </is>
      </c>
      <c r="K749" t="inlineStr">
        <is>
          <t>ESIOS 1001 geo 8741</t>
        </is>
      </c>
      <c r="L749" t="inlineStr">
        <is>
          <t>24 valores; mín 136.09, máx 254.18 €/MWh</t>
        </is>
      </c>
    </row>
    <row r="750">
      <c r="A750" s="53" t="n">
        <v>45093</v>
      </c>
      <c r="B750" t="inlineStr">
        <is>
          <t>2023-06-16</t>
        </is>
      </c>
      <c r="C750" s="45" t="n">
        <v>194.2871</v>
      </c>
      <c r="D750" t="inlineStr">
        <is>
          <t>€/MWh</t>
        </is>
      </c>
      <c r="E750" s="54" t="n">
        <v>0.194287</v>
      </c>
      <c r="F750" s="54" t="n">
        <v>0.205051</v>
      </c>
      <c r="G750" t="inlineStr">
        <is>
          <t>calculado</t>
        </is>
      </c>
      <c r="H750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750" t="inlineStr">
        <is>
          <t>2023-06-15</t>
        </is>
      </c>
      <c r="K750" t="inlineStr">
        <is>
          <t>ESIOS 1001 geo 8741</t>
        </is>
      </c>
      <c r="L750" t="inlineStr">
        <is>
          <t>24 valores; mín 154.24, máx 271.07 €/MWh</t>
        </is>
      </c>
    </row>
    <row r="751">
      <c r="A751" s="53" t="n">
        <v>45094</v>
      </c>
      <c r="B751" t="inlineStr">
        <is>
          <t>2023-06-17</t>
        </is>
      </c>
      <c r="C751" s="45" t="n">
        <v>134.8842</v>
      </c>
      <c r="D751" t="inlineStr">
        <is>
          <t>€/MWh</t>
        </is>
      </c>
      <c r="E751" s="54" t="n">
        <v>0.134884</v>
      </c>
      <c r="F751" s="54" t="n">
        <v>0.142678</v>
      </c>
      <c r="G751" t="inlineStr">
        <is>
          <t>calculado</t>
        </is>
      </c>
      <c r="H751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751" t="inlineStr">
        <is>
          <t>2023-06-16</t>
        </is>
      </c>
      <c r="K751" t="inlineStr">
        <is>
          <t>ESIOS 1001 geo 8741</t>
        </is>
      </c>
      <c r="L751" t="inlineStr">
        <is>
          <t>24 valores; mín 67.18, máx 184.58 €/MWh</t>
        </is>
      </c>
    </row>
    <row r="752">
      <c r="A752" s="53" t="n">
        <v>45095</v>
      </c>
      <c r="B752" t="inlineStr">
        <is>
          <t>2023-06-18</t>
        </is>
      </c>
      <c r="C752" s="45" t="n">
        <v>125.0638</v>
      </c>
      <c r="D752" t="inlineStr">
        <is>
          <t>€/MWh</t>
        </is>
      </c>
      <c r="E752" s="54" t="n">
        <v>0.125064</v>
      </c>
      <c r="F752" s="54" t="n">
        <v>0.132367</v>
      </c>
      <c r="G752" t="inlineStr">
        <is>
          <t>calculado</t>
        </is>
      </c>
      <c r="H752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752" t="inlineStr">
        <is>
          <t>2023-06-17</t>
        </is>
      </c>
      <c r="K752" t="inlineStr">
        <is>
          <t>ESIOS 1001 geo 8741</t>
        </is>
      </c>
      <c r="L752" t="inlineStr">
        <is>
          <t>24 valores; mín 52.88, máx 177.56 €/MWh</t>
        </is>
      </c>
    </row>
    <row r="753">
      <c r="A753" s="53" t="n">
        <v>45096</v>
      </c>
      <c r="B753" t="inlineStr">
        <is>
          <t>2023-06-19</t>
        </is>
      </c>
      <c r="C753" s="45" t="n">
        <v>176.0483</v>
      </c>
      <c r="D753" t="inlineStr">
        <is>
          <t>€/MWh</t>
        </is>
      </c>
      <c r="E753" s="54" t="n">
        <v>0.176048</v>
      </c>
      <c r="F753" s="54" t="n">
        <v>0.185901</v>
      </c>
      <c r="G753" t="inlineStr">
        <is>
          <t>calculado</t>
        </is>
      </c>
      <c r="H753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753" t="inlineStr">
        <is>
          <t>2023-06-18</t>
        </is>
      </c>
      <c r="K753" t="inlineStr">
        <is>
          <t>ESIOS 1001 geo 8741</t>
        </is>
      </c>
      <c r="L753" t="inlineStr">
        <is>
          <t>24 valores; mín 130.42, máx 256.04 €/MWh</t>
        </is>
      </c>
    </row>
    <row r="754">
      <c r="A754" s="53" t="n">
        <v>45097</v>
      </c>
      <c r="B754" t="inlineStr">
        <is>
          <t>2023-06-20</t>
        </is>
      </c>
      <c r="C754" s="45" t="n">
        <v>179.7696</v>
      </c>
      <c r="D754" t="inlineStr">
        <is>
          <t>€/MWh</t>
        </is>
      </c>
      <c r="E754" s="54" t="n">
        <v>0.17977</v>
      </c>
      <c r="F754" s="54" t="n">
        <v>0.189808</v>
      </c>
      <c r="G754" t="inlineStr">
        <is>
          <t>calculado</t>
        </is>
      </c>
      <c r="H754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754" t="inlineStr">
        <is>
          <t>2023-06-19</t>
        </is>
      </c>
      <c r="K754" t="inlineStr">
        <is>
          <t>ESIOS 1001 geo 8741</t>
        </is>
      </c>
      <c r="L754" t="inlineStr">
        <is>
          <t>24 valores; mín 136.85, máx 253.24 €/MWh</t>
        </is>
      </c>
    </row>
    <row r="755">
      <c r="A755" s="53" t="n">
        <v>45098</v>
      </c>
      <c r="B755" t="inlineStr">
        <is>
          <t>2023-06-21</t>
        </is>
      </c>
      <c r="C755" s="45" t="n">
        <v>187.4621</v>
      </c>
      <c r="D755" t="inlineStr">
        <is>
          <t>€/MWh</t>
        </is>
      </c>
      <c r="E755" s="54" t="n">
        <v>0.187462</v>
      </c>
      <c r="F755" s="54" t="n">
        <v>0.197885</v>
      </c>
      <c r="G755" t="inlineStr">
        <is>
          <t>calculado</t>
        </is>
      </c>
      <c r="H755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755" t="inlineStr">
        <is>
          <t>2023-06-20</t>
        </is>
      </c>
      <c r="K755" t="inlineStr">
        <is>
          <t>ESIOS 1001 geo 8741</t>
        </is>
      </c>
      <c r="L755" t="inlineStr">
        <is>
          <t>24 valores; mín 143.83, máx 261.31 €/MWh</t>
        </is>
      </c>
    </row>
    <row r="756">
      <c r="A756" s="53" t="n">
        <v>45099</v>
      </c>
      <c r="B756" t="inlineStr">
        <is>
          <t>2023-06-22</t>
        </is>
      </c>
      <c r="C756" s="45" t="n">
        <v>192.1146</v>
      </c>
      <c r="D756" t="inlineStr">
        <is>
          <t>€/MWh</t>
        </is>
      </c>
      <c r="E756" s="54" t="n">
        <v>0.192115</v>
      </c>
      <c r="F756" s="54" t="n">
        <v>0.20277</v>
      </c>
      <c r="G756" t="inlineStr">
        <is>
          <t>calculado</t>
        </is>
      </c>
      <c r="H756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756" t="inlineStr">
        <is>
          <t>2023-06-21</t>
        </is>
      </c>
      <c r="K756" t="inlineStr">
        <is>
          <t>ESIOS 1001 geo 8741</t>
        </is>
      </c>
      <c r="L756" t="inlineStr">
        <is>
          <t>24 valores; mín 151.40, máx 261.04 €/MWh</t>
        </is>
      </c>
    </row>
    <row r="757">
      <c r="A757" s="53" t="n">
        <v>45100</v>
      </c>
      <c r="B757" t="inlineStr">
        <is>
          <t>2023-06-23</t>
        </is>
      </c>
      <c r="C757" s="45" t="n">
        <v>179.7133</v>
      </c>
      <c r="D757" t="inlineStr">
        <is>
          <t>€/MWh</t>
        </is>
      </c>
      <c r="E757" s="54" t="n">
        <v>0.179713</v>
      </c>
      <c r="F757" s="54" t="n">
        <v>0.189749</v>
      </c>
      <c r="G757" t="inlineStr">
        <is>
          <t>calculado</t>
        </is>
      </c>
      <c r="H757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757" t="inlineStr">
        <is>
          <t>2023-06-22</t>
        </is>
      </c>
      <c r="K757" t="inlineStr">
        <is>
          <t>ESIOS 1001 geo 8741</t>
        </is>
      </c>
      <c r="L757" t="inlineStr">
        <is>
          <t>24 valores; mín 135.20, máx 250.72 €/MWh</t>
        </is>
      </c>
    </row>
    <row r="758">
      <c r="A758" s="53" t="n">
        <v>45101</v>
      </c>
      <c r="B758" t="inlineStr">
        <is>
          <t>2023-06-24</t>
        </is>
      </c>
      <c r="C758" s="45" t="n">
        <v>117.7338</v>
      </c>
      <c r="D758" t="inlineStr">
        <is>
          <t>€/MWh</t>
        </is>
      </c>
      <c r="E758" s="54" t="n">
        <v>0.117734</v>
      </c>
      <c r="F758" s="54" t="n">
        <v>0.12467</v>
      </c>
      <c r="G758" t="inlineStr">
        <is>
          <t>calculado</t>
        </is>
      </c>
      <c r="H758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758" t="inlineStr">
        <is>
          <t>2023-06-23</t>
        </is>
      </c>
      <c r="K758" t="inlineStr">
        <is>
          <t>ESIOS 1001 geo 8741</t>
        </is>
      </c>
      <c r="L758" t="inlineStr">
        <is>
          <t>24 valores; mín 31.85, máx 174.22 €/MWh</t>
        </is>
      </c>
    </row>
    <row r="759">
      <c r="A759" s="53" t="n">
        <v>45102</v>
      </c>
      <c r="B759" t="inlineStr">
        <is>
          <t>2023-06-25</t>
        </is>
      </c>
      <c r="C759" s="45" t="n">
        <v>110.0579</v>
      </c>
      <c r="D759" t="inlineStr">
        <is>
          <t>€/MWh</t>
        </is>
      </c>
      <c r="E759" s="54" t="n">
        <v>0.110058</v>
      </c>
      <c r="F759" s="54" t="n">
        <v>0.116611</v>
      </c>
      <c r="G759" t="inlineStr">
        <is>
          <t>calculado</t>
        </is>
      </c>
      <c r="H759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759" t="inlineStr">
        <is>
          <t>2023-06-24</t>
        </is>
      </c>
      <c r="K759" t="inlineStr">
        <is>
          <t>ESIOS 1001 geo 8741</t>
        </is>
      </c>
      <c r="L759" t="inlineStr">
        <is>
          <t>24 valores; mín 28.65, máx 168.68 €/MWh</t>
        </is>
      </c>
    </row>
    <row r="760">
      <c r="A760" s="53" t="n">
        <v>45103</v>
      </c>
      <c r="B760" t="inlineStr">
        <is>
          <t>2023-06-26</t>
        </is>
      </c>
      <c r="C760" s="45" t="n">
        <v>162.1208</v>
      </c>
      <c r="D760" t="inlineStr">
        <is>
          <t>€/MWh</t>
        </is>
      </c>
      <c r="E760" s="54" t="n">
        <v>0.162121</v>
      </c>
      <c r="F760" s="54" t="n">
        <v>0.171277</v>
      </c>
      <c r="G760" t="inlineStr">
        <is>
          <t>calculado</t>
        </is>
      </c>
      <c r="H760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760" t="inlineStr">
        <is>
          <t>2023-06-25</t>
        </is>
      </c>
      <c r="K760" t="inlineStr">
        <is>
          <t>ESIOS 1001 geo 8741</t>
        </is>
      </c>
      <c r="L760" t="inlineStr">
        <is>
          <t>24 valores; mín 121.50, máx 235.07 €/MWh</t>
        </is>
      </c>
    </row>
    <row r="761">
      <c r="A761" s="53" t="n">
        <v>45104</v>
      </c>
      <c r="B761" t="inlineStr">
        <is>
          <t>2023-06-27</t>
        </is>
      </c>
      <c r="C761" s="45" t="n">
        <v>168.7125</v>
      </c>
      <c r="D761" t="inlineStr">
        <is>
          <t>€/MWh</t>
        </is>
      </c>
      <c r="E761" s="54" t="n">
        <v>0.168713</v>
      </c>
      <c r="F761" s="54" t="n">
        <v>0.178198</v>
      </c>
      <c r="G761" t="inlineStr">
        <is>
          <t>calculado</t>
        </is>
      </c>
      <c r="H761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761" t="inlineStr">
        <is>
          <t>2023-06-26</t>
        </is>
      </c>
      <c r="K761" t="inlineStr">
        <is>
          <t>ESIOS 1001 geo 8741</t>
        </is>
      </c>
      <c r="L761" t="inlineStr">
        <is>
          <t>24 valores; mín 125.37, máx 235.98 €/MWh</t>
        </is>
      </c>
    </row>
    <row r="762">
      <c r="A762" s="53" t="n">
        <v>45105</v>
      </c>
      <c r="B762" t="inlineStr">
        <is>
          <t>2023-06-28</t>
        </is>
      </c>
      <c r="C762" s="45" t="n">
        <v>171.81</v>
      </c>
      <c r="D762" t="inlineStr">
        <is>
          <t>€/MWh</t>
        </is>
      </c>
      <c r="E762" s="54" t="n">
        <v>0.17181</v>
      </c>
      <c r="F762" s="54" t="n">
        <v>0.181451</v>
      </c>
      <c r="G762" t="inlineStr">
        <is>
          <t>calculado</t>
        </is>
      </c>
      <c r="H762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762" t="inlineStr">
        <is>
          <t>2023-06-27</t>
        </is>
      </c>
      <c r="K762" t="inlineStr">
        <is>
          <t>ESIOS 1001 geo 8741</t>
        </is>
      </c>
      <c r="L762" t="inlineStr">
        <is>
          <t>24 valores; mín 124.59, máx 240.51 €/MWh</t>
        </is>
      </c>
    </row>
    <row r="763">
      <c r="A763" s="53" t="n">
        <v>45106</v>
      </c>
      <c r="B763" t="inlineStr">
        <is>
          <t>2023-06-29</t>
        </is>
      </c>
      <c r="C763" s="45" t="n">
        <v>172.3375</v>
      </c>
      <c r="D763" t="inlineStr">
        <is>
          <t>€/MWh</t>
        </is>
      </c>
      <c r="E763" s="54" t="n">
        <v>0.172338</v>
      </c>
      <c r="F763" s="54" t="n">
        <v>0.182004</v>
      </c>
      <c r="G763" t="inlineStr">
        <is>
          <t>calculado</t>
        </is>
      </c>
      <c r="H763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763" t="inlineStr">
        <is>
          <t>2023-06-28</t>
        </is>
      </c>
      <c r="K763" t="inlineStr">
        <is>
          <t>ESIOS 1001 geo 8741</t>
        </is>
      </c>
      <c r="L763" t="inlineStr">
        <is>
          <t>24 valores; mín 134.05, máx 231.02 €/MWh</t>
        </is>
      </c>
    </row>
    <row r="764">
      <c r="A764" s="53" t="n">
        <v>45107</v>
      </c>
      <c r="B764" t="inlineStr">
        <is>
          <t>2023-06-30</t>
        </is>
      </c>
      <c r="C764" s="45" t="n">
        <v>165.1738</v>
      </c>
      <c r="D764" t="inlineStr">
        <is>
          <t>€/MWh</t>
        </is>
      </c>
      <c r="E764" s="54" t="n">
        <v>0.165174</v>
      </c>
      <c r="F764" s="54" t="n">
        <v>0.174482</v>
      </c>
      <c r="G764" t="inlineStr">
        <is>
          <t>calculado</t>
        </is>
      </c>
      <c r="H764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764" t="inlineStr">
        <is>
          <t>2023-06-29</t>
        </is>
      </c>
      <c r="K764" t="inlineStr">
        <is>
          <t>ESIOS 1001 geo 8741</t>
        </is>
      </c>
      <c r="L764" t="inlineStr">
        <is>
          <t>24 valores; mín 120.73, máx 230.36 €/MWh</t>
        </is>
      </c>
    </row>
    <row r="765">
      <c r="A765" s="53" t="n">
        <v>45108</v>
      </c>
      <c r="B765" t="inlineStr">
        <is>
          <t>2023-07-01</t>
        </is>
      </c>
      <c r="C765" s="45" t="n">
        <v>98.36620000000001</v>
      </c>
      <c r="D765" t="inlineStr">
        <is>
          <t>€/MWh</t>
        </is>
      </c>
      <c r="E765" s="54" t="n">
        <v>0.098366</v>
      </c>
      <c r="F765" s="54" t="n">
        <v>0.104335</v>
      </c>
      <c r="G765" t="inlineStr">
        <is>
          <t>calculado</t>
        </is>
      </c>
      <c r="H765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765" t="inlineStr">
        <is>
          <t>2023-06-30</t>
        </is>
      </c>
      <c r="K765" t="inlineStr">
        <is>
          <t>ESIOS 1001 geo 8741</t>
        </is>
      </c>
      <c r="L765" t="inlineStr">
        <is>
          <t>24 valores; mín 26.84, máx 166.57 €/MWh</t>
        </is>
      </c>
    </row>
    <row r="766">
      <c r="A766" s="53" t="n">
        <v>45109</v>
      </c>
      <c r="B766" t="inlineStr">
        <is>
          <t>2023-07-02</t>
        </is>
      </c>
      <c r="C766" s="45" t="n">
        <v>96.4258</v>
      </c>
      <c r="D766" t="inlineStr">
        <is>
          <t>€/MWh</t>
        </is>
      </c>
      <c r="E766" s="54" t="n">
        <v>0.096426</v>
      </c>
      <c r="F766" s="54" t="n">
        <v>0.102297</v>
      </c>
      <c r="G766" t="inlineStr">
        <is>
          <t>calculado</t>
        </is>
      </c>
      <c r="H766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766" t="inlineStr">
        <is>
          <t>2023-07-01</t>
        </is>
      </c>
      <c r="K766" t="inlineStr">
        <is>
          <t>ESIOS 1001 geo 8741</t>
        </is>
      </c>
      <c r="L766" t="inlineStr">
        <is>
          <t>24 valores; mín 45.00, máx 173.92 €/MWh</t>
        </is>
      </c>
    </row>
    <row r="767">
      <c r="A767" s="53" t="n">
        <v>45110</v>
      </c>
      <c r="B767" t="inlineStr">
        <is>
          <t>2023-07-03</t>
        </is>
      </c>
      <c r="C767" s="45" t="n">
        <v>187.2346</v>
      </c>
      <c r="D767" t="inlineStr">
        <is>
          <t>€/MWh</t>
        </is>
      </c>
      <c r="E767" s="54" t="n">
        <v>0.187235</v>
      </c>
      <c r="F767" s="54" t="n">
        <v>0.197646</v>
      </c>
      <c r="G767" t="inlineStr">
        <is>
          <t>calculado</t>
        </is>
      </c>
      <c r="H767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767" t="inlineStr">
        <is>
          <t>2023-07-02</t>
        </is>
      </c>
      <c r="K767" t="inlineStr">
        <is>
          <t>ESIOS 1001 geo 8741</t>
        </is>
      </c>
      <c r="L767" t="inlineStr">
        <is>
          <t>24 valores; mín 146.03, máx 250.00 €/MWh</t>
        </is>
      </c>
    </row>
    <row r="768">
      <c r="A768" s="53" t="n">
        <v>45111</v>
      </c>
      <c r="B768" t="inlineStr">
        <is>
          <t>2023-07-04</t>
        </is>
      </c>
      <c r="C768" s="45" t="n">
        <v>182.5388</v>
      </c>
      <c r="D768" t="inlineStr">
        <is>
          <t>€/MWh</t>
        </is>
      </c>
      <c r="E768" s="54" t="n">
        <v>0.182539</v>
      </c>
      <c r="F768" s="54" t="n">
        <v>0.192716</v>
      </c>
      <c r="G768" t="inlineStr">
        <is>
          <t>calculado</t>
        </is>
      </c>
      <c r="H768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768" t="inlineStr">
        <is>
          <t>2023-07-03</t>
        </is>
      </c>
      <c r="K768" t="inlineStr">
        <is>
          <t>ESIOS 1001 geo 8741</t>
        </is>
      </c>
      <c r="L768" t="inlineStr">
        <is>
          <t>24 valores; mín 140.47, máx 253.04 €/MWh</t>
        </is>
      </c>
    </row>
    <row r="769">
      <c r="A769" s="53" t="n">
        <v>45112</v>
      </c>
      <c r="B769" t="inlineStr">
        <is>
          <t>2023-07-05</t>
        </is>
      </c>
      <c r="C769" s="45" t="n">
        <v>174.5933</v>
      </c>
      <c r="D769" t="inlineStr">
        <is>
          <t>€/MWh</t>
        </is>
      </c>
      <c r="E769" s="54" t="n">
        <v>0.174593</v>
      </c>
      <c r="F769" s="54" t="n">
        <v>0.184373</v>
      </c>
      <c r="G769" t="inlineStr">
        <is>
          <t>calculado</t>
        </is>
      </c>
      <c r="H769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769" t="inlineStr">
        <is>
          <t>2023-07-04</t>
        </is>
      </c>
      <c r="K769" t="inlineStr">
        <is>
          <t>ESIOS 1001 geo 8741</t>
        </is>
      </c>
      <c r="L769" t="inlineStr">
        <is>
          <t>24 valores; mín 129.02, máx 246.62 €/MWh</t>
        </is>
      </c>
    </row>
    <row r="770">
      <c r="A770" s="53" t="n">
        <v>45113</v>
      </c>
      <c r="B770" t="inlineStr">
        <is>
          <t>2023-07-06</t>
        </is>
      </c>
      <c r="C770" s="45" t="n">
        <v>179.9654</v>
      </c>
      <c r="D770" t="inlineStr">
        <is>
          <t>€/MWh</t>
        </is>
      </c>
      <c r="E770" s="54" t="n">
        <v>0.179965</v>
      </c>
      <c r="F770" s="54" t="n">
        <v>0.190014</v>
      </c>
      <c r="G770" t="inlineStr">
        <is>
          <t>calculado</t>
        </is>
      </c>
      <c r="H770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770" t="inlineStr">
        <is>
          <t>2023-07-05</t>
        </is>
      </c>
      <c r="K770" t="inlineStr">
        <is>
          <t>ESIOS 1001 geo 8741</t>
        </is>
      </c>
      <c r="L770" t="inlineStr">
        <is>
          <t>24 valores; mín 141.29, máx 243.12 €/MWh</t>
        </is>
      </c>
    </row>
    <row r="771">
      <c r="A771" s="53" t="n">
        <v>45114</v>
      </c>
      <c r="B771" t="inlineStr">
        <is>
          <t>2023-07-07</t>
        </is>
      </c>
      <c r="C771" s="45" t="n">
        <v>170.5621</v>
      </c>
      <c r="D771" t="inlineStr">
        <is>
          <t>€/MWh</t>
        </is>
      </c>
      <c r="E771" s="54" t="n">
        <v>0.170562</v>
      </c>
      <c r="F771" s="54" t="n">
        <v>0.18014</v>
      </c>
      <c r="G771" t="inlineStr">
        <is>
          <t>calculado</t>
        </is>
      </c>
      <c r="H771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771" t="inlineStr">
        <is>
          <t>2023-07-06</t>
        </is>
      </c>
      <c r="K771" t="inlineStr">
        <is>
          <t>ESIOS 1001 geo 8741</t>
        </is>
      </c>
      <c r="L771" t="inlineStr">
        <is>
          <t>24 valores; mín 119.26, máx 235.89 €/MWh</t>
        </is>
      </c>
    </row>
    <row r="772">
      <c r="A772" s="53" t="n">
        <v>45115</v>
      </c>
      <c r="B772" t="inlineStr">
        <is>
          <t>2023-07-08</t>
        </is>
      </c>
      <c r="C772" s="45" t="n">
        <v>124.9975</v>
      </c>
      <c r="D772" t="inlineStr">
        <is>
          <t>€/MWh</t>
        </is>
      </c>
      <c r="E772" s="54" t="n">
        <v>0.124997</v>
      </c>
      <c r="F772" s="54" t="n">
        <v>0.132297</v>
      </c>
      <c r="G772" t="inlineStr">
        <is>
          <t>calculado</t>
        </is>
      </c>
      <c r="H772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772" t="inlineStr">
        <is>
          <t>2023-07-07</t>
        </is>
      </c>
      <c r="K772" t="inlineStr">
        <is>
          <t>ESIOS 1001 geo 8741</t>
        </is>
      </c>
      <c r="L772" t="inlineStr">
        <is>
          <t>24 valores; mín 62.39, máx 176.76 €/MWh</t>
        </is>
      </c>
    </row>
    <row r="773">
      <c r="A773" s="53" t="n">
        <v>45116</v>
      </c>
      <c r="B773" t="inlineStr">
        <is>
          <t>2023-07-09</t>
        </is>
      </c>
      <c r="C773" s="45" t="n">
        <v>129.4404</v>
      </c>
      <c r="D773" t="inlineStr">
        <is>
          <t>€/MWh</t>
        </is>
      </c>
      <c r="E773" s="54" t="n">
        <v>0.12944</v>
      </c>
      <c r="F773" s="54" t="n">
        <v>0.136962</v>
      </c>
      <c r="G773" t="inlineStr">
        <is>
          <t>calculado</t>
        </is>
      </c>
      <c r="H773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773" t="inlineStr">
        <is>
          <t>2023-07-08</t>
        </is>
      </c>
      <c r="K773" t="inlineStr">
        <is>
          <t>ESIOS 1001 geo 8741</t>
        </is>
      </c>
      <c r="L773" t="inlineStr">
        <is>
          <t>24 valores; mín 69.30, máx 177.93 €/MWh</t>
        </is>
      </c>
    </row>
    <row r="774">
      <c r="A774" s="53" t="n">
        <v>45117</v>
      </c>
      <c r="B774" t="inlineStr">
        <is>
          <t>2023-07-10</t>
        </is>
      </c>
      <c r="C774" s="45" t="n">
        <v>177.8638</v>
      </c>
      <c r="D774" t="inlineStr">
        <is>
          <t>€/MWh</t>
        </is>
      </c>
      <c r="E774" s="54" t="n">
        <v>0.177864</v>
      </c>
      <c r="F774" s="54" t="n">
        <v>0.187807</v>
      </c>
      <c r="G774" t="inlineStr">
        <is>
          <t>calculado</t>
        </is>
      </c>
      <c r="H774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774" t="inlineStr">
        <is>
          <t>2023-07-09</t>
        </is>
      </c>
      <c r="K774" t="inlineStr">
        <is>
          <t>ESIOS 1001 geo 8741</t>
        </is>
      </c>
      <c r="L774" t="inlineStr">
        <is>
          <t>24 valores; mín 128.26, máx 264.79 €/MWh</t>
        </is>
      </c>
    </row>
    <row r="775">
      <c r="A775" s="53" t="n">
        <v>45118</v>
      </c>
      <c r="B775" t="inlineStr">
        <is>
          <t>2023-07-11</t>
        </is>
      </c>
      <c r="C775" s="45" t="n">
        <v>174.4333</v>
      </c>
      <c r="D775" t="inlineStr">
        <is>
          <t>€/MWh</t>
        </is>
      </c>
      <c r="E775" s="54" t="n">
        <v>0.174433</v>
      </c>
      <c r="F775" s="54" t="n">
        <v>0.184205</v>
      </c>
      <c r="G775" t="inlineStr">
        <is>
          <t>calculado</t>
        </is>
      </c>
      <c r="H775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775" t="inlineStr">
        <is>
          <t>2023-07-10</t>
        </is>
      </c>
      <c r="K775" t="inlineStr">
        <is>
          <t>ESIOS 1001 geo 8741</t>
        </is>
      </c>
      <c r="L775" t="inlineStr">
        <is>
          <t>24 valores; mín 137.19, máx 240.57 €/MWh</t>
        </is>
      </c>
    </row>
    <row r="776">
      <c r="A776" s="53" t="n">
        <v>45119</v>
      </c>
      <c r="B776" t="inlineStr">
        <is>
          <t>2023-07-12</t>
        </is>
      </c>
      <c r="C776" s="45" t="n">
        <v>167.6833</v>
      </c>
      <c r="D776" t="inlineStr">
        <is>
          <t>€/MWh</t>
        </is>
      </c>
      <c r="E776" s="54" t="n">
        <v>0.167683</v>
      </c>
      <c r="F776" s="54" t="n">
        <v>0.177117</v>
      </c>
      <c r="G776" t="inlineStr">
        <is>
          <t>calculado</t>
        </is>
      </c>
      <c r="H776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776" t="inlineStr">
        <is>
          <t>2023-07-11</t>
        </is>
      </c>
      <c r="K776" t="inlineStr">
        <is>
          <t>ESIOS 1001 geo 8741</t>
        </is>
      </c>
      <c r="L776" t="inlineStr">
        <is>
          <t>24 valores; mín 125.00, máx 236.19 €/MWh</t>
        </is>
      </c>
    </row>
    <row r="777">
      <c r="A777" s="53" t="n">
        <v>45120</v>
      </c>
      <c r="B777" t="inlineStr">
        <is>
          <t>2023-07-13</t>
        </is>
      </c>
      <c r="C777" s="45" t="n">
        <v>168.2871</v>
      </c>
      <c r="D777" t="inlineStr">
        <is>
          <t>€/MWh</t>
        </is>
      </c>
      <c r="E777" s="54" t="n">
        <v>0.168287</v>
      </c>
      <c r="F777" s="54" t="n">
        <v>0.177751</v>
      </c>
      <c r="G777" t="inlineStr">
        <is>
          <t>calculado</t>
        </is>
      </c>
      <c r="H777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777" t="inlineStr">
        <is>
          <t>2023-07-12</t>
        </is>
      </c>
      <c r="K777" t="inlineStr">
        <is>
          <t>ESIOS 1001 geo 8741</t>
        </is>
      </c>
      <c r="L777" t="inlineStr">
        <is>
          <t>24 valores; mín 123.54, máx 247.40 €/MWh</t>
        </is>
      </c>
    </row>
    <row r="778">
      <c r="A778" s="53" t="n">
        <v>45121</v>
      </c>
      <c r="B778" t="inlineStr">
        <is>
          <t>2023-07-14</t>
        </is>
      </c>
      <c r="C778" s="45" t="n">
        <v>152.3433</v>
      </c>
      <c r="D778" t="inlineStr">
        <is>
          <t>€/MWh</t>
        </is>
      </c>
      <c r="E778" s="54" t="n">
        <v>0.152343</v>
      </c>
      <c r="F778" s="54" t="n">
        <v>0.16101</v>
      </c>
      <c r="G778" t="inlineStr">
        <is>
          <t>calculado</t>
        </is>
      </c>
      <c r="H778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778" t="inlineStr">
        <is>
          <t>2023-07-13</t>
        </is>
      </c>
      <c r="K778" t="inlineStr">
        <is>
          <t>ESIOS 1001 geo 8741</t>
        </is>
      </c>
      <c r="L778" t="inlineStr">
        <is>
          <t>24 valores; mín 96.70, máx 220.45 €/MWh</t>
        </is>
      </c>
    </row>
    <row r="779">
      <c r="A779" s="53" t="n">
        <v>45122</v>
      </c>
      <c r="B779" t="inlineStr">
        <is>
          <t>2023-07-15</t>
        </is>
      </c>
      <c r="C779" s="45" t="n">
        <v>95.4633</v>
      </c>
      <c r="D779" t="inlineStr">
        <is>
          <t>€/MWh</t>
        </is>
      </c>
      <c r="E779" s="54" t="n">
        <v>0.09546300000000001</v>
      </c>
      <c r="F779" s="54" t="n">
        <v>0.101286</v>
      </c>
      <c r="G779" t="inlineStr">
        <is>
          <t>calculado</t>
        </is>
      </c>
      <c r="H779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779" t="inlineStr">
        <is>
          <t>2023-07-14</t>
        </is>
      </c>
      <c r="K779" t="inlineStr">
        <is>
          <t>ESIOS 1001 geo 8741</t>
        </is>
      </c>
      <c r="L779" t="inlineStr">
        <is>
          <t>24 valores; mín 19.42, máx 150.27 €/MWh</t>
        </is>
      </c>
    </row>
    <row r="780">
      <c r="A780" s="53" t="n">
        <v>45123</v>
      </c>
      <c r="B780" t="inlineStr">
        <is>
          <t>2023-07-16</t>
        </is>
      </c>
      <c r="C780" s="45" t="n">
        <v>92.91540000000001</v>
      </c>
      <c r="D780" t="inlineStr">
        <is>
          <t>€/MWh</t>
        </is>
      </c>
      <c r="E780" s="54" t="n">
        <v>0.092915</v>
      </c>
      <c r="F780" s="54" t="n">
        <v>0.098611</v>
      </c>
      <c r="G780" t="inlineStr">
        <is>
          <t>calculado</t>
        </is>
      </c>
      <c r="H780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780" t="inlineStr">
        <is>
          <t>2023-07-15</t>
        </is>
      </c>
      <c r="K780" t="inlineStr">
        <is>
          <t>ESIOS 1001 geo 8741</t>
        </is>
      </c>
      <c r="L780" t="inlineStr">
        <is>
          <t>24 valores; mín 40.20, máx 154.34 €/MWh</t>
        </is>
      </c>
    </row>
    <row r="781">
      <c r="A781" s="53" t="n">
        <v>45124</v>
      </c>
      <c r="B781" t="inlineStr">
        <is>
          <t>2023-07-17</t>
        </is>
      </c>
      <c r="C781" s="45" t="n">
        <v>152.6092</v>
      </c>
      <c r="D781" t="inlineStr">
        <is>
          <t>€/MWh</t>
        </is>
      </c>
      <c r="E781" s="54" t="n">
        <v>0.152609</v>
      </c>
      <c r="F781" s="54" t="n">
        <v>0.16129</v>
      </c>
      <c r="G781" t="inlineStr">
        <is>
          <t>calculado</t>
        </is>
      </c>
      <c r="H781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781" t="inlineStr">
        <is>
          <t>2023-07-16</t>
        </is>
      </c>
      <c r="K781" t="inlineStr">
        <is>
          <t>ESIOS 1001 geo 8741</t>
        </is>
      </c>
      <c r="L781" t="inlineStr">
        <is>
          <t>24 valores; mín 105.71, máx 235.12 €/MWh</t>
        </is>
      </c>
    </row>
    <row r="782">
      <c r="A782" s="53" t="n">
        <v>45125</v>
      </c>
      <c r="B782" t="inlineStr">
        <is>
          <t>2023-07-18</t>
        </is>
      </c>
      <c r="C782" s="45" t="n">
        <v>161.3317</v>
      </c>
      <c r="D782" t="inlineStr">
        <is>
          <t>€/MWh</t>
        </is>
      </c>
      <c r="E782" s="54" t="n">
        <v>0.161332</v>
      </c>
      <c r="F782" s="54" t="n">
        <v>0.170448</v>
      </c>
      <c r="G782" t="inlineStr">
        <is>
          <t>calculado</t>
        </is>
      </c>
      <c r="H782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782" t="inlineStr">
        <is>
          <t>2023-07-17</t>
        </is>
      </c>
      <c r="K782" t="inlineStr">
        <is>
          <t>ESIOS 1001 geo 8741</t>
        </is>
      </c>
      <c r="L782" t="inlineStr">
        <is>
          <t>24 valores; mín 123.34, máx 228.72 €/MWh</t>
        </is>
      </c>
    </row>
    <row r="783">
      <c r="A783" s="53" t="n">
        <v>45126</v>
      </c>
      <c r="B783" t="inlineStr">
        <is>
          <t>2023-07-19</t>
        </is>
      </c>
      <c r="C783" s="45" t="n">
        <v>160.2887</v>
      </c>
      <c r="D783" t="inlineStr">
        <is>
          <t>€/MWh</t>
        </is>
      </c>
      <c r="E783" s="54" t="n">
        <v>0.160289</v>
      </c>
      <c r="F783" s="54" t="n">
        <v>0.169353</v>
      </c>
      <c r="G783" t="inlineStr">
        <is>
          <t>calculado</t>
        </is>
      </c>
      <c r="H783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783" t="inlineStr">
        <is>
          <t>2023-07-18</t>
        </is>
      </c>
      <c r="K783" t="inlineStr">
        <is>
          <t>ESIOS 1001 geo 8741</t>
        </is>
      </c>
      <c r="L783" t="inlineStr">
        <is>
          <t>24 valores; mín 124.32, máx 221.07 €/MWh</t>
        </is>
      </c>
    </row>
    <row r="784">
      <c r="A784" s="53" t="n">
        <v>45127</v>
      </c>
      <c r="B784" t="inlineStr">
        <is>
          <t>2023-07-20</t>
        </is>
      </c>
      <c r="C784" s="45" t="n">
        <v>159.9742</v>
      </c>
      <c r="D784" t="inlineStr">
        <is>
          <t>€/MWh</t>
        </is>
      </c>
      <c r="E784" s="54" t="n">
        <v>0.159974</v>
      </c>
      <c r="F784" s="54" t="n">
        <v>0.169023</v>
      </c>
      <c r="G784" t="inlineStr">
        <is>
          <t>calculado</t>
        </is>
      </c>
      <c r="H784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784" t="inlineStr">
        <is>
          <t>2023-07-19</t>
        </is>
      </c>
      <c r="K784" t="inlineStr">
        <is>
          <t>ESIOS 1001 geo 8741</t>
        </is>
      </c>
      <c r="L784" t="inlineStr">
        <is>
          <t>24 valores; mín 123.96, máx 220.58 €/MWh</t>
        </is>
      </c>
    </row>
    <row r="785">
      <c r="A785" s="53" t="n">
        <v>45128</v>
      </c>
      <c r="B785" t="inlineStr">
        <is>
          <t>2023-07-21</t>
        </is>
      </c>
      <c r="C785" s="45" t="n">
        <v>160.3825</v>
      </c>
      <c r="D785" t="inlineStr">
        <is>
          <t>€/MWh</t>
        </is>
      </c>
      <c r="E785" s="54" t="n">
        <v>0.160382</v>
      </c>
      <c r="F785" s="54" t="n">
        <v>0.169452</v>
      </c>
      <c r="G785" t="inlineStr">
        <is>
          <t>calculado</t>
        </is>
      </c>
      <c r="H785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785" t="inlineStr">
        <is>
          <t>2023-07-20</t>
        </is>
      </c>
      <c r="K785" t="inlineStr">
        <is>
          <t>ESIOS 1001 geo 8741</t>
        </is>
      </c>
      <c r="L785" t="inlineStr">
        <is>
          <t>24 valores; mín 118.62, máx 217.79 €/MWh</t>
        </is>
      </c>
    </row>
    <row r="786">
      <c r="A786" s="53" t="n">
        <v>45129</v>
      </c>
      <c r="B786" t="inlineStr">
        <is>
          <t>2023-07-22</t>
        </is>
      </c>
      <c r="C786" s="45" t="n">
        <v>128.2913</v>
      </c>
      <c r="D786" t="inlineStr">
        <is>
          <t>€/MWh</t>
        </is>
      </c>
      <c r="E786" s="54" t="n">
        <v>0.128291</v>
      </c>
      <c r="F786" s="54" t="n">
        <v>0.135756</v>
      </c>
      <c r="G786" t="inlineStr">
        <is>
          <t>calculado</t>
        </is>
      </c>
      <c r="H786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786" t="inlineStr">
        <is>
          <t>2023-07-21</t>
        </is>
      </c>
      <c r="K786" t="inlineStr">
        <is>
          <t>ESIOS 1001 geo 8741</t>
        </is>
      </c>
      <c r="L786" t="inlineStr">
        <is>
          <t>24 valores; mín 102.12, máx 158.49 €/MWh</t>
        </is>
      </c>
    </row>
    <row r="787">
      <c r="A787" s="53" t="n">
        <v>45130</v>
      </c>
      <c r="B787" t="inlineStr">
        <is>
          <t>2023-07-23</t>
        </is>
      </c>
      <c r="C787" s="45" t="n">
        <v>97.0471</v>
      </c>
      <c r="D787" t="inlineStr">
        <is>
          <t>€/MWh</t>
        </is>
      </c>
      <c r="E787" s="54" t="n">
        <v>0.09704699999999999</v>
      </c>
      <c r="F787" s="54" t="n">
        <v>0.102949</v>
      </c>
      <c r="G787" t="inlineStr">
        <is>
          <t>calculado</t>
        </is>
      </c>
      <c r="H787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787" t="inlineStr">
        <is>
          <t>2023-07-22</t>
        </is>
      </c>
      <c r="K787" t="inlineStr">
        <is>
          <t>ESIOS 1001 geo 8741</t>
        </is>
      </c>
      <c r="L787" t="inlineStr">
        <is>
          <t>24 valores; mín 25.53, máx 159.65 €/MWh</t>
        </is>
      </c>
    </row>
    <row r="788">
      <c r="A788" s="53" t="n">
        <v>45131</v>
      </c>
      <c r="B788" t="inlineStr">
        <is>
          <t>2023-07-24</t>
        </is>
      </c>
      <c r="C788" s="45" t="n">
        <v>157.7054</v>
      </c>
      <c r="D788" t="inlineStr">
        <is>
          <t>€/MWh</t>
        </is>
      </c>
      <c r="E788" s="54" t="n">
        <v>0.157705</v>
      </c>
      <c r="F788" s="54" t="n">
        <v>0.166641</v>
      </c>
      <c r="G788" t="inlineStr">
        <is>
          <t>calculado</t>
        </is>
      </c>
      <c r="H788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788" t="inlineStr">
        <is>
          <t>2023-07-23</t>
        </is>
      </c>
      <c r="K788" t="inlineStr">
        <is>
          <t>ESIOS 1001 geo 8741</t>
        </is>
      </c>
      <c r="L788" t="inlineStr">
        <is>
          <t>24 valores; mín 120.34, máx 216.07 €/MWh</t>
        </is>
      </c>
    </row>
    <row r="789">
      <c r="A789" s="53" t="n">
        <v>45132</v>
      </c>
      <c r="B789" t="inlineStr">
        <is>
          <t>2023-07-25</t>
        </is>
      </c>
      <c r="C789" s="45" t="n">
        <v>159.1813</v>
      </c>
      <c r="D789" t="inlineStr">
        <is>
          <t>€/MWh</t>
        </is>
      </c>
      <c r="E789" s="54" t="n">
        <v>0.159181</v>
      </c>
      <c r="F789" s="54" t="n">
        <v>0.16819</v>
      </c>
      <c r="G789" t="inlineStr">
        <is>
          <t>calculado</t>
        </is>
      </c>
      <c r="H789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789" t="inlineStr">
        <is>
          <t>2023-07-24</t>
        </is>
      </c>
      <c r="K789" t="inlineStr">
        <is>
          <t>ESIOS 1001 geo 8741</t>
        </is>
      </c>
      <c r="L789" t="inlineStr">
        <is>
          <t>24 valores; mín 124.73, máx 236.85 €/MWh</t>
        </is>
      </c>
    </row>
    <row r="790">
      <c r="A790" s="53" t="n">
        <v>45133</v>
      </c>
      <c r="B790" t="inlineStr">
        <is>
          <t>2023-07-26</t>
        </is>
      </c>
      <c r="C790" s="45" t="n">
        <v>172.1179</v>
      </c>
      <c r="D790" t="inlineStr">
        <is>
          <t>€/MWh</t>
        </is>
      </c>
      <c r="E790" s="54" t="n">
        <v>0.172118</v>
      </c>
      <c r="F790" s="54" t="n">
        <v>0.181774</v>
      </c>
      <c r="G790" t="inlineStr">
        <is>
          <t>calculado</t>
        </is>
      </c>
      <c r="H790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790" t="inlineStr">
        <is>
          <t>2023-07-25</t>
        </is>
      </c>
      <c r="K790" t="inlineStr">
        <is>
          <t>ESIOS 1001 geo 8741</t>
        </is>
      </c>
      <c r="L790" t="inlineStr">
        <is>
          <t>24 valores; mín 131.73, máx 233.64 €/MWh</t>
        </is>
      </c>
    </row>
    <row r="791">
      <c r="A791" s="53" t="n">
        <v>45134</v>
      </c>
      <c r="B791" t="inlineStr">
        <is>
          <t>2023-07-27</t>
        </is>
      </c>
      <c r="C791" s="45" t="n">
        <v>168.5825</v>
      </c>
      <c r="D791" t="inlineStr">
        <is>
          <t>€/MWh</t>
        </is>
      </c>
      <c r="E791" s="54" t="n">
        <v>0.168583</v>
      </c>
      <c r="F791" s="54" t="n">
        <v>0.178062</v>
      </c>
      <c r="G791" t="inlineStr">
        <is>
          <t>calculado</t>
        </is>
      </c>
      <c r="H791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791" t="inlineStr">
        <is>
          <t>2023-07-26</t>
        </is>
      </c>
      <c r="K791" t="inlineStr">
        <is>
          <t>ESIOS 1001 geo 8741</t>
        </is>
      </c>
      <c r="L791" t="inlineStr">
        <is>
          <t>24 valores; mín 132.52, máx 227.03 €/MWh</t>
        </is>
      </c>
    </row>
    <row r="792">
      <c r="A792" s="53" t="n">
        <v>45135</v>
      </c>
      <c r="B792" t="inlineStr">
        <is>
          <t>2023-07-28</t>
        </is>
      </c>
      <c r="C792" s="45" t="n">
        <v>167.0954</v>
      </c>
      <c r="D792" t="inlineStr">
        <is>
          <t>€/MWh</t>
        </is>
      </c>
      <c r="E792" s="54" t="n">
        <v>0.167095</v>
      </c>
      <c r="F792" s="54" t="n">
        <v>0.1765</v>
      </c>
      <c r="G792" t="inlineStr">
        <is>
          <t>calculado</t>
        </is>
      </c>
      <c r="H792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792" t="inlineStr">
        <is>
          <t>2023-07-27</t>
        </is>
      </c>
      <c r="K792" t="inlineStr">
        <is>
          <t>ESIOS 1001 geo 8741</t>
        </is>
      </c>
      <c r="L792" t="inlineStr">
        <is>
          <t>24 valores; mín 132.74, máx 224.24 €/MWh</t>
        </is>
      </c>
    </row>
    <row r="793">
      <c r="A793" s="53" t="n">
        <v>45136</v>
      </c>
      <c r="B793" t="inlineStr">
        <is>
          <t>2023-07-29</t>
        </is>
      </c>
      <c r="C793" s="45" t="n">
        <v>116.0412</v>
      </c>
      <c r="D793" t="inlineStr">
        <is>
          <t>€/MWh</t>
        </is>
      </c>
      <c r="E793" s="54" t="n">
        <v>0.116041</v>
      </c>
      <c r="F793" s="54" t="n">
        <v>0.122893</v>
      </c>
      <c r="G793" t="inlineStr">
        <is>
          <t>calculado</t>
        </is>
      </c>
      <c r="H793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793" t="inlineStr">
        <is>
          <t>2023-07-28</t>
        </is>
      </c>
      <c r="K793" t="inlineStr">
        <is>
          <t>ESIOS 1001 geo 8741</t>
        </is>
      </c>
      <c r="L793" t="inlineStr">
        <is>
          <t>24 valores; mín 49.16, máx 153.20 €/MWh</t>
        </is>
      </c>
    </row>
    <row r="794">
      <c r="A794" s="53" t="n">
        <v>45137</v>
      </c>
      <c r="B794" t="inlineStr">
        <is>
          <t>2023-07-30</t>
        </is>
      </c>
      <c r="C794" s="45" t="n">
        <v>104.6583</v>
      </c>
      <c r="D794" t="inlineStr">
        <is>
          <t>€/MWh</t>
        </is>
      </c>
      <c r="E794" s="54" t="n">
        <v>0.104658</v>
      </c>
      <c r="F794" s="54" t="n">
        <v>0.110941</v>
      </c>
      <c r="G794" t="inlineStr">
        <is>
          <t>calculado</t>
        </is>
      </c>
      <c r="H794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794" t="inlineStr">
        <is>
          <t>2023-07-29</t>
        </is>
      </c>
      <c r="K794" t="inlineStr">
        <is>
          <t>ESIOS 1001 geo 8741</t>
        </is>
      </c>
      <c r="L794" t="inlineStr">
        <is>
          <t>24 valores; mín 40.52, máx 155.50 €/MWh</t>
        </is>
      </c>
    </row>
    <row r="795">
      <c r="A795" s="53" t="n">
        <v>45138</v>
      </c>
      <c r="B795" t="inlineStr">
        <is>
          <t>2023-07-31</t>
        </is>
      </c>
      <c r="C795" s="45" t="n">
        <v>154.7617</v>
      </c>
      <c r="D795" t="inlineStr">
        <is>
          <t>€/MWh</t>
        </is>
      </c>
      <c r="E795" s="54" t="n">
        <v>0.154762</v>
      </c>
      <c r="F795" s="54" t="n">
        <v>0.16355</v>
      </c>
      <c r="G795" t="inlineStr">
        <is>
          <t>calculado</t>
        </is>
      </c>
      <c r="H795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795" t="inlineStr">
        <is>
          <t>2023-07-30</t>
        </is>
      </c>
      <c r="K795" t="inlineStr">
        <is>
          <t>ESIOS 1001 geo 8741</t>
        </is>
      </c>
      <c r="L795" t="inlineStr">
        <is>
          <t>24 valores; mín 119.65, máx 215.52 €/MWh</t>
        </is>
      </c>
    </row>
    <row r="796">
      <c r="A796" s="53" t="n">
        <v>45139</v>
      </c>
      <c r="B796" t="inlineStr">
        <is>
          <t>2023-08-01</t>
        </is>
      </c>
      <c r="C796" s="45" t="n">
        <v>150.9333</v>
      </c>
      <c r="D796" t="inlineStr">
        <is>
          <t>€/MWh</t>
        </is>
      </c>
      <c r="E796" s="54" t="n">
        <v>0.150933</v>
      </c>
      <c r="F796" s="54" t="n">
        <v>0.15953</v>
      </c>
      <c r="G796" t="inlineStr">
        <is>
          <t>calculado</t>
        </is>
      </c>
      <c r="H796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796" t="inlineStr">
        <is>
          <t>2023-07-31</t>
        </is>
      </c>
      <c r="K796" t="inlineStr">
        <is>
          <t>ESIOS 1001 geo 8741</t>
        </is>
      </c>
      <c r="L796" t="inlineStr">
        <is>
          <t>24 valores; mín 112.38, máx 220.90 €/MWh</t>
        </is>
      </c>
    </row>
    <row r="797">
      <c r="A797" s="53" t="n">
        <v>45140</v>
      </c>
      <c r="B797" t="inlineStr">
        <is>
          <t>2023-08-02</t>
        </is>
      </c>
      <c r="C797" s="45" t="n">
        <v>138.6229</v>
      </c>
      <c r="D797" t="inlineStr">
        <is>
          <t>€/MWh</t>
        </is>
      </c>
      <c r="E797" s="54" t="n">
        <v>0.138623</v>
      </c>
      <c r="F797" s="54" t="n">
        <v>0.146604</v>
      </c>
      <c r="G797" t="inlineStr">
        <is>
          <t>calculado</t>
        </is>
      </c>
      <c r="H797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797" t="inlineStr">
        <is>
          <t>2023-08-01</t>
        </is>
      </c>
      <c r="K797" t="inlineStr">
        <is>
          <t>ESIOS 1001 geo 8741</t>
        </is>
      </c>
      <c r="L797" t="inlineStr">
        <is>
          <t>24 valores; mín 72.95, máx 197.71 €/MWh</t>
        </is>
      </c>
    </row>
    <row r="798">
      <c r="A798" s="53" t="n">
        <v>45141</v>
      </c>
      <c r="B798" t="inlineStr">
        <is>
          <t>2023-08-03</t>
        </is>
      </c>
      <c r="C798" s="45" t="n">
        <v>128.2446</v>
      </c>
      <c r="D798" t="inlineStr">
        <is>
          <t>€/MWh</t>
        </is>
      </c>
      <c r="E798" s="54" t="n">
        <v>0.128245</v>
      </c>
      <c r="F798" s="54" t="n">
        <v>0.135707</v>
      </c>
      <c r="G798" t="inlineStr">
        <is>
          <t>calculado</t>
        </is>
      </c>
      <c r="H798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798" t="inlineStr">
        <is>
          <t>2023-08-02</t>
        </is>
      </c>
      <c r="K798" t="inlineStr">
        <is>
          <t>ESIOS 1001 geo 8741</t>
        </is>
      </c>
      <c r="L798" t="inlineStr">
        <is>
          <t>24 valores; mín 71.63, máx 207.15 €/MWh</t>
        </is>
      </c>
    </row>
    <row r="799">
      <c r="A799" s="53" t="n">
        <v>45142</v>
      </c>
      <c r="B799" t="inlineStr">
        <is>
          <t>2023-08-04</t>
        </is>
      </c>
      <c r="C799" s="45" t="n">
        <v>132.1683</v>
      </c>
      <c r="D799" t="inlineStr">
        <is>
          <t>€/MWh</t>
        </is>
      </c>
      <c r="E799" s="54" t="n">
        <v>0.132168</v>
      </c>
      <c r="F799" s="54" t="n">
        <v>0.139827</v>
      </c>
      <c r="G799" t="inlineStr">
        <is>
          <t>calculado</t>
        </is>
      </c>
      <c r="H799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799" t="inlineStr">
        <is>
          <t>2023-08-03</t>
        </is>
      </c>
      <c r="K799" t="inlineStr">
        <is>
          <t>ESIOS 1001 geo 8741</t>
        </is>
      </c>
      <c r="L799" t="inlineStr">
        <is>
          <t>24 valores; mín 81.31, máx 203.05 €/MWh</t>
        </is>
      </c>
    </row>
    <row r="800">
      <c r="A800" s="53" t="n">
        <v>45143</v>
      </c>
      <c r="B800" t="inlineStr">
        <is>
          <t>2023-08-05</t>
        </is>
      </c>
      <c r="C800" s="45" t="n">
        <v>102.6767</v>
      </c>
      <c r="D800" t="inlineStr">
        <is>
          <t>€/MWh</t>
        </is>
      </c>
      <c r="E800" s="54" t="n">
        <v>0.102677</v>
      </c>
      <c r="F800" s="54" t="n">
        <v>0.108861</v>
      </c>
      <c r="G800" t="inlineStr">
        <is>
          <t>calculado</t>
        </is>
      </c>
      <c r="H800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800" t="inlineStr">
        <is>
          <t>2023-08-04</t>
        </is>
      </c>
      <c r="K800" t="inlineStr">
        <is>
          <t>ESIOS 1001 geo 8741</t>
        </is>
      </c>
      <c r="L800" t="inlineStr">
        <is>
          <t>24 valores; mín 53.65, máx 133.64 €/MWh</t>
        </is>
      </c>
    </row>
    <row r="801">
      <c r="A801" s="53" t="n">
        <v>45144</v>
      </c>
      <c r="B801" t="inlineStr">
        <is>
          <t>2023-08-06</t>
        </is>
      </c>
      <c r="C801" s="45" t="n">
        <v>59.2308</v>
      </c>
      <c r="D801" t="inlineStr">
        <is>
          <t>€/MWh</t>
        </is>
      </c>
      <c r="E801" s="54" t="n">
        <v>0.059231</v>
      </c>
      <c r="F801" s="54" t="n">
        <v>0.06324200000000001</v>
      </c>
      <c r="G801" t="inlineStr">
        <is>
          <t>calculado</t>
        </is>
      </c>
      <c r="H801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801" t="inlineStr">
        <is>
          <t>2023-08-05</t>
        </is>
      </c>
      <c r="K801" t="inlineStr">
        <is>
          <t>ESIOS 1001 geo 8741</t>
        </is>
      </c>
      <c r="L801" t="inlineStr">
        <is>
          <t>24 valores; mín 24.18, máx 114.83 €/MWh</t>
        </is>
      </c>
    </row>
    <row r="802">
      <c r="A802" s="53" t="n">
        <v>45145</v>
      </c>
      <c r="B802" t="inlineStr">
        <is>
          <t>2023-08-07</t>
        </is>
      </c>
      <c r="C802" s="45" t="n">
        <v>139.0404</v>
      </c>
      <c r="D802" t="inlineStr">
        <is>
          <t>€/MWh</t>
        </is>
      </c>
      <c r="E802" s="54" t="n">
        <v>0.13904</v>
      </c>
      <c r="F802" s="54" t="n">
        <v>0.147042</v>
      </c>
      <c r="G802" t="inlineStr">
        <is>
          <t>calculado</t>
        </is>
      </c>
      <c r="H802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802" t="inlineStr">
        <is>
          <t>2023-08-06</t>
        </is>
      </c>
      <c r="K802" t="inlineStr">
        <is>
          <t>ESIOS 1001 geo 8741</t>
        </is>
      </c>
      <c r="L802" t="inlineStr">
        <is>
          <t>24 valores; mín 83.55, máx 234.07 €/MWh</t>
        </is>
      </c>
    </row>
    <row r="803">
      <c r="A803" s="53" t="n">
        <v>45146</v>
      </c>
      <c r="B803" t="inlineStr">
        <is>
          <t>2023-08-08</t>
        </is>
      </c>
      <c r="C803" s="45" t="n">
        <v>160.4458</v>
      </c>
      <c r="D803" t="inlineStr">
        <is>
          <t>€/MWh</t>
        </is>
      </c>
      <c r="E803" s="54" t="n">
        <v>0.160446</v>
      </c>
      <c r="F803" s="54" t="n">
        <v>0.169518</v>
      </c>
      <c r="G803" t="inlineStr">
        <is>
          <t>calculado</t>
        </is>
      </c>
      <c r="H803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803" t="inlineStr">
        <is>
          <t>2023-08-07</t>
        </is>
      </c>
      <c r="K803" t="inlineStr">
        <is>
          <t>ESIOS 1001 geo 8741</t>
        </is>
      </c>
      <c r="L803" t="inlineStr">
        <is>
          <t>24 valores; mín 123.05, máx 235.60 €/MWh</t>
        </is>
      </c>
    </row>
    <row r="804">
      <c r="A804" s="53" t="n">
        <v>45147</v>
      </c>
      <c r="B804" t="inlineStr">
        <is>
          <t>2023-08-09</t>
        </is>
      </c>
      <c r="C804" s="45" t="n">
        <v>162.7542</v>
      </c>
      <c r="D804" t="inlineStr">
        <is>
          <t>€/MWh</t>
        </is>
      </c>
      <c r="E804" s="54" t="n">
        <v>0.162754</v>
      </c>
      <c r="F804" s="54" t="n">
        <v>0.171942</v>
      </c>
      <c r="G804" t="inlineStr">
        <is>
          <t>calculado</t>
        </is>
      </c>
      <c r="H804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804" t="inlineStr">
        <is>
          <t>2023-08-08</t>
        </is>
      </c>
      <c r="K804" t="inlineStr">
        <is>
          <t>ESIOS 1001 geo 8741</t>
        </is>
      </c>
      <c r="L804" t="inlineStr">
        <is>
          <t>24 valores; mín 123.95, máx 239.49 €/MWh</t>
        </is>
      </c>
    </row>
    <row r="805">
      <c r="A805" s="53" t="n">
        <v>45148</v>
      </c>
      <c r="B805" t="inlineStr">
        <is>
          <t>2023-08-10</t>
        </is>
      </c>
      <c r="C805" s="45" t="n">
        <v>169.6233</v>
      </c>
      <c r="D805" t="inlineStr">
        <is>
          <t>€/MWh</t>
        </is>
      </c>
      <c r="E805" s="54" t="n">
        <v>0.169623</v>
      </c>
      <c r="F805" s="54" t="n">
        <v>0.179154</v>
      </c>
      <c r="G805" t="inlineStr">
        <is>
          <t>calculado</t>
        </is>
      </c>
      <c r="H805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805" t="inlineStr">
        <is>
          <t>2023-08-09</t>
        </is>
      </c>
      <c r="K805" t="inlineStr">
        <is>
          <t>ESIOS 1001 geo 8741</t>
        </is>
      </c>
      <c r="L805" t="inlineStr">
        <is>
          <t>24 valores; mín 136.28, máx 234.52 €/MWh</t>
        </is>
      </c>
    </row>
    <row r="806">
      <c r="A806" s="53" t="n">
        <v>45149</v>
      </c>
      <c r="B806" t="inlineStr">
        <is>
          <t>2023-08-11</t>
        </is>
      </c>
      <c r="C806" s="45" t="n">
        <v>179.49</v>
      </c>
      <c r="D806" t="inlineStr">
        <is>
          <t>€/MWh</t>
        </is>
      </c>
      <c r="E806" s="54" t="n">
        <v>0.17949</v>
      </c>
      <c r="F806" s="54" t="n">
        <v>0.189515</v>
      </c>
      <c r="G806" t="inlineStr">
        <is>
          <t>calculado</t>
        </is>
      </c>
      <c r="H806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806" t="inlineStr">
        <is>
          <t>2023-08-10</t>
        </is>
      </c>
      <c r="K806" t="inlineStr">
        <is>
          <t>ESIOS 1001 geo 8741</t>
        </is>
      </c>
      <c r="L806" t="inlineStr">
        <is>
          <t>24 valores; mín 145.09, máx 241.20 €/MWh</t>
        </is>
      </c>
    </row>
    <row r="807">
      <c r="A807" s="53" t="n">
        <v>45150</v>
      </c>
      <c r="B807" t="inlineStr">
        <is>
          <t>2023-08-12</t>
        </is>
      </c>
      <c r="C807" s="45" t="n">
        <v>133.6242</v>
      </c>
      <c r="D807" t="inlineStr">
        <is>
          <t>€/MWh</t>
        </is>
      </c>
      <c r="E807" s="54" t="n">
        <v>0.133624</v>
      </c>
      <c r="F807" s="54" t="n">
        <v>0.141355</v>
      </c>
      <c r="G807" t="inlineStr">
        <is>
          <t>calculado</t>
        </is>
      </c>
      <c r="H807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807" t="inlineStr">
        <is>
          <t>2023-08-11</t>
        </is>
      </c>
      <c r="K807" t="inlineStr">
        <is>
          <t>ESIOS 1001 geo 8741</t>
        </is>
      </c>
      <c r="L807" t="inlineStr">
        <is>
          <t>24 valores; mín 100.88, máx 166.26 €/MWh</t>
        </is>
      </c>
    </row>
    <row r="808">
      <c r="A808" s="53" t="n">
        <v>45151</v>
      </c>
      <c r="B808" t="inlineStr">
        <is>
          <t>2023-08-13</t>
        </is>
      </c>
      <c r="C808" s="45" t="n">
        <v>107.3625</v>
      </c>
      <c r="D808" t="inlineStr">
        <is>
          <t>€/MWh</t>
        </is>
      </c>
      <c r="E808" s="54" t="n">
        <v>0.107362</v>
      </c>
      <c r="F808" s="54" t="n">
        <v>0.113781</v>
      </c>
      <c r="G808" t="inlineStr">
        <is>
          <t>calculado</t>
        </is>
      </c>
      <c r="H808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808" t="inlineStr">
        <is>
          <t>2023-08-12</t>
        </is>
      </c>
      <c r="K808" t="inlineStr">
        <is>
          <t>ESIOS 1001 geo 8741</t>
        </is>
      </c>
      <c r="L808" t="inlineStr">
        <is>
          <t>24 valores; mín 30.24, máx 160.71 €/MWh</t>
        </is>
      </c>
    </row>
    <row r="809">
      <c r="A809" s="53" t="n">
        <v>45152</v>
      </c>
      <c r="B809" t="inlineStr">
        <is>
          <t>2023-08-14</t>
        </is>
      </c>
      <c r="C809" s="45" t="n">
        <v>164.2625</v>
      </c>
      <c r="D809" t="inlineStr">
        <is>
          <t>€/MWh</t>
        </is>
      </c>
      <c r="E809" s="54" t="n">
        <v>0.164263</v>
      </c>
      <c r="F809" s="54" t="n">
        <v>0.173526</v>
      </c>
      <c r="G809" t="inlineStr">
        <is>
          <t>calculado</t>
        </is>
      </c>
      <c r="H809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809" t="inlineStr">
        <is>
          <t>2023-08-13</t>
        </is>
      </c>
      <c r="K809" t="inlineStr">
        <is>
          <t>ESIOS 1001 geo 8741</t>
        </is>
      </c>
      <c r="L809" t="inlineStr">
        <is>
          <t>24 valores; mín 120.77, máx 235.71 €/MWh</t>
        </is>
      </c>
    </row>
    <row r="810">
      <c r="A810" s="53" t="n">
        <v>45153</v>
      </c>
      <c r="B810" t="inlineStr">
        <is>
          <t>2023-08-15</t>
        </is>
      </c>
      <c r="C810" s="45" t="n">
        <v>130.59</v>
      </c>
      <c r="D810" t="inlineStr">
        <is>
          <t>€/MWh</t>
        </is>
      </c>
      <c r="E810" s="54" t="n">
        <v>0.13059</v>
      </c>
      <c r="F810" s="54" t="n">
        <v>0.13817</v>
      </c>
      <c r="G810" t="inlineStr">
        <is>
          <t>calculado</t>
        </is>
      </c>
      <c r="H810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810" t="inlineStr">
        <is>
          <t>2023-08-14</t>
        </is>
      </c>
      <c r="K810" t="inlineStr">
        <is>
          <t>ESIOS 1001 geo 8741</t>
        </is>
      </c>
      <c r="L810" t="inlineStr">
        <is>
          <t>24 valores; mín 71.67, máx 173.98 €/MWh</t>
        </is>
      </c>
    </row>
    <row r="811">
      <c r="A811" s="53" t="n">
        <v>45154</v>
      </c>
      <c r="B811" t="inlineStr">
        <is>
          <t>2023-08-16</t>
        </is>
      </c>
      <c r="C811" s="45" t="n">
        <v>171.4554</v>
      </c>
      <c r="D811" t="inlineStr">
        <is>
          <t>€/MWh</t>
        </is>
      </c>
      <c r="E811" s="54" t="n">
        <v>0.171455</v>
      </c>
      <c r="F811" s="54" t="n">
        <v>0.181078</v>
      </c>
      <c r="G811" t="inlineStr">
        <is>
          <t>calculado</t>
        </is>
      </c>
      <c r="H811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811" t="inlineStr">
        <is>
          <t>2023-08-15</t>
        </is>
      </c>
      <c r="K811" t="inlineStr">
        <is>
          <t>ESIOS 1001 geo 8741</t>
        </is>
      </c>
      <c r="L811" t="inlineStr">
        <is>
          <t>24 valores; mín 120.81, máx 244.76 €/MWh</t>
        </is>
      </c>
    </row>
    <row r="812">
      <c r="A812" s="53" t="n">
        <v>45155</v>
      </c>
      <c r="B812" t="inlineStr">
        <is>
          <t>2023-08-17</t>
        </is>
      </c>
      <c r="C812" s="45" t="n">
        <v>179.9192</v>
      </c>
      <c r="D812" t="inlineStr">
        <is>
          <t>€/MWh</t>
        </is>
      </c>
      <c r="E812" s="54" t="n">
        <v>0.179919</v>
      </c>
      <c r="F812" s="54" t="n">
        <v>0.189965</v>
      </c>
      <c r="G812" t="inlineStr">
        <is>
          <t>calculado</t>
        </is>
      </c>
      <c r="H812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812" t="inlineStr">
        <is>
          <t>2023-08-16</t>
        </is>
      </c>
      <c r="K812" t="inlineStr">
        <is>
          <t>ESIOS 1001 geo 8741</t>
        </is>
      </c>
      <c r="L812" t="inlineStr">
        <is>
          <t>24 valores; mín 143.81, máx 245.64 €/MWh</t>
        </is>
      </c>
    </row>
    <row r="813">
      <c r="A813" s="53" t="n">
        <v>45156</v>
      </c>
      <c r="B813" t="inlineStr">
        <is>
          <t>2023-08-18</t>
        </is>
      </c>
      <c r="C813" s="45" t="n">
        <v>174.04</v>
      </c>
      <c r="D813" t="inlineStr">
        <is>
          <t>€/MWh</t>
        </is>
      </c>
      <c r="E813" s="54" t="n">
        <v>0.17404</v>
      </c>
      <c r="F813" s="54" t="n">
        <v>0.183792</v>
      </c>
      <c r="G813" t="inlineStr">
        <is>
          <t>calculado</t>
        </is>
      </c>
      <c r="H813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813" t="inlineStr">
        <is>
          <t>2023-08-17</t>
        </is>
      </c>
      <c r="K813" t="inlineStr">
        <is>
          <t>ESIOS 1001 geo 8741</t>
        </is>
      </c>
      <c r="L813" t="inlineStr">
        <is>
          <t>24 valores; mín 139.82, máx 238.70 €/MWh</t>
        </is>
      </c>
    </row>
    <row r="814">
      <c r="A814" s="53" t="n">
        <v>45157</v>
      </c>
      <c r="B814" t="inlineStr">
        <is>
          <t>2023-08-19</t>
        </is>
      </c>
      <c r="C814" s="45" t="n">
        <v>145.0938</v>
      </c>
      <c r="D814" t="inlineStr">
        <is>
          <t>€/MWh</t>
        </is>
      </c>
      <c r="E814" s="54" t="n">
        <v>0.145094</v>
      </c>
      <c r="F814" s="54" t="n">
        <v>0.153398</v>
      </c>
      <c r="G814" t="inlineStr">
        <is>
          <t>calculado</t>
        </is>
      </c>
      <c r="H814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814" t="inlineStr">
        <is>
          <t>2023-08-18</t>
        </is>
      </c>
      <c r="K814" t="inlineStr">
        <is>
          <t>ESIOS 1001 geo 8741</t>
        </is>
      </c>
      <c r="L814" t="inlineStr">
        <is>
          <t>24 valores; mín 115.75, máx 180.94 €/MWh</t>
        </is>
      </c>
    </row>
    <row r="815">
      <c r="A815" s="53" t="n">
        <v>45158</v>
      </c>
      <c r="B815" t="inlineStr">
        <is>
          <t>2023-08-20</t>
        </is>
      </c>
      <c r="C815" s="45" t="n">
        <v>148.7854</v>
      </c>
      <c r="D815" t="inlineStr">
        <is>
          <t>€/MWh</t>
        </is>
      </c>
      <c r="E815" s="54" t="n">
        <v>0.148785</v>
      </c>
      <c r="F815" s="54" t="n">
        <v>0.157275</v>
      </c>
      <c r="G815" t="inlineStr">
        <is>
          <t>calculado</t>
        </is>
      </c>
      <c r="H815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815" t="inlineStr">
        <is>
          <t>2023-08-19</t>
        </is>
      </c>
      <c r="K815" t="inlineStr">
        <is>
          <t>ESIOS 1001 geo 8741</t>
        </is>
      </c>
      <c r="L815" t="inlineStr">
        <is>
          <t>24 valores; mín 112.89, máx 178.72 €/MWh</t>
        </is>
      </c>
    </row>
    <row r="816">
      <c r="A816" s="53" t="n">
        <v>45159</v>
      </c>
      <c r="B816" t="inlineStr">
        <is>
          <t>2023-08-21</t>
        </is>
      </c>
      <c r="C816" s="45" t="n">
        <v>183.7125</v>
      </c>
      <c r="D816" t="inlineStr">
        <is>
          <t>€/MWh</t>
        </is>
      </c>
      <c r="E816" s="54" t="n">
        <v>0.183713</v>
      </c>
      <c r="F816" s="54" t="n">
        <v>0.193948</v>
      </c>
      <c r="G816" t="inlineStr">
        <is>
          <t>calculado</t>
        </is>
      </c>
      <c r="H816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816" t="inlineStr">
        <is>
          <t>2023-08-20</t>
        </is>
      </c>
      <c r="K816" t="inlineStr">
        <is>
          <t>ESIOS 1001 geo 8741</t>
        </is>
      </c>
      <c r="L816" t="inlineStr">
        <is>
          <t>24 valores; mín 132.89, máx 261.92 €/MWh</t>
        </is>
      </c>
    </row>
    <row r="817">
      <c r="A817" s="53" t="n">
        <v>45160</v>
      </c>
      <c r="B817" t="inlineStr">
        <is>
          <t>2023-08-22</t>
        </is>
      </c>
      <c r="C817" s="45" t="n">
        <v>187.3683</v>
      </c>
      <c r="D817" t="inlineStr">
        <is>
          <t>€/MWh</t>
        </is>
      </c>
      <c r="E817" s="54" t="n">
        <v>0.187368</v>
      </c>
      <c r="F817" s="54" t="n">
        <v>0.197787</v>
      </c>
      <c r="G817" t="inlineStr">
        <is>
          <t>calculado</t>
        </is>
      </c>
      <c r="H817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817" t="inlineStr">
        <is>
          <t>2023-08-21</t>
        </is>
      </c>
      <c r="K817" t="inlineStr">
        <is>
          <t>ESIOS 1001 geo 8741</t>
        </is>
      </c>
      <c r="L817" t="inlineStr">
        <is>
          <t>24 valores; mín 142.03, máx 271.01 €/MWh</t>
        </is>
      </c>
    </row>
    <row r="818">
      <c r="A818" s="53" t="n">
        <v>45161</v>
      </c>
      <c r="B818" t="inlineStr">
        <is>
          <t>2023-08-23</t>
        </is>
      </c>
      <c r="C818" s="45" t="n">
        <v>203.2417</v>
      </c>
      <c r="D818" t="inlineStr">
        <is>
          <t>€/MWh</t>
        </is>
      </c>
      <c r="E818" s="54" t="n">
        <v>0.203242</v>
      </c>
      <c r="F818" s="54" t="n">
        <v>0.214471</v>
      </c>
      <c r="G818" t="inlineStr">
        <is>
          <t>calculado</t>
        </is>
      </c>
      <c r="H818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818" t="inlineStr">
        <is>
          <t>2023-08-22</t>
        </is>
      </c>
      <c r="K818" t="inlineStr">
        <is>
          <t>ESIOS 1001 geo 8741</t>
        </is>
      </c>
      <c r="L818" t="inlineStr">
        <is>
          <t>24 valores; mín 145.63, máx 296.13 €/MWh</t>
        </is>
      </c>
    </row>
    <row r="819">
      <c r="A819" s="53" t="n">
        <v>45162</v>
      </c>
      <c r="B819" t="inlineStr">
        <is>
          <t>2023-08-24</t>
        </is>
      </c>
      <c r="C819" s="45" t="n">
        <v>201.4</v>
      </c>
      <c r="D819" t="inlineStr">
        <is>
          <t>€/MWh</t>
        </is>
      </c>
      <c r="E819" s="54" t="n">
        <v>0.2014</v>
      </c>
      <c r="F819" s="54" t="n">
        <v>0.212527</v>
      </c>
      <c r="G819" t="inlineStr">
        <is>
          <t>calculado</t>
        </is>
      </c>
      <c r="H819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819" t="inlineStr">
        <is>
          <t>2023-08-23</t>
        </is>
      </c>
      <c r="K819" t="inlineStr">
        <is>
          <t>ESIOS 1001 geo 8741</t>
        </is>
      </c>
      <c r="L819" t="inlineStr">
        <is>
          <t>24 valores; mín 155.15, máx 286.71 €/MWh</t>
        </is>
      </c>
    </row>
    <row r="820">
      <c r="A820" s="53" t="n">
        <v>45163</v>
      </c>
      <c r="B820" t="inlineStr">
        <is>
          <t>2023-08-25</t>
        </is>
      </c>
      <c r="C820" s="45" t="n">
        <v>177.2467</v>
      </c>
      <c r="D820" t="inlineStr">
        <is>
          <t>€/MWh</t>
        </is>
      </c>
      <c r="E820" s="54" t="n">
        <v>0.177247</v>
      </c>
      <c r="F820" s="54" t="n">
        <v>0.187159</v>
      </c>
      <c r="G820" t="inlineStr">
        <is>
          <t>calculado</t>
        </is>
      </c>
      <c r="H820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820" t="inlineStr">
        <is>
          <t>2023-08-24</t>
        </is>
      </c>
      <c r="K820" t="inlineStr">
        <is>
          <t>ESIOS 1001 geo 8741</t>
        </is>
      </c>
      <c r="L820" t="inlineStr">
        <is>
          <t>24 valores; mín 129.98, máx 251.46 €/MWh</t>
        </is>
      </c>
    </row>
    <row r="821">
      <c r="A821" s="53" t="n">
        <v>45164</v>
      </c>
      <c r="B821" t="inlineStr">
        <is>
          <t>2023-08-26</t>
        </is>
      </c>
      <c r="C821" s="45" t="n">
        <v>136.1879</v>
      </c>
      <c r="D821" t="inlineStr">
        <is>
          <t>€/MWh</t>
        </is>
      </c>
      <c r="E821" s="54" t="n">
        <v>0.136188</v>
      </c>
      <c r="F821" s="54" t="n">
        <v>0.144047</v>
      </c>
      <c r="G821" t="inlineStr">
        <is>
          <t>calculado</t>
        </is>
      </c>
      <c r="H821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821" t="inlineStr">
        <is>
          <t>2023-08-25</t>
        </is>
      </c>
      <c r="K821" t="inlineStr">
        <is>
          <t>ESIOS 1001 geo 8741</t>
        </is>
      </c>
      <c r="L821" t="inlineStr">
        <is>
          <t>24 valores; mín 112.99, máx 167.33 €/MWh</t>
        </is>
      </c>
    </row>
    <row r="822">
      <c r="A822" s="53" t="n">
        <v>45165</v>
      </c>
      <c r="B822" t="inlineStr">
        <is>
          <t>2023-08-27</t>
        </is>
      </c>
      <c r="C822" s="45" t="n">
        <v>86.28579999999999</v>
      </c>
      <c r="D822" t="inlineStr">
        <is>
          <t>€/MWh</t>
        </is>
      </c>
      <c r="E822" s="54" t="n">
        <v>0.086286</v>
      </c>
      <c r="F822" s="54" t="n">
        <v>0.09165</v>
      </c>
      <c r="G822" t="inlineStr">
        <is>
          <t>calculado</t>
        </is>
      </c>
      <c r="H822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822" t="inlineStr">
        <is>
          <t>2023-08-26</t>
        </is>
      </c>
      <c r="K822" t="inlineStr">
        <is>
          <t>ESIOS 1001 geo 8741</t>
        </is>
      </c>
      <c r="L822" t="inlineStr">
        <is>
          <t>24 valores; mín 25.39, máx 167.53 €/MWh</t>
        </is>
      </c>
    </row>
    <row r="823">
      <c r="A823" s="53" t="n">
        <v>45166</v>
      </c>
      <c r="B823" t="inlineStr">
        <is>
          <t>2023-08-28</t>
        </is>
      </c>
      <c r="C823" s="45" t="n">
        <v>157.2392</v>
      </c>
      <c r="D823" t="inlineStr">
        <is>
          <t>€/MWh</t>
        </is>
      </c>
      <c r="E823" s="54" t="n">
        <v>0.157239</v>
      </c>
      <c r="F823" s="54" t="n">
        <v>0.166151</v>
      </c>
      <c r="G823" t="inlineStr">
        <is>
          <t>calculado</t>
        </is>
      </c>
      <c r="H823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823" t="inlineStr">
        <is>
          <t>2023-08-27</t>
        </is>
      </c>
      <c r="K823" t="inlineStr">
        <is>
          <t>ESIOS 1001 geo 8741</t>
        </is>
      </c>
      <c r="L823" t="inlineStr">
        <is>
          <t>24 valores; mín 92.65, máx 253.00 €/MWh</t>
        </is>
      </c>
    </row>
    <row r="824">
      <c r="A824" s="53" t="n">
        <v>45167</v>
      </c>
      <c r="B824" t="inlineStr">
        <is>
          <t>2023-08-29</t>
        </is>
      </c>
      <c r="C824" s="45" t="n">
        <v>171.1625</v>
      </c>
      <c r="D824" t="inlineStr">
        <is>
          <t>€/MWh</t>
        </is>
      </c>
      <c r="E824" s="54" t="n">
        <v>0.171162</v>
      </c>
      <c r="F824" s="54" t="n">
        <v>0.180771</v>
      </c>
      <c r="G824" t="inlineStr">
        <is>
          <t>calculado</t>
        </is>
      </c>
      <c r="H824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824" t="inlineStr">
        <is>
          <t>2023-08-28</t>
        </is>
      </c>
      <c r="K824" t="inlineStr">
        <is>
          <t>ESIOS 1001 geo 8741</t>
        </is>
      </c>
      <c r="L824" t="inlineStr">
        <is>
          <t>24 valores; mín 129.39, máx 250.09 €/MWh</t>
        </is>
      </c>
    </row>
    <row r="825">
      <c r="A825" s="53" t="n">
        <v>45168</v>
      </c>
      <c r="B825" t="inlineStr">
        <is>
          <t>2023-08-30</t>
        </is>
      </c>
      <c r="C825" s="45" t="n">
        <v>177.4629</v>
      </c>
      <c r="D825" t="inlineStr">
        <is>
          <t>€/MWh</t>
        </is>
      </c>
      <c r="E825" s="54" t="n">
        <v>0.177463</v>
      </c>
      <c r="F825" s="54" t="n">
        <v>0.187386</v>
      </c>
      <c r="G825" t="inlineStr">
        <is>
          <t>calculado</t>
        </is>
      </c>
      <c r="H825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825" t="inlineStr">
        <is>
          <t>2023-08-29</t>
        </is>
      </c>
      <c r="K825" t="inlineStr">
        <is>
          <t>ESIOS 1001 geo 8741</t>
        </is>
      </c>
      <c r="L825" t="inlineStr">
        <is>
          <t>24 valores; mín 130.88, máx 249.39 €/MWh</t>
        </is>
      </c>
    </row>
    <row r="826">
      <c r="A826" s="53" t="n">
        <v>45169</v>
      </c>
      <c r="B826" t="inlineStr">
        <is>
          <t>2023-08-31</t>
        </is>
      </c>
      <c r="C826" s="45" t="n">
        <v>177.0321</v>
      </c>
      <c r="D826" t="inlineStr">
        <is>
          <t>€/MWh</t>
        </is>
      </c>
      <c r="E826" s="54" t="n">
        <v>0.177032</v>
      </c>
      <c r="F826" s="54" t="n">
        <v>0.186934</v>
      </c>
      <c r="G826" t="inlineStr">
        <is>
          <t>calculado</t>
        </is>
      </c>
      <c r="H826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826" t="inlineStr">
        <is>
          <t>2023-08-30</t>
        </is>
      </c>
      <c r="K826" t="inlineStr">
        <is>
          <t>ESIOS 1001 geo 8741</t>
        </is>
      </c>
      <c r="L826" t="inlineStr">
        <is>
          <t>24 valores; mín 138.69, máx 249.59 €/MWh</t>
        </is>
      </c>
    </row>
    <row r="827">
      <c r="A827" s="53" t="n">
        <v>45170</v>
      </c>
      <c r="B827" t="inlineStr">
        <is>
          <t>2023-09-01</t>
        </is>
      </c>
      <c r="C827" s="45" t="n">
        <v>172.2858</v>
      </c>
      <c r="D827" t="inlineStr">
        <is>
          <t>€/MWh</t>
        </is>
      </c>
      <c r="E827" s="54" t="n">
        <v>0.172286</v>
      </c>
      <c r="F827" s="54" t="n">
        <v>0.18195</v>
      </c>
      <c r="G827" t="inlineStr">
        <is>
          <t>calculado</t>
        </is>
      </c>
      <c r="H827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827" t="inlineStr">
        <is>
          <t>2023-08-31</t>
        </is>
      </c>
      <c r="K827" t="inlineStr">
        <is>
          <t>ESIOS 1001 geo 8741</t>
        </is>
      </c>
      <c r="L827" t="inlineStr">
        <is>
          <t>24 valores; mín 131.81, máx 237.57 €/MWh</t>
        </is>
      </c>
    </row>
    <row r="828">
      <c r="A828" s="53" t="n">
        <v>45171</v>
      </c>
      <c r="B828" t="inlineStr">
        <is>
          <t>2023-09-02</t>
        </is>
      </c>
      <c r="C828" s="45" t="n">
        <v>137.9933</v>
      </c>
      <c r="D828" t="inlineStr">
        <is>
          <t>€/MWh</t>
        </is>
      </c>
      <c r="E828" s="54" t="n">
        <v>0.137993</v>
      </c>
      <c r="F828" s="54" t="n">
        <v>0.145943</v>
      </c>
      <c r="G828" t="inlineStr">
        <is>
          <t>calculado</t>
        </is>
      </c>
      <c r="H828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828" t="inlineStr">
        <is>
          <t>2023-09-01</t>
        </is>
      </c>
      <c r="K828" t="inlineStr">
        <is>
          <t>ESIOS 1001 geo 8741</t>
        </is>
      </c>
      <c r="L828" t="inlineStr">
        <is>
          <t>24 valores; mín 112.69, máx 173.07 €/MWh</t>
        </is>
      </c>
    </row>
    <row r="829">
      <c r="A829" s="53" t="n">
        <v>45172</v>
      </c>
      <c r="B829" t="inlineStr">
        <is>
          <t>2023-09-03</t>
        </is>
      </c>
      <c r="C829" s="45" t="n">
        <v>97.9717</v>
      </c>
      <c r="D829" t="inlineStr">
        <is>
          <t>€/MWh</t>
        </is>
      </c>
      <c r="E829" s="54" t="n">
        <v>0.097972</v>
      </c>
      <c r="F829" s="54" t="n">
        <v>0.10392</v>
      </c>
      <c r="G829" t="inlineStr">
        <is>
          <t>calculado</t>
        </is>
      </c>
      <c r="H829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829" t="inlineStr">
        <is>
          <t>2023-09-02</t>
        </is>
      </c>
      <c r="K829" t="inlineStr">
        <is>
          <t>ESIOS 1001 geo 8741</t>
        </is>
      </c>
      <c r="L829" t="inlineStr">
        <is>
          <t>24 valores; mín 27.46, máx 151.77 €/MWh</t>
        </is>
      </c>
    </row>
    <row r="830">
      <c r="A830" s="53" t="n">
        <v>45173</v>
      </c>
      <c r="B830" t="inlineStr">
        <is>
          <t>2023-09-04</t>
        </is>
      </c>
      <c r="C830" s="45" t="n">
        <v>155.9058</v>
      </c>
      <c r="D830" t="inlineStr">
        <is>
          <t>€/MWh</t>
        </is>
      </c>
      <c r="E830" s="54" t="n">
        <v>0.155906</v>
      </c>
      <c r="F830" s="54" t="n">
        <v>0.164751</v>
      </c>
      <c r="G830" t="inlineStr">
        <is>
          <t>calculado</t>
        </is>
      </c>
      <c r="H830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830" t="inlineStr">
        <is>
          <t>2023-09-03</t>
        </is>
      </c>
      <c r="K830" t="inlineStr">
        <is>
          <t>ESIOS 1001 geo 8741</t>
        </is>
      </c>
      <c r="L830" t="inlineStr">
        <is>
          <t>24 valores; mín 93.84, máx 250.57 €/MWh</t>
        </is>
      </c>
    </row>
    <row r="831">
      <c r="A831" s="53" t="n">
        <v>45174</v>
      </c>
      <c r="B831" t="inlineStr">
        <is>
          <t>2023-09-05</t>
        </is>
      </c>
      <c r="C831" s="45" t="n">
        <v>170.5</v>
      </c>
      <c r="D831" t="inlineStr">
        <is>
          <t>€/MWh</t>
        </is>
      </c>
      <c r="E831" s="54" t="n">
        <v>0.1705</v>
      </c>
      <c r="F831" s="54" t="n">
        <v>0.180075</v>
      </c>
      <c r="G831" t="inlineStr">
        <is>
          <t>calculado</t>
        </is>
      </c>
      <c r="H831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831" t="inlineStr">
        <is>
          <t>2023-09-04</t>
        </is>
      </c>
      <c r="K831" t="inlineStr">
        <is>
          <t>ESIOS 1001 geo 8741</t>
        </is>
      </c>
      <c r="L831" t="inlineStr">
        <is>
          <t>24 valores; mín 121.26, máx 259.74 €/MWh</t>
        </is>
      </c>
    </row>
    <row r="832">
      <c r="A832" s="53" t="n">
        <v>45175</v>
      </c>
      <c r="B832" t="inlineStr">
        <is>
          <t>2023-09-06</t>
        </is>
      </c>
      <c r="C832" s="45" t="n">
        <v>171.5175</v>
      </c>
      <c r="D832" t="inlineStr">
        <is>
          <t>€/MWh</t>
        </is>
      </c>
      <c r="E832" s="54" t="n">
        <v>0.171518</v>
      </c>
      <c r="F832" s="54" t="n">
        <v>0.181143</v>
      </c>
      <c r="G832" t="inlineStr">
        <is>
          <t>calculado</t>
        </is>
      </c>
      <c r="H832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832" t="inlineStr">
        <is>
          <t>2023-09-05</t>
        </is>
      </c>
      <c r="K832" t="inlineStr">
        <is>
          <t>ESIOS 1001 geo 8741</t>
        </is>
      </c>
      <c r="L832" t="inlineStr">
        <is>
          <t>24 valores; mín 131.81, máx 262.69 €/MWh</t>
        </is>
      </c>
    </row>
    <row r="833">
      <c r="A833" s="53" t="n">
        <v>45176</v>
      </c>
      <c r="B833" t="inlineStr">
        <is>
          <t>2023-09-07</t>
        </is>
      </c>
      <c r="C833" s="45" t="n">
        <v>172.4383</v>
      </c>
      <c r="D833" t="inlineStr">
        <is>
          <t>€/MWh</t>
        </is>
      </c>
      <c r="E833" s="54" t="n">
        <v>0.172438</v>
      </c>
      <c r="F833" s="54" t="n">
        <v>0.18211</v>
      </c>
      <c r="G833" t="inlineStr">
        <is>
          <t>calculado</t>
        </is>
      </c>
      <c r="H833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833" t="inlineStr">
        <is>
          <t>2023-09-06</t>
        </is>
      </c>
      <c r="K833" t="inlineStr">
        <is>
          <t>ESIOS 1001 geo 8741</t>
        </is>
      </c>
      <c r="L833" t="inlineStr">
        <is>
          <t>24 valores; mín 125.41, máx 256.61 €/MWh</t>
        </is>
      </c>
    </row>
    <row r="834">
      <c r="A834" s="53" t="n">
        <v>45177</v>
      </c>
      <c r="B834" t="inlineStr">
        <is>
          <t>2023-09-08</t>
        </is>
      </c>
      <c r="C834" s="45" t="n">
        <v>168.4033</v>
      </c>
      <c r="D834" t="inlineStr">
        <is>
          <t>€/MWh</t>
        </is>
      </c>
      <c r="E834" s="54" t="n">
        <v>0.168403</v>
      </c>
      <c r="F834" s="54" t="n">
        <v>0.177873</v>
      </c>
      <c r="G834" t="inlineStr">
        <is>
          <t>calculado</t>
        </is>
      </c>
      <c r="H834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834" t="inlineStr">
        <is>
          <t>2023-09-07</t>
        </is>
      </c>
      <c r="K834" t="inlineStr">
        <is>
          <t>ESIOS 1001 geo 8741</t>
        </is>
      </c>
      <c r="L834" t="inlineStr">
        <is>
          <t>24 valores; mín 120.40, máx 260.96 €/MWh</t>
        </is>
      </c>
    </row>
    <row r="835">
      <c r="A835" s="53" t="n">
        <v>45178</v>
      </c>
      <c r="B835" t="inlineStr">
        <is>
          <t>2023-09-09</t>
        </is>
      </c>
      <c r="C835" s="45" t="n">
        <v>135.3383</v>
      </c>
      <c r="D835" t="inlineStr">
        <is>
          <t>€/MWh</t>
        </is>
      </c>
      <c r="E835" s="54" t="n">
        <v>0.135338</v>
      </c>
      <c r="F835" s="54" t="n">
        <v>0.143155</v>
      </c>
      <c r="G835" t="inlineStr">
        <is>
          <t>calculado</t>
        </is>
      </c>
      <c r="H835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835" t="inlineStr">
        <is>
          <t>2023-09-08</t>
        </is>
      </c>
      <c r="K835" t="inlineStr">
        <is>
          <t>ESIOS 1001 geo 8741</t>
        </is>
      </c>
      <c r="L835" t="inlineStr">
        <is>
          <t>24 valores; mín 85.22, máx 177.74 €/MWh</t>
        </is>
      </c>
    </row>
    <row r="836">
      <c r="A836" s="53" t="n">
        <v>45179</v>
      </c>
      <c r="B836" t="inlineStr">
        <is>
          <t>2023-09-10</t>
        </is>
      </c>
      <c r="C836" s="45" t="n">
        <v>137.1433</v>
      </c>
      <c r="D836" t="inlineStr">
        <is>
          <t>€/MWh</t>
        </is>
      </c>
      <c r="E836" s="54" t="n">
        <v>0.137143</v>
      </c>
      <c r="F836" s="54" t="n">
        <v>0.14505</v>
      </c>
      <c r="G836" t="inlineStr">
        <is>
          <t>calculado</t>
        </is>
      </c>
      <c r="H836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836" t="inlineStr">
        <is>
          <t>2023-09-09</t>
        </is>
      </c>
      <c r="K836" t="inlineStr">
        <is>
          <t>ESIOS 1001 geo 8741</t>
        </is>
      </c>
      <c r="L836" t="inlineStr">
        <is>
          <t>24 valores; mín 81.76, máx 170.81 €/MWh</t>
        </is>
      </c>
    </row>
    <row r="837">
      <c r="A837" s="53" t="n">
        <v>45180</v>
      </c>
      <c r="B837" t="inlineStr">
        <is>
          <t>2023-09-11</t>
        </is>
      </c>
      <c r="C837" s="45" t="n">
        <v>183.7992</v>
      </c>
      <c r="D837" t="inlineStr">
        <is>
          <t>€/MWh</t>
        </is>
      </c>
      <c r="E837" s="54" t="n">
        <v>0.183799</v>
      </c>
      <c r="F837" s="54" t="n">
        <v>0.194039</v>
      </c>
      <c r="G837" t="inlineStr">
        <is>
          <t>calculado</t>
        </is>
      </c>
      <c r="H837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837" t="inlineStr">
        <is>
          <t>2023-09-10</t>
        </is>
      </c>
      <c r="K837" t="inlineStr">
        <is>
          <t>ESIOS 1001 geo 8741</t>
        </is>
      </c>
      <c r="L837" t="inlineStr">
        <is>
          <t>24 valores; mín 143.57, máx 259.15 €/MWh</t>
        </is>
      </c>
    </row>
    <row r="838">
      <c r="A838" s="53" t="n">
        <v>45181</v>
      </c>
      <c r="B838" t="inlineStr">
        <is>
          <t>2023-09-12</t>
        </is>
      </c>
      <c r="C838" s="45" t="n">
        <v>183.2442</v>
      </c>
      <c r="D838" t="inlineStr">
        <is>
          <t>€/MWh</t>
        </is>
      </c>
      <c r="E838" s="54" t="n">
        <v>0.183244</v>
      </c>
      <c r="F838" s="54" t="n">
        <v>0.193456</v>
      </c>
      <c r="G838" t="inlineStr">
        <is>
          <t>calculado</t>
        </is>
      </c>
      <c r="H838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838" t="inlineStr">
        <is>
          <t>2023-09-11</t>
        </is>
      </c>
      <c r="K838" t="inlineStr">
        <is>
          <t>ESIOS 1001 geo 8741</t>
        </is>
      </c>
      <c r="L838" t="inlineStr">
        <is>
          <t>24 valores; mín 142.44, máx 256.72 €/MWh</t>
        </is>
      </c>
    </row>
    <row r="839">
      <c r="A839" s="53" t="n">
        <v>45182</v>
      </c>
      <c r="B839" t="inlineStr">
        <is>
          <t>2023-09-13</t>
        </is>
      </c>
      <c r="C839" s="45" t="n">
        <v>174.3192</v>
      </c>
      <c r="D839" t="inlineStr">
        <is>
          <t>€/MWh</t>
        </is>
      </c>
      <c r="E839" s="54" t="n">
        <v>0.174319</v>
      </c>
      <c r="F839" s="54" t="n">
        <v>0.184085</v>
      </c>
      <c r="G839" t="inlineStr">
        <is>
          <t>calculado</t>
        </is>
      </c>
      <c r="H839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839" t="inlineStr">
        <is>
          <t>2023-09-12</t>
        </is>
      </c>
      <c r="K839" t="inlineStr">
        <is>
          <t>ESIOS 1001 geo 8741</t>
        </is>
      </c>
      <c r="L839" t="inlineStr">
        <is>
          <t>24 valores; mín 125.81, máx 244.58 €/MWh</t>
        </is>
      </c>
    </row>
    <row r="840">
      <c r="A840" s="53" t="n">
        <v>45183</v>
      </c>
      <c r="B840" t="inlineStr">
        <is>
          <t>2023-09-14</t>
        </is>
      </c>
      <c r="C840" s="45" t="n">
        <v>171.5492</v>
      </c>
      <c r="D840" t="inlineStr">
        <is>
          <t>€/MWh</t>
        </is>
      </c>
      <c r="E840" s="54" t="n">
        <v>0.171549</v>
      </c>
      <c r="F840" s="54" t="n">
        <v>0.181177</v>
      </c>
      <c r="G840" t="inlineStr">
        <is>
          <t>calculado</t>
        </is>
      </c>
      <c r="H840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840" t="inlineStr">
        <is>
          <t>2023-09-13</t>
        </is>
      </c>
      <c r="K840" t="inlineStr">
        <is>
          <t>ESIOS 1001 geo 8741</t>
        </is>
      </c>
      <c r="L840" t="inlineStr">
        <is>
          <t>24 valores; mín 121.15, máx 255.07 €/MWh</t>
        </is>
      </c>
    </row>
    <row r="841">
      <c r="A841" s="53" t="n">
        <v>45184</v>
      </c>
      <c r="B841" t="inlineStr">
        <is>
          <t>2023-09-15</t>
        </is>
      </c>
      <c r="C841" s="45" t="n">
        <v>182.0425</v>
      </c>
      <c r="D841" t="inlineStr">
        <is>
          <t>€/MWh</t>
        </is>
      </c>
      <c r="E841" s="54" t="n">
        <v>0.182043</v>
      </c>
      <c r="F841" s="54" t="n">
        <v>0.192195</v>
      </c>
      <c r="G841" t="inlineStr">
        <is>
          <t>calculado</t>
        </is>
      </c>
      <c r="H841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841" t="inlineStr">
        <is>
          <t>2023-09-14</t>
        </is>
      </c>
      <c r="K841" t="inlineStr">
        <is>
          <t>ESIOS 1001 geo 8741</t>
        </is>
      </c>
      <c r="L841" t="inlineStr">
        <is>
          <t>24 valores; mín 136.37, máx 240.30 €/MWh</t>
        </is>
      </c>
    </row>
    <row r="842">
      <c r="A842" s="53" t="n">
        <v>45185</v>
      </c>
      <c r="B842" t="inlineStr">
        <is>
          <t>2023-09-16</t>
        </is>
      </c>
      <c r="C842" s="45" t="n">
        <v>134.625</v>
      </c>
      <c r="D842" t="inlineStr">
        <is>
          <t>€/MWh</t>
        </is>
      </c>
      <c r="E842" s="54" t="n">
        <v>0.134625</v>
      </c>
      <c r="F842" s="54" t="n">
        <v>0.142406</v>
      </c>
      <c r="G842" t="inlineStr">
        <is>
          <t>calculado</t>
        </is>
      </c>
      <c r="H842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842" t="inlineStr">
        <is>
          <t>2023-09-15</t>
        </is>
      </c>
      <c r="K842" t="inlineStr">
        <is>
          <t>ESIOS 1001 geo 8741</t>
        </is>
      </c>
      <c r="L842" t="inlineStr">
        <is>
          <t>24 valores; mín 103.75, máx 163.62 €/MWh</t>
        </is>
      </c>
    </row>
    <row r="843">
      <c r="A843" s="53" t="n">
        <v>45186</v>
      </c>
      <c r="B843" t="inlineStr">
        <is>
          <t>2023-09-17</t>
        </is>
      </c>
      <c r="C843" s="45" t="n">
        <v>100.0892</v>
      </c>
      <c r="D843" t="inlineStr">
        <is>
          <t>€/MWh</t>
        </is>
      </c>
      <c r="E843" s="54" t="n">
        <v>0.100089</v>
      </c>
      <c r="F843" s="54" t="n">
        <v>0.106144</v>
      </c>
      <c r="G843" t="inlineStr">
        <is>
          <t>calculado</t>
        </is>
      </c>
      <c r="H843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843" t="inlineStr">
        <is>
          <t>2023-09-16</t>
        </is>
      </c>
      <c r="K843" t="inlineStr">
        <is>
          <t>ESIOS 1001 geo 8741</t>
        </is>
      </c>
      <c r="L843" t="inlineStr">
        <is>
          <t>24 valores; mín 30.32, máx 162.70 €/MWh</t>
        </is>
      </c>
    </row>
    <row r="844">
      <c r="A844" s="53" t="n">
        <v>45187</v>
      </c>
      <c r="B844" t="inlineStr">
        <is>
          <t>2023-09-18</t>
        </is>
      </c>
      <c r="C844" s="45" t="n">
        <v>174.6783</v>
      </c>
      <c r="D844" t="inlineStr">
        <is>
          <t>€/MWh</t>
        </is>
      </c>
      <c r="E844" s="54" t="n">
        <v>0.174678</v>
      </c>
      <c r="F844" s="54" t="n">
        <v>0.184462</v>
      </c>
      <c r="G844" t="inlineStr">
        <is>
          <t>calculado</t>
        </is>
      </c>
      <c r="H844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844" t="inlineStr">
        <is>
          <t>2023-09-17</t>
        </is>
      </c>
      <c r="K844" t="inlineStr">
        <is>
          <t>ESIOS 1001 geo 8741</t>
        </is>
      </c>
      <c r="L844" t="inlineStr">
        <is>
          <t>24 valores; mín 121.38, máx 278.19 €/MWh</t>
        </is>
      </c>
    </row>
    <row r="845">
      <c r="A845" s="53" t="n">
        <v>45188</v>
      </c>
      <c r="B845" t="inlineStr">
        <is>
          <t>2023-09-19</t>
        </is>
      </c>
      <c r="C845" s="45" t="n">
        <v>175.5283</v>
      </c>
      <c r="D845" t="inlineStr">
        <is>
          <t>€/MWh</t>
        </is>
      </c>
      <c r="E845" s="54" t="n">
        <v>0.175528</v>
      </c>
      <c r="F845" s="54" t="n">
        <v>0.185355</v>
      </c>
      <c r="G845" t="inlineStr">
        <is>
          <t>calculado</t>
        </is>
      </c>
      <c r="H845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845" t="inlineStr">
        <is>
          <t>2023-09-18</t>
        </is>
      </c>
      <c r="K845" t="inlineStr">
        <is>
          <t>ESIOS 1001 geo 8741</t>
        </is>
      </c>
      <c r="L845" t="inlineStr">
        <is>
          <t>24 valores; mín 137.37, máx 253.39 €/MWh</t>
        </is>
      </c>
    </row>
    <row r="846">
      <c r="A846" s="53" t="n">
        <v>45189</v>
      </c>
      <c r="B846" t="inlineStr">
        <is>
          <t>2023-09-20</t>
        </is>
      </c>
      <c r="C846" s="45" t="n">
        <v>158.7721</v>
      </c>
      <c r="D846" t="inlineStr">
        <is>
          <t>€/MWh</t>
        </is>
      </c>
      <c r="E846" s="54" t="n">
        <v>0.158772</v>
      </c>
      <c r="F846" s="54" t="n">
        <v>0.167761</v>
      </c>
      <c r="G846" t="inlineStr">
        <is>
          <t>calculado</t>
        </is>
      </c>
      <c r="H846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846" t="inlineStr">
        <is>
          <t>2023-09-19</t>
        </is>
      </c>
      <c r="K846" t="inlineStr">
        <is>
          <t>ESIOS 1001 geo 8741</t>
        </is>
      </c>
      <c r="L846" t="inlineStr">
        <is>
          <t>24 valores; mín 84.05, máx 222.00 €/MWh</t>
        </is>
      </c>
    </row>
    <row r="847">
      <c r="A847" s="53" t="n">
        <v>45190</v>
      </c>
      <c r="B847" t="inlineStr">
        <is>
          <t>2023-09-21</t>
        </is>
      </c>
      <c r="C847" s="45" t="n">
        <v>159.4742</v>
      </c>
      <c r="D847" t="inlineStr">
        <is>
          <t>€/MWh</t>
        </is>
      </c>
      <c r="E847" s="54" t="n">
        <v>0.159474</v>
      </c>
      <c r="F847" s="54" t="n">
        <v>0.168498</v>
      </c>
      <c r="G847" t="inlineStr">
        <is>
          <t>calculado</t>
        </is>
      </c>
      <c r="H847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847" t="inlineStr">
        <is>
          <t>2023-09-20</t>
        </is>
      </c>
      <c r="K847" t="inlineStr">
        <is>
          <t>ESIOS 1001 geo 8741</t>
        </is>
      </c>
      <c r="L847" t="inlineStr">
        <is>
          <t>24 valores; mín 107.09, máx 227.79 €/MWh</t>
        </is>
      </c>
    </row>
    <row r="848">
      <c r="A848" s="53" t="n">
        <v>45191</v>
      </c>
      <c r="B848" t="inlineStr">
        <is>
          <t>2023-09-22</t>
        </is>
      </c>
      <c r="C848" s="45" t="n">
        <v>170.5792</v>
      </c>
      <c r="D848" t="inlineStr">
        <is>
          <t>€/MWh</t>
        </is>
      </c>
      <c r="E848" s="54" t="n">
        <v>0.170579</v>
      </c>
      <c r="F848" s="54" t="n">
        <v>0.180158</v>
      </c>
      <c r="G848" t="inlineStr">
        <is>
          <t>calculado</t>
        </is>
      </c>
      <c r="H848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848" t="inlineStr">
        <is>
          <t>2023-09-21</t>
        </is>
      </c>
      <c r="K848" t="inlineStr">
        <is>
          <t>ESIOS 1001 geo 8741</t>
        </is>
      </c>
      <c r="L848" t="inlineStr">
        <is>
          <t>24 valores; mín 128.18, máx 243.70 €/MWh</t>
        </is>
      </c>
    </row>
    <row r="849">
      <c r="A849" s="53" t="n">
        <v>45192</v>
      </c>
      <c r="B849" t="inlineStr">
        <is>
          <t>2023-09-23</t>
        </is>
      </c>
      <c r="C849" s="45" t="n">
        <v>146.7608</v>
      </c>
      <c r="D849" t="inlineStr">
        <is>
          <t>€/MWh</t>
        </is>
      </c>
      <c r="E849" s="54" t="n">
        <v>0.146761</v>
      </c>
      <c r="F849" s="54" t="n">
        <v>0.155149</v>
      </c>
      <c r="G849" t="inlineStr">
        <is>
          <t>calculado</t>
        </is>
      </c>
      <c r="H849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849" t="inlineStr">
        <is>
          <t>2023-09-22</t>
        </is>
      </c>
      <c r="K849" t="inlineStr">
        <is>
          <t>ESIOS 1001 geo 8741</t>
        </is>
      </c>
      <c r="L849" t="inlineStr">
        <is>
          <t>24 valores; mín 87.89, máx 194.18 €/MWh</t>
        </is>
      </c>
    </row>
    <row r="850">
      <c r="A850" s="53" t="n">
        <v>45193</v>
      </c>
      <c r="B850" t="inlineStr">
        <is>
          <t>2023-09-24</t>
        </is>
      </c>
      <c r="C850" s="45" t="n">
        <v>121.2596</v>
      </c>
      <c r="D850" t="inlineStr">
        <is>
          <t>€/MWh</t>
        </is>
      </c>
      <c r="E850" s="54" t="n">
        <v>0.12126</v>
      </c>
      <c r="F850" s="54" t="n">
        <v>0.128373</v>
      </c>
      <c r="G850" t="inlineStr">
        <is>
          <t>calculado</t>
        </is>
      </c>
      <c r="H850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850" t="inlineStr">
        <is>
          <t>2023-09-23</t>
        </is>
      </c>
      <c r="K850" t="inlineStr">
        <is>
          <t>ESIOS 1001 geo 8741</t>
        </is>
      </c>
      <c r="L850" t="inlineStr">
        <is>
          <t>24 valores; mín 24.84, máx 203.78 €/MWh</t>
        </is>
      </c>
    </row>
    <row r="851">
      <c r="A851" s="53" t="n">
        <v>45194</v>
      </c>
      <c r="B851" t="inlineStr">
        <is>
          <t>2023-09-25</t>
        </is>
      </c>
      <c r="C851" s="45" t="n">
        <v>187.9204</v>
      </c>
      <c r="D851" t="inlineStr">
        <is>
          <t>€/MWh</t>
        </is>
      </c>
      <c r="E851" s="54" t="n">
        <v>0.18792</v>
      </c>
      <c r="F851" s="54" t="n">
        <v>0.198366</v>
      </c>
      <c r="G851" t="inlineStr">
        <is>
          <t>calculado</t>
        </is>
      </c>
      <c r="H851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851" t="inlineStr">
        <is>
          <t>2023-09-24</t>
        </is>
      </c>
      <c r="K851" t="inlineStr">
        <is>
          <t>ESIOS 1001 geo 8741</t>
        </is>
      </c>
      <c r="L851" t="inlineStr">
        <is>
          <t>24 valores; mín 142.15, máx 271.37 €/MWh</t>
        </is>
      </c>
    </row>
    <row r="852">
      <c r="A852" s="53" t="n">
        <v>45195</v>
      </c>
      <c r="B852" t="inlineStr">
        <is>
          <t>2023-09-26</t>
        </is>
      </c>
      <c r="C852" s="45" t="n">
        <v>192.4667</v>
      </c>
      <c r="D852" t="inlineStr">
        <is>
          <t>€/MWh</t>
        </is>
      </c>
      <c r="E852" s="54" t="n">
        <v>0.192467</v>
      </c>
      <c r="F852" s="54" t="n">
        <v>0.20314</v>
      </c>
      <c r="G852" t="inlineStr">
        <is>
          <t>calculado</t>
        </is>
      </c>
      <c r="H852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852" t="inlineStr">
        <is>
          <t>2023-09-25</t>
        </is>
      </c>
      <c r="K852" t="inlineStr">
        <is>
          <t>ESIOS 1001 geo 8741</t>
        </is>
      </c>
      <c r="L852" t="inlineStr">
        <is>
          <t>24 valores; mín 143.32, máx 277.01 €/MWh</t>
        </is>
      </c>
    </row>
    <row r="853">
      <c r="A853" s="53" t="n">
        <v>45196</v>
      </c>
      <c r="B853" t="inlineStr">
        <is>
          <t>2023-09-27</t>
        </is>
      </c>
      <c r="C853" s="45" t="n">
        <v>183.9787</v>
      </c>
      <c r="D853" t="inlineStr">
        <is>
          <t>€/MWh</t>
        </is>
      </c>
      <c r="E853" s="54" t="n">
        <v>0.183979</v>
      </c>
      <c r="F853" s="54" t="n">
        <v>0.194228</v>
      </c>
      <c r="G853" t="inlineStr">
        <is>
          <t>calculado</t>
        </is>
      </c>
      <c r="H853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853" t="inlineStr">
        <is>
          <t>2023-09-26</t>
        </is>
      </c>
      <c r="K853" t="inlineStr">
        <is>
          <t>ESIOS 1001 geo 8741</t>
        </is>
      </c>
      <c r="L853" t="inlineStr">
        <is>
          <t>24 valores; mín 135.58, máx 283.61 €/MWh</t>
        </is>
      </c>
    </row>
    <row r="854">
      <c r="A854" s="53" t="n">
        <v>45197</v>
      </c>
      <c r="B854" t="inlineStr">
        <is>
          <t>2023-09-28</t>
        </is>
      </c>
      <c r="C854" s="45" t="n">
        <v>181.3837</v>
      </c>
      <c r="D854" t="inlineStr">
        <is>
          <t>€/MWh</t>
        </is>
      </c>
      <c r="E854" s="54" t="n">
        <v>0.181384</v>
      </c>
      <c r="F854" s="54" t="n">
        <v>0.191503</v>
      </c>
      <c r="G854" t="inlineStr">
        <is>
          <t>calculado</t>
        </is>
      </c>
      <c r="H854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854" t="inlineStr">
        <is>
          <t>2023-09-27</t>
        </is>
      </c>
      <c r="K854" t="inlineStr">
        <is>
          <t>ESIOS 1001 geo 8741</t>
        </is>
      </c>
      <c r="L854" t="inlineStr">
        <is>
          <t>24 valores; mín 143.90, máx 258.13 €/MWh</t>
        </is>
      </c>
    </row>
    <row r="855">
      <c r="A855" s="53" t="n">
        <v>45198</v>
      </c>
      <c r="B855" t="inlineStr">
        <is>
          <t>2023-09-29</t>
        </is>
      </c>
      <c r="C855" s="45" t="n">
        <v>187.9479</v>
      </c>
      <c r="D855" t="inlineStr">
        <is>
          <t>€/MWh</t>
        </is>
      </c>
      <c r="E855" s="54" t="n">
        <v>0.187948</v>
      </c>
      <c r="F855" s="54" t="n">
        <v>0.198395</v>
      </c>
      <c r="G855" t="inlineStr">
        <is>
          <t>calculado</t>
        </is>
      </c>
      <c r="H855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855" t="inlineStr">
        <is>
          <t>2023-09-28</t>
        </is>
      </c>
      <c r="K855" t="inlineStr">
        <is>
          <t>ESIOS 1001 geo 8741</t>
        </is>
      </c>
      <c r="L855" t="inlineStr">
        <is>
          <t>24 valores; mín 148.88, máx 261.15 €/MWh</t>
        </is>
      </c>
    </row>
    <row r="856">
      <c r="A856" s="53" t="n">
        <v>45199</v>
      </c>
      <c r="B856" t="inlineStr">
        <is>
          <t>2023-09-30</t>
        </is>
      </c>
      <c r="C856" s="45" t="n">
        <v>142.1</v>
      </c>
      <c r="D856" t="inlineStr">
        <is>
          <t>€/MWh</t>
        </is>
      </c>
      <c r="E856" s="54" t="n">
        <v>0.1421</v>
      </c>
      <c r="F856" s="54" t="n">
        <v>0.150255</v>
      </c>
      <c r="G856" t="inlineStr">
        <is>
          <t>calculado</t>
        </is>
      </c>
      <c r="H856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856" t="inlineStr">
        <is>
          <t>2023-09-29</t>
        </is>
      </c>
      <c r="K856" t="inlineStr">
        <is>
          <t>ESIOS 1001 geo 8741</t>
        </is>
      </c>
      <c r="L856" t="inlineStr">
        <is>
          <t>24 valores; mín 66.44, máx 192.79 €/MWh</t>
        </is>
      </c>
    </row>
    <row r="857">
      <c r="A857" s="53" t="n">
        <v>45200</v>
      </c>
      <c r="B857" t="inlineStr">
        <is>
          <t>2023-10-01</t>
        </is>
      </c>
      <c r="C857" s="45" t="n">
        <v>133.9021</v>
      </c>
      <c r="D857" t="inlineStr">
        <is>
          <t>€/MWh</t>
        </is>
      </c>
      <c r="E857" s="54" t="n">
        <v>0.133902</v>
      </c>
      <c r="F857" s="54" t="n">
        <v>0.141647</v>
      </c>
      <c r="G857" t="inlineStr">
        <is>
          <t>calculado</t>
        </is>
      </c>
      <c r="H857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857" t="inlineStr">
        <is>
          <t>2023-09-30</t>
        </is>
      </c>
      <c r="K857" t="inlineStr">
        <is>
          <t>ESIOS 1001 geo 8741</t>
        </is>
      </c>
      <c r="L857" t="inlineStr">
        <is>
          <t>24 valores; mín 30.50, máx 182.46 €/MWh</t>
        </is>
      </c>
    </row>
    <row r="858">
      <c r="A858" s="53" t="n">
        <v>45201</v>
      </c>
      <c r="B858" t="inlineStr">
        <is>
          <t>2023-10-02</t>
        </is>
      </c>
      <c r="C858" s="45" t="n">
        <v>185.8533</v>
      </c>
      <c r="D858" t="inlineStr">
        <is>
          <t>€/MWh</t>
        </is>
      </c>
      <c r="E858" s="54" t="n">
        <v>0.185853</v>
      </c>
      <c r="F858" s="54" t="n">
        <v>0.196196</v>
      </c>
      <c r="G858" t="inlineStr">
        <is>
          <t>calculado</t>
        </is>
      </c>
      <c r="H858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858" t="inlineStr">
        <is>
          <t>2023-10-01</t>
        </is>
      </c>
      <c r="K858" t="inlineStr">
        <is>
          <t>ESIOS 1001 geo 8741</t>
        </is>
      </c>
      <c r="L858" t="inlineStr">
        <is>
          <t>24 valores; mín 139.48, máx 272.67 €/MWh</t>
        </is>
      </c>
    </row>
    <row r="859">
      <c r="A859" s="53" t="n">
        <v>45202</v>
      </c>
      <c r="B859" t="inlineStr">
        <is>
          <t>2023-10-03</t>
        </is>
      </c>
      <c r="C859" s="45" t="n">
        <v>174.7958</v>
      </c>
      <c r="D859" t="inlineStr">
        <is>
          <t>€/MWh</t>
        </is>
      </c>
      <c r="E859" s="54" t="n">
        <v>0.174796</v>
      </c>
      <c r="F859" s="54" t="n">
        <v>0.184586</v>
      </c>
      <c r="G859" t="inlineStr">
        <is>
          <t>calculado</t>
        </is>
      </c>
      <c r="H859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859" t="inlineStr">
        <is>
          <t>2023-10-02</t>
        </is>
      </c>
      <c r="K859" t="inlineStr">
        <is>
          <t>ESIOS 1001 geo 8741</t>
        </is>
      </c>
      <c r="L859" t="inlineStr">
        <is>
          <t>24 valores; mín 86.20, máx 238.54 €/MWh</t>
        </is>
      </c>
    </row>
    <row r="860">
      <c r="A860" s="53" t="n">
        <v>45203</v>
      </c>
      <c r="B860" t="inlineStr">
        <is>
          <t>2023-10-04</t>
        </is>
      </c>
      <c r="C860" s="45" t="n">
        <v>170.8308</v>
      </c>
      <c r="D860" t="inlineStr">
        <is>
          <t>€/MWh</t>
        </is>
      </c>
      <c r="E860" s="54" t="n">
        <v>0.170831</v>
      </c>
      <c r="F860" s="54" t="n">
        <v>0.180422</v>
      </c>
      <c r="G860" t="inlineStr">
        <is>
          <t>calculado</t>
        </is>
      </c>
      <c r="H860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860" t="inlineStr">
        <is>
          <t>2023-10-03</t>
        </is>
      </c>
      <c r="K860" t="inlineStr">
        <is>
          <t>ESIOS 1001 geo 8741</t>
        </is>
      </c>
      <c r="L860" t="inlineStr">
        <is>
          <t>24 valores; mín 119.23, máx 250.34 €/MWh</t>
        </is>
      </c>
    </row>
    <row r="861">
      <c r="A861" s="53" t="n">
        <v>45204</v>
      </c>
      <c r="B861" t="inlineStr">
        <is>
          <t>2023-10-05</t>
        </is>
      </c>
      <c r="C861" s="45" t="n">
        <v>170.6925</v>
      </c>
      <c r="D861" t="inlineStr">
        <is>
          <t>€/MWh</t>
        </is>
      </c>
      <c r="E861" s="54" t="n">
        <v>0.170692</v>
      </c>
      <c r="F861" s="54" t="n">
        <v>0.180277</v>
      </c>
      <c r="G861" t="inlineStr">
        <is>
          <t>calculado</t>
        </is>
      </c>
      <c r="H861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861" t="inlineStr">
        <is>
          <t>2023-10-04</t>
        </is>
      </c>
      <c r="K861" t="inlineStr">
        <is>
          <t>ESIOS 1001 geo 8741</t>
        </is>
      </c>
      <c r="L861" t="inlineStr">
        <is>
          <t>24 valores; mín 125.20, máx 250.61 €/MWh</t>
        </is>
      </c>
    </row>
    <row r="862">
      <c r="A862" s="53" t="n">
        <v>45205</v>
      </c>
      <c r="B862" t="inlineStr">
        <is>
          <t>2023-10-06</t>
        </is>
      </c>
      <c r="C862" s="45" t="n">
        <v>172.7817</v>
      </c>
      <c r="D862" t="inlineStr">
        <is>
          <t>€/MWh</t>
        </is>
      </c>
      <c r="E862" s="54" t="n">
        <v>0.172782</v>
      </c>
      <c r="F862" s="54" t="n">
        <v>0.182471</v>
      </c>
      <c r="G862" t="inlineStr">
        <is>
          <t>calculado</t>
        </is>
      </c>
      <c r="H862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862" t="inlineStr">
        <is>
          <t>2023-10-05</t>
        </is>
      </c>
      <c r="K862" t="inlineStr">
        <is>
          <t>ESIOS 1001 geo 8741</t>
        </is>
      </c>
      <c r="L862" t="inlineStr">
        <is>
          <t>24 valores; mín 133.60, máx 238.31 €/MWh</t>
        </is>
      </c>
    </row>
    <row r="863">
      <c r="A863" s="53" t="n">
        <v>45206</v>
      </c>
      <c r="B863" t="inlineStr">
        <is>
          <t>2023-10-07</t>
        </is>
      </c>
      <c r="C863" s="45" t="n">
        <v>134.5275</v>
      </c>
      <c r="D863" t="inlineStr">
        <is>
          <t>€/MWh</t>
        </is>
      </c>
      <c r="E863" s="54" t="n">
        <v>0.134527</v>
      </c>
      <c r="F863" s="54" t="n">
        <v>0.142304</v>
      </c>
      <c r="G863" t="inlineStr">
        <is>
          <t>calculado</t>
        </is>
      </c>
      <c r="H863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863" t="inlineStr">
        <is>
          <t>2023-10-06</t>
        </is>
      </c>
      <c r="K863" t="inlineStr">
        <is>
          <t>ESIOS 1001 geo 8741</t>
        </is>
      </c>
      <c r="L863" t="inlineStr">
        <is>
          <t>24 valores; mín 88.83, máx 162.21 €/MWh</t>
        </is>
      </c>
    </row>
    <row r="864">
      <c r="A864" s="53" t="n">
        <v>45207</v>
      </c>
      <c r="B864" t="inlineStr">
        <is>
          <t>2023-10-08</t>
        </is>
      </c>
      <c r="C864" s="45" t="n">
        <v>141.6354</v>
      </c>
      <c r="D864" t="inlineStr">
        <is>
          <t>€/MWh</t>
        </is>
      </c>
      <c r="E864" s="54" t="n">
        <v>0.141635</v>
      </c>
      <c r="F864" s="54" t="n">
        <v>0.149767</v>
      </c>
      <c r="G864" t="inlineStr">
        <is>
          <t>calculado</t>
        </is>
      </c>
      <c r="H864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864" t="inlineStr">
        <is>
          <t>2023-10-07</t>
        </is>
      </c>
      <c r="K864" t="inlineStr">
        <is>
          <t>ESIOS 1001 geo 8741</t>
        </is>
      </c>
      <c r="L864" t="inlineStr">
        <is>
          <t>24 valores; mín 82.92, máx 179.66 €/MWh</t>
        </is>
      </c>
    </row>
    <row r="865">
      <c r="A865" s="53" t="n">
        <v>45208</v>
      </c>
      <c r="B865" t="inlineStr">
        <is>
          <t>2023-10-09</t>
        </is>
      </c>
      <c r="C865" s="45" t="n">
        <v>191.5471</v>
      </c>
      <c r="D865" t="inlineStr">
        <is>
          <t>€/MWh</t>
        </is>
      </c>
      <c r="E865" s="54" t="n">
        <v>0.191547</v>
      </c>
      <c r="F865" s="54" t="n">
        <v>0.202174</v>
      </c>
      <c r="G865" t="inlineStr">
        <is>
          <t>calculado</t>
        </is>
      </c>
      <c r="H865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865" t="inlineStr">
        <is>
          <t>2023-10-08</t>
        </is>
      </c>
      <c r="K865" t="inlineStr">
        <is>
          <t>ESIOS 1001 geo 8741</t>
        </is>
      </c>
      <c r="L865" t="inlineStr">
        <is>
          <t>24 valores; mín 152.29, máx 301.46 €/MWh</t>
        </is>
      </c>
    </row>
    <row r="866">
      <c r="A866" s="53" t="n">
        <v>45209</v>
      </c>
      <c r="B866" t="inlineStr">
        <is>
          <t>2023-10-10</t>
        </is>
      </c>
      <c r="C866" s="45" t="n">
        <v>196.4046</v>
      </c>
      <c r="D866" t="inlineStr">
        <is>
          <t>€/MWh</t>
        </is>
      </c>
      <c r="E866" s="54" t="n">
        <v>0.196405</v>
      </c>
      <c r="F866" s="54" t="n">
        <v>0.207275</v>
      </c>
      <c r="G866" t="inlineStr">
        <is>
          <t>calculado</t>
        </is>
      </c>
      <c r="H866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866" t="inlineStr">
        <is>
          <t>2023-10-09</t>
        </is>
      </c>
      <c r="K866" t="inlineStr">
        <is>
          <t>ESIOS 1001 geo 8741</t>
        </is>
      </c>
      <c r="L866" t="inlineStr">
        <is>
          <t>24 valores; mín 162.71, máx 270.09 €/MWh</t>
        </is>
      </c>
    </row>
    <row r="867">
      <c r="A867" s="53" t="n">
        <v>45210</v>
      </c>
      <c r="B867" t="inlineStr">
        <is>
          <t>2023-10-11</t>
        </is>
      </c>
      <c r="C867" s="45" t="n">
        <v>196.8</v>
      </c>
      <c r="D867" t="inlineStr">
        <is>
          <t>€/MWh</t>
        </is>
      </c>
      <c r="E867" s="54" t="n">
        <v>0.1968</v>
      </c>
      <c r="F867" s="54" t="n">
        <v>0.20769</v>
      </c>
      <c r="G867" t="inlineStr">
        <is>
          <t>calculado</t>
        </is>
      </c>
      <c r="H867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867" t="inlineStr">
        <is>
          <t>2023-10-10</t>
        </is>
      </c>
      <c r="K867" t="inlineStr">
        <is>
          <t>ESIOS 1001 geo 8741</t>
        </is>
      </c>
      <c r="L867" t="inlineStr">
        <is>
          <t>24 valores; mín 154.25, máx 272.60 €/MWh</t>
        </is>
      </c>
    </row>
    <row r="868">
      <c r="A868" s="53" t="n">
        <v>45211</v>
      </c>
      <c r="B868" t="inlineStr">
        <is>
          <t>2023-10-12</t>
        </is>
      </c>
      <c r="C868" s="45" t="n">
        <v>163.995</v>
      </c>
      <c r="D868" t="inlineStr">
        <is>
          <t>€/MWh</t>
        </is>
      </c>
      <c r="E868" s="54" t="n">
        <v>0.163995</v>
      </c>
      <c r="F868" s="54" t="n">
        <v>0.173245</v>
      </c>
      <c r="G868" t="inlineStr">
        <is>
          <t>calculado</t>
        </is>
      </c>
      <c r="H868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868" t="inlineStr">
        <is>
          <t>2023-10-11</t>
        </is>
      </c>
      <c r="K868" t="inlineStr">
        <is>
          <t>ESIOS 1001 geo 8741</t>
        </is>
      </c>
      <c r="L868" t="inlineStr">
        <is>
          <t>24 valores; mín 126.79, máx 196.14 €/MWh</t>
        </is>
      </c>
    </row>
    <row r="869">
      <c r="A869" s="53" t="n">
        <v>45212</v>
      </c>
      <c r="B869" t="inlineStr">
        <is>
          <t>2023-10-13</t>
        </is>
      </c>
      <c r="C869" s="45" t="n">
        <v>194.1854</v>
      </c>
      <c r="D869" t="inlineStr">
        <is>
          <t>€/MWh</t>
        </is>
      </c>
      <c r="E869" s="54" t="n">
        <v>0.194185</v>
      </c>
      <c r="F869" s="54" t="n">
        <v>0.204945</v>
      </c>
      <c r="G869" t="inlineStr">
        <is>
          <t>calculado</t>
        </is>
      </c>
      <c r="H869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869" t="inlineStr">
        <is>
          <t>2023-10-12</t>
        </is>
      </c>
      <c r="K869" t="inlineStr">
        <is>
          <t>ESIOS 1001 geo 8741</t>
        </is>
      </c>
      <c r="L869" t="inlineStr">
        <is>
          <t>24 valores; mín 151.02, máx 262.47 €/MWh</t>
        </is>
      </c>
    </row>
    <row r="870">
      <c r="A870" s="53" t="n">
        <v>45213</v>
      </c>
      <c r="B870" t="inlineStr">
        <is>
          <t>2023-10-14</t>
        </is>
      </c>
      <c r="C870" s="45" t="n">
        <v>178.9267</v>
      </c>
      <c r="D870" t="inlineStr">
        <is>
          <t>€/MWh</t>
        </is>
      </c>
      <c r="E870" s="54" t="n">
        <v>0.178927</v>
      </c>
      <c r="F870" s="54" t="n">
        <v>0.188923</v>
      </c>
      <c r="G870" t="inlineStr">
        <is>
          <t>calculado</t>
        </is>
      </c>
      <c r="H870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870" t="inlineStr">
        <is>
          <t>2023-10-13</t>
        </is>
      </c>
      <c r="K870" t="inlineStr">
        <is>
          <t>ESIOS 1001 geo 8741</t>
        </is>
      </c>
      <c r="L870" t="inlineStr">
        <is>
          <t>24 valores; mín 147.99, máx 190.04 €/MWh</t>
        </is>
      </c>
    </row>
    <row r="871">
      <c r="A871" s="53" t="n">
        <v>45214</v>
      </c>
      <c r="B871" t="inlineStr">
        <is>
          <t>2023-10-15</t>
        </is>
      </c>
      <c r="C871" s="45" t="n">
        <v>183.2904</v>
      </c>
      <c r="D871" t="inlineStr">
        <is>
          <t>€/MWh</t>
        </is>
      </c>
      <c r="E871" s="54" t="n">
        <v>0.18329</v>
      </c>
      <c r="F871" s="54" t="n">
        <v>0.193505</v>
      </c>
      <c r="G871" t="inlineStr">
        <is>
          <t>calculado</t>
        </is>
      </c>
      <c r="H871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871" t="inlineStr">
        <is>
          <t>2023-10-14</t>
        </is>
      </c>
      <c r="K871" t="inlineStr">
        <is>
          <t>ESIOS 1001 geo 8741</t>
        </is>
      </c>
      <c r="L871" t="inlineStr">
        <is>
          <t>24 valores; mín 142.93, máx 208.91 €/MWh</t>
        </is>
      </c>
    </row>
    <row r="872">
      <c r="A872" s="53" t="n">
        <v>45215</v>
      </c>
      <c r="B872" t="inlineStr">
        <is>
          <t>2023-10-16</t>
        </is>
      </c>
      <c r="C872" s="45" t="n">
        <v>216.6646</v>
      </c>
      <c r="D872" t="inlineStr">
        <is>
          <t>€/MWh</t>
        </is>
      </c>
      <c r="E872" s="54" t="n">
        <v>0.216665</v>
      </c>
      <c r="F872" s="54" t="n">
        <v>0.228635</v>
      </c>
      <c r="G872" t="inlineStr">
        <is>
          <t>calculado</t>
        </is>
      </c>
      <c r="H872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872" t="inlineStr">
        <is>
          <t>2023-10-15</t>
        </is>
      </c>
      <c r="K872" t="inlineStr">
        <is>
          <t>ESIOS 1001 geo 8741</t>
        </is>
      </c>
      <c r="L872" t="inlineStr">
        <is>
          <t>24 valores; mín 155.81, máx 345.71 €/MWh</t>
        </is>
      </c>
    </row>
    <row r="873">
      <c r="A873" s="53" t="n">
        <v>45216</v>
      </c>
      <c r="B873" t="inlineStr">
        <is>
          <t>2023-10-17</t>
        </is>
      </c>
      <c r="C873" s="45" t="n">
        <v>181.7558</v>
      </c>
      <c r="D873" t="inlineStr">
        <is>
          <t>€/MWh</t>
        </is>
      </c>
      <c r="E873" s="54" t="n">
        <v>0.181756</v>
      </c>
      <c r="F873" s="54" t="n">
        <v>0.191894</v>
      </c>
      <c r="G873" t="inlineStr">
        <is>
          <t>calculado</t>
        </is>
      </c>
      <c r="H873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873" t="inlineStr">
        <is>
          <t>2023-10-16</t>
        </is>
      </c>
      <c r="K873" t="inlineStr">
        <is>
          <t>ESIOS 1001 geo 8741</t>
        </is>
      </c>
      <c r="L873" t="inlineStr">
        <is>
          <t>24 valores; mín 141.21, máx 242.13 €/MWh</t>
        </is>
      </c>
    </row>
    <row r="874">
      <c r="A874" s="53" t="n">
        <v>45217</v>
      </c>
      <c r="B874" t="inlineStr">
        <is>
          <t>2023-10-18</t>
        </is>
      </c>
      <c r="C874" s="45" t="n">
        <v>127.995</v>
      </c>
      <c r="D874" t="inlineStr">
        <is>
          <t>€/MWh</t>
        </is>
      </c>
      <c r="E874" s="54" t="n">
        <v>0.127995</v>
      </c>
      <c r="F874" s="54" t="n">
        <v>0.135445</v>
      </c>
      <c r="G874" t="inlineStr">
        <is>
          <t>calculado</t>
        </is>
      </c>
      <c r="H874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874" t="inlineStr">
        <is>
          <t>2023-10-17</t>
        </is>
      </c>
      <c r="K874" t="inlineStr">
        <is>
          <t>ESIOS 1001 geo 8741</t>
        </is>
      </c>
      <c r="L874" t="inlineStr">
        <is>
          <t>24 valores; mín 40.59, máx 213.52 €/MWh</t>
        </is>
      </c>
    </row>
    <row r="875">
      <c r="A875" s="53" t="n">
        <v>45218</v>
      </c>
      <c r="B875" t="inlineStr">
        <is>
          <t>2023-10-19</t>
        </is>
      </c>
      <c r="C875" s="45" t="n">
        <v>137.2413</v>
      </c>
      <c r="D875" t="inlineStr">
        <is>
          <t>€/MWh</t>
        </is>
      </c>
      <c r="E875" s="54" t="n">
        <v>0.137241</v>
      </c>
      <c r="F875" s="54" t="n">
        <v>0.145153</v>
      </c>
      <c r="G875" t="inlineStr">
        <is>
          <t>calculado</t>
        </is>
      </c>
      <c r="H875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875" t="inlineStr">
        <is>
          <t>2023-10-18</t>
        </is>
      </c>
      <c r="K875" t="inlineStr">
        <is>
          <t>ESIOS 1001 geo 8741</t>
        </is>
      </c>
      <c r="L875" t="inlineStr">
        <is>
          <t>24 valores; mín 36.24, máx 205.11 €/MWh</t>
        </is>
      </c>
    </row>
    <row r="876">
      <c r="A876" s="53" t="n">
        <v>45219</v>
      </c>
      <c r="B876" t="inlineStr">
        <is>
          <t>2023-10-20</t>
        </is>
      </c>
      <c r="C876" s="45" t="n">
        <v>86.0558</v>
      </c>
      <c r="D876" t="inlineStr">
        <is>
          <t>€/MWh</t>
        </is>
      </c>
      <c r="E876" s="54" t="n">
        <v>0.08605599999999999</v>
      </c>
      <c r="F876" s="54" t="n">
        <v>0.091409</v>
      </c>
      <c r="G876" t="inlineStr">
        <is>
          <t>calculado</t>
        </is>
      </c>
      <c r="H876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876" t="inlineStr">
        <is>
          <t>2023-10-19</t>
        </is>
      </c>
      <c r="K876" t="inlineStr">
        <is>
          <t>ESIOS 1001 geo 8741</t>
        </is>
      </c>
      <c r="L876" t="inlineStr">
        <is>
          <t>24 valores; mín 35.58, máx 182.47 €/MWh</t>
        </is>
      </c>
    </row>
    <row r="877">
      <c r="A877" s="53" t="n">
        <v>45220</v>
      </c>
      <c r="B877" t="inlineStr">
        <is>
          <t>2023-10-21</t>
        </is>
      </c>
      <c r="C877" s="45" t="n">
        <v>99.44880000000001</v>
      </c>
      <c r="D877" t="inlineStr">
        <is>
          <t>€/MWh</t>
        </is>
      </c>
      <c r="E877" s="54" t="n">
        <v>0.099449</v>
      </c>
      <c r="F877" s="54" t="n">
        <v>0.105471</v>
      </c>
      <c r="G877" t="inlineStr">
        <is>
          <t>calculado</t>
        </is>
      </c>
      <c r="H877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877" t="inlineStr">
        <is>
          <t>2023-10-20</t>
        </is>
      </c>
      <c r="K877" t="inlineStr">
        <is>
          <t>ESIOS 1001 geo 8741</t>
        </is>
      </c>
      <c r="L877" t="inlineStr">
        <is>
          <t>24 valores; mín 34.12, máx 255.62 €/MWh</t>
        </is>
      </c>
    </row>
    <row r="878">
      <c r="A878" s="53" t="n">
        <v>45221</v>
      </c>
      <c r="B878" t="inlineStr">
        <is>
          <t>2023-10-22</t>
        </is>
      </c>
      <c r="C878" s="45" t="n">
        <v>129.3862</v>
      </c>
      <c r="D878" t="inlineStr">
        <is>
          <t>€/MWh</t>
        </is>
      </c>
      <c r="E878" s="54" t="n">
        <v>0.129386</v>
      </c>
      <c r="F878" s="54" t="n">
        <v>0.136906</v>
      </c>
      <c r="G878" t="inlineStr">
        <is>
          <t>calculado</t>
        </is>
      </c>
      <c r="H878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878" t="inlineStr">
        <is>
          <t>2023-10-21</t>
        </is>
      </c>
      <c r="K878" t="inlineStr">
        <is>
          <t>ESIOS 1001 geo 8741</t>
        </is>
      </c>
      <c r="L878" t="inlineStr">
        <is>
          <t>24 valores; mín 77.15, máx 176.91 €/MWh</t>
        </is>
      </c>
    </row>
    <row r="879">
      <c r="A879" s="53" t="n">
        <v>45222</v>
      </c>
      <c r="B879" t="inlineStr">
        <is>
          <t>2023-10-23</t>
        </is>
      </c>
      <c r="C879" s="45" t="n">
        <v>199.4887</v>
      </c>
      <c r="D879" t="inlineStr">
        <is>
          <t>€/MWh</t>
        </is>
      </c>
      <c r="E879" s="54" t="n">
        <v>0.199489</v>
      </c>
      <c r="F879" s="54" t="n">
        <v>0.210513</v>
      </c>
      <c r="G879" t="inlineStr">
        <is>
          <t>calculado</t>
        </is>
      </c>
      <c r="H879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879" t="inlineStr">
        <is>
          <t>2023-10-22</t>
        </is>
      </c>
      <c r="K879" t="inlineStr">
        <is>
          <t>ESIOS 1001 geo 8741</t>
        </is>
      </c>
      <c r="L879" t="inlineStr">
        <is>
          <t>24 valores; mín 148.04, máx 337.59 €/MWh</t>
        </is>
      </c>
    </row>
    <row r="880">
      <c r="A880" s="53" t="n">
        <v>45223</v>
      </c>
      <c r="B880" t="inlineStr">
        <is>
          <t>2023-10-24</t>
        </is>
      </c>
      <c r="C880" s="45" t="n">
        <v>176.0912</v>
      </c>
      <c r="D880" t="inlineStr">
        <is>
          <t>€/MWh</t>
        </is>
      </c>
      <c r="E880" s="54" t="n">
        <v>0.176091</v>
      </c>
      <c r="F880" s="54" t="n">
        <v>0.185946</v>
      </c>
      <c r="G880" t="inlineStr">
        <is>
          <t>calculado</t>
        </is>
      </c>
      <c r="H880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880" t="inlineStr">
        <is>
          <t>2023-10-23</t>
        </is>
      </c>
      <c r="K880" t="inlineStr">
        <is>
          <t>ESIOS 1001 geo 8741</t>
        </is>
      </c>
      <c r="L880" t="inlineStr">
        <is>
          <t>24 valores; mín 122.96, máx 240.64 €/MWh</t>
        </is>
      </c>
    </row>
    <row r="881">
      <c r="A881" s="53" t="n">
        <v>45224</v>
      </c>
      <c r="B881" t="inlineStr">
        <is>
          <t>2023-10-25</t>
        </is>
      </c>
      <c r="C881" s="45" t="n">
        <v>138.0296</v>
      </c>
      <c r="D881" t="inlineStr">
        <is>
          <t>€/MWh</t>
        </is>
      </c>
      <c r="E881" s="54" t="n">
        <v>0.13803</v>
      </c>
      <c r="F881" s="54" t="n">
        <v>0.145981</v>
      </c>
      <c r="G881" t="inlineStr">
        <is>
          <t>calculado</t>
        </is>
      </c>
      <c r="H881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881" t="inlineStr">
        <is>
          <t>2023-10-24</t>
        </is>
      </c>
      <c r="K881" t="inlineStr">
        <is>
          <t>ESIOS 1001 geo 8741</t>
        </is>
      </c>
      <c r="L881" t="inlineStr">
        <is>
          <t>24 valores; mín 70.80, máx 219.47 €/MWh</t>
        </is>
      </c>
    </row>
    <row r="882">
      <c r="A882" s="53" t="n">
        <v>45225</v>
      </c>
      <c r="B882" t="inlineStr">
        <is>
          <t>2023-10-26</t>
        </is>
      </c>
      <c r="C882" s="45" t="n">
        <v>119.8788</v>
      </c>
      <c r="D882" t="inlineStr">
        <is>
          <t>€/MWh</t>
        </is>
      </c>
      <c r="E882" s="54" t="n">
        <v>0.119879</v>
      </c>
      <c r="F882" s="54" t="n">
        <v>0.126923</v>
      </c>
      <c r="G882" t="inlineStr">
        <is>
          <t>calculado</t>
        </is>
      </c>
      <c r="H882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882" t="inlineStr">
        <is>
          <t>2023-10-25</t>
        </is>
      </c>
      <c r="K882" t="inlineStr">
        <is>
          <t>ESIOS 1001 geo 8741</t>
        </is>
      </c>
      <c r="L882" t="inlineStr">
        <is>
          <t>24 valores; mín 76.26, máx 181.86 €/MWh</t>
        </is>
      </c>
    </row>
    <row r="883">
      <c r="A883" s="53" t="n">
        <v>45226</v>
      </c>
      <c r="B883" t="inlineStr">
        <is>
          <t>2023-10-27</t>
        </is>
      </c>
      <c r="C883" s="45" t="n">
        <v>92.05419999999999</v>
      </c>
      <c r="D883" t="inlineStr">
        <is>
          <t>€/MWh</t>
        </is>
      </c>
      <c r="E883" s="54" t="n">
        <v>0.092054</v>
      </c>
      <c r="F883" s="54" t="n">
        <v>0.097707</v>
      </c>
      <c r="G883" t="inlineStr">
        <is>
          <t>calculado</t>
        </is>
      </c>
      <c r="H883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883" t="inlineStr">
        <is>
          <t>2023-10-26</t>
        </is>
      </c>
      <c r="K883" t="inlineStr">
        <is>
          <t>ESIOS 1001 geo 8741</t>
        </is>
      </c>
      <c r="L883" t="inlineStr">
        <is>
          <t>24 valores; mín 37.25, máx 207.52 €/MWh</t>
        </is>
      </c>
    </row>
    <row r="884">
      <c r="A884" s="53" t="n">
        <v>45227</v>
      </c>
      <c r="B884" t="inlineStr">
        <is>
          <t>2023-10-28</t>
        </is>
      </c>
      <c r="C884" s="45" t="n">
        <v>35.9392</v>
      </c>
      <c r="D884" t="inlineStr">
        <is>
          <t>€/MWh</t>
        </is>
      </c>
      <c r="E884" s="54" t="n">
        <v>0.035939</v>
      </c>
      <c r="F884" s="54" t="n">
        <v>0.038786</v>
      </c>
      <c r="G884" t="inlineStr">
        <is>
          <t>calculado</t>
        </is>
      </c>
      <c r="H884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884" t="inlineStr">
        <is>
          <t>2023-10-27</t>
        </is>
      </c>
      <c r="K884" t="inlineStr">
        <is>
          <t>ESIOS 1001 geo 8741</t>
        </is>
      </c>
      <c r="L884" t="inlineStr">
        <is>
          <t>24 valores; mín 23.83, máx 51.68 €/MWh</t>
        </is>
      </c>
    </row>
    <row r="885">
      <c r="A885" s="53" t="n">
        <v>45228</v>
      </c>
      <c r="B885" t="inlineStr">
        <is>
          <t>2023-10-29</t>
        </is>
      </c>
      <c r="C885" s="45" t="n">
        <v>50.0128</v>
      </c>
      <c r="D885" t="inlineStr">
        <is>
          <t>€/MWh</t>
        </is>
      </c>
      <c r="E885" s="54" t="n">
        <v>0.050013</v>
      </c>
      <c r="F885" s="54" t="n">
        <v>0.053563</v>
      </c>
      <c r="G885" t="inlineStr">
        <is>
          <t>calculado</t>
        </is>
      </c>
      <c r="H885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885" t="inlineStr">
        <is>
          <t>2023-10-28</t>
        </is>
      </c>
      <c r="K885" t="inlineStr">
        <is>
          <t>ESIOS 1001 geo 8741</t>
        </is>
      </c>
      <c r="L885" t="inlineStr">
        <is>
          <t>25 valores; mín 34.60, máx 103.71 €/MWh</t>
        </is>
      </c>
    </row>
    <row r="886">
      <c r="A886" s="53" t="n">
        <v>45229</v>
      </c>
      <c r="B886" t="inlineStr">
        <is>
          <t>2023-10-30</t>
        </is>
      </c>
      <c r="C886" s="45" t="n">
        <v>102.5279</v>
      </c>
      <c r="D886" t="inlineStr">
        <is>
          <t>€/MWh</t>
        </is>
      </c>
      <c r="E886" s="54" t="n">
        <v>0.102528</v>
      </c>
      <c r="F886" s="54" t="n">
        <v>0.108704</v>
      </c>
      <c r="G886" t="inlineStr">
        <is>
          <t>calculado</t>
        </is>
      </c>
      <c r="H886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886" t="inlineStr">
        <is>
          <t>2023-10-29</t>
        </is>
      </c>
      <c r="K886" t="inlineStr">
        <is>
          <t>ESIOS 1001 geo 8741</t>
        </is>
      </c>
      <c r="L886" t="inlineStr">
        <is>
          <t>24 valores; mín 44.35, máx 207.03 €/MWh</t>
        </is>
      </c>
    </row>
    <row r="887">
      <c r="A887" s="53" t="n">
        <v>45230</v>
      </c>
      <c r="B887" t="inlineStr">
        <is>
          <t>2023-10-31</t>
        </is>
      </c>
      <c r="C887" s="45" t="n">
        <v>179.5121</v>
      </c>
      <c r="D887" t="inlineStr">
        <is>
          <t>€/MWh</t>
        </is>
      </c>
      <c r="E887" s="54" t="n">
        <v>0.179512</v>
      </c>
      <c r="F887" s="54" t="n">
        <v>0.189538</v>
      </c>
      <c r="G887" t="inlineStr">
        <is>
          <t>calculado</t>
        </is>
      </c>
      <c r="H887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887" t="inlineStr">
        <is>
          <t>2023-10-30</t>
        </is>
      </c>
      <c r="K887" t="inlineStr">
        <is>
          <t>ESIOS 1001 geo 8741</t>
        </is>
      </c>
      <c r="L887" t="inlineStr">
        <is>
          <t>24 valores; mín 102.41, máx 290.95 €/MWh</t>
        </is>
      </c>
    </row>
    <row r="888">
      <c r="A888" s="53" t="n">
        <v>45231</v>
      </c>
      <c r="B888" t="inlineStr">
        <is>
          <t>2023-11-01</t>
        </is>
      </c>
      <c r="C888" s="45" t="n">
        <v>33.4888</v>
      </c>
      <c r="D888" t="inlineStr">
        <is>
          <t>€/MWh</t>
        </is>
      </c>
      <c r="E888" s="54" t="n">
        <v>0.033489</v>
      </c>
      <c r="F888" s="54" t="n">
        <v>0.036213</v>
      </c>
      <c r="G888" t="inlineStr">
        <is>
          <t>calculado</t>
        </is>
      </c>
      <c r="H888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888" t="inlineStr">
        <is>
          <t>2023-10-31</t>
        </is>
      </c>
      <c r="K888" t="inlineStr">
        <is>
          <t>ESIOS 1001 geo 8741</t>
        </is>
      </c>
      <c r="L888" t="inlineStr">
        <is>
          <t>24 valores; mín 21.68, máx 50.10 €/MWh</t>
        </is>
      </c>
    </row>
    <row r="889">
      <c r="A889" s="53" t="n">
        <v>45232</v>
      </c>
      <c r="B889" t="inlineStr">
        <is>
          <t>2023-11-02</t>
        </is>
      </c>
      <c r="C889" s="45" t="n">
        <v>62.8296</v>
      </c>
      <c r="D889" t="inlineStr">
        <is>
          <t>€/MWh</t>
        </is>
      </c>
      <c r="E889" s="54" t="n">
        <v>0.06283</v>
      </c>
      <c r="F889" s="54" t="n">
        <v>0.067021</v>
      </c>
      <c r="G889" t="inlineStr">
        <is>
          <t>calculado</t>
        </is>
      </c>
      <c r="H889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889" t="inlineStr">
        <is>
          <t>2023-11-01</t>
        </is>
      </c>
      <c r="K889" t="inlineStr">
        <is>
          <t>ESIOS 1001 geo 8741</t>
        </is>
      </c>
      <c r="L889" t="inlineStr">
        <is>
          <t>24 valores; mín 32.24, máx 102.89 €/MWh</t>
        </is>
      </c>
    </row>
    <row r="890">
      <c r="A890" s="53" t="n">
        <v>45233</v>
      </c>
      <c r="B890" t="inlineStr">
        <is>
          <t>2023-11-03</t>
        </is>
      </c>
      <c r="C890" s="45" t="n">
        <v>63.1463</v>
      </c>
      <c r="D890" t="inlineStr">
        <is>
          <t>€/MWh</t>
        </is>
      </c>
      <c r="E890" s="54" t="n">
        <v>0.06314599999999999</v>
      </c>
      <c r="F890" s="54" t="n">
        <v>0.067354</v>
      </c>
      <c r="G890" t="inlineStr">
        <is>
          <t>calculado</t>
        </is>
      </c>
      <c r="H890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890" t="inlineStr">
        <is>
          <t>2023-11-02</t>
        </is>
      </c>
      <c r="K890" t="inlineStr">
        <is>
          <t>ESIOS 1001 geo 8741</t>
        </is>
      </c>
      <c r="L890" t="inlineStr">
        <is>
          <t>24 valores; mín 28.70, máx 107.67 €/MWh</t>
        </is>
      </c>
    </row>
    <row r="891">
      <c r="A891" s="53" t="n">
        <v>45234</v>
      </c>
      <c r="B891" t="inlineStr">
        <is>
          <t>2023-11-04</t>
        </is>
      </c>
      <c r="C891" s="45" t="n">
        <v>26.3021</v>
      </c>
      <c r="D891" t="inlineStr">
        <is>
          <t>€/MWh</t>
        </is>
      </c>
      <c r="E891" s="54" t="n">
        <v>0.026302</v>
      </c>
      <c r="F891" s="54" t="n">
        <v>0.028667</v>
      </c>
      <c r="G891" t="inlineStr">
        <is>
          <t>calculado</t>
        </is>
      </c>
      <c r="H891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891" t="inlineStr">
        <is>
          <t>2023-11-03</t>
        </is>
      </c>
      <c r="K891" t="inlineStr">
        <is>
          <t>ESIOS 1001 geo 8741</t>
        </is>
      </c>
      <c r="L891" t="inlineStr">
        <is>
          <t>24 valores; mín 16.84, máx 34.37 €/MWh</t>
        </is>
      </c>
    </row>
    <row r="892">
      <c r="A892" s="53" t="n">
        <v>45235</v>
      </c>
      <c r="B892" t="inlineStr">
        <is>
          <t>2023-11-05</t>
        </is>
      </c>
      <c r="C892" s="45" t="n">
        <v>32.8983</v>
      </c>
      <c r="D892" t="inlineStr">
        <is>
          <t>€/MWh</t>
        </is>
      </c>
      <c r="E892" s="54" t="n">
        <v>0.032898</v>
      </c>
      <c r="F892" s="54" t="n">
        <v>0.035593</v>
      </c>
      <c r="G892" t="inlineStr">
        <is>
          <t>calculado</t>
        </is>
      </c>
      <c r="H892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892" t="inlineStr">
        <is>
          <t>2023-11-04</t>
        </is>
      </c>
      <c r="K892" t="inlineStr">
        <is>
          <t>ESIOS 1001 geo 8741</t>
        </is>
      </c>
      <c r="L892" t="inlineStr">
        <is>
          <t>24 valores; mín 21.52, máx 53.39 €/MWh</t>
        </is>
      </c>
    </row>
    <row r="893">
      <c r="A893" s="53" t="n">
        <v>45236</v>
      </c>
      <c r="B893" t="inlineStr">
        <is>
          <t>2023-11-06</t>
        </is>
      </c>
      <c r="C893" s="45" t="n">
        <v>121.1729</v>
      </c>
      <c r="D893" t="inlineStr">
        <is>
          <t>€/MWh</t>
        </is>
      </c>
      <c r="E893" s="54" t="n">
        <v>0.121173</v>
      </c>
      <c r="F893" s="54" t="n">
        <v>0.128282</v>
      </c>
      <c r="G893" t="inlineStr">
        <is>
          <t>calculado</t>
        </is>
      </c>
      <c r="H893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893" t="inlineStr">
        <is>
          <t>2023-11-05</t>
        </is>
      </c>
      <c r="K893" t="inlineStr">
        <is>
          <t>ESIOS 1001 geo 8741</t>
        </is>
      </c>
      <c r="L893" t="inlineStr">
        <is>
          <t>24 valores; mín 35.66, máx 266.74 €/MWh</t>
        </is>
      </c>
    </row>
    <row r="894">
      <c r="A894" s="53" t="n">
        <v>45237</v>
      </c>
      <c r="B894" t="inlineStr">
        <is>
          <t>2023-11-07</t>
        </is>
      </c>
      <c r="C894" s="45" t="n">
        <v>169.1587</v>
      </c>
      <c r="D894" t="inlineStr">
        <is>
          <t>€/MWh</t>
        </is>
      </c>
      <c r="E894" s="54" t="n">
        <v>0.169159</v>
      </c>
      <c r="F894" s="54" t="n">
        <v>0.178667</v>
      </c>
      <c r="G894" t="inlineStr">
        <is>
          <t>calculado</t>
        </is>
      </c>
      <c r="H894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894" t="inlineStr">
        <is>
          <t>2023-11-06</t>
        </is>
      </c>
      <c r="K894" t="inlineStr">
        <is>
          <t>ESIOS 1001 geo 8741</t>
        </is>
      </c>
      <c r="L894" t="inlineStr">
        <is>
          <t>24 valores; mín 109.94, máx 266.42 €/MWh</t>
        </is>
      </c>
    </row>
    <row r="895">
      <c r="A895" s="53" t="n">
        <v>45238</v>
      </c>
      <c r="B895" t="inlineStr">
        <is>
          <t>2023-11-08</t>
        </is>
      </c>
      <c r="C895" s="45" t="n">
        <v>162.2058</v>
      </c>
      <c r="D895" t="inlineStr">
        <is>
          <t>€/MWh</t>
        </is>
      </c>
      <c r="E895" s="54" t="n">
        <v>0.162206</v>
      </c>
      <c r="F895" s="54" t="n">
        <v>0.171366</v>
      </c>
      <c r="G895" t="inlineStr">
        <is>
          <t>calculado</t>
        </is>
      </c>
      <c r="H895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895" t="inlineStr">
        <is>
          <t>2023-11-07</t>
        </is>
      </c>
      <c r="K895" t="inlineStr">
        <is>
          <t>ESIOS 1001 geo 8741</t>
        </is>
      </c>
      <c r="L895" t="inlineStr">
        <is>
          <t>24 valores; mín 108.72, máx 237.58 €/MWh</t>
        </is>
      </c>
    </row>
    <row r="896">
      <c r="A896" s="53" t="n">
        <v>45239</v>
      </c>
      <c r="B896" t="inlineStr">
        <is>
          <t>2023-11-09</t>
        </is>
      </c>
      <c r="C896" s="45" t="n">
        <v>138.1167</v>
      </c>
      <c r="D896" t="inlineStr">
        <is>
          <t>€/MWh</t>
        </is>
      </c>
      <c r="E896" s="54" t="n">
        <v>0.138117</v>
      </c>
      <c r="F896" s="54" t="n">
        <v>0.146073</v>
      </c>
      <c r="G896" t="inlineStr">
        <is>
          <t>calculado</t>
        </is>
      </c>
      <c r="H896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896" t="inlineStr">
        <is>
          <t>2023-11-08</t>
        </is>
      </c>
      <c r="K896" t="inlineStr">
        <is>
          <t>ESIOS 1001 geo 8741</t>
        </is>
      </c>
      <c r="L896" t="inlineStr">
        <is>
          <t>24 valores; mín 82.83, máx 219.73 €/MWh</t>
        </is>
      </c>
    </row>
    <row r="897">
      <c r="A897" s="53" t="n">
        <v>45240</v>
      </c>
      <c r="B897" t="inlineStr">
        <is>
          <t>2023-11-10</t>
        </is>
      </c>
      <c r="C897" s="45" t="n">
        <v>119.6383</v>
      </c>
      <c r="D897" t="inlineStr">
        <is>
          <t>€/MWh</t>
        </is>
      </c>
      <c r="E897" s="54" t="n">
        <v>0.119638</v>
      </c>
      <c r="F897" s="54" t="n">
        <v>0.12667</v>
      </c>
      <c r="G897" t="inlineStr">
        <is>
          <t>calculado</t>
        </is>
      </c>
      <c r="H897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897" t="inlineStr">
        <is>
          <t>2023-11-09</t>
        </is>
      </c>
      <c r="K897" t="inlineStr">
        <is>
          <t>ESIOS 1001 geo 8741</t>
        </is>
      </c>
      <c r="L897" t="inlineStr">
        <is>
          <t>24 valores; mín 72.38, máx 214.07 €/MWh</t>
        </is>
      </c>
    </row>
    <row r="898">
      <c r="A898" s="53" t="n">
        <v>45241</v>
      </c>
      <c r="B898" t="inlineStr">
        <is>
          <t>2023-11-11</t>
        </is>
      </c>
      <c r="C898" s="45" t="n">
        <v>34.6187</v>
      </c>
      <c r="D898" t="inlineStr">
        <is>
          <t>€/MWh</t>
        </is>
      </c>
      <c r="E898" s="54" t="n">
        <v>0.034619</v>
      </c>
      <c r="F898" s="54" t="n">
        <v>0.0374</v>
      </c>
      <c r="G898" t="inlineStr">
        <is>
          <t>calculado</t>
        </is>
      </c>
      <c r="H898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898" t="inlineStr">
        <is>
          <t>2023-11-10</t>
        </is>
      </c>
      <c r="K898" t="inlineStr">
        <is>
          <t>ESIOS 1001 geo 8741</t>
        </is>
      </c>
      <c r="L898" t="inlineStr">
        <is>
          <t>24 valores; mín 26.49, máx 48.85 €/MWh</t>
        </is>
      </c>
    </row>
    <row r="899">
      <c r="A899" s="53" t="n">
        <v>45242</v>
      </c>
      <c r="B899" t="inlineStr">
        <is>
          <t>2023-11-12</t>
        </is>
      </c>
      <c r="C899" s="45" t="n">
        <v>53.2896</v>
      </c>
      <c r="D899" t="inlineStr">
        <is>
          <t>€/MWh</t>
        </is>
      </c>
      <c r="E899" s="54" t="n">
        <v>0.05329</v>
      </c>
      <c r="F899" s="54" t="n">
        <v>0.057004</v>
      </c>
      <c r="G899" t="inlineStr">
        <is>
          <t>calculado</t>
        </is>
      </c>
      <c r="H899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899" t="inlineStr">
        <is>
          <t>2023-11-11</t>
        </is>
      </c>
      <c r="K899" t="inlineStr">
        <is>
          <t>ESIOS 1001 geo 8741</t>
        </is>
      </c>
      <c r="L899" t="inlineStr">
        <is>
          <t>24 valores; mín 32.67, máx 111.90 €/MWh</t>
        </is>
      </c>
    </row>
    <row r="900">
      <c r="A900" s="53" t="n">
        <v>45243</v>
      </c>
      <c r="B900" t="inlineStr">
        <is>
          <t>2023-11-13</t>
        </is>
      </c>
      <c r="C900" s="45" t="n">
        <v>118.8596</v>
      </c>
      <c r="D900" t="inlineStr">
        <is>
          <t>€/MWh</t>
        </is>
      </c>
      <c r="E900" s="54" t="n">
        <v>0.11886</v>
      </c>
      <c r="F900" s="54" t="n">
        <v>0.125853</v>
      </c>
      <c r="G900" t="inlineStr">
        <is>
          <t>calculado</t>
        </is>
      </c>
      <c r="H900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900" t="inlineStr">
        <is>
          <t>2023-11-12</t>
        </is>
      </c>
      <c r="K900" t="inlineStr">
        <is>
          <t>ESIOS 1001 geo 8741</t>
        </is>
      </c>
      <c r="L900" t="inlineStr">
        <is>
          <t>24 valores; mín 62.39, máx 212.40 €/MWh</t>
        </is>
      </c>
    </row>
    <row r="901">
      <c r="A901" s="53" t="n">
        <v>45244</v>
      </c>
      <c r="B901" t="inlineStr">
        <is>
          <t>2023-11-14</t>
        </is>
      </c>
      <c r="C901" s="45" t="n">
        <v>133.2058</v>
      </c>
      <c r="D901" t="inlineStr">
        <is>
          <t>€/MWh</t>
        </is>
      </c>
      <c r="E901" s="54" t="n">
        <v>0.133206</v>
      </c>
      <c r="F901" s="54" t="n">
        <v>0.140916</v>
      </c>
      <c r="G901" t="inlineStr">
        <is>
          <t>calculado</t>
        </is>
      </c>
      <c r="H901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901" t="inlineStr">
        <is>
          <t>2023-11-13</t>
        </is>
      </c>
      <c r="K901" t="inlineStr">
        <is>
          <t>ESIOS 1001 geo 8741</t>
        </is>
      </c>
      <c r="L901" t="inlineStr">
        <is>
          <t>24 valores; mín 75.32, máx 228.23 €/MWh</t>
        </is>
      </c>
    </row>
    <row r="902">
      <c r="A902" s="53" t="n">
        <v>45245</v>
      </c>
      <c r="B902" t="inlineStr">
        <is>
          <t>2023-11-15</t>
        </is>
      </c>
      <c r="C902" s="45" t="n">
        <v>163.2875</v>
      </c>
      <c r="D902" t="inlineStr">
        <is>
          <t>€/MWh</t>
        </is>
      </c>
      <c r="E902" s="54" t="n">
        <v>0.163288</v>
      </c>
      <c r="F902" s="54" t="n">
        <v>0.172502</v>
      </c>
      <c r="G902" t="inlineStr">
        <is>
          <t>calculado</t>
        </is>
      </c>
      <c r="H902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902" t="inlineStr">
        <is>
          <t>2023-11-14</t>
        </is>
      </c>
      <c r="K902" t="inlineStr">
        <is>
          <t>ESIOS 1001 geo 8741</t>
        </is>
      </c>
      <c r="L902" t="inlineStr">
        <is>
          <t>24 valores; mín 114.77, máx 239.73 €/MWh</t>
        </is>
      </c>
    </row>
    <row r="903">
      <c r="A903" s="53" t="n">
        <v>45246</v>
      </c>
      <c r="B903" t="inlineStr">
        <is>
          <t>2023-11-16</t>
        </is>
      </c>
      <c r="C903" s="45" t="n">
        <v>174.0075</v>
      </c>
      <c r="D903" t="inlineStr">
        <is>
          <t>€/MWh</t>
        </is>
      </c>
      <c r="E903" s="54" t="n">
        <v>0.174008</v>
      </c>
      <c r="F903" s="54" t="n">
        <v>0.183758</v>
      </c>
      <c r="G903" t="inlineStr">
        <is>
          <t>calculado</t>
        </is>
      </c>
      <c r="H903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903" t="inlineStr">
        <is>
          <t>2023-11-15</t>
        </is>
      </c>
      <c r="K903" t="inlineStr">
        <is>
          <t>ESIOS 1001 geo 8741</t>
        </is>
      </c>
      <c r="L903" t="inlineStr">
        <is>
          <t>24 valores; mín 125.06, máx 234.93 €/MWh</t>
        </is>
      </c>
    </row>
    <row r="904">
      <c r="A904" s="53" t="n">
        <v>45247</v>
      </c>
      <c r="B904" t="inlineStr">
        <is>
          <t>2023-11-17</t>
        </is>
      </c>
      <c r="C904" s="45" t="n">
        <v>190.7021</v>
      </c>
      <c r="D904" t="inlineStr">
        <is>
          <t>€/MWh</t>
        </is>
      </c>
      <c r="E904" s="54" t="n">
        <v>0.190702</v>
      </c>
      <c r="F904" s="54" t="n">
        <v>0.201287</v>
      </c>
      <c r="G904" t="inlineStr">
        <is>
          <t>calculado</t>
        </is>
      </c>
      <c r="H904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904" t="inlineStr">
        <is>
          <t>2023-11-16</t>
        </is>
      </c>
      <c r="K904" t="inlineStr">
        <is>
          <t>ESIOS 1001 geo 8741</t>
        </is>
      </c>
      <c r="L904" t="inlineStr">
        <is>
          <t>24 valores; mín 140.00, máx 262.50 €/MWh</t>
        </is>
      </c>
    </row>
    <row r="905">
      <c r="A905" s="53" t="n">
        <v>45248</v>
      </c>
      <c r="B905" t="inlineStr">
        <is>
          <t>2023-11-18</t>
        </is>
      </c>
      <c r="C905" s="45" t="n">
        <v>131.4396</v>
      </c>
      <c r="D905" t="inlineStr">
        <is>
          <t>€/MWh</t>
        </is>
      </c>
      <c r="E905" s="54" t="n">
        <v>0.13144</v>
      </c>
      <c r="F905" s="54" t="n">
        <v>0.139062</v>
      </c>
      <c r="G905" t="inlineStr">
        <is>
          <t>calculado</t>
        </is>
      </c>
      <c r="H905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905" t="inlineStr">
        <is>
          <t>2023-11-17</t>
        </is>
      </c>
      <c r="K905" t="inlineStr">
        <is>
          <t>ESIOS 1001 geo 8741</t>
        </is>
      </c>
      <c r="L905" t="inlineStr">
        <is>
          <t>24 valores; mín 100.72, máx 155.22 €/MWh</t>
        </is>
      </c>
    </row>
    <row r="906">
      <c r="A906" s="53" t="n">
        <v>45249</v>
      </c>
      <c r="B906" t="inlineStr">
        <is>
          <t>2023-11-19</t>
        </is>
      </c>
      <c r="C906" s="45" t="n">
        <v>114.0479</v>
      </c>
      <c r="D906" t="inlineStr">
        <is>
          <t>€/MWh</t>
        </is>
      </c>
      <c r="E906" s="54" t="n">
        <v>0.114048</v>
      </c>
      <c r="F906" s="54" t="n">
        <v>0.1208</v>
      </c>
      <c r="G906" t="inlineStr">
        <is>
          <t>calculado</t>
        </is>
      </c>
      <c r="H906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906" t="inlineStr">
        <is>
          <t>2023-11-18</t>
        </is>
      </c>
      <c r="K906" t="inlineStr">
        <is>
          <t>ESIOS 1001 geo 8741</t>
        </is>
      </c>
      <c r="L906" t="inlineStr">
        <is>
          <t>24 valores; mín 52.04, máx 154.04 €/MWh</t>
        </is>
      </c>
    </row>
    <row r="907">
      <c r="A907" s="53" t="n">
        <v>45250</v>
      </c>
      <c r="B907" t="inlineStr">
        <is>
          <t>2023-11-20</t>
        </is>
      </c>
      <c r="C907" s="45" t="n">
        <v>166.9596</v>
      </c>
      <c r="D907" t="inlineStr">
        <is>
          <t>€/MWh</t>
        </is>
      </c>
      <c r="E907" s="54" t="n">
        <v>0.16696</v>
      </c>
      <c r="F907" s="54" t="n">
        <v>0.176358</v>
      </c>
      <c r="G907" t="inlineStr">
        <is>
          <t>calculado</t>
        </is>
      </c>
      <c r="H907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907" t="inlineStr">
        <is>
          <t>2023-11-19</t>
        </is>
      </c>
      <c r="K907" t="inlineStr">
        <is>
          <t>ESIOS 1001 geo 8741</t>
        </is>
      </c>
      <c r="L907" t="inlineStr">
        <is>
          <t>24 valores; mín 121.40, máx 224.89 €/MWh</t>
        </is>
      </c>
    </row>
    <row r="908">
      <c r="A908" s="53" t="n">
        <v>45251</v>
      </c>
      <c r="B908" t="inlineStr">
        <is>
          <t>2023-11-21</t>
        </is>
      </c>
      <c r="C908" s="45" t="n">
        <v>104.2954</v>
      </c>
      <c r="D908" t="inlineStr">
        <is>
          <t>€/MWh</t>
        </is>
      </c>
      <c r="E908" s="54" t="n">
        <v>0.104295</v>
      </c>
      <c r="F908" s="54" t="n">
        <v>0.11056</v>
      </c>
      <c r="G908" t="inlineStr">
        <is>
          <t>calculado</t>
        </is>
      </c>
      <c r="H908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908" t="inlineStr">
        <is>
          <t>2023-11-20</t>
        </is>
      </c>
      <c r="K908" t="inlineStr">
        <is>
          <t>ESIOS 1001 geo 8741</t>
        </is>
      </c>
      <c r="L908" t="inlineStr">
        <is>
          <t>24 valores; mín 59.21, máx 181.01 €/MWh</t>
        </is>
      </c>
    </row>
    <row r="909">
      <c r="A909" s="53" t="n">
        <v>45252</v>
      </c>
      <c r="B909" t="inlineStr">
        <is>
          <t>2023-11-22</t>
        </is>
      </c>
      <c r="C909" s="45" t="n">
        <v>91.6717</v>
      </c>
      <c r="D909" t="inlineStr">
        <is>
          <t>€/MWh</t>
        </is>
      </c>
      <c r="E909" s="54" t="n">
        <v>0.091672</v>
      </c>
      <c r="F909" s="54" t="n">
        <v>0.097305</v>
      </c>
      <c r="G909" t="inlineStr">
        <is>
          <t>calculado</t>
        </is>
      </c>
      <c r="H909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909" t="inlineStr">
        <is>
          <t>2023-11-21</t>
        </is>
      </c>
      <c r="K909" t="inlineStr">
        <is>
          <t>ESIOS 1001 geo 8741</t>
        </is>
      </c>
      <c r="L909" t="inlineStr">
        <is>
          <t>24 valores; mín 57.16, máx 167.71 €/MWh</t>
        </is>
      </c>
    </row>
    <row r="910">
      <c r="A910" s="53" t="n">
        <v>45253</v>
      </c>
      <c r="B910" t="inlineStr">
        <is>
          <t>2023-11-23</t>
        </is>
      </c>
      <c r="C910" s="45" t="n">
        <v>116.9058</v>
      </c>
      <c r="D910" t="inlineStr">
        <is>
          <t>€/MWh</t>
        </is>
      </c>
      <c r="E910" s="54" t="n">
        <v>0.116906</v>
      </c>
      <c r="F910" s="54" t="n">
        <v>0.123801</v>
      </c>
      <c r="G910" t="inlineStr">
        <is>
          <t>calculado</t>
        </is>
      </c>
      <c r="H910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910" t="inlineStr">
        <is>
          <t>2023-11-22</t>
        </is>
      </c>
      <c r="K910" t="inlineStr">
        <is>
          <t>ESIOS 1001 geo 8741</t>
        </is>
      </c>
      <c r="L910" t="inlineStr">
        <is>
          <t>24 valores; mín 60.36, máx 235.00 €/MWh</t>
        </is>
      </c>
    </row>
    <row r="911">
      <c r="A911" s="53" t="n">
        <v>45254</v>
      </c>
      <c r="B911" t="inlineStr">
        <is>
          <t>2023-11-24</t>
        </is>
      </c>
      <c r="C911" s="45" t="n">
        <v>132.2775</v>
      </c>
      <c r="D911" t="inlineStr">
        <is>
          <t>€/MWh</t>
        </is>
      </c>
      <c r="E911" s="54" t="n">
        <v>0.132277</v>
      </c>
      <c r="F911" s="54" t="n">
        <v>0.139941</v>
      </c>
      <c r="G911" t="inlineStr">
        <is>
          <t>calculado</t>
        </is>
      </c>
      <c r="H911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911" t="inlineStr">
        <is>
          <t>2023-11-23</t>
        </is>
      </c>
      <c r="K911" t="inlineStr">
        <is>
          <t>ESIOS 1001 geo 8741</t>
        </is>
      </c>
      <c r="L911" t="inlineStr">
        <is>
          <t>24 valores; mín 65.47, máx 212.54 €/MWh</t>
        </is>
      </c>
    </row>
    <row r="912">
      <c r="A912" s="53" t="n">
        <v>45255</v>
      </c>
      <c r="B912" t="inlineStr">
        <is>
          <t>2023-11-25</t>
        </is>
      </c>
      <c r="C912" s="45" t="n">
        <v>130.3642</v>
      </c>
      <c r="D912" t="inlineStr">
        <is>
          <t>€/MWh</t>
        </is>
      </c>
      <c r="E912" s="54" t="n">
        <v>0.130364</v>
      </c>
      <c r="F912" s="54" t="n">
        <v>0.137932</v>
      </c>
      <c r="G912" t="inlineStr">
        <is>
          <t>calculado</t>
        </is>
      </c>
      <c r="H912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912" t="inlineStr">
        <is>
          <t>2023-11-24</t>
        </is>
      </c>
      <c r="K912" t="inlineStr">
        <is>
          <t>ESIOS 1001 geo 8741</t>
        </is>
      </c>
      <c r="L912" t="inlineStr">
        <is>
          <t>24 valores; mín 94.12, máx 172.12 €/MWh</t>
        </is>
      </c>
    </row>
    <row r="913">
      <c r="A913" s="53" t="n">
        <v>45256</v>
      </c>
      <c r="B913" t="inlineStr">
        <is>
          <t>2023-11-26</t>
        </is>
      </c>
      <c r="C913" s="45" t="n">
        <v>164.1325</v>
      </c>
      <c r="D913" t="inlineStr">
        <is>
          <t>€/MWh</t>
        </is>
      </c>
      <c r="E913" s="54" t="n">
        <v>0.164132</v>
      </c>
      <c r="F913" s="54" t="n">
        <v>0.173389</v>
      </c>
      <c r="G913" t="inlineStr">
        <is>
          <t>calculado</t>
        </is>
      </c>
      <c r="H913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913" t="inlineStr">
        <is>
          <t>2023-11-25</t>
        </is>
      </c>
      <c r="K913" t="inlineStr">
        <is>
          <t>ESIOS 1001 geo 8741</t>
        </is>
      </c>
      <c r="L913" t="inlineStr">
        <is>
          <t>24 valores; mín 142.52, máx 205.04 €/MWh</t>
        </is>
      </c>
    </row>
    <row r="914">
      <c r="A914" s="53" t="n">
        <v>45257</v>
      </c>
      <c r="B914" t="inlineStr">
        <is>
          <t>2023-11-27</t>
        </is>
      </c>
      <c r="C914" s="45" t="n">
        <v>181.3533</v>
      </c>
      <c r="D914" t="inlineStr">
        <is>
          <t>€/MWh</t>
        </is>
      </c>
      <c r="E914" s="54" t="n">
        <v>0.181353</v>
      </c>
      <c r="F914" s="54" t="n">
        <v>0.191471</v>
      </c>
      <c r="G914" t="inlineStr">
        <is>
          <t>calculado</t>
        </is>
      </c>
      <c r="H914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914" t="inlineStr">
        <is>
          <t>2023-11-26</t>
        </is>
      </c>
      <c r="K914" t="inlineStr">
        <is>
          <t>ESIOS 1001 geo 8741</t>
        </is>
      </c>
      <c r="L914" t="inlineStr">
        <is>
          <t>24 valores; mín 138.60, máx 239.56 €/MWh</t>
        </is>
      </c>
    </row>
    <row r="915">
      <c r="A915" s="53" t="n">
        <v>45258</v>
      </c>
      <c r="B915" t="inlineStr">
        <is>
          <t>2023-11-28</t>
        </is>
      </c>
      <c r="C915" s="45" t="n">
        <v>181.6121</v>
      </c>
      <c r="D915" t="inlineStr">
        <is>
          <t>€/MWh</t>
        </is>
      </c>
      <c r="E915" s="54" t="n">
        <v>0.181612</v>
      </c>
      <c r="F915" s="54" t="n">
        <v>0.191743</v>
      </c>
      <c r="G915" t="inlineStr">
        <is>
          <t>calculado</t>
        </is>
      </c>
      <c r="H915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915" t="inlineStr">
        <is>
          <t>2023-11-27</t>
        </is>
      </c>
      <c r="K915" t="inlineStr">
        <is>
          <t>ESIOS 1001 geo 8741</t>
        </is>
      </c>
      <c r="L915" t="inlineStr">
        <is>
          <t>24 valores; mín 106.59, máx 279.52 €/MWh</t>
        </is>
      </c>
    </row>
    <row r="916">
      <c r="A916" s="53" t="n">
        <v>45259</v>
      </c>
      <c r="B916" t="inlineStr">
        <is>
          <t>2023-11-29</t>
        </is>
      </c>
      <c r="C916" s="45" t="n">
        <v>154.0687</v>
      </c>
      <c r="D916" t="inlineStr">
        <is>
          <t>€/MWh</t>
        </is>
      </c>
      <c r="E916" s="54" t="n">
        <v>0.154069</v>
      </c>
      <c r="F916" s="54" t="n">
        <v>0.162822</v>
      </c>
      <c r="G916" t="inlineStr">
        <is>
          <t>calculado</t>
        </is>
      </c>
      <c r="H916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916" t="inlineStr">
        <is>
          <t>2023-11-28</t>
        </is>
      </c>
      <c r="K916" t="inlineStr">
        <is>
          <t>ESIOS 1001 geo 8741</t>
        </is>
      </c>
      <c r="L916" t="inlineStr">
        <is>
          <t>24 valores; mín 114.86, máx 207.19 €/MWh</t>
        </is>
      </c>
    </row>
    <row r="917">
      <c r="A917" s="53" t="n">
        <v>45260</v>
      </c>
      <c r="B917" t="inlineStr">
        <is>
          <t>2023-11-30</t>
        </is>
      </c>
      <c r="C917" s="45" t="n">
        <v>168.0737</v>
      </c>
      <c r="D917" t="inlineStr">
        <is>
          <t>€/MWh</t>
        </is>
      </c>
      <c r="E917" s="54" t="n">
        <v>0.168074</v>
      </c>
      <c r="F917" s="54" t="n">
        <v>0.177527</v>
      </c>
      <c r="G917" t="inlineStr">
        <is>
          <t>calculado</t>
        </is>
      </c>
      <c r="H917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917" t="inlineStr">
        <is>
          <t>2023-11-29</t>
        </is>
      </c>
      <c r="K917" t="inlineStr">
        <is>
          <t>ESIOS 1001 geo 8741</t>
        </is>
      </c>
      <c r="L917" t="inlineStr">
        <is>
          <t>24 valores; mín 98.12, máx 264.66 €/MWh</t>
        </is>
      </c>
    </row>
    <row r="918">
      <c r="A918" s="53" t="n">
        <v>45261</v>
      </c>
      <c r="B918" t="inlineStr">
        <is>
          <t>2023-12-01</t>
        </is>
      </c>
      <c r="C918" s="45" t="n">
        <v>170.0762</v>
      </c>
      <c r="D918" t="inlineStr">
        <is>
          <t>€/MWh</t>
        </is>
      </c>
      <c r="E918" s="54" t="n">
        <v>0.170076</v>
      </c>
      <c r="F918" s="54" t="n">
        <v>0.17963</v>
      </c>
      <c r="G918" t="inlineStr">
        <is>
          <t>calculado</t>
        </is>
      </c>
      <c r="H918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918" t="inlineStr">
        <is>
          <t>2023-11-30</t>
        </is>
      </c>
      <c r="K918" t="inlineStr">
        <is>
          <t>ESIOS 1001 geo 8741</t>
        </is>
      </c>
      <c r="L918" t="inlineStr">
        <is>
          <t>24 valores; mín 125.03, máx 217.93 €/MWh</t>
        </is>
      </c>
    </row>
    <row r="919">
      <c r="A919" s="53" t="n">
        <v>45262</v>
      </c>
      <c r="B919" t="inlineStr">
        <is>
          <t>2023-12-02</t>
        </is>
      </c>
      <c r="C919" s="45" t="n">
        <v>121.8487</v>
      </c>
      <c r="D919" t="inlineStr">
        <is>
          <t>€/MWh</t>
        </is>
      </c>
      <c r="E919" s="54" t="n">
        <v>0.121849</v>
      </c>
      <c r="F919" s="54" t="n">
        <v>0.128991</v>
      </c>
      <c r="G919" t="inlineStr">
        <is>
          <t>calculado</t>
        </is>
      </c>
      <c r="H919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919" t="inlineStr">
        <is>
          <t>2023-12-01</t>
        </is>
      </c>
      <c r="K919" t="inlineStr">
        <is>
          <t>ESIOS 1001 geo 8741</t>
        </is>
      </c>
      <c r="L919" t="inlineStr">
        <is>
          <t>24 valores; mín 88.37, máx 177.49 €/MWh</t>
        </is>
      </c>
    </row>
    <row r="920">
      <c r="A920" s="53" t="n">
        <v>45263</v>
      </c>
      <c r="B920" t="inlineStr">
        <is>
          <t>2023-12-03</t>
        </is>
      </c>
      <c r="C920" s="45" t="n">
        <v>121.18</v>
      </c>
      <c r="D920" t="inlineStr">
        <is>
          <t>€/MWh</t>
        </is>
      </c>
      <c r="E920" s="54" t="n">
        <v>0.12118</v>
      </c>
      <c r="F920" s="54" t="n">
        <v>0.128289</v>
      </c>
      <c r="G920" t="inlineStr">
        <is>
          <t>calculado</t>
        </is>
      </c>
      <c r="H920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920" t="inlineStr">
        <is>
          <t>2023-12-02</t>
        </is>
      </c>
      <c r="K920" t="inlineStr">
        <is>
          <t>ESIOS 1001 geo 8741</t>
        </is>
      </c>
      <c r="L920" t="inlineStr">
        <is>
          <t>24 valores; mín 94.28, máx 141.69 €/MWh</t>
        </is>
      </c>
    </row>
    <row r="921">
      <c r="A921" s="53" t="n">
        <v>45264</v>
      </c>
      <c r="B921" t="inlineStr">
        <is>
          <t>2023-12-04</t>
        </is>
      </c>
      <c r="C921" s="45" t="n">
        <v>148.8629</v>
      </c>
      <c r="D921" t="inlineStr">
        <is>
          <t>€/MWh</t>
        </is>
      </c>
      <c r="E921" s="54" t="n">
        <v>0.148863</v>
      </c>
      <c r="F921" s="54" t="n">
        <v>0.157356</v>
      </c>
      <c r="G921" t="inlineStr">
        <is>
          <t>calculado</t>
        </is>
      </c>
      <c r="H921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921" t="inlineStr">
        <is>
          <t>2023-12-03</t>
        </is>
      </c>
      <c r="K921" t="inlineStr">
        <is>
          <t>ESIOS 1001 geo 8741</t>
        </is>
      </c>
      <c r="L921" t="inlineStr">
        <is>
          <t>24 valores; mín 92.67, máx 235.70 €/MWh</t>
        </is>
      </c>
    </row>
    <row r="922">
      <c r="A922" s="53" t="n">
        <v>45265</v>
      </c>
      <c r="B922" t="inlineStr">
        <is>
          <t>2023-12-05</t>
        </is>
      </c>
      <c r="C922" s="45" t="n">
        <v>187.6108</v>
      </c>
      <c r="D922" t="inlineStr">
        <is>
          <t>€/MWh</t>
        </is>
      </c>
      <c r="E922" s="54" t="n">
        <v>0.187611</v>
      </c>
      <c r="F922" s="54" t="n">
        <v>0.198041</v>
      </c>
      <c r="G922" t="inlineStr">
        <is>
          <t>calculado</t>
        </is>
      </c>
      <c r="H922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922" t="inlineStr">
        <is>
          <t>2023-12-04</t>
        </is>
      </c>
      <c r="K922" t="inlineStr">
        <is>
          <t>ESIOS 1001 geo 8741</t>
        </is>
      </c>
      <c r="L922" t="inlineStr">
        <is>
          <t>24 valores; mín 132.99, máx 263.03 €/MWh</t>
        </is>
      </c>
    </row>
    <row r="923">
      <c r="A923" s="53" t="n">
        <v>45266</v>
      </c>
      <c r="B923" t="inlineStr">
        <is>
          <t>2023-12-06</t>
        </is>
      </c>
      <c r="C923" s="45" t="n">
        <v>147.0117</v>
      </c>
      <c r="D923" t="inlineStr">
        <is>
          <t>€/MWh</t>
        </is>
      </c>
      <c r="E923" s="54" t="n">
        <v>0.147012</v>
      </c>
      <c r="F923" s="54" t="n">
        <v>0.155412</v>
      </c>
      <c r="G923" t="inlineStr">
        <is>
          <t>calculado</t>
        </is>
      </c>
      <c r="H923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923" t="inlineStr">
        <is>
          <t>2023-12-05</t>
        </is>
      </c>
      <c r="K923" t="inlineStr">
        <is>
          <t>ESIOS 1001 geo 8741</t>
        </is>
      </c>
      <c r="L923" t="inlineStr">
        <is>
          <t>24 valores; mín 133.90, máx 173.59 €/MWh</t>
        </is>
      </c>
    </row>
    <row r="924">
      <c r="A924" s="53" t="n">
        <v>45267</v>
      </c>
      <c r="B924" t="inlineStr">
        <is>
          <t>2023-12-07</t>
        </is>
      </c>
      <c r="C924" s="45" t="n">
        <v>156.9496</v>
      </c>
      <c r="D924" t="inlineStr">
        <is>
          <t>€/MWh</t>
        </is>
      </c>
      <c r="E924" s="54" t="n">
        <v>0.15695</v>
      </c>
      <c r="F924" s="54" t="n">
        <v>0.165847</v>
      </c>
      <c r="G924" t="inlineStr">
        <is>
          <t>calculado</t>
        </is>
      </c>
      <c r="H924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924" t="inlineStr">
        <is>
          <t>2023-12-06</t>
        </is>
      </c>
      <c r="K924" t="inlineStr">
        <is>
          <t>ESIOS 1001 geo 8741</t>
        </is>
      </c>
      <c r="L924" t="inlineStr">
        <is>
          <t>24 valores; mín 119.45, máx 201.42 €/MWh</t>
        </is>
      </c>
    </row>
    <row r="925">
      <c r="A925" s="53" t="n">
        <v>45268</v>
      </c>
      <c r="B925" t="inlineStr">
        <is>
          <t>2023-12-08</t>
        </is>
      </c>
      <c r="C925" s="45" t="n">
        <v>52.4171</v>
      </c>
      <c r="D925" t="inlineStr">
        <is>
          <t>€/MWh</t>
        </is>
      </c>
      <c r="E925" s="54" t="n">
        <v>0.052417</v>
      </c>
      <c r="F925" s="54" t="n">
        <v>0.056088</v>
      </c>
      <c r="G925" t="inlineStr">
        <is>
          <t>calculado</t>
        </is>
      </c>
      <c r="H925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925" t="inlineStr">
        <is>
          <t>2023-12-07</t>
        </is>
      </c>
      <c r="K925" t="inlineStr">
        <is>
          <t>ESIOS 1001 geo 8741</t>
        </is>
      </c>
      <c r="L925" t="inlineStr">
        <is>
          <t>24 valores; mín 24.00, máx 93.26 €/MWh</t>
        </is>
      </c>
    </row>
    <row r="926">
      <c r="A926" s="53" t="n">
        <v>45269</v>
      </c>
      <c r="B926" t="inlineStr">
        <is>
          <t>2023-12-09</t>
        </is>
      </c>
      <c r="C926" s="45" t="n">
        <v>70.9517</v>
      </c>
      <c r="D926" t="inlineStr">
        <is>
          <t>€/MWh</t>
        </is>
      </c>
      <c r="E926" s="54" t="n">
        <v>0.070952</v>
      </c>
      <c r="F926" s="54" t="n">
        <v>0.07554900000000001</v>
      </c>
      <c r="G926" t="inlineStr">
        <is>
          <t>calculado</t>
        </is>
      </c>
      <c r="H926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926" t="inlineStr">
        <is>
          <t>2023-12-08</t>
        </is>
      </c>
      <c r="K926" t="inlineStr">
        <is>
          <t>ESIOS 1001 geo 8741</t>
        </is>
      </c>
      <c r="L926" t="inlineStr">
        <is>
          <t>24 valores; mín 43.44, máx 113.76 €/MWh</t>
        </is>
      </c>
    </row>
    <row r="927">
      <c r="A927" s="53" t="n">
        <v>45270</v>
      </c>
      <c r="B927" t="inlineStr">
        <is>
          <t>2023-12-10</t>
        </is>
      </c>
      <c r="C927" s="45" t="n">
        <v>75.22</v>
      </c>
      <c r="D927" t="inlineStr">
        <is>
          <t>€/MWh</t>
        </is>
      </c>
      <c r="E927" s="54" t="n">
        <v>0.07522</v>
      </c>
      <c r="F927" s="54" t="n">
        <v>0.080031</v>
      </c>
      <c r="G927" t="inlineStr">
        <is>
          <t>calculado</t>
        </is>
      </c>
      <c r="H927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927" t="inlineStr">
        <is>
          <t>2023-12-09</t>
        </is>
      </c>
      <c r="K927" t="inlineStr">
        <is>
          <t>ESIOS 1001 geo 8741</t>
        </is>
      </c>
      <c r="L927" t="inlineStr">
        <is>
          <t>24 valores; mín 56.44, máx 97.77 €/MWh</t>
        </is>
      </c>
    </row>
    <row r="928">
      <c r="A928" s="53" t="n">
        <v>45271</v>
      </c>
      <c r="B928" t="inlineStr">
        <is>
          <t>2023-12-11</t>
        </is>
      </c>
      <c r="C928" s="45" t="n">
        <v>144.8537</v>
      </c>
      <c r="D928" t="inlineStr">
        <is>
          <t>€/MWh</t>
        </is>
      </c>
      <c r="E928" s="54" t="n">
        <v>0.144854</v>
      </c>
      <c r="F928" s="54" t="n">
        <v>0.153146</v>
      </c>
      <c r="G928" t="inlineStr">
        <is>
          <t>calculado</t>
        </is>
      </c>
      <c r="H928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928" t="inlineStr">
        <is>
          <t>2023-12-10</t>
        </is>
      </c>
      <c r="K928" t="inlineStr">
        <is>
          <t>ESIOS 1001 geo 8741</t>
        </is>
      </c>
      <c r="L928" t="inlineStr">
        <is>
          <t>24 valores; mín 51.69, máx 236.53 €/MWh</t>
        </is>
      </c>
    </row>
    <row r="929">
      <c r="A929" s="53" t="n">
        <v>45272</v>
      </c>
      <c r="B929" t="inlineStr">
        <is>
          <t>2023-12-12</t>
        </is>
      </c>
      <c r="C929" s="45" t="n">
        <v>136.5667</v>
      </c>
      <c r="D929" t="inlineStr">
        <is>
          <t>€/MWh</t>
        </is>
      </c>
      <c r="E929" s="54" t="n">
        <v>0.136567</v>
      </c>
      <c r="F929" s="54" t="n">
        <v>0.144445</v>
      </c>
      <c r="G929" t="inlineStr">
        <is>
          <t>calculado</t>
        </is>
      </c>
      <c r="H929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929" t="inlineStr">
        <is>
          <t>2023-12-11</t>
        </is>
      </c>
      <c r="K929" t="inlineStr">
        <is>
          <t>ESIOS 1001 geo 8741</t>
        </is>
      </c>
      <c r="L929" t="inlineStr">
        <is>
          <t>24 valores; mín 88.66, máx 200.91 €/MWh</t>
        </is>
      </c>
    </row>
    <row r="930">
      <c r="A930" s="53" t="n">
        <v>45273</v>
      </c>
      <c r="B930" t="inlineStr">
        <is>
          <t>2023-12-13</t>
        </is>
      </c>
      <c r="C930" s="45" t="n">
        <v>119.9067</v>
      </c>
      <c r="D930" t="inlineStr">
        <is>
          <t>€/MWh</t>
        </is>
      </c>
      <c r="E930" s="54" t="n">
        <v>0.119907</v>
      </c>
      <c r="F930" s="54" t="n">
        <v>0.126952</v>
      </c>
      <c r="G930" t="inlineStr">
        <is>
          <t>calculado</t>
        </is>
      </c>
      <c r="H930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930" t="inlineStr">
        <is>
          <t>2023-12-12</t>
        </is>
      </c>
      <c r="K930" t="inlineStr">
        <is>
          <t>ESIOS 1001 geo 8741</t>
        </is>
      </c>
      <c r="L930" t="inlineStr">
        <is>
          <t>24 valores; mín 71.19, máx 198.00 €/MWh</t>
        </is>
      </c>
    </row>
    <row r="931">
      <c r="A931" s="53" t="n">
        <v>45274</v>
      </c>
      <c r="B931" t="inlineStr">
        <is>
          <t>2023-12-14</t>
        </is>
      </c>
      <c r="C931" s="45" t="n">
        <v>132.0725</v>
      </c>
      <c r="D931" t="inlineStr">
        <is>
          <t>€/MWh</t>
        </is>
      </c>
      <c r="E931" s="54" t="n">
        <v>0.132072</v>
      </c>
      <c r="F931" s="54" t="n">
        <v>0.139726</v>
      </c>
      <c r="G931" t="inlineStr">
        <is>
          <t>calculado</t>
        </is>
      </c>
      <c r="H931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931" t="inlineStr">
        <is>
          <t>2023-12-13</t>
        </is>
      </c>
      <c r="K931" t="inlineStr">
        <is>
          <t>ESIOS 1001 geo 8741</t>
        </is>
      </c>
      <c r="L931" t="inlineStr">
        <is>
          <t>24 valores; mín 83.16, máx 212.47 €/MWh</t>
        </is>
      </c>
    </row>
    <row r="932">
      <c r="A932" s="53" t="n">
        <v>45275</v>
      </c>
      <c r="B932" t="inlineStr">
        <is>
          <t>2023-12-15</t>
        </is>
      </c>
      <c r="C932" s="45" t="n">
        <v>140.3621</v>
      </c>
      <c r="D932" t="inlineStr">
        <is>
          <t>€/MWh</t>
        </is>
      </c>
      <c r="E932" s="54" t="n">
        <v>0.140362</v>
      </c>
      <c r="F932" s="54" t="n">
        <v>0.14843</v>
      </c>
      <c r="G932" t="inlineStr">
        <is>
          <t>calculado</t>
        </is>
      </c>
      <c r="H932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932" t="inlineStr">
        <is>
          <t>2023-12-14</t>
        </is>
      </c>
      <c r="K932" t="inlineStr">
        <is>
          <t>ESIOS 1001 geo 8741</t>
        </is>
      </c>
      <c r="L932" t="inlineStr">
        <is>
          <t>24 valores; mín 102.48, máx 195.41 €/MWh</t>
        </is>
      </c>
    </row>
    <row r="933">
      <c r="A933" s="53" t="n">
        <v>45276</v>
      </c>
      <c r="B933" t="inlineStr">
        <is>
          <t>2023-12-16</t>
        </is>
      </c>
      <c r="C933" s="45" t="n">
        <v>116.2796</v>
      </c>
      <c r="D933" t="inlineStr">
        <is>
          <t>€/MWh</t>
        </is>
      </c>
      <c r="E933" s="54" t="n">
        <v>0.11628</v>
      </c>
      <c r="F933" s="54" t="n">
        <v>0.123144</v>
      </c>
      <c r="G933" t="inlineStr">
        <is>
          <t>calculado</t>
        </is>
      </c>
      <c r="H933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933" t="inlineStr">
        <is>
          <t>2023-12-15</t>
        </is>
      </c>
      <c r="K933" t="inlineStr">
        <is>
          <t>ESIOS 1001 geo 8741</t>
        </is>
      </c>
      <c r="L933" t="inlineStr">
        <is>
          <t>24 valores; mín 94.48, máx 143.99 €/MWh</t>
        </is>
      </c>
    </row>
    <row r="934">
      <c r="A934" s="53" t="n">
        <v>45277</v>
      </c>
      <c r="B934" t="inlineStr">
        <is>
          <t>2023-12-17</t>
        </is>
      </c>
      <c r="C934" s="45" t="n">
        <v>115.1271</v>
      </c>
      <c r="D934" t="inlineStr">
        <is>
          <t>€/MWh</t>
        </is>
      </c>
      <c r="E934" s="54" t="n">
        <v>0.115127</v>
      </c>
      <c r="F934" s="54" t="n">
        <v>0.121933</v>
      </c>
      <c r="G934" t="inlineStr">
        <is>
          <t>calculado</t>
        </is>
      </c>
      <c r="H934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934" t="inlineStr">
        <is>
          <t>2023-12-16</t>
        </is>
      </c>
      <c r="K934" t="inlineStr">
        <is>
          <t>ESIOS 1001 geo 8741</t>
        </is>
      </c>
      <c r="L934" t="inlineStr">
        <is>
          <t>24 valores; mín 74.20, máx 154.38 €/MWh</t>
        </is>
      </c>
    </row>
    <row r="935">
      <c r="A935" s="53" t="n">
        <v>45278</v>
      </c>
      <c r="B935" t="inlineStr">
        <is>
          <t>2023-12-18</t>
        </is>
      </c>
      <c r="C935" s="45" t="n">
        <v>167.4121</v>
      </c>
      <c r="D935" t="inlineStr">
        <is>
          <t>€/MWh</t>
        </is>
      </c>
      <c r="E935" s="54" t="n">
        <v>0.167412</v>
      </c>
      <c r="F935" s="54" t="n">
        <v>0.176833</v>
      </c>
      <c r="G935" t="inlineStr">
        <is>
          <t>calculado</t>
        </is>
      </c>
      <c r="H935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935" t="inlineStr">
        <is>
          <t>2023-12-17</t>
        </is>
      </c>
      <c r="K935" t="inlineStr">
        <is>
          <t>ESIOS 1001 geo 8741</t>
        </is>
      </c>
      <c r="L935" t="inlineStr">
        <is>
          <t>24 valores; mín 119.65, máx 294.47 €/MWh</t>
        </is>
      </c>
    </row>
    <row r="936">
      <c r="A936" s="53" t="n">
        <v>45279</v>
      </c>
      <c r="B936" t="inlineStr">
        <is>
          <t>2023-12-19</t>
        </is>
      </c>
      <c r="C936" s="45" t="n">
        <v>153.5992</v>
      </c>
      <c r="D936" t="inlineStr">
        <is>
          <t>€/MWh</t>
        </is>
      </c>
      <c r="E936" s="54" t="n">
        <v>0.153599</v>
      </c>
      <c r="F936" s="54" t="n">
        <v>0.162329</v>
      </c>
      <c r="G936" t="inlineStr">
        <is>
          <t>calculado</t>
        </is>
      </c>
      <c r="H936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936" t="inlineStr">
        <is>
          <t>2023-12-18</t>
        </is>
      </c>
      <c r="K936" t="inlineStr">
        <is>
          <t>ESIOS 1001 geo 8741</t>
        </is>
      </c>
      <c r="L936" t="inlineStr">
        <is>
          <t>24 valores; mín 109.49, máx 201.66 €/MWh</t>
        </is>
      </c>
    </row>
    <row r="937">
      <c r="A937" s="53" t="n">
        <v>45280</v>
      </c>
      <c r="B937" t="inlineStr">
        <is>
          <t>2023-12-20</t>
        </is>
      </c>
      <c r="C937" s="45" t="n">
        <v>123.8421</v>
      </c>
      <c r="D937" t="inlineStr">
        <is>
          <t>€/MWh</t>
        </is>
      </c>
      <c r="E937" s="54" t="n">
        <v>0.123842</v>
      </c>
      <c r="F937" s="54" t="n">
        <v>0.131084</v>
      </c>
      <c r="G937" t="inlineStr">
        <is>
          <t>calculado</t>
        </is>
      </c>
      <c r="H937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937" t="inlineStr">
        <is>
          <t>2023-12-19</t>
        </is>
      </c>
      <c r="K937" t="inlineStr">
        <is>
          <t>ESIOS 1001 geo 8741</t>
        </is>
      </c>
      <c r="L937" t="inlineStr">
        <is>
          <t>24 valores; mín 64.14, máx 192.32 €/MWh</t>
        </is>
      </c>
    </row>
    <row r="938">
      <c r="A938" s="53" t="n">
        <v>45281</v>
      </c>
      <c r="B938" t="inlineStr">
        <is>
          <t>2023-12-21</t>
        </is>
      </c>
      <c r="C938" s="45" t="n">
        <v>115.4117</v>
      </c>
      <c r="D938" t="inlineStr">
        <is>
          <t>€/MWh</t>
        </is>
      </c>
      <c r="E938" s="54" t="n">
        <v>0.115412</v>
      </c>
      <c r="F938" s="54" t="n">
        <v>0.122232</v>
      </c>
      <c r="G938" t="inlineStr">
        <is>
          <t>calculado</t>
        </is>
      </c>
      <c r="H938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938" t="inlineStr">
        <is>
          <t>2023-12-20</t>
        </is>
      </c>
      <c r="K938" t="inlineStr">
        <is>
          <t>ESIOS 1001 geo 8741</t>
        </is>
      </c>
      <c r="L938" t="inlineStr">
        <is>
          <t>24 valores; mín 71.45, máx 178.06 €/MWh</t>
        </is>
      </c>
    </row>
    <row r="939">
      <c r="A939" s="53" t="n">
        <v>45282</v>
      </c>
      <c r="B939" t="inlineStr">
        <is>
          <t>2023-12-22</t>
        </is>
      </c>
      <c r="C939" s="45" t="n">
        <v>113.6521</v>
      </c>
      <c r="D939" t="inlineStr">
        <is>
          <t>€/MWh</t>
        </is>
      </c>
      <c r="E939" s="54" t="n">
        <v>0.113652</v>
      </c>
      <c r="F939" s="54" t="n">
        <v>0.120385</v>
      </c>
      <c r="G939" t="inlineStr">
        <is>
          <t>calculado</t>
        </is>
      </c>
      <c r="H939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939" t="inlineStr">
        <is>
          <t>2023-12-21</t>
        </is>
      </c>
      <c r="K939" t="inlineStr">
        <is>
          <t>ESIOS 1001 geo 8741</t>
        </is>
      </c>
      <c r="L939" t="inlineStr">
        <is>
          <t>24 valores; mín 58.05, máx 178.59 €/MWh</t>
        </is>
      </c>
    </row>
    <row r="940">
      <c r="A940" s="53" t="n">
        <v>45283</v>
      </c>
      <c r="B940" t="inlineStr">
        <is>
          <t>2023-12-23</t>
        </is>
      </c>
      <c r="C940" s="45" t="n">
        <v>77.5142</v>
      </c>
      <c r="D940" t="inlineStr">
        <is>
          <t>€/MWh</t>
        </is>
      </c>
      <c r="E940" s="54" t="n">
        <v>0.077514</v>
      </c>
      <c r="F940" s="54" t="n">
        <v>0.08244</v>
      </c>
      <c r="G940" t="inlineStr">
        <is>
          <t>calculado</t>
        </is>
      </c>
      <c r="H940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940" t="inlineStr">
        <is>
          <t>2023-12-22</t>
        </is>
      </c>
      <c r="K940" t="inlineStr">
        <is>
          <t>ESIOS 1001 geo 8741</t>
        </is>
      </c>
      <c r="L940" t="inlineStr">
        <is>
          <t>24 valores; mín 50.00, máx 109.08 €/MWh</t>
        </is>
      </c>
    </row>
    <row r="941">
      <c r="A941" s="53" t="n">
        <v>45284</v>
      </c>
      <c r="B941" t="inlineStr">
        <is>
          <t>2023-12-24</t>
        </is>
      </c>
      <c r="C941" s="45" t="n">
        <v>110.31</v>
      </c>
      <c r="D941" t="inlineStr">
        <is>
          <t>€/MWh</t>
        </is>
      </c>
      <c r="E941" s="54" t="n">
        <v>0.11031</v>
      </c>
      <c r="F941" s="54" t="n">
        <v>0.116876</v>
      </c>
      <c r="G941" t="inlineStr">
        <is>
          <t>calculado</t>
        </is>
      </c>
      <c r="H941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941" t="inlineStr">
        <is>
          <t>2023-12-23</t>
        </is>
      </c>
      <c r="K941" t="inlineStr">
        <is>
          <t>ESIOS 1001 geo 8741</t>
        </is>
      </c>
      <c r="L941" t="inlineStr">
        <is>
          <t>24 valores; mín 79.62, máx 151.09 €/MWh</t>
        </is>
      </c>
    </row>
    <row r="942">
      <c r="A942" s="53" t="n">
        <v>45285</v>
      </c>
      <c r="B942" t="inlineStr">
        <is>
          <t>2023-12-25</t>
        </is>
      </c>
      <c r="C942" s="45" t="n">
        <v>109.0975</v>
      </c>
      <c r="D942" t="inlineStr">
        <is>
          <t>€/MWh</t>
        </is>
      </c>
      <c r="E942" s="54" t="n">
        <v>0.109098</v>
      </c>
      <c r="F942" s="54" t="n">
        <v>0.115602</v>
      </c>
      <c r="G942" t="inlineStr">
        <is>
          <t>calculado</t>
        </is>
      </c>
      <c r="H942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942" t="inlineStr">
        <is>
          <t>2023-12-24</t>
        </is>
      </c>
      <c r="K942" t="inlineStr">
        <is>
          <t>ESIOS 1001 geo 8741</t>
        </is>
      </c>
      <c r="L942" t="inlineStr">
        <is>
          <t>24 valores; mín 88.55, máx 128.20 €/MWh</t>
        </is>
      </c>
    </row>
    <row r="943">
      <c r="A943" s="53" t="n">
        <v>45286</v>
      </c>
      <c r="B943" t="inlineStr">
        <is>
          <t>2023-12-26</t>
        </is>
      </c>
      <c r="C943" s="45" t="n">
        <v>166.9788</v>
      </c>
      <c r="D943" t="inlineStr">
        <is>
          <t>€/MWh</t>
        </is>
      </c>
      <c r="E943" s="54" t="n">
        <v>0.166979</v>
      </c>
      <c r="F943" s="54" t="n">
        <v>0.176378</v>
      </c>
      <c r="G943" t="inlineStr">
        <is>
          <t>calculado</t>
        </is>
      </c>
      <c r="H943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943" t="inlineStr">
        <is>
          <t>2023-12-25</t>
        </is>
      </c>
      <c r="K943" t="inlineStr">
        <is>
          <t>ESIOS 1001 geo 8741</t>
        </is>
      </c>
      <c r="L943" t="inlineStr">
        <is>
          <t>24 valores; mín 131.47, máx 256.60 €/MWh</t>
        </is>
      </c>
    </row>
    <row r="944">
      <c r="A944" s="53" t="n">
        <v>45287</v>
      </c>
      <c r="B944" t="inlineStr">
        <is>
          <t>2023-12-27</t>
        </is>
      </c>
      <c r="C944" s="45" t="n">
        <v>146.6646</v>
      </c>
      <c r="D944" t="inlineStr">
        <is>
          <t>€/MWh</t>
        </is>
      </c>
      <c r="E944" s="54" t="n">
        <v>0.146665</v>
      </c>
      <c r="F944" s="54" t="n">
        <v>0.155048</v>
      </c>
      <c r="G944" t="inlineStr">
        <is>
          <t>calculado</t>
        </is>
      </c>
      <c r="H944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944" t="inlineStr">
        <is>
          <t>2023-12-26</t>
        </is>
      </c>
      <c r="K944" t="inlineStr">
        <is>
          <t>ESIOS 1001 geo 8741</t>
        </is>
      </c>
      <c r="L944" t="inlineStr">
        <is>
          <t>24 valores; mín 89.73, máx 232.12 €/MWh</t>
        </is>
      </c>
    </row>
    <row r="945">
      <c r="A945" s="53" t="n">
        <v>45288</v>
      </c>
      <c r="B945" t="inlineStr">
        <is>
          <t>2023-12-28</t>
        </is>
      </c>
      <c r="C945" s="45" t="n">
        <v>168.3588</v>
      </c>
      <c r="D945" t="inlineStr">
        <is>
          <t>€/MWh</t>
        </is>
      </c>
      <c r="E945" s="54" t="n">
        <v>0.168359</v>
      </c>
      <c r="F945" s="54" t="n">
        <v>0.177827</v>
      </c>
      <c r="G945" t="inlineStr">
        <is>
          <t>calculado</t>
        </is>
      </c>
      <c r="H945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945" t="inlineStr">
        <is>
          <t>2023-12-27</t>
        </is>
      </c>
      <c r="K945" t="inlineStr">
        <is>
          <t>ESIOS 1001 geo 8741</t>
        </is>
      </c>
      <c r="L945" t="inlineStr">
        <is>
          <t>24 valores; mín 118.65, máx 241.52 €/MWh</t>
        </is>
      </c>
    </row>
    <row r="946">
      <c r="A946" s="53" t="n">
        <v>45289</v>
      </c>
      <c r="B946" t="inlineStr">
        <is>
          <t>2023-12-29</t>
        </is>
      </c>
      <c r="C946" s="45" t="n">
        <v>174.6213</v>
      </c>
      <c r="D946" t="inlineStr">
        <is>
          <t>€/MWh</t>
        </is>
      </c>
      <c r="E946" s="54" t="n">
        <v>0.174621</v>
      </c>
      <c r="F946" s="54" t="n">
        <v>0.184402</v>
      </c>
      <c r="G946" t="inlineStr">
        <is>
          <t>calculado</t>
        </is>
      </c>
      <c r="H946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946" t="inlineStr">
        <is>
          <t>2023-12-28</t>
        </is>
      </c>
      <c r="K946" t="inlineStr">
        <is>
          <t>ESIOS 1001 geo 8741</t>
        </is>
      </c>
      <c r="L946" t="inlineStr">
        <is>
          <t>24 valores; mín 130.09, máx 239.89 €/MWh</t>
        </is>
      </c>
    </row>
    <row r="947">
      <c r="A947" s="53" t="n">
        <v>45290</v>
      </c>
      <c r="B947" t="inlineStr">
        <is>
          <t>2023-12-30</t>
        </is>
      </c>
      <c r="C947" s="45" t="n">
        <v>107.0367</v>
      </c>
      <c r="D947" t="inlineStr">
        <is>
          <t>€/MWh</t>
        </is>
      </c>
      <c r="E947" s="54" t="n">
        <v>0.107037</v>
      </c>
      <c r="F947" s="54" t="n">
        <v>0.113439</v>
      </c>
      <c r="G947" t="inlineStr">
        <is>
          <t>calculado</t>
        </is>
      </c>
      <c r="H947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947" t="inlineStr">
        <is>
          <t>2023-12-29</t>
        </is>
      </c>
      <c r="K947" t="inlineStr">
        <is>
          <t>ESIOS 1001 geo 8741</t>
        </is>
      </c>
      <c r="L947" t="inlineStr">
        <is>
          <t>24 valores; mín 71.69, máx 129.68 €/MWh</t>
        </is>
      </c>
    </row>
    <row r="948">
      <c r="A948" s="53" t="n">
        <v>45291</v>
      </c>
      <c r="B948" t="inlineStr">
        <is>
          <t>2023-12-31</t>
        </is>
      </c>
      <c r="C948" s="45" t="n">
        <v>63.6771</v>
      </c>
      <c r="D948" t="inlineStr">
        <is>
          <t>€/MWh</t>
        </is>
      </c>
      <c r="E948" s="54" t="n">
        <v>0.063677</v>
      </c>
      <c r="F948" s="54" t="n">
        <v>0.067911</v>
      </c>
      <c r="G948" t="inlineStr">
        <is>
          <t>calculado</t>
        </is>
      </c>
      <c r="H948" t="inlineStr">
        <is>
          <t>IEE 0.5 % con cuota mínima 1 €/MWh (RDL 17/2021 DA 6ª (prorrogado por RDL 29/2021, 6/2022, 11/2022 y 20/2022)) + IVA 5 % (RDL 11/2022 art. 18 (prorrogado por RDL 20/2022) (condición: mes anterior &gt; 45 €/MWh))</t>
        </is>
      </c>
      <c r="J948" t="inlineStr">
        <is>
          <t>2023-12-30</t>
        </is>
      </c>
      <c r="K948" t="inlineStr">
        <is>
          <t>ESIOS 1001 geo 8741</t>
        </is>
      </c>
      <c r="L948" t="inlineStr">
        <is>
          <t>24 valores; mín 31.18, máx 141.13 €/MWh</t>
        </is>
      </c>
    </row>
    <row r="949">
      <c r="A949" s="53" t="n">
        <v>45292</v>
      </c>
      <c r="B949" t="inlineStr">
        <is>
          <t>2024-01-01</t>
        </is>
      </c>
      <c r="C949" s="45" t="n">
        <v>90.57040000000001</v>
      </c>
      <c r="D949" t="inlineStr">
        <is>
          <t>€/MWh</t>
        </is>
      </c>
      <c r="E949" s="54" t="n">
        <v>0.09057</v>
      </c>
      <c r="F949" s="54" t="n">
        <v>0.102118</v>
      </c>
      <c r="G949" t="inlineStr">
        <is>
          <t>calculado</t>
        </is>
      </c>
      <c r="H949" t="inlineStr">
        <is>
          <t>IEE 2.5 % con cuota mínima 1 €/MWh (RDL 8/2023 art. 22.1) + IVA 10 % (RDL 8/2023 art. 21.1 (condición: mes anterior &gt; 45 €/MWh))</t>
        </is>
      </c>
      <c r="J949" t="inlineStr">
        <is>
          <t>2023-12-31</t>
        </is>
      </c>
      <c r="K949" t="inlineStr">
        <is>
          <t>ESIOS 1001 geo 8741</t>
        </is>
      </c>
      <c r="L949" t="inlineStr">
        <is>
          <t>24 valores; mín 44.17, máx 123.83 €/MWh</t>
        </is>
      </c>
    </row>
    <row r="950">
      <c r="A950" s="53" t="n">
        <v>45293</v>
      </c>
      <c r="B950" t="inlineStr">
        <is>
          <t>2024-01-02</t>
        </is>
      </c>
      <c r="C950" s="45" t="n">
        <v>120.4796</v>
      </c>
      <c r="D950" t="inlineStr">
        <is>
          <t>€/MWh</t>
        </is>
      </c>
      <c r="E950" s="54" t="n">
        <v>0.12048</v>
      </c>
      <c r="F950" s="54" t="n">
        <v>0.135841</v>
      </c>
      <c r="G950" t="inlineStr">
        <is>
          <t>calculado</t>
        </is>
      </c>
      <c r="H950" t="inlineStr">
        <is>
          <t>IEE 2.5 % con cuota mínima 1 €/MWh (RDL 8/2023 art. 22.1) + IVA 10 % (RDL 8/2023 art. 21.1 (condición: mes anterior &gt; 45 €/MWh))</t>
        </is>
      </c>
      <c r="J950" t="inlineStr">
        <is>
          <t>2024-01-01</t>
        </is>
      </c>
      <c r="K950" t="inlineStr">
        <is>
          <t>ESIOS 1001 geo 8741</t>
        </is>
      </c>
      <c r="L950" t="inlineStr">
        <is>
          <t>24 valores; mín 56.30, máx 183.55 €/MWh</t>
        </is>
      </c>
    </row>
    <row r="951">
      <c r="A951" s="53" t="n">
        <v>45294</v>
      </c>
      <c r="B951" t="inlineStr">
        <is>
          <t>2024-01-03</t>
        </is>
      </c>
      <c r="C951" s="45" t="n">
        <v>130.6033</v>
      </c>
      <c r="D951" t="inlineStr">
        <is>
          <t>€/MWh</t>
        </is>
      </c>
      <c r="E951" s="54" t="n">
        <v>0.130603</v>
      </c>
      <c r="F951" s="54" t="n">
        <v>0.147255</v>
      </c>
      <c r="G951" t="inlineStr">
        <is>
          <t>calculado</t>
        </is>
      </c>
      <c r="H951" t="inlineStr">
        <is>
          <t>IEE 2.5 % con cuota mínima 1 €/MWh (RDL 8/2023 art. 22.1) + IVA 10 % (RDL 8/2023 art. 21.1 (condición: mes anterior &gt; 45 €/MWh))</t>
        </is>
      </c>
      <c r="J951" t="inlineStr">
        <is>
          <t>2024-01-02</t>
        </is>
      </c>
      <c r="K951" t="inlineStr">
        <is>
          <t>ESIOS 1001 geo 8741</t>
        </is>
      </c>
      <c r="L951" t="inlineStr">
        <is>
          <t>24 valores; mín 38.30, máx 241.78 €/MWh</t>
        </is>
      </c>
    </row>
    <row r="952">
      <c r="A952" s="53" t="n">
        <v>45295</v>
      </c>
      <c r="B952" t="inlineStr">
        <is>
          <t>2024-01-04</t>
        </is>
      </c>
      <c r="C952" s="45" t="n">
        <v>165.8363</v>
      </c>
      <c r="D952" t="inlineStr">
        <is>
          <t>€/MWh</t>
        </is>
      </c>
      <c r="E952" s="54" t="n">
        <v>0.165836</v>
      </c>
      <c r="F952" s="54" t="n">
        <v>0.18698</v>
      </c>
      <c r="G952" t="inlineStr">
        <is>
          <t>calculado</t>
        </is>
      </c>
      <c r="H952" t="inlineStr">
        <is>
          <t>IEE 2.5 % con cuota mínima 1 €/MWh (RDL 8/2023 art. 22.1) + IVA 10 % (RDL 8/2023 art. 21.1 (condición: mes anterior &gt; 45 €/MWh))</t>
        </is>
      </c>
      <c r="J952" t="inlineStr">
        <is>
          <t>2024-01-03</t>
        </is>
      </c>
      <c r="K952" t="inlineStr">
        <is>
          <t>ESIOS 1001 geo 8741</t>
        </is>
      </c>
      <c r="L952" t="inlineStr">
        <is>
          <t>24 valores; mín 111.53, máx 221.77 €/MWh</t>
        </is>
      </c>
    </row>
    <row r="953">
      <c r="A953" s="53" t="n">
        <v>45296</v>
      </c>
      <c r="B953" t="inlineStr">
        <is>
          <t>2024-01-05</t>
        </is>
      </c>
      <c r="C953" s="45" t="n">
        <v>143.9612</v>
      </c>
      <c r="D953" t="inlineStr">
        <is>
          <t>€/MWh</t>
        </is>
      </c>
      <c r="E953" s="54" t="n">
        <v>0.143961</v>
      </c>
      <c r="F953" s="54" t="n">
        <v>0.162316</v>
      </c>
      <c r="G953" t="inlineStr">
        <is>
          <t>calculado</t>
        </is>
      </c>
      <c r="H953" t="inlineStr">
        <is>
          <t>IEE 2.5 % con cuota mínima 1 €/MWh (RDL 8/2023 art. 22.1) + IVA 10 % (RDL 8/2023 art. 21.1 (condición: mes anterior &gt; 45 €/MWh))</t>
        </is>
      </c>
      <c r="J953" t="inlineStr">
        <is>
          <t>2024-01-04</t>
        </is>
      </c>
      <c r="K953" t="inlineStr">
        <is>
          <t>ESIOS 1001 geo 8741</t>
        </is>
      </c>
      <c r="L953" t="inlineStr">
        <is>
          <t>24 valores; mín 90.57, máx 196.88 €/MWh</t>
        </is>
      </c>
    </row>
    <row r="954">
      <c r="A954" s="53" t="n">
        <v>45297</v>
      </c>
      <c r="B954" t="inlineStr">
        <is>
          <t>2024-01-06</t>
        </is>
      </c>
      <c r="C954" s="45" t="n">
        <v>88.5025</v>
      </c>
      <c r="D954" t="inlineStr">
        <is>
          <t>€/MWh</t>
        </is>
      </c>
      <c r="E954" s="54" t="n">
        <v>0.088502</v>
      </c>
      <c r="F954" s="54" t="n">
        <v>0.099787</v>
      </c>
      <c r="G954" t="inlineStr">
        <is>
          <t>calculado</t>
        </is>
      </c>
      <c r="H954" t="inlineStr">
        <is>
          <t>IEE 2.5 % con cuota mínima 1 €/MWh (RDL 8/2023 art. 22.1) + IVA 10 % (RDL 8/2023 art. 21.1 (condición: mes anterior &gt; 45 €/MWh))</t>
        </is>
      </c>
      <c r="J954" t="inlineStr">
        <is>
          <t>2024-01-05</t>
        </is>
      </c>
      <c r="K954" t="inlineStr">
        <is>
          <t>ESIOS 1001 geo 8741</t>
        </is>
      </c>
      <c r="L954" t="inlineStr">
        <is>
          <t>24 valores; mín 33.82, máx 141.47 €/MWh</t>
        </is>
      </c>
    </row>
    <row r="955">
      <c r="A955" s="53" t="n">
        <v>45298</v>
      </c>
      <c r="B955" t="inlineStr">
        <is>
          <t>2024-01-07</t>
        </is>
      </c>
      <c r="C955" s="45" t="n">
        <v>120.9196</v>
      </c>
      <c r="D955" t="inlineStr">
        <is>
          <t>€/MWh</t>
        </is>
      </c>
      <c r="E955" s="54" t="n">
        <v>0.12092</v>
      </c>
      <c r="F955" s="54" t="n">
        <v>0.136337</v>
      </c>
      <c r="G955" t="inlineStr">
        <is>
          <t>calculado</t>
        </is>
      </c>
      <c r="H955" t="inlineStr">
        <is>
          <t>IEE 2.5 % con cuota mínima 1 €/MWh (RDL 8/2023 art. 22.1) + IVA 10 % (RDL 8/2023 art. 21.1 (condición: mes anterior &gt; 45 €/MWh))</t>
        </is>
      </c>
      <c r="J955" t="inlineStr">
        <is>
          <t>2024-01-06</t>
        </is>
      </c>
      <c r="K955" t="inlineStr">
        <is>
          <t>ESIOS 1001 geo 8741</t>
        </is>
      </c>
      <c r="L955" t="inlineStr">
        <is>
          <t>24 valores; mín 81.26, máx 149.84 €/MWh</t>
        </is>
      </c>
    </row>
    <row r="956">
      <c r="A956" s="53" t="n">
        <v>45299</v>
      </c>
      <c r="B956" t="inlineStr">
        <is>
          <t>2024-01-08</t>
        </is>
      </c>
      <c r="C956" s="45" t="n">
        <v>178.2029</v>
      </c>
      <c r="D956" t="inlineStr">
        <is>
          <t>€/MWh</t>
        </is>
      </c>
      <c r="E956" s="54" t="n">
        <v>0.178203</v>
      </c>
      <c r="F956" s="54" t="n">
        <v>0.200924</v>
      </c>
      <c r="G956" t="inlineStr">
        <is>
          <t>calculado</t>
        </is>
      </c>
      <c r="H956" t="inlineStr">
        <is>
          <t>IEE 2.5 % con cuota mínima 1 €/MWh (RDL 8/2023 art. 22.1) + IVA 10 % (RDL 8/2023 art. 21.1 (condición: mes anterior &gt; 45 €/MWh))</t>
        </is>
      </c>
      <c r="J956" t="inlineStr">
        <is>
          <t>2024-01-07</t>
        </is>
      </c>
      <c r="K956" t="inlineStr">
        <is>
          <t>ESIOS 1001 geo 8741</t>
        </is>
      </c>
      <c r="L956" t="inlineStr">
        <is>
          <t>24 valores; mín 122.81, máx 249.46 €/MWh</t>
        </is>
      </c>
    </row>
    <row r="957">
      <c r="A957" s="53" t="n">
        <v>45300</v>
      </c>
      <c r="B957" t="inlineStr">
        <is>
          <t>2024-01-09</t>
        </is>
      </c>
      <c r="C957" s="45" t="n">
        <v>183.9688</v>
      </c>
      <c r="D957" t="inlineStr">
        <is>
          <t>€/MWh</t>
        </is>
      </c>
      <c r="E957" s="54" t="n">
        <v>0.183969</v>
      </c>
      <c r="F957" s="54" t="n">
        <v>0.207425</v>
      </c>
      <c r="G957" t="inlineStr">
        <is>
          <t>calculado</t>
        </is>
      </c>
      <c r="H957" t="inlineStr">
        <is>
          <t>IEE 2.5 % con cuota mínima 1 €/MWh (RDL 8/2023 art. 22.1) + IVA 10 % (RDL 8/2023 art. 21.1 (condición: mes anterior &gt; 45 €/MWh))</t>
        </is>
      </c>
      <c r="J957" t="inlineStr">
        <is>
          <t>2024-01-08</t>
        </is>
      </c>
      <c r="K957" t="inlineStr">
        <is>
          <t>ESIOS 1001 geo 8741</t>
        </is>
      </c>
      <c r="L957" t="inlineStr">
        <is>
          <t>24 valores; mín 134.99, máx 266.36 €/MWh</t>
        </is>
      </c>
    </row>
    <row r="958">
      <c r="A958" s="53" t="n">
        <v>45301</v>
      </c>
      <c r="B958" t="inlineStr">
        <is>
          <t>2024-01-10</t>
        </is>
      </c>
      <c r="C958" s="45" t="n">
        <v>169.9013</v>
      </c>
      <c r="D958" t="inlineStr">
        <is>
          <t>€/MWh</t>
        </is>
      </c>
      <c r="E958" s="54" t="n">
        <v>0.169901</v>
      </c>
      <c r="F958" s="54" t="n">
        <v>0.191564</v>
      </c>
      <c r="G958" t="inlineStr">
        <is>
          <t>calculado</t>
        </is>
      </c>
      <c r="H958" t="inlineStr">
        <is>
          <t>IEE 2.5 % con cuota mínima 1 €/MWh (RDL 8/2023 art. 22.1) + IVA 10 % (RDL 8/2023 art. 21.1 (condición: mes anterior &gt; 45 €/MWh))</t>
        </is>
      </c>
      <c r="J958" t="inlineStr">
        <is>
          <t>2024-01-09</t>
        </is>
      </c>
      <c r="K958" t="inlineStr">
        <is>
          <t>ESIOS 1001 geo 8741</t>
        </is>
      </c>
      <c r="L958" t="inlineStr">
        <is>
          <t>24 valores; mín 121.35, máx 235.88 €/MWh</t>
        </is>
      </c>
    </row>
    <row r="959">
      <c r="A959" s="53" t="n">
        <v>45302</v>
      </c>
      <c r="B959" t="inlineStr">
        <is>
          <t>2024-01-11</t>
        </is>
      </c>
      <c r="C959" s="45" t="n">
        <v>167.155</v>
      </c>
      <c r="D959" t="inlineStr">
        <is>
          <t>€/MWh</t>
        </is>
      </c>
      <c r="E959" s="54" t="n">
        <v>0.167155</v>
      </c>
      <c r="F959" s="54" t="n">
        <v>0.188467</v>
      </c>
      <c r="G959" t="inlineStr">
        <is>
          <t>calculado</t>
        </is>
      </c>
      <c r="H959" t="inlineStr">
        <is>
          <t>IEE 2.5 % con cuota mínima 1 €/MWh (RDL 8/2023 art. 22.1) + IVA 10 % (RDL 8/2023 art. 21.1 (condición: mes anterior &gt; 45 €/MWh))</t>
        </is>
      </c>
      <c r="J959" t="inlineStr">
        <is>
          <t>2024-01-10</t>
        </is>
      </c>
      <c r="K959" t="inlineStr">
        <is>
          <t>ESIOS 1001 geo 8741</t>
        </is>
      </c>
      <c r="L959" t="inlineStr">
        <is>
          <t>24 valores; mín 116.14, máx 251.23 €/MWh</t>
        </is>
      </c>
    </row>
    <row r="960">
      <c r="A960" s="53" t="n">
        <v>45303</v>
      </c>
      <c r="B960" t="inlineStr">
        <is>
          <t>2024-01-12</t>
        </is>
      </c>
      <c r="C960" s="45" t="n">
        <v>167.0642</v>
      </c>
      <c r="D960" t="inlineStr">
        <is>
          <t>€/MWh</t>
        </is>
      </c>
      <c r="E960" s="54" t="n">
        <v>0.167064</v>
      </c>
      <c r="F960" s="54" t="n">
        <v>0.188365</v>
      </c>
      <c r="G960" t="inlineStr">
        <is>
          <t>calculado</t>
        </is>
      </c>
      <c r="H960" t="inlineStr">
        <is>
          <t>IEE 2.5 % con cuota mínima 1 €/MWh (RDL 8/2023 art. 22.1) + IVA 10 % (RDL 8/2023 art. 21.1 (condición: mes anterior &gt; 45 €/MWh))</t>
        </is>
      </c>
      <c r="J960" t="inlineStr">
        <is>
          <t>2024-01-11</t>
        </is>
      </c>
      <c r="K960" t="inlineStr">
        <is>
          <t>ESIOS 1001 geo 8741</t>
        </is>
      </c>
      <c r="L960" t="inlineStr">
        <is>
          <t>24 valores; mín 119.17, máx 242.28 €/MWh</t>
        </is>
      </c>
    </row>
    <row r="961">
      <c r="A961" s="53" t="n">
        <v>45304</v>
      </c>
      <c r="B961" t="inlineStr">
        <is>
          <t>2024-01-13</t>
        </is>
      </c>
      <c r="C961" s="45" t="n">
        <v>129.2812</v>
      </c>
      <c r="D961" t="inlineStr">
        <is>
          <t>€/MWh</t>
        </is>
      </c>
      <c r="E961" s="54" t="n">
        <v>0.129281</v>
      </c>
      <c r="F961" s="54" t="n">
        <v>0.145765</v>
      </c>
      <c r="G961" t="inlineStr">
        <is>
          <t>calculado</t>
        </is>
      </c>
      <c r="H961" t="inlineStr">
        <is>
          <t>IEE 2.5 % con cuota mínima 1 €/MWh (RDL 8/2023 art. 22.1) + IVA 10 % (RDL 8/2023 art. 21.1 (condición: mes anterior &gt; 45 €/MWh))</t>
        </is>
      </c>
      <c r="J961" t="inlineStr">
        <is>
          <t>2024-01-12</t>
        </is>
      </c>
      <c r="K961" t="inlineStr">
        <is>
          <t>ESIOS 1001 geo 8741</t>
        </is>
      </c>
      <c r="L961" t="inlineStr">
        <is>
          <t>24 valores; mín 106.26, máx 150.67 €/MWh</t>
        </is>
      </c>
    </row>
    <row r="962">
      <c r="A962" s="53" t="n">
        <v>45305</v>
      </c>
      <c r="B962" t="inlineStr">
        <is>
          <t>2024-01-14</t>
        </is>
      </c>
      <c r="C962" s="45" t="n">
        <v>119.78</v>
      </c>
      <c r="D962" t="inlineStr">
        <is>
          <t>€/MWh</t>
        </is>
      </c>
      <c r="E962" s="54" t="n">
        <v>0.11978</v>
      </c>
      <c r="F962" s="54" t="n">
        <v>0.135052</v>
      </c>
      <c r="G962" t="inlineStr">
        <is>
          <t>calculado</t>
        </is>
      </c>
      <c r="H962" t="inlineStr">
        <is>
          <t>IEE 2.5 % con cuota mínima 1 €/MWh (RDL 8/2023 art. 22.1) + IVA 10 % (RDL 8/2023 art. 21.1 (condición: mes anterior &gt; 45 €/MWh))</t>
        </is>
      </c>
      <c r="J962" t="inlineStr">
        <is>
          <t>2024-01-13</t>
        </is>
      </c>
      <c r="K962" t="inlineStr">
        <is>
          <t>ESIOS 1001 geo 8741</t>
        </is>
      </c>
      <c r="L962" t="inlineStr">
        <is>
          <t>24 valores; mín 100.26, máx 135.91 €/MWh</t>
        </is>
      </c>
    </row>
    <row r="963">
      <c r="A963" s="53" t="n">
        <v>45306</v>
      </c>
      <c r="B963" t="inlineStr">
        <is>
          <t>2024-01-15</t>
        </is>
      </c>
      <c r="C963" s="45" t="n">
        <v>162.6688</v>
      </c>
      <c r="D963" t="inlineStr">
        <is>
          <t>€/MWh</t>
        </is>
      </c>
      <c r="E963" s="54" t="n">
        <v>0.162669</v>
      </c>
      <c r="F963" s="54" t="n">
        <v>0.183409</v>
      </c>
      <c r="G963" t="inlineStr">
        <is>
          <t>calculado</t>
        </is>
      </c>
      <c r="H963" t="inlineStr">
        <is>
          <t>IEE 2.5 % con cuota mínima 1 €/MWh (RDL 8/2023 art. 22.1) + IVA 10 % (RDL 8/2023 art. 21.1 (condición: mes anterior &gt; 45 €/MWh))</t>
        </is>
      </c>
      <c r="J963" t="inlineStr">
        <is>
          <t>2024-01-14</t>
        </is>
      </c>
      <c r="K963" t="inlineStr">
        <is>
          <t>ESIOS 1001 geo 8741</t>
        </is>
      </c>
      <c r="L963" t="inlineStr">
        <is>
          <t>24 valores; mín 107.66, máx 232.37 €/MWh</t>
        </is>
      </c>
    </row>
    <row r="964">
      <c r="A964" s="53" t="n">
        <v>45307</v>
      </c>
      <c r="B964" t="inlineStr">
        <is>
          <t>2024-01-16</t>
        </is>
      </c>
      <c r="C964" s="45" t="n">
        <v>162.3617</v>
      </c>
      <c r="D964" t="inlineStr">
        <is>
          <t>€/MWh</t>
        </is>
      </c>
      <c r="E964" s="54" t="n">
        <v>0.162362</v>
      </c>
      <c r="F964" s="54" t="n">
        <v>0.183063</v>
      </c>
      <c r="G964" t="inlineStr">
        <is>
          <t>calculado</t>
        </is>
      </c>
      <c r="H964" t="inlineStr">
        <is>
          <t>IEE 2.5 % con cuota mínima 1 €/MWh (RDL 8/2023 art. 22.1) + IVA 10 % (RDL 8/2023 art. 21.1 (condición: mes anterior &gt; 45 €/MWh))</t>
        </is>
      </c>
      <c r="J964" t="inlineStr">
        <is>
          <t>2024-01-15</t>
        </is>
      </c>
      <c r="K964" t="inlineStr">
        <is>
          <t>ESIOS 1001 geo 8741</t>
        </is>
      </c>
      <c r="L964" t="inlineStr">
        <is>
          <t>24 valores; mín 117.44, máx 215.68 €/MWh</t>
        </is>
      </c>
    </row>
    <row r="965">
      <c r="A965" s="53" t="n">
        <v>45308</v>
      </c>
      <c r="B965" t="inlineStr">
        <is>
          <t>2024-01-17</t>
        </is>
      </c>
      <c r="C965" s="45" t="n">
        <v>102.0738</v>
      </c>
      <c r="D965" t="inlineStr">
        <is>
          <t>€/MWh</t>
        </is>
      </c>
      <c r="E965" s="54" t="n">
        <v>0.102074</v>
      </c>
      <c r="F965" s="54" t="n">
        <v>0.115088</v>
      </c>
      <c r="G965" t="inlineStr">
        <is>
          <t>calculado</t>
        </is>
      </c>
      <c r="H965" t="inlineStr">
        <is>
          <t>IEE 2.5 % con cuota mínima 1 €/MWh (RDL 8/2023 art. 22.1) + IVA 10 % (RDL 8/2023 art. 21.1 (condición: mes anterior &gt; 45 €/MWh))</t>
        </is>
      </c>
      <c r="J965" t="inlineStr">
        <is>
          <t>2024-01-16</t>
        </is>
      </c>
      <c r="K965" t="inlineStr">
        <is>
          <t>ESIOS 1001 geo 8741</t>
        </is>
      </c>
      <c r="L965" t="inlineStr">
        <is>
          <t>24 valores; mín 47.22, máx 175.29 €/MWh</t>
        </is>
      </c>
    </row>
    <row r="966">
      <c r="A966" s="53" t="n">
        <v>45309</v>
      </c>
      <c r="B966" t="inlineStr">
        <is>
          <t>2024-01-18</t>
        </is>
      </c>
      <c r="C966" s="45" t="n">
        <v>123.2658</v>
      </c>
      <c r="D966" t="inlineStr">
        <is>
          <t>€/MWh</t>
        </is>
      </c>
      <c r="E966" s="54" t="n">
        <v>0.123266</v>
      </c>
      <c r="F966" s="54" t="n">
        <v>0.138982</v>
      </c>
      <c r="G966" t="inlineStr">
        <is>
          <t>calculado</t>
        </is>
      </c>
      <c r="H966" t="inlineStr">
        <is>
          <t>IEE 2.5 % con cuota mínima 1 €/MWh (RDL 8/2023 art. 22.1) + IVA 10 % (RDL 8/2023 art. 21.1 (condición: mes anterior &gt; 45 €/MWh))</t>
        </is>
      </c>
      <c r="J966" t="inlineStr">
        <is>
          <t>2024-01-17</t>
        </is>
      </c>
      <c r="K966" t="inlineStr">
        <is>
          <t>ESIOS 1001 geo 8741</t>
        </is>
      </c>
      <c r="L966" t="inlineStr">
        <is>
          <t>24 valores; mín 37.83, máx 233.70 €/MWh</t>
        </is>
      </c>
    </row>
    <row r="967">
      <c r="A967" s="53" t="n">
        <v>45310</v>
      </c>
      <c r="B967" t="inlineStr">
        <is>
          <t>2024-01-19</t>
        </is>
      </c>
      <c r="C967" s="45" t="n">
        <v>145.7725</v>
      </c>
      <c r="D967" t="inlineStr">
        <is>
          <t>€/MWh</t>
        </is>
      </c>
      <c r="E967" s="54" t="n">
        <v>0.145772</v>
      </c>
      <c r="F967" s="54" t="n">
        <v>0.164358</v>
      </c>
      <c r="G967" t="inlineStr">
        <is>
          <t>calculado</t>
        </is>
      </c>
      <c r="H967" t="inlineStr">
        <is>
          <t>IEE 2.5 % con cuota mínima 1 €/MWh (RDL 8/2023 art. 22.1) + IVA 10 % (RDL 8/2023 art. 21.1 (condición: mes anterior &gt; 45 €/MWh))</t>
        </is>
      </c>
      <c r="J967" t="inlineStr">
        <is>
          <t>2024-01-18</t>
        </is>
      </c>
      <c r="K967" t="inlineStr">
        <is>
          <t>ESIOS 1001 geo 8741</t>
        </is>
      </c>
      <c r="L967" t="inlineStr">
        <is>
          <t>24 valores; mín 92.58, máx 202.18 €/MWh</t>
        </is>
      </c>
    </row>
    <row r="968">
      <c r="A968" s="53" t="n">
        <v>45311</v>
      </c>
      <c r="B968" t="inlineStr">
        <is>
          <t>2024-01-20</t>
        </is>
      </c>
      <c r="C968" s="45" t="n">
        <v>124.7175</v>
      </c>
      <c r="D968" t="inlineStr">
        <is>
          <t>€/MWh</t>
        </is>
      </c>
      <c r="E968" s="54" t="n">
        <v>0.124717</v>
      </c>
      <c r="F968" s="54" t="n">
        <v>0.140619</v>
      </c>
      <c r="G968" t="inlineStr">
        <is>
          <t>calculado</t>
        </is>
      </c>
      <c r="H968" t="inlineStr">
        <is>
          <t>IEE 2.5 % con cuota mínima 1 €/MWh (RDL 8/2023 art. 22.1) + IVA 10 % (RDL 8/2023 art. 21.1 (condición: mes anterior &gt; 45 €/MWh))</t>
        </is>
      </c>
      <c r="J968" t="inlineStr">
        <is>
          <t>2024-01-19</t>
        </is>
      </c>
      <c r="K968" t="inlineStr">
        <is>
          <t>ESIOS 1001 geo 8741</t>
        </is>
      </c>
      <c r="L968" t="inlineStr">
        <is>
          <t>24 valores; mín 106.47, máx 144.01 €/MWh</t>
        </is>
      </c>
    </row>
    <row r="969">
      <c r="A969" s="53" t="n">
        <v>45312</v>
      </c>
      <c r="B969" t="inlineStr">
        <is>
          <t>2024-01-21</t>
        </is>
      </c>
      <c r="C969" s="45" t="n">
        <v>108.1196</v>
      </c>
      <c r="D969" t="inlineStr">
        <is>
          <t>€/MWh</t>
        </is>
      </c>
      <c r="E969" s="54" t="n">
        <v>0.10812</v>
      </c>
      <c r="F969" s="54" t="n">
        <v>0.121905</v>
      </c>
      <c r="G969" t="inlineStr">
        <is>
          <t>calculado</t>
        </is>
      </c>
      <c r="H969" t="inlineStr">
        <is>
          <t>IEE 2.5 % con cuota mínima 1 €/MWh (RDL 8/2023 art. 22.1) + IVA 10 % (RDL 8/2023 art. 21.1 (condición: mes anterior &gt; 45 €/MWh))</t>
        </is>
      </c>
      <c r="J969" t="inlineStr">
        <is>
          <t>2024-01-20</t>
        </is>
      </c>
      <c r="K969" t="inlineStr">
        <is>
          <t>ESIOS 1001 geo 8741</t>
        </is>
      </c>
      <c r="L969" t="inlineStr">
        <is>
          <t>24 valores; mín 83.58, máx 143.20 €/MWh</t>
        </is>
      </c>
    </row>
    <row r="970">
      <c r="A970" s="53" t="n">
        <v>45313</v>
      </c>
      <c r="B970" t="inlineStr">
        <is>
          <t>2024-01-22</t>
        </is>
      </c>
      <c r="C970" s="45" t="n">
        <v>143.6521</v>
      </c>
      <c r="D970" t="inlineStr">
        <is>
          <t>€/MWh</t>
        </is>
      </c>
      <c r="E970" s="54" t="n">
        <v>0.143652</v>
      </c>
      <c r="F970" s="54" t="n">
        <v>0.161968</v>
      </c>
      <c r="G970" t="inlineStr">
        <is>
          <t>calculado</t>
        </is>
      </c>
      <c r="H970" t="inlineStr">
        <is>
          <t>IEE 2.5 % con cuota mínima 1 €/MWh (RDL 8/2023 art. 22.1) + IVA 10 % (RDL 8/2023 art. 21.1 (condición: mes anterior &gt; 45 €/MWh))</t>
        </is>
      </c>
      <c r="J970" t="inlineStr">
        <is>
          <t>2024-01-21</t>
        </is>
      </c>
      <c r="K970" t="inlineStr">
        <is>
          <t>ESIOS 1001 geo 8741</t>
        </is>
      </c>
      <c r="L970" t="inlineStr">
        <is>
          <t>24 valores; mín 68.66, máx 242.42 €/MWh</t>
        </is>
      </c>
    </row>
    <row r="971">
      <c r="A971" s="53" t="n">
        <v>45314</v>
      </c>
      <c r="B971" t="inlineStr">
        <is>
          <t>2024-01-23</t>
        </is>
      </c>
      <c r="C971" s="45" t="n">
        <v>151.0833</v>
      </c>
      <c r="D971" t="inlineStr">
        <is>
          <t>€/MWh</t>
        </is>
      </c>
      <c r="E971" s="54" t="n">
        <v>0.151083</v>
      </c>
      <c r="F971" s="54" t="n">
        <v>0.170346</v>
      </c>
      <c r="G971" t="inlineStr">
        <is>
          <t>calculado</t>
        </is>
      </c>
      <c r="H971" t="inlineStr">
        <is>
          <t>IEE 2.5 % con cuota mínima 1 €/MWh (RDL 8/2023 art. 22.1) + IVA 10 % (RDL 8/2023 art. 21.1 (condición: mes anterior &gt; 45 €/MWh))</t>
        </is>
      </c>
      <c r="J971" t="inlineStr">
        <is>
          <t>2024-01-22</t>
        </is>
      </c>
      <c r="K971" t="inlineStr">
        <is>
          <t>ESIOS 1001 geo 8741</t>
        </is>
      </c>
      <c r="L971" t="inlineStr">
        <is>
          <t>24 valores; mín 100.22, máx 252.07 €/MWh</t>
        </is>
      </c>
    </row>
    <row r="972">
      <c r="A972" s="53" t="n">
        <v>45315</v>
      </c>
      <c r="B972" t="inlineStr">
        <is>
          <t>2024-01-24</t>
        </is>
      </c>
      <c r="C972" s="45" t="n">
        <v>154.7729</v>
      </c>
      <c r="D972" t="inlineStr">
        <is>
          <t>€/MWh</t>
        </is>
      </c>
      <c r="E972" s="54" t="n">
        <v>0.154773</v>
      </c>
      <c r="F972" s="54" t="n">
        <v>0.174506</v>
      </c>
      <c r="G972" t="inlineStr">
        <is>
          <t>calculado</t>
        </is>
      </c>
      <c r="H972" t="inlineStr">
        <is>
          <t>IEE 2.5 % con cuota mínima 1 €/MWh (RDL 8/2023 art. 22.1) + IVA 10 % (RDL 8/2023 art. 21.1 (condición: mes anterior &gt; 45 €/MWh))</t>
        </is>
      </c>
      <c r="J972" t="inlineStr">
        <is>
          <t>2024-01-23</t>
        </is>
      </c>
      <c r="K972" t="inlineStr">
        <is>
          <t>ESIOS 1001 geo 8741</t>
        </is>
      </c>
      <c r="L972" t="inlineStr">
        <is>
          <t>24 valores; mín 112.10, máx 277.64 €/MWh</t>
        </is>
      </c>
    </row>
    <row r="973">
      <c r="A973" s="53" t="n">
        <v>45316</v>
      </c>
      <c r="B973" t="inlineStr">
        <is>
          <t>2024-01-25</t>
        </is>
      </c>
      <c r="C973" s="45" t="n">
        <v>149.8208</v>
      </c>
      <c r="D973" t="inlineStr">
        <is>
          <t>€/MWh</t>
        </is>
      </c>
      <c r="E973" s="54" t="n">
        <v>0.149821</v>
      </c>
      <c r="F973" s="54" t="n">
        <v>0.168923</v>
      </c>
      <c r="G973" t="inlineStr">
        <is>
          <t>calculado</t>
        </is>
      </c>
      <c r="H973" t="inlineStr">
        <is>
          <t>IEE 2.5 % con cuota mínima 1 €/MWh (RDL 8/2023 art. 22.1) + IVA 10 % (RDL 8/2023 art. 21.1 (condición: mes anterior &gt; 45 €/MWh))</t>
        </is>
      </c>
      <c r="J973" t="inlineStr">
        <is>
          <t>2024-01-24</t>
        </is>
      </c>
      <c r="K973" t="inlineStr">
        <is>
          <t>ESIOS 1001 geo 8741</t>
        </is>
      </c>
      <c r="L973" t="inlineStr">
        <is>
          <t>24 valores; mín 99.82, máx 261.22 €/MWh</t>
        </is>
      </c>
    </row>
    <row r="974">
      <c r="A974" s="53" t="n">
        <v>45317</v>
      </c>
      <c r="B974" t="inlineStr">
        <is>
          <t>2024-01-26</t>
        </is>
      </c>
      <c r="C974" s="45" t="n">
        <v>147.645</v>
      </c>
      <c r="D974" t="inlineStr">
        <is>
          <t>€/MWh</t>
        </is>
      </c>
      <c r="E974" s="54" t="n">
        <v>0.147645</v>
      </c>
      <c r="F974" s="54" t="n">
        <v>0.16647</v>
      </c>
      <c r="G974" t="inlineStr">
        <is>
          <t>calculado</t>
        </is>
      </c>
      <c r="H974" t="inlineStr">
        <is>
          <t>IEE 2.5 % con cuota mínima 1 €/MWh (RDL 8/2023 art. 22.1) + IVA 10 % (RDL 8/2023 art. 21.1 (condición: mes anterior &gt; 45 €/MWh))</t>
        </is>
      </c>
      <c r="J974" t="inlineStr">
        <is>
          <t>2024-01-25</t>
        </is>
      </c>
      <c r="K974" t="inlineStr">
        <is>
          <t>ESIOS 1001 geo 8741</t>
        </is>
      </c>
      <c r="L974" t="inlineStr">
        <is>
          <t>24 valores; mín 107.35, máx 232.64 €/MWh</t>
        </is>
      </c>
    </row>
    <row r="975">
      <c r="A975" s="53" t="n">
        <v>45318</v>
      </c>
      <c r="B975" t="inlineStr">
        <is>
          <t>2024-01-27</t>
        </is>
      </c>
      <c r="C975" s="45" t="n">
        <v>110.6367</v>
      </c>
      <c r="D975" t="inlineStr">
        <is>
          <t>€/MWh</t>
        </is>
      </c>
      <c r="E975" s="54" t="n">
        <v>0.110637</v>
      </c>
      <c r="F975" s="54" t="n">
        <v>0.124743</v>
      </c>
      <c r="G975" t="inlineStr">
        <is>
          <t>calculado</t>
        </is>
      </c>
      <c r="H975" t="inlineStr">
        <is>
          <t>IEE 2.5 % con cuota mínima 1 €/MWh (RDL 8/2023 art. 22.1) + IVA 10 % (RDL 8/2023 art. 21.1 (condición: mes anterior &gt; 45 €/MWh))</t>
        </is>
      </c>
      <c r="J975" t="inlineStr">
        <is>
          <t>2024-01-26</t>
        </is>
      </c>
      <c r="K975" t="inlineStr">
        <is>
          <t>ESIOS 1001 geo 8741</t>
        </is>
      </c>
      <c r="L975" t="inlineStr">
        <is>
          <t>24 valores; mín 84.94, máx 142.51 €/MWh</t>
        </is>
      </c>
    </row>
    <row r="976">
      <c r="A976" s="53" t="n">
        <v>45319</v>
      </c>
      <c r="B976" t="inlineStr">
        <is>
          <t>2024-01-28</t>
        </is>
      </c>
      <c r="C976" s="45" t="n">
        <v>98.4392</v>
      </c>
      <c r="D976" t="inlineStr">
        <is>
          <t>€/MWh</t>
        </is>
      </c>
      <c r="E976" s="54" t="n">
        <v>0.098439</v>
      </c>
      <c r="F976" s="54" t="n">
        <v>0.11099</v>
      </c>
      <c r="G976" t="inlineStr">
        <is>
          <t>calculado</t>
        </is>
      </c>
      <c r="H976" t="inlineStr">
        <is>
          <t>IEE 2.5 % con cuota mínima 1 €/MWh (RDL 8/2023 art. 22.1) + IVA 10 % (RDL 8/2023 art. 21.1 (condición: mes anterior &gt; 45 €/MWh))</t>
        </is>
      </c>
      <c r="J976" t="inlineStr">
        <is>
          <t>2024-01-27</t>
        </is>
      </c>
      <c r="K976" t="inlineStr">
        <is>
          <t>ESIOS 1001 geo 8741</t>
        </is>
      </c>
      <c r="L976" t="inlineStr">
        <is>
          <t>24 valores; mín 76.71, máx 114.91 €/MWh</t>
        </is>
      </c>
    </row>
    <row r="977">
      <c r="A977" s="53" t="n">
        <v>45320</v>
      </c>
      <c r="B977" t="inlineStr">
        <is>
          <t>2024-01-29</t>
        </is>
      </c>
      <c r="C977" s="45" t="n">
        <v>152.7475</v>
      </c>
      <c r="D977" t="inlineStr">
        <is>
          <t>€/MWh</t>
        </is>
      </c>
      <c r="E977" s="54" t="n">
        <v>0.152748</v>
      </c>
      <c r="F977" s="54" t="n">
        <v>0.172223</v>
      </c>
      <c r="G977" t="inlineStr">
        <is>
          <t>calculado</t>
        </is>
      </c>
      <c r="H977" t="inlineStr">
        <is>
          <t>IEE 2.5 % con cuota mínima 1 €/MWh (RDL 8/2023 art. 22.1) + IVA 10 % (RDL 8/2023 art. 21.1 (condición: mes anterior &gt; 45 €/MWh))</t>
        </is>
      </c>
      <c r="J977" t="inlineStr">
        <is>
          <t>2024-01-28</t>
        </is>
      </c>
      <c r="K977" t="inlineStr">
        <is>
          <t>ESIOS 1001 geo 8741</t>
        </is>
      </c>
      <c r="L977" t="inlineStr">
        <is>
          <t>24 valores; mín 88.89, máx 227.67 €/MWh</t>
        </is>
      </c>
    </row>
    <row r="978">
      <c r="A978" s="53" t="n">
        <v>45321</v>
      </c>
      <c r="B978" t="inlineStr">
        <is>
          <t>2024-01-30</t>
        </is>
      </c>
      <c r="C978" s="45" t="n">
        <v>154.61</v>
      </c>
      <c r="D978" t="inlineStr">
        <is>
          <t>€/MWh</t>
        </is>
      </c>
      <c r="E978" s="54" t="n">
        <v>0.15461</v>
      </c>
      <c r="F978" s="54" t="n">
        <v>0.174323</v>
      </c>
      <c r="G978" t="inlineStr">
        <is>
          <t>calculado</t>
        </is>
      </c>
      <c r="H978" t="inlineStr">
        <is>
          <t>IEE 2.5 % con cuota mínima 1 €/MWh (RDL 8/2023 art. 22.1) + IVA 10 % (RDL 8/2023 art. 21.1 (condición: mes anterior &gt; 45 €/MWh))</t>
        </is>
      </c>
      <c r="J978" t="inlineStr">
        <is>
          <t>2024-01-29</t>
        </is>
      </c>
      <c r="K978" t="inlineStr">
        <is>
          <t>ESIOS 1001 geo 8741</t>
        </is>
      </c>
      <c r="L978" t="inlineStr">
        <is>
          <t>24 valores; mín 108.92, máx 244.31 €/MWh</t>
        </is>
      </c>
    </row>
    <row r="979">
      <c r="A979" s="53" t="n">
        <v>45322</v>
      </c>
      <c r="B979" t="inlineStr">
        <is>
          <t>2024-01-31</t>
        </is>
      </c>
      <c r="C979" s="45" t="n">
        <v>156.1063</v>
      </c>
      <c r="D979" t="inlineStr">
        <is>
          <t>€/MWh</t>
        </is>
      </c>
      <c r="E979" s="54" t="n">
        <v>0.156106</v>
      </c>
      <c r="F979" s="54" t="n">
        <v>0.17601</v>
      </c>
      <c r="G979" t="inlineStr">
        <is>
          <t>calculado</t>
        </is>
      </c>
      <c r="H979" t="inlineStr">
        <is>
          <t>IEE 2.5 % con cuota mínima 1 €/MWh (RDL 8/2023 art. 22.1) + IVA 10 % (RDL 8/2023 art. 21.1 (condición: mes anterior &gt; 45 €/MWh))</t>
        </is>
      </c>
      <c r="J979" t="inlineStr">
        <is>
          <t>2024-01-30</t>
        </is>
      </c>
      <c r="K979" t="inlineStr">
        <is>
          <t>ESIOS 1001 geo 8741</t>
        </is>
      </c>
      <c r="L979" t="inlineStr">
        <is>
          <t>24 valores; mín 112.85, máx 297.42 €/MWh</t>
        </is>
      </c>
    </row>
    <row r="980">
      <c r="A980" s="53" t="n">
        <v>45323</v>
      </c>
      <c r="B980" t="inlineStr">
        <is>
          <t>2024-02-01</t>
        </is>
      </c>
      <c r="C980" s="45" t="n">
        <v>144.2058</v>
      </c>
      <c r="D980" t="inlineStr">
        <is>
          <t>€/MWh</t>
        </is>
      </c>
      <c r="E980" s="54" t="n">
        <v>0.144206</v>
      </c>
      <c r="F980" s="54" t="n">
        <v>0.162592</v>
      </c>
      <c r="G980" t="inlineStr">
        <is>
          <t>calculado</t>
        </is>
      </c>
      <c r="H980" t="inlineStr">
        <is>
          <t>IEE 2.5 % con cuota mínima 1 €/MWh (RDL 8/2023 art. 22.1) + IVA 10 % (RDL 8/2023 art. 21.1 (condición: mes anterior &gt; 45 €/MWh))</t>
        </is>
      </c>
      <c r="J980" t="inlineStr">
        <is>
          <t>2024-01-31</t>
        </is>
      </c>
      <c r="K980" t="inlineStr">
        <is>
          <t>ESIOS 1001 geo 8741</t>
        </is>
      </c>
      <c r="L980" t="inlineStr">
        <is>
          <t>24 valores; mín 97.95, máx 218.07 €/MWh</t>
        </is>
      </c>
    </row>
    <row r="981">
      <c r="A981" s="53" t="n">
        <v>45324</v>
      </c>
      <c r="B981" t="inlineStr">
        <is>
          <t>2024-02-02</t>
        </is>
      </c>
      <c r="C981" s="45" t="n">
        <v>139.1317</v>
      </c>
      <c r="D981" t="inlineStr">
        <is>
          <t>€/MWh</t>
        </is>
      </c>
      <c r="E981" s="54" t="n">
        <v>0.139132</v>
      </c>
      <c r="F981" s="54" t="n">
        <v>0.156871</v>
      </c>
      <c r="G981" t="inlineStr">
        <is>
          <t>calculado</t>
        </is>
      </c>
      <c r="H981" t="inlineStr">
        <is>
          <t>IEE 2.5 % con cuota mínima 1 €/MWh (RDL 8/2023 art. 22.1) + IVA 10 % (RDL 8/2023 art. 21.1 (condición: mes anterior &gt; 45 €/MWh))</t>
        </is>
      </c>
      <c r="J981" t="inlineStr">
        <is>
          <t>2024-02-01</t>
        </is>
      </c>
      <c r="K981" t="inlineStr">
        <is>
          <t>ESIOS 1001 geo 8741</t>
        </is>
      </c>
      <c r="L981" t="inlineStr">
        <is>
          <t>24 valores; mín 97.60, máx 200.60 €/MWh</t>
        </is>
      </c>
    </row>
    <row r="982">
      <c r="A982" s="53" t="n">
        <v>45325</v>
      </c>
      <c r="B982" t="inlineStr">
        <is>
          <t>2024-02-03</t>
        </is>
      </c>
      <c r="C982" s="45" t="n">
        <v>102.3912</v>
      </c>
      <c r="D982" t="inlineStr">
        <is>
          <t>€/MWh</t>
        </is>
      </c>
      <c r="E982" s="54" t="n">
        <v>0.102391</v>
      </c>
      <c r="F982" s="54" t="n">
        <v>0.115446</v>
      </c>
      <c r="G982" t="inlineStr">
        <is>
          <t>calculado</t>
        </is>
      </c>
      <c r="H982" t="inlineStr">
        <is>
          <t>IEE 2.5 % con cuota mínima 1 €/MWh (RDL 8/2023 art. 22.1) + IVA 10 % (RDL 8/2023 art. 21.1 (condición: mes anterior &gt; 45 €/MWh))</t>
        </is>
      </c>
      <c r="J982" t="inlineStr">
        <is>
          <t>2024-02-02</t>
        </is>
      </c>
      <c r="K982" t="inlineStr">
        <is>
          <t>ESIOS 1001 geo 8741</t>
        </is>
      </c>
      <c r="L982" t="inlineStr">
        <is>
          <t>24 valores; mín 73.28, máx 140.76 €/MWh</t>
        </is>
      </c>
    </row>
    <row r="983">
      <c r="A983" s="53" t="n">
        <v>45326</v>
      </c>
      <c r="B983" t="inlineStr">
        <is>
          <t>2024-02-04</t>
        </is>
      </c>
      <c r="C983" s="45" t="n">
        <v>108.1254</v>
      </c>
      <c r="D983" t="inlineStr">
        <is>
          <t>€/MWh</t>
        </is>
      </c>
      <c r="E983" s="54" t="n">
        <v>0.108125</v>
      </c>
      <c r="F983" s="54" t="n">
        <v>0.121911</v>
      </c>
      <c r="G983" t="inlineStr">
        <is>
          <t>calculado</t>
        </is>
      </c>
      <c r="H983" t="inlineStr">
        <is>
          <t>IEE 2.5 % con cuota mínima 1 €/MWh (RDL 8/2023 art. 22.1) + IVA 10 % (RDL 8/2023 art. 21.1 (condición: mes anterior &gt; 45 €/MWh))</t>
        </is>
      </c>
      <c r="J983" t="inlineStr">
        <is>
          <t>2024-02-03</t>
        </is>
      </c>
      <c r="K983" t="inlineStr">
        <is>
          <t>ESIOS 1001 geo 8741</t>
        </is>
      </c>
      <c r="L983" t="inlineStr">
        <is>
          <t>24 valores; mín 65.16, máx 180.60 €/MWh</t>
        </is>
      </c>
    </row>
    <row r="984">
      <c r="A984" s="53" t="n">
        <v>45327</v>
      </c>
      <c r="B984" t="inlineStr">
        <is>
          <t>2024-02-05</t>
        </is>
      </c>
      <c r="C984" s="45" t="n">
        <v>153.0229</v>
      </c>
      <c r="D984" t="inlineStr">
        <is>
          <t>€/MWh</t>
        </is>
      </c>
      <c r="E984" s="54" t="n">
        <v>0.153023</v>
      </c>
      <c r="F984" s="54" t="n">
        <v>0.172533</v>
      </c>
      <c r="G984" t="inlineStr">
        <is>
          <t>calculado</t>
        </is>
      </c>
      <c r="H984" t="inlineStr">
        <is>
          <t>IEE 2.5 % con cuota mínima 1 €/MWh (RDL 8/2023 art. 22.1) + IVA 10 % (RDL 8/2023 art. 21.1 (condición: mes anterior &gt; 45 €/MWh))</t>
        </is>
      </c>
      <c r="J984" t="inlineStr">
        <is>
          <t>2024-02-04</t>
        </is>
      </c>
      <c r="K984" t="inlineStr">
        <is>
          <t>ESIOS 1001 geo 8741</t>
        </is>
      </c>
      <c r="L984" t="inlineStr">
        <is>
          <t>24 valores; mín 106.86, máx 311.44 €/MWh</t>
        </is>
      </c>
    </row>
    <row r="985">
      <c r="A985" s="53" t="n">
        <v>45328</v>
      </c>
      <c r="B985" t="inlineStr">
        <is>
          <t>2024-02-06</t>
        </is>
      </c>
      <c r="C985" s="45" t="n">
        <v>146.7817</v>
      </c>
      <c r="D985" t="inlineStr">
        <is>
          <t>€/MWh</t>
        </is>
      </c>
      <c r="E985" s="54" t="n">
        <v>0.146782</v>
      </c>
      <c r="F985" s="54" t="n">
        <v>0.165496</v>
      </c>
      <c r="G985" t="inlineStr">
        <is>
          <t>calculado</t>
        </is>
      </c>
      <c r="H985" t="inlineStr">
        <is>
          <t>IEE 2.5 % con cuota mínima 1 €/MWh (RDL 8/2023 art. 22.1) + IVA 10 % (RDL 8/2023 art. 21.1 (condición: mes anterior &gt; 45 €/MWh))</t>
        </is>
      </c>
      <c r="J985" t="inlineStr">
        <is>
          <t>2024-02-05</t>
        </is>
      </c>
      <c r="K985" t="inlineStr">
        <is>
          <t>ESIOS 1001 geo 8741</t>
        </is>
      </c>
      <c r="L985" t="inlineStr">
        <is>
          <t>24 valores; mín 109.70, máx 202.52 €/MWh</t>
        </is>
      </c>
    </row>
    <row r="986">
      <c r="A986" s="53" t="n">
        <v>45329</v>
      </c>
      <c r="B986" t="inlineStr">
        <is>
          <t>2024-02-07</t>
        </is>
      </c>
      <c r="C986" s="45" t="n">
        <v>125.3175</v>
      </c>
      <c r="D986" t="inlineStr">
        <is>
          <t>€/MWh</t>
        </is>
      </c>
      <c r="E986" s="54" t="n">
        <v>0.125317</v>
      </c>
      <c r="F986" s="54" t="n">
        <v>0.141295</v>
      </c>
      <c r="G986" t="inlineStr">
        <is>
          <t>calculado</t>
        </is>
      </c>
      <c r="H986" t="inlineStr">
        <is>
          <t>IEE 2.5 % con cuota mínima 1 €/MWh (RDL 8/2023 art. 22.1) + IVA 10 % (RDL 8/2023 art. 21.1 (condición: mes anterior &gt; 45 €/MWh))</t>
        </is>
      </c>
      <c r="J986" t="inlineStr">
        <is>
          <t>2024-02-06</t>
        </is>
      </c>
      <c r="K986" t="inlineStr">
        <is>
          <t>ESIOS 1001 geo 8741</t>
        </is>
      </c>
      <c r="L986" t="inlineStr">
        <is>
          <t>24 valores; mín 63.18, máx 197.40 €/MWh</t>
        </is>
      </c>
    </row>
    <row r="987">
      <c r="A987" s="53" t="n">
        <v>45330</v>
      </c>
      <c r="B987" t="inlineStr">
        <is>
          <t>2024-02-08</t>
        </is>
      </c>
      <c r="C987" s="45" t="n">
        <v>113.8687</v>
      </c>
      <c r="D987" t="inlineStr">
        <is>
          <t>€/MWh</t>
        </is>
      </c>
      <c r="E987" s="54" t="n">
        <v>0.113869</v>
      </c>
      <c r="F987" s="54" t="n">
        <v>0.128387</v>
      </c>
      <c r="G987" t="inlineStr">
        <is>
          <t>calculado</t>
        </is>
      </c>
      <c r="H987" t="inlineStr">
        <is>
          <t>IEE 2.5 % con cuota mínima 1 €/MWh (RDL 8/2023 art. 22.1) + IVA 10 % (RDL 8/2023 art. 21.1 (condición: mes anterior &gt; 45 €/MWh))</t>
        </is>
      </c>
      <c r="J987" t="inlineStr">
        <is>
          <t>2024-02-07</t>
        </is>
      </c>
      <c r="K987" t="inlineStr">
        <is>
          <t>ESIOS 1001 geo 8741</t>
        </is>
      </c>
      <c r="L987" t="inlineStr">
        <is>
          <t>24 valores; mín 78.13, máx 159.52 €/MWh</t>
        </is>
      </c>
    </row>
    <row r="988">
      <c r="A988" s="53" t="n">
        <v>45331</v>
      </c>
      <c r="B988" t="inlineStr">
        <is>
          <t>2024-02-09</t>
        </is>
      </c>
      <c r="C988" s="45" t="n">
        <v>114.4879</v>
      </c>
      <c r="D988" t="inlineStr">
        <is>
          <t>€/MWh</t>
        </is>
      </c>
      <c r="E988" s="54" t="n">
        <v>0.114488</v>
      </c>
      <c r="F988" s="54" t="n">
        <v>0.129085</v>
      </c>
      <c r="G988" t="inlineStr">
        <is>
          <t>calculado</t>
        </is>
      </c>
      <c r="H988" t="inlineStr">
        <is>
          <t>IEE 2.5 % con cuota mínima 1 €/MWh (RDL 8/2023 art. 22.1) + IVA 10 % (RDL 8/2023 art. 21.1 (condición: mes anterior &gt; 45 €/MWh))</t>
        </is>
      </c>
      <c r="J988" t="inlineStr">
        <is>
          <t>2024-02-08</t>
        </is>
      </c>
      <c r="K988" t="inlineStr">
        <is>
          <t>ESIOS 1001 geo 8741</t>
        </is>
      </c>
      <c r="L988" t="inlineStr">
        <is>
          <t>24 valores; mín 40.79, máx 185.38 €/MWh</t>
        </is>
      </c>
    </row>
    <row r="989">
      <c r="A989" s="53" t="n">
        <v>45332</v>
      </c>
      <c r="B989" t="inlineStr">
        <is>
          <t>2024-02-10</t>
        </is>
      </c>
      <c r="C989" s="45" t="n">
        <v>53.1204</v>
      </c>
      <c r="D989" t="inlineStr">
        <is>
          <t>€/MWh</t>
        </is>
      </c>
      <c r="E989" s="54" t="n">
        <v>0.05312</v>
      </c>
      <c r="F989" s="54" t="n">
        <v>0.059893</v>
      </c>
      <c r="G989" t="inlineStr">
        <is>
          <t>calculado</t>
        </is>
      </c>
      <c r="H989" t="inlineStr">
        <is>
          <t>IEE 2.5 % con cuota mínima 1 €/MWh (RDL 8/2023 art. 22.1) + IVA 10 % (RDL 8/2023 art. 21.1 (condición: mes anterior &gt; 45 €/MWh))</t>
        </is>
      </c>
      <c r="J989" t="inlineStr">
        <is>
          <t>2024-02-09</t>
        </is>
      </c>
      <c r="K989" t="inlineStr">
        <is>
          <t>ESIOS 1001 geo 8741</t>
        </is>
      </c>
      <c r="L989" t="inlineStr">
        <is>
          <t>24 valores; mín 38.88, máx 84.07 €/MWh</t>
        </is>
      </c>
    </row>
    <row r="990">
      <c r="A990" s="53" t="n">
        <v>45333</v>
      </c>
      <c r="B990" t="inlineStr">
        <is>
          <t>2024-02-11</t>
        </is>
      </c>
      <c r="C990" s="45" t="n">
        <v>86.9237</v>
      </c>
      <c r="D990" t="inlineStr">
        <is>
          <t>€/MWh</t>
        </is>
      </c>
      <c r="E990" s="54" t="n">
        <v>0.086924</v>
      </c>
      <c r="F990" s="54" t="n">
        <v>0.098006</v>
      </c>
      <c r="G990" t="inlineStr">
        <is>
          <t>calculado</t>
        </is>
      </c>
      <c r="H990" t="inlineStr">
        <is>
          <t>IEE 2.5 % con cuota mínima 1 €/MWh (RDL 8/2023 art. 22.1) + IVA 10 % (RDL 8/2023 art. 21.1 (condición: mes anterior &gt; 45 €/MWh))</t>
        </is>
      </c>
      <c r="J990" t="inlineStr">
        <is>
          <t>2024-02-10</t>
        </is>
      </c>
      <c r="K990" t="inlineStr">
        <is>
          <t>ESIOS 1001 geo 8741</t>
        </is>
      </c>
      <c r="L990" t="inlineStr">
        <is>
          <t>24 valores; mín 63.86, máx 127.90 €/MWh</t>
        </is>
      </c>
    </row>
    <row r="991">
      <c r="A991" s="53" t="n">
        <v>45334</v>
      </c>
      <c r="B991" t="inlineStr">
        <is>
          <t>2024-02-12</t>
        </is>
      </c>
      <c r="C991" s="45" t="n">
        <v>119.5646</v>
      </c>
      <c r="D991" t="inlineStr">
        <is>
          <t>€/MWh</t>
        </is>
      </c>
      <c r="E991" s="54" t="n">
        <v>0.119565</v>
      </c>
      <c r="F991" s="54" t="n">
        <v>0.134809</v>
      </c>
      <c r="G991" t="inlineStr">
        <is>
          <t>calculado</t>
        </is>
      </c>
      <c r="H991" t="inlineStr">
        <is>
          <t>IEE 2.5 % con cuota mínima 1 €/MWh (RDL 8/2023 art. 22.1) + IVA 10 % (RDL 8/2023 art. 21.1 (condición: mes anterior &gt; 45 €/MWh))</t>
        </is>
      </c>
      <c r="J991" t="inlineStr">
        <is>
          <t>2024-02-11</t>
        </is>
      </c>
      <c r="K991" t="inlineStr">
        <is>
          <t>ESIOS 1001 geo 8741</t>
        </is>
      </c>
      <c r="L991" t="inlineStr">
        <is>
          <t>24 valores; mín 76.77, máx 207.46 €/MWh</t>
        </is>
      </c>
    </row>
    <row r="992">
      <c r="A992" s="53" t="n">
        <v>45335</v>
      </c>
      <c r="B992" t="inlineStr">
        <is>
          <t>2024-02-13</t>
        </is>
      </c>
      <c r="C992" s="45" t="n">
        <v>136.6437</v>
      </c>
      <c r="D992" t="inlineStr">
        <is>
          <t>€/MWh</t>
        </is>
      </c>
      <c r="E992" s="54" t="n">
        <v>0.136644</v>
      </c>
      <c r="F992" s="54" t="n">
        <v>0.154066</v>
      </c>
      <c r="G992" t="inlineStr">
        <is>
          <t>calculado</t>
        </is>
      </c>
      <c r="H992" t="inlineStr">
        <is>
          <t>IEE 2.5 % con cuota mínima 1 €/MWh (RDL 8/2023 art. 22.1) + IVA 10 % (RDL 8/2023 art. 21.1 (condición: mes anterior &gt; 45 €/MWh))</t>
        </is>
      </c>
      <c r="J992" t="inlineStr">
        <is>
          <t>2024-02-12</t>
        </is>
      </c>
      <c r="K992" t="inlineStr">
        <is>
          <t>ESIOS 1001 geo 8741</t>
        </is>
      </c>
      <c r="L992" t="inlineStr">
        <is>
          <t>24 valores; mín 79.97, máx 211.47 €/MWh</t>
        </is>
      </c>
    </row>
    <row r="993">
      <c r="A993" s="53" t="n">
        <v>45336</v>
      </c>
      <c r="B993" t="inlineStr">
        <is>
          <t>2024-02-14</t>
        </is>
      </c>
      <c r="C993" s="45" t="n">
        <v>134.1242</v>
      </c>
      <c r="D993" t="inlineStr">
        <is>
          <t>€/MWh</t>
        </is>
      </c>
      <c r="E993" s="54" t="n">
        <v>0.134124</v>
      </c>
      <c r="F993" s="54" t="n">
        <v>0.151225</v>
      </c>
      <c r="G993" t="inlineStr">
        <is>
          <t>calculado</t>
        </is>
      </c>
      <c r="H993" t="inlineStr">
        <is>
          <t>IEE 2.5 % con cuota mínima 1 €/MWh (RDL 8/2023 art. 22.1) + IVA 10 % (RDL 8/2023 art. 21.1 (condición: mes anterior &gt; 45 €/MWh))</t>
        </is>
      </c>
      <c r="J993" t="inlineStr">
        <is>
          <t>2024-02-13</t>
        </is>
      </c>
      <c r="K993" t="inlineStr">
        <is>
          <t>ESIOS 1001 geo 8741</t>
        </is>
      </c>
      <c r="L993" t="inlineStr">
        <is>
          <t>24 valores; mín 101.10, máx 203.03 €/MWh</t>
        </is>
      </c>
    </row>
    <row r="994">
      <c r="A994" s="53" t="n">
        <v>45337</v>
      </c>
      <c r="B994" t="inlineStr">
        <is>
          <t>2024-02-15</t>
        </is>
      </c>
      <c r="C994" s="45" t="n">
        <v>125.9004</v>
      </c>
      <c r="D994" t="inlineStr">
        <is>
          <t>€/MWh</t>
        </is>
      </c>
      <c r="E994" s="54" t="n">
        <v>0.1259</v>
      </c>
      <c r="F994" s="54" t="n">
        <v>0.141953</v>
      </c>
      <c r="G994" t="inlineStr">
        <is>
          <t>calculado</t>
        </is>
      </c>
      <c r="H994" t="inlineStr">
        <is>
          <t>IEE 2.5 % con cuota mínima 1 €/MWh (RDL 8/2023 art. 22.1) + IVA 10 % (RDL 8/2023 art. 21.1 (condición: mes anterior &gt; 45 €/MWh))</t>
        </is>
      </c>
      <c r="J994" t="inlineStr">
        <is>
          <t>2024-02-14</t>
        </is>
      </c>
      <c r="K994" t="inlineStr">
        <is>
          <t>ESIOS 1001 geo 8741</t>
        </is>
      </c>
      <c r="L994" t="inlineStr">
        <is>
          <t>24 valores; mín 80.73, máx 179.84 €/MWh</t>
        </is>
      </c>
    </row>
    <row r="995">
      <c r="A995" s="53" t="n">
        <v>45338</v>
      </c>
      <c r="B995" t="inlineStr">
        <is>
          <t>2024-02-16</t>
        </is>
      </c>
      <c r="C995" s="45" t="n">
        <v>128.1967</v>
      </c>
      <c r="D995" t="inlineStr">
        <is>
          <t>€/MWh</t>
        </is>
      </c>
      <c r="E995" s="54" t="n">
        <v>0.128197</v>
      </c>
      <c r="F995" s="54" t="n">
        <v>0.144542</v>
      </c>
      <c r="G995" t="inlineStr">
        <is>
          <t>calculado</t>
        </is>
      </c>
      <c r="H995" t="inlineStr">
        <is>
          <t>IEE 2.5 % con cuota mínima 1 €/MWh (RDL 8/2023 art. 22.1) + IVA 10 % (RDL 8/2023 art. 21.1 (condición: mes anterior &gt; 45 €/MWh))</t>
        </is>
      </c>
      <c r="J995" t="inlineStr">
        <is>
          <t>2024-02-15</t>
        </is>
      </c>
      <c r="K995" t="inlineStr">
        <is>
          <t>ESIOS 1001 geo 8741</t>
        </is>
      </c>
      <c r="L995" t="inlineStr">
        <is>
          <t>24 valores; mín 86.25, máx 194.13 €/MWh</t>
        </is>
      </c>
    </row>
    <row r="996">
      <c r="A996" s="53" t="n">
        <v>45339</v>
      </c>
      <c r="B996" t="inlineStr">
        <is>
          <t>2024-02-17</t>
        </is>
      </c>
      <c r="C996" s="45" t="n">
        <v>91.9158</v>
      </c>
      <c r="D996" t="inlineStr">
        <is>
          <t>€/MWh</t>
        </is>
      </c>
      <c r="E996" s="54" t="n">
        <v>0.091916</v>
      </c>
      <c r="F996" s="54" t="n">
        <v>0.103635</v>
      </c>
      <c r="G996" t="inlineStr">
        <is>
          <t>calculado</t>
        </is>
      </c>
      <c r="H996" t="inlineStr">
        <is>
          <t>IEE 2.5 % con cuota mínima 1 €/MWh (RDL 8/2023 art. 22.1) + IVA 10 % (RDL 8/2023 art. 21.1 (condición: mes anterior &gt; 45 €/MWh))</t>
        </is>
      </c>
      <c r="J996" t="inlineStr">
        <is>
          <t>2024-02-16</t>
        </is>
      </c>
      <c r="K996" t="inlineStr">
        <is>
          <t>ESIOS 1001 geo 8741</t>
        </is>
      </c>
      <c r="L996" t="inlineStr">
        <is>
          <t>24 valores; mín 67.62, máx 127.83 €/MWh</t>
        </is>
      </c>
    </row>
    <row r="997">
      <c r="A997" s="53" t="n">
        <v>45340</v>
      </c>
      <c r="B997" t="inlineStr">
        <is>
          <t>2024-02-18</t>
        </is>
      </c>
      <c r="C997" s="45" t="n">
        <v>92.5654</v>
      </c>
      <c r="D997" t="inlineStr">
        <is>
          <t>€/MWh</t>
        </is>
      </c>
      <c r="E997" s="54" t="n">
        <v>0.09256499999999999</v>
      </c>
      <c r="F997" s="54" t="n">
        <v>0.104367</v>
      </c>
      <c r="G997" t="inlineStr">
        <is>
          <t>calculado</t>
        </is>
      </c>
      <c r="H997" t="inlineStr">
        <is>
          <t>IEE 2.5 % con cuota mínima 1 €/MWh (RDL 8/2023 art. 22.1) + IVA 10 % (RDL 8/2023 art. 21.1 (condición: mes anterior &gt; 45 €/MWh))</t>
        </is>
      </c>
      <c r="J997" t="inlineStr">
        <is>
          <t>2024-02-17</t>
        </is>
      </c>
      <c r="K997" t="inlineStr">
        <is>
          <t>ESIOS 1001 geo 8741</t>
        </is>
      </c>
      <c r="L997" t="inlineStr">
        <is>
          <t>24 valores; mín 69.00, máx 109.80 €/MWh</t>
        </is>
      </c>
    </row>
    <row r="998">
      <c r="A998" s="53" t="n">
        <v>45341</v>
      </c>
      <c r="B998" t="inlineStr">
        <is>
          <t>2024-02-19</t>
        </is>
      </c>
      <c r="C998" s="45" t="n">
        <v>122.7804</v>
      </c>
      <c r="D998" t="inlineStr">
        <is>
          <t>€/MWh</t>
        </is>
      </c>
      <c r="E998" s="54" t="n">
        <v>0.12278</v>
      </c>
      <c r="F998" s="54" t="n">
        <v>0.138435</v>
      </c>
      <c r="G998" t="inlineStr">
        <is>
          <t>calculado</t>
        </is>
      </c>
      <c r="H998" t="inlineStr">
        <is>
          <t>IEE 2.5 % con cuota mínima 1 €/MWh (RDL 8/2023 art. 22.1) + IVA 10 % (RDL 8/2023 art. 21.1 (condición: mes anterior &gt; 45 €/MWh))</t>
        </is>
      </c>
      <c r="J998" t="inlineStr">
        <is>
          <t>2024-02-18</t>
        </is>
      </c>
      <c r="K998" t="inlineStr">
        <is>
          <t>ESIOS 1001 geo 8741</t>
        </is>
      </c>
      <c r="L998" t="inlineStr">
        <is>
          <t>24 valores; mín 92.53, máx 190.85 €/MWh</t>
        </is>
      </c>
    </row>
    <row r="999">
      <c r="A999" s="53" t="n">
        <v>45342</v>
      </c>
      <c r="B999" t="inlineStr">
        <is>
          <t>2024-02-20</t>
        </is>
      </c>
      <c r="C999" s="45" t="n">
        <v>127.6421</v>
      </c>
      <c r="D999" t="inlineStr">
        <is>
          <t>€/MWh</t>
        </is>
      </c>
      <c r="E999" s="54" t="n">
        <v>0.127642</v>
      </c>
      <c r="F999" s="54" t="n">
        <v>0.143916</v>
      </c>
      <c r="G999" t="inlineStr">
        <is>
          <t>calculado</t>
        </is>
      </c>
      <c r="H999" t="inlineStr">
        <is>
          <t>IEE 2.5 % con cuota mínima 1 €/MWh (RDL 8/2023 art. 22.1) + IVA 10 % (RDL 8/2023 art. 21.1 (condición: mes anterior &gt; 45 €/MWh))</t>
        </is>
      </c>
      <c r="J999" t="inlineStr">
        <is>
          <t>2024-02-19</t>
        </is>
      </c>
      <c r="K999" t="inlineStr">
        <is>
          <t>ESIOS 1001 geo 8741</t>
        </is>
      </c>
      <c r="L999" t="inlineStr">
        <is>
          <t>24 valores; mín 83.69, máx 318.42 €/MWh</t>
        </is>
      </c>
    </row>
    <row r="1000">
      <c r="A1000" s="53" t="n">
        <v>45343</v>
      </c>
      <c r="B1000" t="inlineStr">
        <is>
          <t>2024-02-21</t>
        </is>
      </c>
      <c r="C1000" s="45" t="n">
        <v>120.2704</v>
      </c>
      <c r="D1000" t="inlineStr">
        <is>
          <t>€/MWh</t>
        </is>
      </c>
      <c r="E1000" s="54" t="n">
        <v>0.12027</v>
      </c>
      <c r="F1000" s="54" t="n">
        <v>0.135605</v>
      </c>
      <c r="G1000" t="inlineStr">
        <is>
          <t>calculado</t>
        </is>
      </c>
      <c r="H1000" t="inlineStr">
        <is>
          <t>IEE 2.5 % con cuota mínima 1 €/MWh (RDL 8/2023 art. 22.1) + IVA 10 % (RDL 8/2023 art. 21.1 (condición: mes anterior &gt; 45 €/MWh))</t>
        </is>
      </c>
      <c r="J1000" t="inlineStr">
        <is>
          <t>2024-02-20</t>
        </is>
      </c>
      <c r="K1000" t="inlineStr">
        <is>
          <t>ESIOS 1001 geo 8741</t>
        </is>
      </c>
      <c r="L1000" t="inlineStr">
        <is>
          <t>24 valores; mín 90.56, máx 179.72 €/MWh</t>
        </is>
      </c>
    </row>
    <row r="1001">
      <c r="A1001" s="53" t="n">
        <v>45344</v>
      </c>
      <c r="B1001" t="inlineStr">
        <is>
          <t>2024-02-22</t>
        </is>
      </c>
      <c r="C1001" s="45" t="n">
        <v>88.2212</v>
      </c>
      <c r="D1001" t="inlineStr">
        <is>
          <t>€/MWh</t>
        </is>
      </c>
      <c r="E1001" s="54" t="n">
        <v>0.08822099999999999</v>
      </c>
      <c r="F1001" s="54" t="n">
        <v>0.099469</v>
      </c>
      <c r="G1001" t="inlineStr">
        <is>
          <t>calculado</t>
        </is>
      </c>
      <c r="H1001" t="inlineStr">
        <is>
          <t>IEE 2.5 % con cuota mínima 1 €/MWh (RDL 8/2023 art. 22.1) + IVA 10 % (RDL 8/2023 art. 21.1 (condición: mes anterior &gt; 45 €/MWh))</t>
        </is>
      </c>
      <c r="J1001" t="inlineStr">
        <is>
          <t>2024-02-21</t>
        </is>
      </c>
      <c r="K1001" t="inlineStr">
        <is>
          <t>ESIOS 1001 geo 8741</t>
        </is>
      </c>
      <c r="L1001" t="inlineStr">
        <is>
          <t>24 valores; mín 57.64, máx 128.11 €/MWh</t>
        </is>
      </c>
    </row>
    <row r="1002">
      <c r="A1002" s="53" t="n">
        <v>45345</v>
      </c>
      <c r="B1002" t="inlineStr">
        <is>
          <t>2024-02-23</t>
        </is>
      </c>
      <c r="C1002" s="45" t="n">
        <v>81.8796</v>
      </c>
      <c r="D1002" t="inlineStr">
        <is>
          <t>€/MWh</t>
        </is>
      </c>
      <c r="E1002" s="54" t="n">
        <v>0.08187999999999999</v>
      </c>
      <c r="F1002" s="54" t="n">
        <v>0.092319</v>
      </c>
      <c r="G1002" t="inlineStr">
        <is>
          <t>calculado</t>
        </is>
      </c>
      <c r="H1002" t="inlineStr">
        <is>
          <t>IEE 2.5 % con cuota mínima 1 €/MWh (RDL 8/2023 art. 22.1) + IVA 10 % (RDL 8/2023 art. 21.1 (condición: mes anterior &gt; 45 €/MWh))</t>
        </is>
      </c>
      <c r="J1002" t="inlineStr">
        <is>
          <t>2024-02-22</t>
        </is>
      </c>
      <c r="K1002" t="inlineStr">
        <is>
          <t>ESIOS 1001 geo 8741</t>
        </is>
      </c>
      <c r="L1002" t="inlineStr">
        <is>
          <t>24 valores; mín 45.59, máx 134.52 €/MWh</t>
        </is>
      </c>
    </row>
    <row r="1003">
      <c r="A1003" s="53" t="n">
        <v>45346</v>
      </c>
      <c r="B1003" t="inlineStr">
        <is>
          <t>2024-02-24</t>
        </is>
      </c>
      <c r="C1003" s="45" t="n">
        <v>49.8025</v>
      </c>
      <c r="D1003" t="inlineStr">
        <is>
          <t>€/MWh</t>
        </is>
      </c>
      <c r="E1003" s="54" t="n">
        <v>0.049802</v>
      </c>
      <c r="F1003" s="54" t="n">
        <v>0.056152</v>
      </c>
      <c r="G1003" t="inlineStr">
        <is>
          <t>calculado</t>
        </is>
      </c>
      <c r="H1003" t="inlineStr">
        <is>
          <t>IEE 2.5 % con cuota mínima 1 €/MWh (RDL 8/2023 art. 22.1) + IVA 10 % (RDL 8/2023 art. 21.1 (condición: mes anterior &gt; 45 €/MWh))</t>
        </is>
      </c>
      <c r="J1003" t="inlineStr">
        <is>
          <t>2024-02-23</t>
        </is>
      </c>
      <c r="K1003" t="inlineStr">
        <is>
          <t>ESIOS 1001 geo 8741</t>
        </is>
      </c>
      <c r="L1003" t="inlineStr">
        <is>
          <t>24 valores; mín 39.94, máx 75.97 €/MWh</t>
        </is>
      </c>
    </row>
    <row r="1004">
      <c r="A1004" s="53" t="n">
        <v>45347</v>
      </c>
      <c r="B1004" t="inlineStr">
        <is>
          <t>2024-02-25</t>
        </is>
      </c>
      <c r="C1004" s="45" t="n">
        <v>49.7421</v>
      </c>
      <c r="D1004" t="inlineStr">
        <is>
          <t>€/MWh</t>
        </is>
      </c>
      <c r="E1004" s="54" t="n">
        <v>0.049742</v>
      </c>
      <c r="F1004" s="54" t="n">
        <v>0.056084</v>
      </c>
      <c r="G1004" t="inlineStr">
        <is>
          <t>calculado</t>
        </is>
      </c>
      <c r="H1004" t="inlineStr">
        <is>
          <t>IEE 2.5 % con cuota mínima 1 €/MWh (RDL 8/2023 art. 22.1) + IVA 10 % (RDL 8/2023 art. 21.1 (condición: mes anterior &gt; 45 €/MWh))</t>
        </is>
      </c>
      <c r="J1004" t="inlineStr">
        <is>
          <t>2024-02-24</t>
        </is>
      </c>
      <c r="K1004" t="inlineStr">
        <is>
          <t>ESIOS 1001 geo 8741</t>
        </is>
      </c>
      <c r="L1004" t="inlineStr">
        <is>
          <t>24 valores; mín 42.70, máx 55.11 €/MWh</t>
        </is>
      </c>
    </row>
    <row r="1005">
      <c r="A1005" s="53" t="n">
        <v>45348</v>
      </c>
      <c r="B1005" t="inlineStr">
        <is>
          <t>2024-02-26</t>
        </is>
      </c>
      <c r="C1005" s="45" t="n">
        <v>84.4071</v>
      </c>
      <c r="D1005" t="inlineStr">
        <is>
          <t>€/MWh</t>
        </is>
      </c>
      <c r="E1005" s="54" t="n">
        <v>0.084407</v>
      </c>
      <c r="F1005" s="54" t="n">
        <v>0.095169</v>
      </c>
      <c r="G1005" t="inlineStr">
        <is>
          <t>calculado</t>
        </is>
      </c>
      <c r="H1005" t="inlineStr">
        <is>
          <t>IEE 2.5 % con cuota mínima 1 €/MWh (RDL 8/2023 art. 22.1) + IVA 10 % (RDL 8/2023 art. 21.1 (condición: mes anterior &gt; 45 €/MWh))</t>
        </is>
      </c>
      <c r="J1005" t="inlineStr">
        <is>
          <t>2024-02-25</t>
        </is>
      </c>
      <c r="K1005" t="inlineStr">
        <is>
          <t>ESIOS 1001 geo 8741</t>
        </is>
      </c>
      <c r="L1005" t="inlineStr">
        <is>
          <t>24 valores; mín 47.78, máx 130.21 €/MWh</t>
        </is>
      </c>
    </row>
    <row r="1006">
      <c r="A1006" s="53" t="n">
        <v>45349</v>
      </c>
      <c r="B1006" t="inlineStr">
        <is>
          <t>2024-02-27</t>
        </is>
      </c>
      <c r="C1006" s="45" t="n">
        <v>80.6754</v>
      </c>
      <c r="D1006" t="inlineStr">
        <is>
          <t>€/MWh</t>
        </is>
      </c>
      <c r="E1006" s="54" t="n">
        <v>0.080675</v>
      </c>
      <c r="F1006" s="54" t="n">
        <v>0.090962</v>
      </c>
      <c r="G1006" t="inlineStr">
        <is>
          <t>calculado</t>
        </is>
      </c>
      <c r="H1006" t="inlineStr">
        <is>
          <t>IEE 2.5 % con cuota mínima 1 €/MWh (RDL 8/2023 art. 22.1) + IVA 10 % (RDL 8/2023 art. 21.1 (condición: mes anterior &gt; 45 €/MWh))</t>
        </is>
      </c>
      <c r="J1006" t="inlineStr">
        <is>
          <t>2024-02-26</t>
        </is>
      </c>
      <c r="K1006" t="inlineStr">
        <is>
          <t>ESIOS 1001 geo 8741</t>
        </is>
      </c>
      <c r="L1006" t="inlineStr">
        <is>
          <t>24 valores; mín 44.73, máx 142.37 €/MWh</t>
        </is>
      </c>
    </row>
    <row r="1007">
      <c r="A1007" s="53" t="n">
        <v>45350</v>
      </c>
      <c r="B1007" t="inlineStr">
        <is>
          <t>2024-02-28</t>
        </is>
      </c>
      <c r="C1007" s="45" t="n">
        <v>88.85080000000001</v>
      </c>
      <c r="D1007" t="inlineStr">
        <is>
          <t>€/MWh</t>
        </is>
      </c>
      <c r="E1007" s="54" t="n">
        <v>0.088851</v>
      </c>
      <c r="F1007" s="54" t="n">
        <v>0.100179</v>
      </c>
      <c r="G1007" t="inlineStr">
        <is>
          <t>calculado</t>
        </is>
      </c>
      <c r="H1007" t="inlineStr">
        <is>
          <t>IEE 2.5 % con cuota mínima 1 €/MWh (RDL 8/2023 art. 22.1) + IVA 10 % (RDL 8/2023 art. 21.1 (condición: mes anterior &gt; 45 €/MWh))</t>
        </is>
      </c>
      <c r="J1007" t="inlineStr">
        <is>
          <t>2024-02-27</t>
        </is>
      </c>
      <c r="K1007" t="inlineStr">
        <is>
          <t>ESIOS 1001 geo 8741</t>
        </is>
      </c>
      <c r="L1007" t="inlineStr">
        <is>
          <t>24 valores; mín 49.96, máx 193.78 €/MWh</t>
        </is>
      </c>
    </row>
    <row r="1008">
      <c r="A1008" s="53" t="n">
        <v>45351</v>
      </c>
      <c r="B1008" t="inlineStr">
        <is>
          <t>2024-02-29</t>
        </is>
      </c>
      <c r="C1008" s="45" t="n">
        <v>82.1112</v>
      </c>
      <c r="D1008" t="inlineStr">
        <is>
          <t>€/MWh</t>
        </is>
      </c>
      <c r="E1008" s="54" t="n">
        <v>0.082111</v>
      </c>
      <c r="F1008" s="54" t="n">
        <v>0.09258</v>
      </c>
      <c r="G1008" t="inlineStr">
        <is>
          <t>calculado</t>
        </is>
      </c>
      <c r="H1008" t="inlineStr">
        <is>
          <t>IEE 2.5 % con cuota mínima 1 €/MWh (RDL 8/2023 art. 22.1) + IVA 10 % (RDL 8/2023 art. 21.1 (condición: mes anterior &gt; 45 €/MWh))</t>
        </is>
      </c>
      <c r="J1008" t="inlineStr">
        <is>
          <t>2024-02-28</t>
        </is>
      </c>
      <c r="K1008" t="inlineStr">
        <is>
          <t>ESIOS 1001 geo 8741</t>
        </is>
      </c>
      <c r="L1008" t="inlineStr">
        <is>
          <t>24 valores; mín 51.66, máx 122.77 €/MWh</t>
        </is>
      </c>
    </row>
    <row r="1009">
      <c r="A1009" s="53" t="n">
        <v>45352</v>
      </c>
      <c r="B1009" t="inlineStr">
        <is>
          <t>2024-03-01</t>
        </is>
      </c>
      <c r="C1009" s="45" t="n">
        <v>80.0475</v>
      </c>
      <c r="D1009" t="inlineStr">
        <is>
          <t>€/MWh</t>
        </is>
      </c>
      <c r="E1009" s="54" t="n">
        <v>0.08004699999999999</v>
      </c>
      <c r="F1009" s="54" t="n">
        <v>0.09927900000000001</v>
      </c>
      <c r="G1009" t="inlineStr">
        <is>
          <t>calculado</t>
        </is>
      </c>
      <c r="H1009" t="inlineStr">
        <is>
          <t>IEE 2.5 % con cuota mínima 1 €/MWh (RDL 8/2023 art. 22.1) + IVA 21 % (RDL 8/2023 art. 21.1 (condición: mes anterior &gt; 45 €/MWh))</t>
        </is>
      </c>
      <c r="J1009" t="inlineStr">
        <is>
          <t>2024-02-29</t>
        </is>
      </c>
      <c r="K1009" t="inlineStr">
        <is>
          <t>ESIOS 1001 geo 8741</t>
        </is>
      </c>
      <c r="L1009" t="inlineStr">
        <is>
          <t>24 valores; mín 47.65, máx 127.87 €/MWh</t>
        </is>
      </c>
    </row>
    <row r="1010">
      <c r="A1010" s="53" t="n">
        <v>45353</v>
      </c>
      <c r="B1010" t="inlineStr">
        <is>
          <t>2024-03-02</t>
        </is>
      </c>
      <c r="C1010" s="45" t="n">
        <v>47.3446</v>
      </c>
      <c r="D1010" t="inlineStr">
        <is>
          <t>€/MWh</t>
        </is>
      </c>
      <c r="E1010" s="54" t="n">
        <v>0.047345</v>
      </c>
      <c r="F1010" s="54" t="n">
        <v>0.058719</v>
      </c>
      <c r="G1010" t="inlineStr">
        <is>
          <t>calculado</t>
        </is>
      </c>
      <c r="H1010" t="inlineStr">
        <is>
          <t>IEE 2.5 % con cuota mínima 1 €/MWh (RDL 8/2023 art. 22.1) + IVA 21 % (RDL 8/2023 art. 21.1 (condición: mes anterior &gt; 45 €/MWh))</t>
        </is>
      </c>
      <c r="J1010" t="inlineStr">
        <is>
          <t>2024-03-01</t>
        </is>
      </c>
      <c r="K1010" t="inlineStr">
        <is>
          <t>ESIOS 1001 geo 8741</t>
        </is>
      </c>
      <c r="L1010" t="inlineStr">
        <is>
          <t>24 valores; mín 42.41, máx 75.11 €/MWh</t>
        </is>
      </c>
    </row>
    <row r="1011">
      <c r="A1011" s="53" t="n">
        <v>45354</v>
      </c>
      <c r="B1011" t="inlineStr">
        <is>
          <t>2024-03-03</t>
        </is>
      </c>
      <c r="C1011" s="45" t="n">
        <v>48.9162</v>
      </c>
      <c r="D1011" t="inlineStr">
        <is>
          <t>€/MWh</t>
        </is>
      </c>
      <c r="E1011" s="54" t="n">
        <v>0.048916</v>
      </c>
      <c r="F1011" s="54" t="n">
        <v>0.060668</v>
      </c>
      <c r="G1011" t="inlineStr">
        <is>
          <t>calculado</t>
        </is>
      </c>
      <c r="H1011" t="inlineStr">
        <is>
          <t>IEE 2.5 % con cuota mínima 1 €/MWh (RDL 8/2023 art. 22.1) + IVA 21 % (RDL 8/2023 art. 21.1 (condición: mes anterior &gt; 45 €/MWh))</t>
        </is>
      </c>
      <c r="J1011" t="inlineStr">
        <is>
          <t>2024-03-02</t>
        </is>
      </c>
      <c r="K1011" t="inlineStr">
        <is>
          <t>ESIOS 1001 geo 8741</t>
        </is>
      </c>
      <c r="L1011" t="inlineStr">
        <is>
          <t>24 valores; mín 38.48, máx 73.55 €/MWh</t>
        </is>
      </c>
    </row>
    <row r="1012">
      <c r="A1012" s="53" t="n">
        <v>45355</v>
      </c>
      <c r="B1012" t="inlineStr">
        <is>
          <t>2024-03-04</t>
        </is>
      </c>
      <c r="C1012" s="45" t="n">
        <v>85.72790000000001</v>
      </c>
      <c r="D1012" t="inlineStr">
        <is>
          <t>€/MWh</t>
        </is>
      </c>
      <c r="E1012" s="54" t="n">
        <v>0.085728</v>
      </c>
      <c r="F1012" s="54" t="n">
        <v>0.106324</v>
      </c>
      <c r="G1012" t="inlineStr">
        <is>
          <t>calculado</t>
        </is>
      </c>
      <c r="H1012" t="inlineStr">
        <is>
          <t>IEE 2.5 % con cuota mínima 1 €/MWh (RDL 8/2023 art. 22.1) + IVA 21 % (RDL 8/2023 art. 21.1 (condición: mes anterior &gt; 45 €/MWh))</t>
        </is>
      </c>
      <c r="J1012" t="inlineStr">
        <is>
          <t>2024-03-03</t>
        </is>
      </c>
      <c r="K1012" t="inlineStr">
        <is>
          <t>ESIOS 1001 geo 8741</t>
        </is>
      </c>
      <c r="L1012" t="inlineStr">
        <is>
          <t>24 valores; mín 51.60, máx 141.31 €/MWh</t>
        </is>
      </c>
    </row>
    <row r="1013">
      <c r="A1013" s="53" t="n">
        <v>45356</v>
      </c>
      <c r="B1013" t="inlineStr">
        <is>
          <t>2024-03-05</t>
        </is>
      </c>
      <c r="C1013" s="45" t="n">
        <v>106.89</v>
      </c>
      <c r="D1013" t="inlineStr">
        <is>
          <t>€/MWh</t>
        </is>
      </c>
      <c r="E1013" s="54" t="n">
        <v>0.10689</v>
      </c>
      <c r="F1013" s="54" t="n">
        <v>0.13257</v>
      </c>
      <c r="G1013" t="inlineStr">
        <is>
          <t>calculado</t>
        </is>
      </c>
      <c r="H1013" t="inlineStr">
        <is>
          <t>IEE 2.5 % con cuota mínima 1 €/MWh (RDL 8/2023 art. 22.1) + IVA 21 % (RDL 8/2023 art. 21.1 (condición: mes anterior &gt; 45 €/MWh))</t>
        </is>
      </c>
      <c r="J1013" t="inlineStr">
        <is>
          <t>2024-03-04</t>
        </is>
      </c>
      <c r="K1013" t="inlineStr">
        <is>
          <t>ESIOS 1001 geo 8741</t>
        </is>
      </c>
      <c r="L1013" t="inlineStr">
        <is>
          <t>24 valores; mín 42.78, máx 257.06 €/MWh</t>
        </is>
      </c>
    </row>
    <row r="1014">
      <c r="A1014" s="53" t="n">
        <v>45357</v>
      </c>
      <c r="B1014" t="inlineStr">
        <is>
          <t>2024-03-06</t>
        </is>
      </c>
      <c r="C1014" s="45" t="n">
        <v>117.4996</v>
      </c>
      <c r="D1014" t="inlineStr">
        <is>
          <t>€/MWh</t>
        </is>
      </c>
      <c r="E1014" s="54" t="n">
        <v>0.1175</v>
      </c>
      <c r="F1014" s="54" t="n">
        <v>0.145729</v>
      </c>
      <c r="G1014" t="inlineStr">
        <is>
          <t>calculado</t>
        </is>
      </c>
      <c r="H1014" t="inlineStr">
        <is>
          <t>IEE 2.5 % con cuota mínima 1 €/MWh (RDL 8/2023 art. 22.1) + IVA 21 % (RDL 8/2023 art. 21.1 (condición: mes anterior &gt; 45 €/MWh))</t>
        </is>
      </c>
      <c r="J1014" t="inlineStr">
        <is>
          <t>2024-03-05</t>
        </is>
      </c>
      <c r="K1014" t="inlineStr">
        <is>
          <t>ESIOS 1001 geo 8741</t>
        </is>
      </c>
      <c r="L1014" t="inlineStr">
        <is>
          <t>24 valores; mín 58.69, máx 244.19 €/MWh</t>
        </is>
      </c>
    </row>
    <row r="1015">
      <c r="A1015" s="53" t="n">
        <v>45358</v>
      </c>
      <c r="B1015" t="inlineStr">
        <is>
          <t>2024-03-07</t>
        </is>
      </c>
      <c r="C1015" s="45" t="n">
        <v>86.6808</v>
      </c>
      <c r="D1015" t="inlineStr">
        <is>
          <t>€/MWh</t>
        </is>
      </c>
      <c r="E1015" s="54" t="n">
        <v>0.08668099999999999</v>
      </c>
      <c r="F1015" s="54" t="n">
        <v>0.107506</v>
      </c>
      <c r="G1015" t="inlineStr">
        <is>
          <t>calculado</t>
        </is>
      </c>
      <c r="H1015" t="inlineStr">
        <is>
          <t>IEE 2.5 % con cuota mínima 1 €/MWh (RDL 8/2023 art. 22.1) + IVA 21 % (RDL 8/2023 art. 21.1 (condición: mes anterior &gt; 45 €/MWh))</t>
        </is>
      </c>
      <c r="J1015" t="inlineStr">
        <is>
          <t>2024-03-06</t>
        </is>
      </c>
      <c r="K1015" t="inlineStr">
        <is>
          <t>ESIOS 1001 geo 8741</t>
        </is>
      </c>
      <c r="L1015" t="inlineStr">
        <is>
          <t>24 valores; mín 49.53, máx 156.16 €/MWh</t>
        </is>
      </c>
    </row>
    <row r="1016">
      <c r="A1016" s="53" t="n">
        <v>45359</v>
      </c>
      <c r="B1016" t="inlineStr">
        <is>
          <t>2024-03-08</t>
        </is>
      </c>
      <c r="C1016" s="45" t="n">
        <v>80.80459999999999</v>
      </c>
      <c r="D1016" t="inlineStr">
        <is>
          <t>€/MWh</t>
        </is>
      </c>
      <c r="E1016" s="54" t="n">
        <v>0.080805</v>
      </c>
      <c r="F1016" s="54" t="n">
        <v>0.100218</v>
      </c>
      <c r="G1016" t="inlineStr">
        <is>
          <t>calculado</t>
        </is>
      </c>
      <c r="H1016" t="inlineStr">
        <is>
          <t>IEE 2.5 % con cuota mínima 1 €/MWh (RDL 8/2023 art. 22.1) + IVA 21 % (RDL 8/2023 art. 21.1 (condición: mes anterior &gt; 45 €/MWh))</t>
        </is>
      </c>
      <c r="J1016" t="inlineStr">
        <is>
          <t>2024-03-07</t>
        </is>
      </c>
      <c r="K1016" t="inlineStr">
        <is>
          <t>ESIOS 1001 geo 8741</t>
        </is>
      </c>
      <c r="L1016" t="inlineStr">
        <is>
          <t>24 valores; mín 48.34, máx 125.15 €/MWh</t>
        </is>
      </c>
    </row>
    <row r="1017">
      <c r="A1017" s="53" t="n">
        <v>45360</v>
      </c>
      <c r="B1017" t="inlineStr">
        <is>
          <t>2024-03-09</t>
        </is>
      </c>
      <c r="C1017" s="45" t="n">
        <v>44.4458</v>
      </c>
      <c r="D1017" t="inlineStr">
        <is>
          <t>€/MWh</t>
        </is>
      </c>
      <c r="E1017" s="54" t="n">
        <v>0.044446</v>
      </c>
      <c r="F1017" s="54" t="n">
        <v>0.055124</v>
      </c>
      <c r="G1017" t="inlineStr">
        <is>
          <t>calculado</t>
        </is>
      </c>
      <c r="H1017" t="inlineStr">
        <is>
          <t>IEE 2.5 % con cuota mínima 1 €/MWh (RDL 8/2023 art. 22.1) + IVA 21 % (RDL 8/2023 art. 21.1 (condición: mes anterior &gt; 45 €/MWh))</t>
        </is>
      </c>
      <c r="J1017" t="inlineStr">
        <is>
          <t>2024-03-08</t>
        </is>
      </c>
      <c r="K1017" t="inlineStr">
        <is>
          <t>ESIOS 1001 geo 8741</t>
        </is>
      </c>
      <c r="L1017" t="inlineStr">
        <is>
          <t>24 valores; mín 41.94, máx 46.81 €/MWh</t>
        </is>
      </c>
    </row>
    <row r="1018">
      <c r="A1018" s="53" t="n">
        <v>45361</v>
      </c>
      <c r="B1018" t="inlineStr">
        <is>
          <t>2024-03-10</t>
        </is>
      </c>
      <c r="C1018" s="45" t="n">
        <v>47.6858</v>
      </c>
      <c r="D1018" t="inlineStr">
        <is>
          <t>€/MWh</t>
        </is>
      </c>
      <c r="E1018" s="54" t="n">
        <v>0.047686</v>
      </c>
      <c r="F1018" s="54" t="n">
        <v>0.059142</v>
      </c>
      <c r="G1018" t="inlineStr">
        <is>
          <t>calculado</t>
        </is>
      </c>
      <c r="H1018" t="inlineStr">
        <is>
          <t>IEE 2.5 % con cuota mínima 1 €/MWh (RDL 8/2023 art. 22.1) + IVA 21 % (RDL 8/2023 art. 21.1 (condición: mes anterior &gt; 45 €/MWh))</t>
        </is>
      </c>
      <c r="J1018" t="inlineStr">
        <is>
          <t>2024-03-09</t>
        </is>
      </c>
      <c r="K1018" t="inlineStr">
        <is>
          <t>ESIOS 1001 geo 8741</t>
        </is>
      </c>
      <c r="L1018" t="inlineStr">
        <is>
          <t>24 valores; mín 40.91, máx 51.41 €/MWh</t>
        </is>
      </c>
    </row>
    <row r="1019">
      <c r="A1019" s="53" t="n">
        <v>45362</v>
      </c>
      <c r="B1019" t="inlineStr">
        <is>
          <t>2024-03-11</t>
        </is>
      </c>
      <c r="C1019" s="45" t="n">
        <v>93.295</v>
      </c>
      <c r="D1019" t="inlineStr">
        <is>
          <t>€/MWh</t>
        </is>
      </c>
      <c r="E1019" s="54" t="n">
        <v>0.093295</v>
      </c>
      <c r="F1019" s="54" t="n">
        <v>0.115709</v>
      </c>
      <c r="G1019" t="inlineStr">
        <is>
          <t>calculado</t>
        </is>
      </c>
      <c r="H1019" t="inlineStr">
        <is>
          <t>IEE 2.5 % con cuota mínima 1 €/MWh (RDL 8/2023 art. 22.1) + IVA 21 % (RDL 8/2023 art. 21.1 (condición: mes anterior &gt; 45 €/MWh))</t>
        </is>
      </c>
      <c r="J1019" t="inlineStr">
        <is>
          <t>2024-03-10</t>
        </is>
      </c>
      <c r="K1019" t="inlineStr">
        <is>
          <t>ESIOS 1001 geo 8741</t>
        </is>
      </c>
      <c r="L1019" t="inlineStr">
        <is>
          <t>24 valores; mín 44.55, máx 217.65 €/MWh</t>
        </is>
      </c>
    </row>
    <row r="1020">
      <c r="A1020" s="53" t="n">
        <v>45363</v>
      </c>
      <c r="B1020" t="inlineStr">
        <is>
          <t>2024-03-12</t>
        </is>
      </c>
      <c r="C1020" s="45" t="n">
        <v>120.0754</v>
      </c>
      <c r="D1020" t="inlineStr">
        <is>
          <t>€/MWh</t>
        </is>
      </c>
      <c r="E1020" s="54" t="n">
        <v>0.120075</v>
      </c>
      <c r="F1020" s="54" t="n">
        <v>0.148924</v>
      </c>
      <c r="G1020" t="inlineStr">
        <is>
          <t>calculado</t>
        </is>
      </c>
      <c r="H1020" t="inlineStr">
        <is>
          <t>IEE 2.5 % con cuota mínima 1 €/MWh (RDL 8/2023 art. 22.1) + IVA 21 % (RDL 8/2023 art. 21.1 (condición: mes anterior &gt; 45 €/MWh))</t>
        </is>
      </c>
      <c r="J1020" t="inlineStr">
        <is>
          <t>2024-03-11</t>
        </is>
      </c>
      <c r="K1020" t="inlineStr">
        <is>
          <t>ESIOS 1001 geo 8741</t>
        </is>
      </c>
      <c r="L1020" t="inlineStr">
        <is>
          <t>24 valores; mín 62.51, máx 309.82 €/MWh</t>
        </is>
      </c>
    </row>
    <row r="1021">
      <c r="A1021" s="53" t="n">
        <v>45364</v>
      </c>
      <c r="B1021" t="inlineStr">
        <is>
          <t>2024-03-13</t>
        </is>
      </c>
      <c r="C1021" s="45" t="n">
        <v>119.6821</v>
      </c>
      <c r="D1021" t="inlineStr">
        <is>
          <t>€/MWh</t>
        </is>
      </c>
      <c r="E1021" s="54" t="n">
        <v>0.119682</v>
      </c>
      <c r="F1021" s="54" t="n">
        <v>0.148436</v>
      </c>
      <c r="G1021" t="inlineStr">
        <is>
          <t>calculado</t>
        </is>
      </c>
      <c r="H1021" t="inlineStr">
        <is>
          <t>IEE 2.5 % con cuota mínima 1 €/MWh (RDL 8/2023 art. 22.1) + IVA 21 % (RDL 8/2023 art. 21.1 (condición: mes anterior &gt; 45 €/MWh))</t>
        </is>
      </c>
      <c r="J1021" t="inlineStr">
        <is>
          <t>2024-03-12</t>
        </is>
      </c>
      <c r="K1021" t="inlineStr">
        <is>
          <t>ESIOS 1001 geo 8741</t>
        </is>
      </c>
      <c r="L1021" t="inlineStr">
        <is>
          <t>24 valores; mín 63.69, máx 263.79 €/MWh</t>
        </is>
      </c>
    </row>
    <row r="1022">
      <c r="A1022" s="53" t="n">
        <v>45365</v>
      </c>
      <c r="B1022" t="inlineStr">
        <is>
          <t>2024-03-14</t>
        </is>
      </c>
      <c r="C1022" s="45" t="n">
        <v>114.0242</v>
      </c>
      <c r="D1022" t="inlineStr">
        <is>
          <t>€/MWh</t>
        </is>
      </c>
      <c r="E1022" s="54" t="n">
        <v>0.114024</v>
      </c>
      <c r="F1022" s="54" t="n">
        <v>0.141419</v>
      </c>
      <c r="G1022" t="inlineStr">
        <is>
          <t>calculado</t>
        </is>
      </c>
      <c r="H1022" t="inlineStr">
        <is>
          <t>IEE 2.5 % con cuota mínima 1 €/MWh (RDL 8/2023 art. 22.1) + IVA 21 % (RDL 8/2023 art. 21.1 (condición: mes anterior &gt; 45 €/MWh))</t>
        </is>
      </c>
      <c r="J1022" t="inlineStr">
        <is>
          <t>2024-03-13</t>
        </is>
      </c>
      <c r="K1022" t="inlineStr">
        <is>
          <t>ESIOS 1001 geo 8741</t>
        </is>
      </c>
      <c r="L1022" t="inlineStr">
        <is>
          <t>24 valores; mín 67.52, máx 212.21 €/MWh</t>
        </is>
      </c>
    </row>
    <row r="1023">
      <c r="A1023" s="53" t="n">
        <v>45366</v>
      </c>
      <c r="B1023" t="inlineStr">
        <is>
          <t>2024-03-15</t>
        </is>
      </c>
      <c r="C1023" s="45" t="n">
        <v>114.0612</v>
      </c>
      <c r="D1023" t="inlineStr">
        <is>
          <t>€/MWh</t>
        </is>
      </c>
      <c r="E1023" s="54" t="n">
        <v>0.114061</v>
      </c>
      <c r="F1023" s="54" t="n">
        <v>0.141464</v>
      </c>
      <c r="G1023" t="inlineStr">
        <is>
          <t>calculado</t>
        </is>
      </c>
      <c r="H1023" t="inlineStr">
        <is>
          <t>IEE 2.5 % con cuota mínima 1 €/MWh (RDL 8/2023 art. 22.1) + IVA 21 % (RDL 8/2023 art. 21.1 (condición: mes anterior &gt; 45 €/MWh))</t>
        </is>
      </c>
      <c r="J1023" t="inlineStr">
        <is>
          <t>2024-03-14</t>
        </is>
      </c>
      <c r="K1023" t="inlineStr">
        <is>
          <t>ESIOS 1001 geo 8741</t>
        </is>
      </c>
      <c r="L1023" t="inlineStr">
        <is>
          <t>24 valores; mín 65.85, máx 253.58 €/MWh</t>
        </is>
      </c>
    </row>
    <row r="1024">
      <c r="A1024" s="53" t="n">
        <v>45367</v>
      </c>
      <c r="B1024" t="inlineStr">
        <is>
          <t>2024-03-16</t>
        </is>
      </c>
      <c r="C1024" s="45" t="n">
        <v>80.75709999999999</v>
      </c>
      <c r="D1024" t="inlineStr">
        <is>
          <t>€/MWh</t>
        </is>
      </c>
      <c r="E1024" s="54" t="n">
        <v>0.080757</v>
      </c>
      <c r="F1024" s="54" t="n">
        <v>0.100159</v>
      </c>
      <c r="G1024" t="inlineStr">
        <is>
          <t>calculado</t>
        </is>
      </c>
      <c r="H1024" t="inlineStr">
        <is>
          <t>IEE 2.5 % con cuota mínima 1 €/MWh (RDL 8/2023 art. 22.1) + IVA 21 % (RDL 8/2023 art. 21.1 (condición: mes anterior &gt; 45 €/MWh))</t>
        </is>
      </c>
      <c r="J1024" t="inlineStr">
        <is>
          <t>2024-03-15</t>
        </is>
      </c>
      <c r="K1024" t="inlineStr">
        <is>
          <t>ESIOS 1001 geo 8741</t>
        </is>
      </c>
      <c r="L1024" t="inlineStr">
        <is>
          <t>24 valores; mín 42.78, máx 138.78 €/MWh</t>
        </is>
      </c>
    </row>
    <row r="1025">
      <c r="A1025" s="53" t="n">
        <v>45368</v>
      </c>
      <c r="B1025" t="inlineStr">
        <is>
          <t>2024-03-17</t>
        </is>
      </c>
      <c r="C1025" s="45" t="n">
        <v>81.3192</v>
      </c>
      <c r="D1025" t="inlineStr">
        <is>
          <t>€/MWh</t>
        </is>
      </c>
      <c r="E1025" s="54" t="n">
        <v>0.081319</v>
      </c>
      <c r="F1025" s="54" t="n">
        <v>0.100856</v>
      </c>
      <c r="G1025" t="inlineStr">
        <is>
          <t>calculado</t>
        </is>
      </c>
      <c r="H1025" t="inlineStr">
        <is>
          <t>IEE 2.5 % con cuota mínima 1 €/MWh (RDL 8/2023 art. 22.1) + IVA 21 % (RDL 8/2023 art. 21.1 (condición: mes anterior &gt; 45 €/MWh))</t>
        </is>
      </c>
      <c r="J1025" t="inlineStr">
        <is>
          <t>2024-03-16</t>
        </is>
      </c>
      <c r="K1025" t="inlineStr">
        <is>
          <t>ESIOS 1001 geo 8741</t>
        </is>
      </c>
      <c r="L1025" t="inlineStr">
        <is>
          <t>24 valores; mín 43.35, máx 138.63 €/MWh</t>
        </is>
      </c>
    </row>
    <row r="1026">
      <c r="A1026" s="53" t="n">
        <v>45369</v>
      </c>
      <c r="B1026" t="inlineStr">
        <is>
          <t>2024-03-18</t>
        </is>
      </c>
      <c r="C1026" s="45" t="n">
        <v>137.3567</v>
      </c>
      <c r="D1026" t="inlineStr">
        <is>
          <t>€/MWh</t>
        </is>
      </c>
      <c r="E1026" s="54" t="n">
        <v>0.137357</v>
      </c>
      <c r="F1026" s="54" t="n">
        <v>0.170357</v>
      </c>
      <c r="G1026" t="inlineStr">
        <is>
          <t>calculado</t>
        </is>
      </c>
      <c r="H1026" t="inlineStr">
        <is>
          <t>IEE 2.5 % con cuota mínima 1 €/MWh (RDL 8/2023 art. 22.1) + IVA 21 % (RDL 8/2023 art. 21.1 (condición: mes anterior &gt; 45 €/MWh))</t>
        </is>
      </c>
      <c r="J1026" t="inlineStr">
        <is>
          <t>2024-03-17</t>
        </is>
      </c>
      <c r="K1026" t="inlineStr">
        <is>
          <t>ESIOS 1001 geo 8741</t>
        </is>
      </c>
      <c r="L1026" t="inlineStr">
        <is>
          <t>24 valores; mín 93.51, máx 247.85 €/MWh</t>
        </is>
      </c>
    </row>
    <row r="1027">
      <c r="A1027" s="53" t="n">
        <v>45370</v>
      </c>
      <c r="B1027" t="inlineStr">
        <is>
          <t>2024-03-19</t>
        </is>
      </c>
      <c r="C1027" s="45" t="n">
        <v>138.7529</v>
      </c>
      <c r="D1027" t="inlineStr">
        <is>
          <t>€/MWh</t>
        </is>
      </c>
      <c r="E1027" s="54" t="n">
        <v>0.138753</v>
      </c>
      <c r="F1027" s="54" t="n">
        <v>0.172088</v>
      </c>
      <c r="G1027" t="inlineStr">
        <is>
          <t>calculado</t>
        </is>
      </c>
      <c r="H1027" t="inlineStr">
        <is>
          <t>IEE 2.5 % con cuota mínima 1 €/MWh (RDL 8/2023 art. 22.1) + IVA 21 % (RDL 8/2023 art. 21.1 (condición: mes anterior &gt; 45 €/MWh))</t>
        </is>
      </c>
      <c r="J1027" t="inlineStr">
        <is>
          <t>2024-03-18</t>
        </is>
      </c>
      <c r="K1027" t="inlineStr">
        <is>
          <t>ESIOS 1001 geo 8741</t>
        </is>
      </c>
      <c r="L1027" t="inlineStr">
        <is>
          <t>24 valores; mín 95.61, máx 250.44 €/MWh</t>
        </is>
      </c>
    </row>
    <row r="1028">
      <c r="A1028" s="53" t="n">
        <v>45371</v>
      </c>
      <c r="B1028" t="inlineStr">
        <is>
          <t>2024-03-20</t>
        </is>
      </c>
      <c r="C1028" s="45" t="n">
        <v>131.9708</v>
      </c>
      <c r="D1028" t="inlineStr">
        <is>
          <t>€/MWh</t>
        </is>
      </c>
      <c r="E1028" s="54" t="n">
        <v>0.131971</v>
      </c>
      <c r="F1028" s="54" t="n">
        <v>0.163677</v>
      </c>
      <c r="G1028" t="inlineStr">
        <is>
          <t>calculado</t>
        </is>
      </c>
      <c r="H1028" t="inlineStr">
        <is>
          <t>IEE 2.5 % con cuota mínima 1 €/MWh (RDL 8/2023 art. 22.1) + IVA 21 % (RDL 8/2023 art. 21.1 (condición: mes anterior &gt; 45 €/MWh))</t>
        </is>
      </c>
      <c r="J1028" t="inlineStr">
        <is>
          <t>2024-03-19</t>
        </is>
      </c>
      <c r="K1028" t="inlineStr">
        <is>
          <t>ESIOS 1001 geo 8741</t>
        </is>
      </c>
      <c r="L1028" t="inlineStr">
        <is>
          <t>24 valores; mín 86.59, máx 221.70 €/MWh</t>
        </is>
      </c>
    </row>
    <row r="1029">
      <c r="A1029" s="53" t="n">
        <v>45372</v>
      </c>
      <c r="B1029" t="inlineStr">
        <is>
          <t>2024-03-21</t>
        </is>
      </c>
      <c r="C1029" s="45" t="n">
        <v>114.665</v>
      </c>
      <c r="D1029" t="inlineStr">
        <is>
          <t>€/MWh</t>
        </is>
      </c>
      <c r="E1029" s="54" t="n">
        <v>0.114665</v>
      </c>
      <c r="F1029" s="54" t="n">
        <v>0.142213</v>
      </c>
      <c r="G1029" t="inlineStr">
        <is>
          <t>calculado</t>
        </is>
      </c>
      <c r="H1029" t="inlineStr">
        <is>
          <t>IEE 2.5 % con cuota mínima 1 €/MWh (RDL 8/2023 art. 22.1) + IVA 21 % (RDL 8/2023 art. 21.1 (condición: mes anterior &gt; 45 €/MWh))</t>
        </is>
      </c>
      <c r="J1029" t="inlineStr">
        <is>
          <t>2024-03-20</t>
        </is>
      </c>
      <c r="K1029" t="inlineStr">
        <is>
          <t>ESIOS 1001 geo 8741</t>
        </is>
      </c>
      <c r="L1029" t="inlineStr">
        <is>
          <t>24 valores; mín 78.75, máx 209.06 €/MWh</t>
        </is>
      </c>
    </row>
    <row r="1030">
      <c r="A1030" s="53" t="n">
        <v>45373</v>
      </c>
      <c r="B1030" t="inlineStr">
        <is>
          <t>2024-03-22</t>
        </is>
      </c>
      <c r="C1030" s="45" t="n">
        <v>104.7108</v>
      </c>
      <c r="D1030" t="inlineStr">
        <is>
          <t>€/MWh</t>
        </is>
      </c>
      <c r="E1030" s="54" t="n">
        <v>0.104711</v>
      </c>
      <c r="F1030" s="54" t="n">
        <v>0.129868</v>
      </c>
      <c r="G1030" t="inlineStr">
        <is>
          <t>calculado</t>
        </is>
      </c>
      <c r="H1030" t="inlineStr">
        <is>
          <t>IEE 2.5 % con cuota mínima 1 €/MWh (RDL 8/2023 art. 22.1) + IVA 21 % (RDL 8/2023 art. 21.1 (condición: mes anterior &gt; 45 €/MWh))</t>
        </is>
      </c>
      <c r="J1030" t="inlineStr">
        <is>
          <t>2024-03-21</t>
        </is>
      </c>
      <c r="K1030" t="inlineStr">
        <is>
          <t>ESIOS 1001 geo 8741</t>
        </is>
      </c>
      <c r="L1030" t="inlineStr">
        <is>
          <t>24 valores; mín 71.03, máx 182.62 €/MWh</t>
        </is>
      </c>
    </row>
    <row r="1031">
      <c r="A1031" s="53" t="n">
        <v>45374</v>
      </c>
      <c r="B1031" t="inlineStr">
        <is>
          <t>2024-03-23</t>
        </is>
      </c>
      <c r="C1031" s="45" t="n">
        <v>55.1433</v>
      </c>
      <c r="D1031" t="inlineStr">
        <is>
          <t>€/MWh</t>
        </is>
      </c>
      <c r="E1031" s="54" t="n">
        <v>0.055143</v>
      </c>
      <c r="F1031" s="54" t="n">
        <v>0.06839099999999999</v>
      </c>
      <c r="G1031" t="inlineStr">
        <is>
          <t>calculado</t>
        </is>
      </c>
      <c r="H1031" t="inlineStr">
        <is>
          <t>IEE 2.5 % con cuota mínima 1 €/MWh (RDL 8/2023 art. 22.1) + IVA 21 % (RDL 8/2023 art. 21.1 (condición: mes anterior &gt; 45 €/MWh))</t>
        </is>
      </c>
      <c r="J1031" t="inlineStr">
        <is>
          <t>2024-03-22</t>
        </is>
      </c>
      <c r="K1031" t="inlineStr">
        <is>
          <t>ESIOS 1001 geo 8741</t>
        </is>
      </c>
      <c r="L1031" t="inlineStr">
        <is>
          <t>24 valores; mín 45.76, máx 64.87 €/MWh</t>
        </is>
      </c>
    </row>
    <row r="1032">
      <c r="A1032" s="53" t="n">
        <v>45375</v>
      </c>
      <c r="B1032" t="inlineStr">
        <is>
          <t>2024-03-24</t>
        </is>
      </c>
      <c r="C1032" s="45" t="n">
        <v>63.1429</v>
      </c>
      <c r="D1032" t="inlineStr">
        <is>
          <t>€/MWh</t>
        </is>
      </c>
      <c r="E1032" s="54" t="n">
        <v>0.063143</v>
      </c>
      <c r="F1032" s="54" t="n">
        <v>0.07831299999999999</v>
      </c>
      <c r="G1032" t="inlineStr">
        <is>
          <t>calculado</t>
        </is>
      </c>
      <c r="H1032" t="inlineStr">
        <is>
          <t>IEE 2.5 % con cuota mínima 1 €/MWh (RDL 8/2023 art. 22.1) + IVA 21 % (RDL 8/2023 art. 21.1 (condición: mes anterior &gt; 45 €/MWh))</t>
        </is>
      </c>
      <c r="J1032" t="inlineStr">
        <is>
          <t>2024-03-23</t>
        </is>
      </c>
      <c r="K1032" t="inlineStr">
        <is>
          <t>ESIOS 1001 geo 8741</t>
        </is>
      </c>
      <c r="L1032" t="inlineStr">
        <is>
          <t>24 valores; mín 48.78, máx 88.23 €/MWh</t>
        </is>
      </c>
    </row>
    <row r="1033">
      <c r="A1033" s="53" t="n">
        <v>45376</v>
      </c>
      <c r="B1033" t="inlineStr">
        <is>
          <t>2024-03-25</t>
        </is>
      </c>
      <c r="C1033" s="45" t="n">
        <v>109.1308</v>
      </c>
      <c r="D1033" t="inlineStr">
        <is>
          <t>€/MWh</t>
        </is>
      </c>
      <c r="E1033" s="54" t="n">
        <v>0.109131</v>
      </c>
      <c r="F1033" s="54" t="n">
        <v>0.135349</v>
      </c>
      <c r="G1033" t="inlineStr">
        <is>
          <t>calculado</t>
        </is>
      </c>
      <c r="H1033" t="inlineStr">
        <is>
          <t>IEE 2.5 % con cuota mínima 1 €/MWh (RDL 8/2023 art. 22.1) + IVA 21 % (RDL 8/2023 art. 21.1 (condición: mes anterior &gt; 45 €/MWh))</t>
        </is>
      </c>
      <c r="J1033" t="inlineStr">
        <is>
          <t>2024-03-24</t>
        </is>
      </c>
      <c r="K1033" t="inlineStr">
        <is>
          <t>ESIOS 1001 geo 8741</t>
        </is>
      </c>
      <c r="L1033" t="inlineStr">
        <is>
          <t>24 valores; mín 73.22, máx 154.34 €/MWh</t>
        </is>
      </c>
    </row>
    <row r="1034">
      <c r="A1034" s="53" t="n">
        <v>45377</v>
      </c>
      <c r="B1034" t="inlineStr">
        <is>
          <t>2024-03-26</t>
        </is>
      </c>
      <c r="C1034" s="45" t="n">
        <v>85.38039999999999</v>
      </c>
      <c r="D1034" t="inlineStr">
        <is>
          <t>€/MWh</t>
        </is>
      </c>
      <c r="E1034" s="54" t="n">
        <v>0.08538</v>
      </c>
      <c r="F1034" s="54" t="n">
        <v>0.105893</v>
      </c>
      <c r="G1034" t="inlineStr">
        <is>
          <t>calculado</t>
        </is>
      </c>
      <c r="H1034" t="inlineStr">
        <is>
          <t>IEE 2.5 % con cuota mínima 1 €/MWh (RDL 8/2023 art. 22.1) + IVA 21 % (RDL 8/2023 art. 21.1 (condición: mes anterior &gt; 45 €/MWh))</t>
        </is>
      </c>
      <c r="J1034" t="inlineStr">
        <is>
          <t>2024-03-25</t>
        </is>
      </c>
      <c r="K1034" t="inlineStr">
        <is>
          <t>ESIOS 1001 geo 8741</t>
        </is>
      </c>
      <c r="L1034" t="inlineStr">
        <is>
          <t>24 valores; mín 51.75, máx 135.24 €/MWh</t>
        </is>
      </c>
    </row>
    <row r="1035">
      <c r="A1035" s="53" t="n">
        <v>45378</v>
      </c>
      <c r="B1035" t="inlineStr">
        <is>
          <t>2024-03-27</t>
        </is>
      </c>
      <c r="C1035" s="45" t="n">
        <v>85.75709999999999</v>
      </c>
      <c r="D1035" t="inlineStr">
        <is>
          <t>€/MWh</t>
        </is>
      </c>
      <c r="E1035" s="54" t="n">
        <v>0.085757</v>
      </c>
      <c r="F1035" s="54" t="n">
        <v>0.10636</v>
      </c>
      <c r="G1035" t="inlineStr">
        <is>
          <t>calculado</t>
        </is>
      </c>
      <c r="H1035" t="inlineStr">
        <is>
          <t>IEE 2.5 % con cuota mínima 1 €/MWh (RDL 8/2023 art. 22.1) + IVA 21 % (RDL 8/2023 art. 21.1 (condición: mes anterior &gt; 45 €/MWh))</t>
        </is>
      </c>
      <c r="J1035" t="inlineStr">
        <is>
          <t>2024-03-26</t>
        </is>
      </c>
      <c r="K1035" t="inlineStr">
        <is>
          <t>ESIOS 1001 geo 8741</t>
        </is>
      </c>
      <c r="L1035" t="inlineStr">
        <is>
          <t>24 valores; mín 49.26, máx 129.84 €/MWh</t>
        </is>
      </c>
    </row>
    <row r="1036">
      <c r="A1036" s="53" t="n">
        <v>45379</v>
      </c>
      <c r="B1036" t="inlineStr">
        <is>
          <t>2024-03-28</t>
        </is>
      </c>
      <c r="C1036" s="45" t="n">
        <v>84.7017</v>
      </c>
      <c r="D1036" t="inlineStr">
        <is>
          <t>€/MWh</t>
        </is>
      </c>
      <c r="E1036" s="54" t="n">
        <v>0.084702</v>
      </c>
      <c r="F1036" s="54" t="n">
        <v>0.105051</v>
      </c>
      <c r="G1036" t="inlineStr">
        <is>
          <t>calculado</t>
        </is>
      </c>
      <c r="H1036" t="inlineStr">
        <is>
          <t>IEE 2.5 % con cuota mínima 1 €/MWh (RDL 8/2023 art. 22.1) + IVA 21 % (RDL 8/2023 art. 21.1 (condición: mes anterior &gt; 45 €/MWh))</t>
        </is>
      </c>
      <c r="J1036" t="inlineStr">
        <is>
          <t>2024-03-27</t>
        </is>
      </c>
      <c r="K1036" t="inlineStr">
        <is>
          <t>ESIOS 1001 geo 8741</t>
        </is>
      </c>
      <c r="L1036" t="inlineStr">
        <is>
          <t>24 valores; mín 52.77, máx 124.61 €/MWh</t>
        </is>
      </c>
    </row>
    <row r="1037">
      <c r="A1037" s="53" t="n">
        <v>45380</v>
      </c>
      <c r="B1037" t="inlineStr">
        <is>
          <t>2024-03-29</t>
        </is>
      </c>
      <c r="C1037" s="45" t="n">
        <v>91.6258</v>
      </c>
      <c r="D1037" t="inlineStr">
        <is>
          <t>€/MWh</t>
        </is>
      </c>
      <c r="E1037" s="54" t="n">
        <v>0.091626</v>
      </c>
      <c r="F1037" s="54" t="n">
        <v>0.113639</v>
      </c>
      <c r="G1037" t="inlineStr">
        <is>
          <t>calculado</t>
        </is>
      </c>
      <c r="H1037" t="inlineStr">
        <is>
          <t>IEE 2.5 % con cuota mínima 1 €/MWh (RDL 8/2023 art. 22.1) + IVA 21 % (RDL 8/2023 art. 21.1 (condición: mes anterior &gt; 45 €/MWh))</t>
        </is>
      </c>
      <c r="J1037" t="inlineStr">
        <is>
          <t>2024-03-28</t>
        </is>
      </c>
      <c r="K1037" t="inlineStr">
        <is>
          <t>ESIOS 1001 geo 8741</t>
        </is>
      </c>
      <c r="L1037" t="inlineStr">
        <is>
          <t>24 valores; mín 58.15, máx 149.01 €/MWh</t>
        </is>
      </c>
    </row>
    <row r="1038">
      <c r="A1038" s="53" t="n">
        <v>45381</v>
      </c>
      <c r="B1038" t="inlineStr">
        <is>
          <t>2024-03-30</t>
        </is>
      </c>
      <c r="C1038" s="45" t="n">
        <v>59.7175</v>
      </c>
      <c r="D1038" t="inlineStr">
        <is>
          <t>€/MWh</t>
        </is>
      </c>
      <c r="E1038" s="54" t="n">
        <v>0.059717</v>
      </c>
      <c r="F1038" s="54" t="n">
        <v>0.07406500000000001</v>
      </c>
      <c r="G1038" t="inlineStr">
        <is>
          <t>calculado</t>
        </is>
      </c>
      <c r="H1038" t="inlineStr">
        <is>
          <t>IEE 2.5 % con cuota mínima 1 €/MWh (RDL 8/2023 art. 22.1) + IVA 21 % (RDL 8/2023 art. 21.1 (condición: mes anterior &gt; 45 €/MWh))</t>
        </is>
      </c>
      <c r="J1038" t="inlineStr">
        <is>
          <t>2024-03-29</t>
        </is>
      </c>
      <c r="K1038" t="inlineStr">
        <is>
          <t>ESIOS 1001 geo 8741</t>
        </is>
      </c>
      <c r="L1038" t="inlineStr">
        <is>
          <t>24 valores; mín 48.40, máx 72.47 €/MWh</t>
        </is>
      </c>
    </row>
    <row r="1039">
      <c r="A1039" s="53" t="n">
        <v>45382</v>
      </c>
      <c r="B1039" t="inlineStr">
        <is>
          <t>2024-03-31</t>
        </is>
      </c>
      <c r="C1039" s="45" t="n">
        <v>56.38</v>
      </c>
      <c r="D1039" t="inlineStr">
        <is>
          <t>€/MWh</t>
        </is>
      </c>
      <c r="E1039" s="54" t="n">
        <v>0.05638</v>
      </c>
      <c r="F1039" s="54" t="n">
        <v>0.069925</v>
      </c>
      <c r="G1039" t="inlineStr">
        <is>
          <t>calculado</t>
        </is>
      </c>
      <c r="H1039" t="inlineStr">
        <is>
          <t>IEE 2.5 % con cuota mínima 1 €/MWh (RDL 8/2023 art. 22.1) + IVA 21 % (RDL 8/2023 art. 21.1 (condición: mes anterior &gt; 45 €/MWh))</t>
        </is>
      </c>
      <c r="J1039" t="inlineStr">
        <is>
          <t>2024-03-30</t>
        </is>
      </c>
      <c r="K1039" t="inlineStr">
        <is>
          <t>ESIOS 1001 geo 8741</t>
        </is>
      </c>
      <c r="L1039" t="inlineStr">
        <is>
          <t>23 valores; mín 48.22, máx 68.61 €/MWh</t>
        </is>
      </c>
    </row>
    <row r="1040">
      <c r="A1040" s="53" t="n">
        <v>45383</v>
      </c>
      <c r="B1040" t="inlineStr">
        <is>
          <t>2024-04-01</t>
        </is>
      </c>
      <c r="C1040" s="45" t="n">
        <v>84.3442</v>
      </c>
      <c r="D1040" t="inlineStr">
        <is>
          <t>€/MWh</t>
        </is>
      </c>
      <c r="E1040" s="54" t="n">
        <v>0.084344</v>
      </c>
      <c r="F1040" s="54" t="n">
        <v>0.105935</v>
      </c>
      <c r="G1040" t="inlineStr">
        <is>
          <t>calculado</t>
        </is>
      </c>
      <c r="H1040" t="inlineStr">
        <is>
          <t>IEE 3.8 % con cuota mínima 1 €/MWh (RDL 8/2023 art. 22.1) + IVA 21 % (RDL 8/2023 art. 21.1 (condición: mes anterior &gt; 45 €/MWh))</t>
        </is>
      </c>
      <c r="J1040" t="inlineStr">
        <is>
          <t>2024-03-31</t>
        </is>
      </c>
      <c r="K1040" t="inlineStr">
        <is>
          <t>ESIOS 1001 geo 8741</t>
        </is>
      </c>
      <c r="L1040" t="inlineStr">
        <is>
          <t>24 valores; mín 51.72, máx 142.84 €/MWh</t>
        </is>
      </c>
    </row>
    <row r="1041">
      <c r="A1041" s="53" t="n">
        <v>45384</v>
      </c>
      <c r="B1041" t="inlineStr">
        <is>
          <t>2024-04-02</t>
        </is>
      </c>
      <c r="C1041" s="45" t="n">
        <v>88.10120000000001</v>
      </c>
      <c r="D1041" t="inlineStr">
        <is>
          <t>€/MWh</t>
        </is>
      </c>
      <c r="E1041" s="54" t="n">
        <v>0.088101</v>
      </c>
      <c r="F1041" s="54" t="n">
        <v>0.110653</v>
      </c>
      <c r="G1041" t="inlineStr">
        <is>
          <t>calculado</t>
        </is>
      </c>
      <c r="H1041" t="inlineStr">
        <is>
          <t>IEE 3.8 % con cuota mínima 1 €/MWh (RDL 8/2023 art. 22.1) + IVA 21 % (RDL 8/2023 art. 21.1 (condición: mes anterior &gt; 45 €/MWh))</t>
        </is>
      </c>
      <c r="J1041" t="inlineStr">
        <is>
          <t>2024-04-01</t>
        </is>
      </c>
      <c r="K1041" t="inlineStr">
        <is>
          <t>ESIOS 1001 geo 8741</t>
        </is>
      </c>
      <c r="L1041" t="inlineStr">
        <is>
          <t>24 valores; mín 51.47, máx 157.53 €/MWh</t>
        </is>
      </c>
    </row>
    <row r="1042">
      <c r="A1042" s="53" t="n">
        <v>45385</v>
      </c>
      <c r="B1042" t="inlineStr">
        <is>
          <t>2024-04-03</t>
        </is>
      </c>
      <c r="C1042" s="45" t="n">
        <v>86.0646</v>
      </c>
      <c r="D1042" t="inlineStr">
        <is>
          <t>€/MWh</t>
        </is>
      </c>
      <c r="E1042" s="54" t="n">
        <v>0.086065</v>
      </c>
      <c r="F1042" s="54" t="n">
        <v>0.108095</v>
      </c>
      <c r="G1042" t="inlineStr">
        <is>
          <t>calculado</t>
        </is>
      </c>
      <c r="H1042" t="inlineStr">
        <is>
          <t>IEE 3.8 % con cuota mínima 1 €/MWh (RDL 8/2023 art. 22.1) + IVA 21 % (RDL 8/2023 art. 21.1 (condición: mes anterior &gt; 45 €/MWh))</t>
        </is>
      </c>
      <c r="J1042" t="inlineStr">
        <is>
          <t>2024-04-02</t>
        </is>
      </c>
      <c r="K1042" t="inlineStr">
        <is>
          <t>ESIOS 1001 geo 8741</t>
        </is>
      </c>
      <c r="L1042" t="inlineStr">
        <is>
          <t>24 valores; mín 45.69, máx 158.43 €/MWh</t>
        </is>
      </c>
    </row>
    <row r="1043">
      <c r="A1043" s="53" t="n">
        <v>45386</v>
      </c>
      <c r="B1043" t="inlineStr">
        <is>
          <t>2024-04-04</t>
        </is>
      </c>
      <c r="C1043" s="45" t="n">
        <v>85.44289999999999</v>
      </c>
      <c r="D1043" t="inlineStr">
        <is>
          <t>€/MWh</t>
        </is>
      </c>
      <c r="E1043" s="54" t="n">
        <v>0.08544300000000001</v>
      </c>
      <c r="F1043" s="54" t="n">
        <v>0.107315</v>
      </c>
      <c r="G1043" t="inlineStr">
        <is>
          <t>calculado</t>
        </is>
      </c>
      <c r="H1043" t="inlineStr">
        <is>
          <t>IEE 3.8 % con cuota mínima 1 €/MWh (RDL 8/2023 art. 22.1) + IVA 21 % (RDL 8/2023 art. 21.1 (condición: mes anterior &gt; 45 €/MWh))</t>
        </is>
      </c>
      <c r="J1043" t="inlineStr">
        <is>
          <t>2024-04-03</t>
        </is>
      </c>
      <c r="K1043" t="inlineStr">
        <is>
          <t>ESIOS 1001 geo 8741</t>
        </is>
      </c>
      <c r="L1043" t="inlineStr">
        <is>
          <t>24 valores; mín 50.66, máx 146.20 €/MWh</t>
        </is>
      </c>
    </row>
    <row r="1044">
      <c r="A1044" s="53" t="n">
        <v>45387</v>
      </c>
      <c r="B1044" t="inlineStr">
        <is>
          <t>2024-04-05</t>
        </is>
      </c>
      <c r="C1044" s="45" t="n">
        <v>80.2437</v>
      </c>
      <c r="D1044" t="inlineStr">
        <is>
          <t>€/MWh</t>
        </is>
      </c>
      <c r="E1044" s="54" t="n">
        <v>0.080244</v>
      </c>
      <c r="F1044" s="54" t="n">
        <v>0.100784</v>
      </c>
      <c r="G1044" t="inlineStr">
        <is>
          <t>calculado</t>
        </is>
      </c>
      <c r="H1044" t="inlineStr">
        <is>
          <t>IEE 3.8 % con cuota mínima 1 €/MWh (RDL 8/2023 art. 22.1) + IVA 21 % (RDL 8/2023 art. 21.1 (condición: mes anterior &gt; 45 €/MWh))</t>
        </is>
      </c>
      <c r="J1044" t="inlineStr">
        <is>
          <t>2024-04-04</t>
        </is>
      </c>
      <c r="K1044" t="inlineStr">
        <is>
          <t>ESIOS 1001 geo 8741</t>
        </is>
      </c>
      <c r="L1044" t="inlineStr">
        <is>
          <t>24 valores; mín 48.88, máx 120.64 €/MWh</t>
        </is>
      </c>
    </row>
    <row r="1045">
      <c r="A1045" s="53" t="n">
        <v>45388</v>
      </c>
      <c r="B1045" t="inlineStr">
        <is>
          <t>2024-04-06</t>
        </is>
      </c>
      <c r="C1045" s="45" t="n">
        <v>47.8029</v>
      </c>
      <c r="D1045" t="inlineStr">
        <is>
          <t>€/MWh</t>
        </is>
      </c>
      <c r="E1045" s="54" t="n">
        <v>0.047803</v>
      </c>
      <c r="F1045" s="54" t="n">
        <v>0.060039</v>
      </c>
      <c r="G1045" t="inlineStr">
        <is>
          <t>calculado</t>
        </is>
      </c>
      <c r="H1045" t="inlineStr">
        <is>
          <t>IEE 3.8 % con cuota mínima 1 €/MWh (RDL 8/2023 art. 22.1) + IVA 21 % (RDL 8/2023 art. 21.1 (condición: mes anterior &gt; 45 €/MWh))</t>
        </is>
      </c>
      <c r="J1045" t="inlineStr">
        <is>
          <t>2024-04-05</t>
        </is>
      </c>
      <c r="K1045" t="inlineStr">
        <is>
          <t>ESIOS 1001 geo 8741</t>
        </is>
      </c>
      <c r="L1045" t="inlineStr">
        <is>
          <t>24 valores; mín 44.13, máx 55.68 €/MWh</t>
        </is>
      </c>
    </row>
    <row r="1046">
      <c r="A1046" s="53" t="n">
        <v>45389</v>
      </c>
      <c r="B1046" t="inlineStr">
        <is>
          <t>2024-04-07</t>
        </is>
      </c>
      <c r="C1046" s="45" t="n">
        <v>60.3196</v>
      </c>
      <c r="D1046" t="inlineStr">
        <is>
          <t>€/MWh</t>
        </is>
      </c>
      <c r="E1046" s="54" t="n">
        <v>0.06032</v>
      </c>
      <c r="F1046" s="54" t="n">
        <v>0.07575999999999999</v>
      </c>
      <c r="G1046" t="inlineStr">
        <is>
          <t>calculado</t>
        </is>
      </c>
      <c r="H1046" t="inlineStr">
        <is>
          <t>IEE 3.8 % con cuota mínima 1 €/MWh (RDL 8/2023 art. 22.1) + IVA 21 % (RDL 8/2023 art. 21.1 (condición: mes anterior &gt; 45 €/MWh))</t>
        </is>
      </c>
      <c r="J1046" t="inlineStr">
        <is>
          <t>2024-04-06</t>
        </is>
      </c>
      <c r="K1046" t="inlineStr">
        <is>
          <t>ESIOS 1001 geo 8741</t>
        </is>
      </c>
      <c r="L1046" t="inlineStr">
        <is>
          <t>24 valores; mín 50.81, máx 85.16 €/MWh</t>
        </is>
      </c>
    </row>
    <row r="1047">
      <c r="A1047" s="53" t="n">
        <v>45390</v>
      </c>
      <c r="B1047" t="inlineStr">
        <is>
          <t>2024-04-08</t>
        </is>
      </c>
      <c r="C1047" s="45" t="n">
        <v>82.6675</v>
      </c>
      <c r="D1047" t="inlineStr">
        <is>
          <t>€/MWh</t>
        </is>
      </c>
      <c r="E1047" s="54" t="n">
        <v>0.08266800000000001</v>
      </c>
      <c r="F1047" s="54" t="n">
        <v>0.103829</v>
      </c>
      <c r="G1047" t="inlineStr">
        <is>
          <t>calculado</t>
        </is>
      </c>
      <c r="H1047" t="inlineStr">
        <is>
          <t>IEE 3.8 % con cuota mínima 1 €/MWh (RDL 8/2023 art. 22.1) + IVA 21 % (RDL 8/2023 art. 21.1 (condición: mes anterior &gt; 45 €/MWh))</t>
        </is>
      </c>
      <c r="J1047" t="inlineStr">
        <is>
          <t>2024-04-07</t>
        </is>
      </c>
      <c r="K1047" t="inlineStr">
        <is>
          <t>ESIOS 1001 geo 8741</t>
        </is>
      </c>
      <c r="L1047" t="inlineStr">
        <is>
          <t>24 valores; mín 49.58, máx 125.51 €/MWh</t>
        </is>
      </c>
    </row>
    <row r="1048">
      <c r="A1048" s="53" t="n">
        <v>45391</v>
      </c>
      <c r="B1048" t="inlineStr">
        <is>
          <t>2024-04-09</t>
        </is>
      </c>
      <c r="C1048" s="45" t="n">
        <v>79.23999999999999</v>
      </c>
      <c r="D1048" t="inlineStr">
        <is>
          <t>€/MWh</t>
        </is>
      </c>
      <c r="E1048" s="54" t="n">
        <v>0.07924</v>
      </c>
      <c r="F1048" s="54" t="n">
        <v>0.099524</v>
      </c>
      <c r="G1048" t="inlineStr">
        <is>
          <t>calculado</t>
        </is>
      </c>
      <c r="H1048" t="inlineStr">
        <is>
          <t>IEE 3.8 % con cuota mínima 1 €/MWh (RDL 8/2023 art. 22.1) + IVA 21 % (RDL 8/2023 art. 21.1 (condición: mes anterior &gt; 45 €/MWh))</t>
        </is>
      </c>
      <c r="J1048" t="inlineStr">
        <is>
          <t>2024-04-08</t>
        </is>
      </c>
      <c r="K1048" t="inlineStr">
        <is>
          <t>ESIOS 1001 geo 8741</t>
        </is>
      </c>
      <c r="L1048" t="inlineStr">
        <is>
          <t>24 valores; mín 40.20, máx 130.79 €/MWh</t>
        </is>
      </c>
    </row>
    <row r="1049">
      <c r="A1049" s="53" t="n">
        <v>45392</v>
      </c>
      <c r="B1049" t="inlineStr">
        <is>
          <t>2024-04-10</t>
        </is>
      </c>
      <c r="C1049" s="45" t="n">
        <v>84.4058</v>
      </c>
      <c r="D1049" t="inlineStr">
        <is>
          <t>€/MWh</t>
        </is>
      </c>
      <c r="E1049" s="54" t="n">
        <v>0.08440599999999999</v>
      </c>
      <c r="F1049" s="54" t="n">
        <v>0.106012</v>
      </c>
      <c r="G1049" t="inlineStr">
        <is>
          <t>calculado</t>
        </is>
      </c>
      <c r="H1049" t="inlineStr">
        <is>
          <t>IEE 3.8 % con cuota mínima 1 €/MWh (RDL 8/2023 art. 22.1) + IVA 21 % (RDL 8/2023 art. 21.1 (condición: mes anterior &gt; 45 €/MWh))</t>
        </is>
      </c>
      <c r="J1049" t="inlineStr">
        <is>
          <t>2024-04-09</t>
        </is>
      </c>
      <c r="K1049" t="inlineStr">
        <is>
          <t>ESIOS 1001 geo 8741</t>
        </is>
      </c>
      <c r="L1049" t="inlineStr">
        <is>
          <t>24 valores; mín 50.75, máx 153.00 €/MWh</t>
        </is>
      </c>
    </row>
    <row r="1050">
      <c r="A1050" s="53" t="n">
        <v>45393</v>
      </c>
      <c r="B1050" t="inlineStr">
        <is>
          <t>2024-04-11</t>
        </is>
      </c>
      <c r="C1050" s="45" t="n">
        <v>90.1404</v>
      </c>
      <c r="D1050" t="inlineStr">
        <is>
          <t>€/MWh</t>
        </is>
      </c>
      <c r="E1050" s="54" t="n">
        <v>0.09014</v>
      </c>
      <c r="F1050" s="54" t="n">
        <v>0.113215</v>
      </c>
      <c r="G1050" t="inlineStr">
        <is>
          <t>calculado</t>
        </is>
      </c>
      <c r="H1050" t="inlineStr">
        <is>
          <t>IEE 3.8 % con cuota mínima 1 €/MWh (RDL 8/2023 art. 22.1) + IVA 21 % (RDL 8/2023 art. 21.1 (condición: mes anterior &gt; 45 €/MWh))</t>
        </is>
      </c>
      <c r="J1050" t="inlineStr">
        <is>
          <t>2024-04-10</t>
        </is>
      </c>
      <c r="K1050" t="inlineStr">
        <is>
          <t>ESIOS 1001 geo 8741</t>
        </is>
      </c>
      <c r="L1050" t="inlineStr">
        <is>
          <t>24 valores; mín 47.14, máx 194.19 €/MWh</t>
        </is>
      </c>
    </row>
    <row r="1051">
      <c r="A1051" s="53" t="n">
        <v>45394</v>
      </c>
      <c r="B1051" t="inlineStr">
        <is>
          <t>2024-04-12</t>
        </is>
      </c>
      <c r="C1051" s="45" t="n">
        <v>98.1812</v>
      </c>
      <c r="D1051" t="inlineStr">
        <is>
          <t>€/MWh</t>
        </is>
      </c>
      <c r="E1051" s="54" t="n">
        <v>0.098181</v>
      </c>
      <c r="F1051" s="54" t="n">
        <v>0.123314</v>
      </c>
      <c r="G1051" t="inlineStr">
        <is>
          <t>calculado</t>
        </is>
      </c>
      <c r="H1051" t="inlineStr">
        <is>
          <t>IEE 3.8 % con cuota mínima 1 €/MWh (RDL 8/2023 art. 22.1) + IVA 21 % (RDL 8/2023 art. 21.1 (condición: mes anterior &gt; 45 €/MWh))</t>
        </is>
      </c>
      <c r="J1051" t="inlineStr">
        <is>
          <t>2024-04-11</t>
        </is>
      </c>
      <c r="K1051" t="inlineStr">
        <is>
          <t>ESIOS 1001 geo 8741</t>
        </is>
      </c>
      <c r="L1051" t="inlineStr">
        <is>
          <t>24 valores; mín 61.12, máx 197.85 €/MWh</t>
        </is>
      </c>
    </row>
    <row r="1052">
      <c r="A1052" s="53" t="n">
        <v>45395</v>
      </c>
      <c r="B1052" t="inlineStr">
        <is>
          <t>2024-04-13</t>
        </is>
      </c>
      <c r="C1052" s="45" t="n">
        <v>58.0021</v>
      </c>
      <c r="D1052" t="inlineStr">
        <is>
          <t>€/MWh</t>
        </is>
      </c>
      <c r="E1052" s="54" t="n">
        <v>0.058002</v>
      </c>
      <c r="F1052" s="54" t="n">
        <v>0.072849</v>
      </c>
      <c r="G1052" t="inlineStr">
        <is>
          <t>calculado</t>
        </is>
      </c>
      <c r="H1052" t="inlineStr">
        <is>
          <t>IEE 3.8 % con cuota mínima 1 €/MWh (RDL 8/2023 art. 22.1) + IVA 21 % (RDL 8/2023 art. 21.1 (condición: mes anterior &gt; 45 €/MWh))</t>
        </is>
      </c>
      <c r="J1052" t="inlineStr">
        <is>
          <t>2024-04-12</t>
        </is>
      </c>
      <c r="K1052" t="inlineStr">
        <is>
          <t>ESIOS 1001 geo 8741</t>
        </is>
      </c>
      <c r="L1052" t="inlineStr">
        <is>
          <t>24 valores; mín 40.74, máx 79.24 €/MWh</t>
        </is>
      </c>
    </row>
    <row r="1053">
      <c r="A1053" s="53" t="n">
        <v>45396</v>
      </c>
      <c r="B1053" t="inlineStr">
        <is>
          <t>2024-04-14</t>
        </is>
      </c>
      <c r="C1053" s="45" t="n">
        <v>57.4383</v>
      </c>
      <c r="D1053" t="inlineStr">
        <is>
          <t>€/MWh</t>
        </is>
      </c>
      <c r="E1053" s="54" t="n">
        <v>0.057438</v>
      </c>
      <c r="F1053" s="54" t="n">
        <v>0.072141</v>
      </c>
      <c r="G1053" t="inlineStr">
        <is>
          <t>calculado</t>
        </is>
      </c>
      <c r="H1053" t="inlineStr">
        <is>
          <t>IEE 3.8 % con cuota mínima 1 €/MWh (RDL 8/2023 art. 22.1) + IVA 21 % (RDL 8/2023 art. 21.1 (condición: mes anterior &gt; 45 €/MWh))</t>
        </is>
      </c>
      <c r="J1053" t="inlineStr">
        <is>
          <t>2024-04-13</t>
        </is>
      </c>
      <c r="K1053" t="inlineStr">
        <is>
          <t>ESIOS 1001 geo 8741</t>
        </is>
      </c>
      <c r="L1053" t="inlineStr">
        <is>
          <t>24 valores; mín 44.79, máx 75.76 €/MWh</t>
        </is>
      </c>
    </row>
    <row r="1054">
      <c r="A1054" s="53" t="n">
        <v>45397</v>
      </c>
      <c r="B1054" t="inlineStr">
        <is>
          <t>2024-04-15</t>
        </is>
      </c>
      <c r="C1054" s="45" t="n">
        <v>91.7987</v>
      </c>
      <c r="D1054" t="inlineStr">
        <is>
          <t>€/MWh</t>
        </is>
      </c>
      <c r="E1054" s="54" t="n">
        <v>0.09179900000000001</v>
      </c>
      <c r="F1054" s="54" t="n">
        <v>0.115297</v>
      </c>
      <c r="G1054" t="inlineStr">
        <is>
          <t>calculado</t>
        </is>
      </c>
      <c r="H1054" t="inlineStr">
        <is>
          <t>IEE 3.8 % con cuota mínima 1 €/MWh (RDL 8/2023 art. 22.1) + IVA 21 % (RDL 8/2023 art. 21.1 (condición: mes anterior &gt; 45 €/MWh))</t>
        </is>
      </c>
      <c r="J1054" t="inlineStr">
        <is>
          <t>2024-04-14</t>
        </is>
      </c>
      <c r="K1054" t="inlineStr">
        <is>
          <t>ESIOS 1001 geo 8741</t>
        </is>
      </c>
      <c r="L1054" t="inlineStr">
        <is>
          <t>24 valores; mín 63.97, máx 145.53 €/MWh</t>
        </is>
      </c>
    </row>
    <row r="1055">
      <c r="A1055" s="53" t="n">
        <v>45398</v>
      </c>
      <c r="B1055" t="inlineStr">
        <is>
          <t>2024-04-16</t>
        </is>
      </c>
      <c r="C1055" s="45" t="n">
        <v>86.86960000000001</v>
      </c>
      <c r="D1055" t="inlineStr">
        <is>
          <t>€/MWh</t>
        </is>
      </c>
      <c r="E1055" s="54" t="n">
        <v>0.08687</v>
      </c>
      <c r="F1055" s="54" t="n">
        <v>0.109106</v>
      </c>
      <c r="G1055" t="inlineStr">
        <is>
          <t>calculado</t>
        </is>
      </c>
      <c r="H1055" t="inlineStr">
        <is>
          <t>IEE 3.8 % con cuota mínima 1 €/MWh (RDL 8/2023 art. 22.1) + IVA 21 % (RDL 8/2023 art. 21.1 (condición: mes anterior &gt; 45 €/MWh))</t>
        </is>
      </c>
      <c r="J1055" t="inlineStr">
        <is>
          <t>2024-04-15</t>
        </is>
      </c>
      <c r="K1055" t="inlineStr">
        <is>
          <t>ESIOS 1001 geo 8741</t>
        </is>
      </c>
      <c r="L1055" t="inlineStr">
        <is>
          <t>24 valores; mín 52.18, máx 130.50 €/MWh</t>
        </is>
      </c>
    </row>
    <row r="1056">
      <c r="A1056" s="53" t="n">
        <v>45399</v>
      </c>
      <c r="B1056" t="inlineStr">
        <is>
          <t>2024-04-17</t>
        </is>
      </c>
      <c r="C1056" s="45" t="n">
        <v>86.3888</v>
      </c>
      <c r="D1056" t="inlineStr">
        <is>
          <t>€/MWh</t>
        </is>
      </c>
      <c r="E1056" s="54" t="n">
        <v>0.08638899999999999</v>
      </c>
      <c r="F1056" s="54" t="n">
        <v>0.108503</v>
      </c>
      <c r="G1056" t="inlineStr">
        <is>
          <t>calculado</t>
        </is>
      </c>
      <c r="H1056" t="inlineStr">
        <is>
          <t>IEE 3.8 % con cuota mínima 1 €/MWh (RDL 8/2023 art. 22.1) + IVA 21 % (RDL 8/2023 art. 21.1 (condición: mes anterior &gt; 45 €/MWh))</t>
        </is>
      </c>
      <c r="J1056" t="inlineStr">
        <is>
          <t>2024-04-16</t>
        </is>
      </c>
      <c r="K1056" t="inlineStr">
        <is>
          <t>ESIOS 1001 geo 8741</t>
        </is>
      </c>
      <c r="L1056" t="inlineStr">
        <is>
          <t>24 valores; mín 54.10, máx 141.67 €/MWh</t>
        </is>
      </c>
    </row>
    <row r="1057">
      <c r="A1057" s="53" t="n">
        <v>45400</v>
      </c>
      <c r="B1057" t="inlineStr">
        <is>
          <t>2024-04-18</t>
        </is>
      </c>
      <c r="C1057" s="45" t="n">
        <v>86.5408</v>
      </c>
      <c r="D1057" t="inlineStr">
        <is>
          <t>€/MWh</t>
        </is>
      </c>
      <c r="E1057" s="54" t="n">
        <v>0.08654100000000001</v>
      </c>
      <c r="F1057" s="54" t="n">
        <v>0.108694</v>
      </c>
      <c r="G1057" t="inlineStr">
        <is>
          <t>calculado</t>
        </is>
      </c>
      <c r="H1057" t="inlineStr">
        <is>
          <t>IEE 3.8 % con cuota mínima 1 €/MWh (RDL 8/2023 art. 22.1) + IVA 21 % (RDL 8/2023 art. 21.1 (condición: mes anterior &gt; 45 €/MWh))</t>
        </is>
      </c>
      <c r="J1057" t="inlineStr">
        <is>
          <t>2024-04-17</t>
        </is>
      </c>
      <c r="K1057" t="inlineStr">
        <is>
          <t>ESIOS 1001 geo 8741</t>
        </is>
      </c>
      <c r="L1057" t="inlineStr">
        <is>
          <t>24 valores; mín 52.44, máx 152.67 €/MWh</t>
        </is>
      </c>
    </row>
    <row r="1058">
      <c r="A1058" s="53" t="n">
        <v>45401</v>
      </c>
      <c r="B1058" t="inlineStr">
        <is>
          <t>2024-04-19</t>
        </is>
      </c>
      <c r="C1058" s="45" t="n">
        <v>95.0992</v>
      </c>
      <c r="D1058" t="inlineStr">
        <is>
          <t>€/MWh</t>
        </is>
      </c>
      <c r="E1058" s="54" t="n">
        <v>0.095099</v>
      </c>
      <c r="F1058" s="54" t="n">
        <v>0.119443</v>
      </c>
      <c r="G1058" t="inlineStr">
        <is>
          <t>calculado</t>
        </is>
      </c>
      <c r="H1058" t="inlineStr">
        <is>
          <t>IEE 3.8 % con cuota mínima 1 €/MWh (RDL 8/2023 art. 22.1) + IVA 21 % (RDL 8/2023 art. 21.1 (condición: mes anterior &gt; 45 €/MWh))</t>
        </is>
      </c>
      <c r="J1058" t="inlineStr">
        <is>
          <t>2024-04-18</t>
        </is>
      </c>
      <c r="K1058" t="inlineStr">
        <is>
          <t>ESIOS 1001 geo 8741</t>
        </is>
      </c>
      <c r="L1058" t="inlineStr">
        <is>
          <t>24 valores; mín 59.30, máx 155.10 €/MWh</t>
        </is>
      </c>
    </row>
    <row r="1059">
      <c r="A1059" s="53" t="n">
        <v>45402</v>
      </c>
      <c r="B1059" t="inlineStr">
        <is>
          <t>2024-04-20</t>
        </is>
      </c>
      <c r="C1059" s="45" t="n">
        <v>56.5</v>
      </c>
      <c r="D1059" t="inlineStr">
        <is>
          <t>€/MWh</t>
        </is>
      </c>
      <c r="E1059" s="54" t="n">
        <v>0.0565</v>
      </c>
      <c r="F1059" s="54" t="n">
        <v>0.070963</v>
      </c>
      <c r="G1059" t="inlineStr">
        <is>
          <t>calculado</t>
        </is>
      </c>
      <c r="H1059" t="inlineStr">
        <is>
          <t>IEE 3.8 % con cuota mínima 1 €/MWh (RDL 8/2023 art. 22.1) + IVA 21 % (RDL 8/2023 art. 21.1 (condición: mes anterior &gt; 45 €/MWh))</t>
        </is>
      </c>
      <c r="J1059" t="inlineStr">
        <is>
          <t>2024-04-19</t>
        </is>
      </c>
      <c r="K1059" t="inlineStr">
        <is>
          <t>ESIOS 1001 geo 8741</t>
        </is>
      </c>
      <c r="L1059" t="inlineStr">
        <is>
          <t>24 valores; mín 44.67, máx 76.56 €/MWh</t>
        </is>
      </c>
    </row>
    <row r="1060">
      <c r="A1060" s="53" t="n">
        <v>45403</v>
      </c>
      <c r="B1060" t="inlineStr">
        <is>
          <t>2024-04-21</t>
        </is>
      </c>
      <c r="C1060" s="45" t="n">
        <v>60.985</v>
      </c>
      <c r="D1060" t="inlineStr">
        <is>
          <t>€/MWh</t>
        </is>
      </c>
      <c r="E1060" s="54" t="n">
        <v>0.060985</v>
      </c>
      <c r="F1060" s="54" t="n">
        <v>0.076596</v>
      </c>
      <c r="G1060" t="inlineStr">
        <is>
          <t>calculado</t>
        </is>
      </c>
      <c r="H1060" t="inlineStr">
        <is>
          <t>IEE 3.8 % con cuota mínima 1 €/MWh (RDL 8/2023 art. 22.1) + IVA 21 % (RDL 8/2023 art. 21.1 (condición: mes anterior &gt; 45 €/MWh))</t>
        </is>
      </c>
      <c r="J1060" t="inlineStr">
        <is>
          <t>2024-04-20</t>
        </is>
      </c>
      <c r="K1060" t="inlineStr">
        <is>
          <t>ESIOS 1001 geo 8741</t>
        </is>
      </c>
      <c r="L1060" t="inlineStr">
        <is>
          <t>24 valores; mín 48.53, máx 76.83 €/MWh</t>
        </is>
      </c>
    </row>
    <row r="1061">
      <c r="A1061" s="53" t="n">
        <v>45404</v>
      </c>
      <c r="B1061" t="inlineStr">
        <is>
          <t>2024-04-22</t>
        </is>
      </c>
      <c r="C1061" s="45" t="n">
        <v>89.1146</v>
      </c>
      <c r="D1061" t="inlineStr">
        <is>
          <t>€/MWh</t>
        </is>
      </c>
      <c r="E1061" s="54" t="n">
        <v>0.089115</v>
      </c>
      <c r="F1061" s="54" t="n">
        <v>0.111926</v>
      </c>
      <c r="G1061" t="inlineStr">
        <is>
          <t>calculado</t>
        </is>
      </c>
      <c r="H1061" t="inlineStr">
        <is>
          <t>IEE 3.8 % con cuota mínima 1 €/MWh (RDL 8/2023 art. 22.1) + IVA 21 % (RDL 8/2023 art. 21.1 (condición: mes anterior &gt; 45 €/MWh))</t>
        </is>
      </c>
      <c r="J1061" t="inlineStr">
        <is>
          <t>2024-04-21</t>
        </is>
      </c>
      <c r="K1061" t="inlineStr">
        <is>
          <t>ESIOS 1001 geo 8741</t>
        </is>
      </c>
      <c r="L1061" t="inlineStr">
        <is>
          <t>24 valores; mín 53.06, máx 137.41 €/MWh</t>
        </is>
      </c>
    </row>
    <row r="1062">
      <c r="A1062" s="53" t="n">
        <v>45405</v>
      </c>
      <c r="B1062" t="inlineStr">
        <is>
          <t>2024-04-23</t>
        </is>
      </c>
      <c r="C1062" s="45" t="n">
        <v>88.38079999999999</v>
      </c>
      <c r="D1062" t="inlineStr">
        <is>
          <t>€/MWh</t>
        </is>
      </c>
      <c r="E1062" s="54" t="n">
        <v>0.088381</v>
      </c>
      <c r="F1062" s="54" t="n">
        <v>0.111005</v>
      </c>
      <c r="G1062" t="inlineStr">
        <is>
          <t>calculado</t>
        </is>
      </c>
      <c r="H1062" t="inlineStr">
        <is>
          <t>IEE 3.8 % con cuota mínima 1 €/MWh (RDL 8/2023 art. 22.1) + IVA 21 % (RDL 8/2023 art. 21.1 (condición: mes anterior &gt; 45 €/MWh))</t>
        </is>
      </c>
      <c r="J1062" t="inlineStr">
        <is>
          <t>2024-04-22</t>
        </is>
      </c>
      <c r="K1062" t="inlineStr">
        <is>
          <t>ESIOS 1001 geo 8741</t>
        </is>
      </c>
      <c r="L1062" t="inlineStr">
        <is>
          <t>24 valores; mín 54.57, máx 159.90 €/MWh</t>
        </is>
      </c>
    </row>
    <row r="1063">
      <c r="A1063" s="53" t="n">
        <v>45406</v>
      </c>
      <c r="B1063" t="inlineStr">
        <is>
          <t>2024-04-24</t>
        </is>
      </c>
      <c r="C1063" s="45" t="n">
        <v>98.3283</v>
      </c>
      <c r="D1063" t="inlineStr">
        <is>
          <t>€/MWh</t>
        </is>
      </c>
      <c r="E1063" s="54" t="n">
        <v>0.098328</v>
      </c>
      <c r="F1063" s="54" t="n">
        <v>0.123498</v>
      </c>
      <c r="G1063" t="inlineStr">
        <is>
          <t>calculado</t>
        </is>
      </c>
      <c r="H1063" t="inlineStr">
        <is>
          <t>IEE 3.8 % con cuota mínima 1 €/MWh (RDL 8/2023 art. 22.1) + IVA 21 % (RDL 8/2023 art. 21.1 (condición: mes anterior &gt; 45 €/MWh))</t>
        </is>
      </c>
      <c r="J1063" t="inlineStr">
        <is>
          <t>2024-04-23</t>
        </is>
      </c>
      <c r="K1063" t="inlineStr">
        <is>
          <t>ESIOS 1001 geo 8741</t>
        </is>
      </c>
      <c r="L1063" t="inlineStr">
        <is>
          <t>24 valores; mín 61.77, máx 230.63 €/MWh</t>
        </is>
      </c>
    </row>
    <row r="1064">
      <c r="A1064" s="53" t="n">
        <v>45407</v>
      </c>
      <c r="B1064" t="inlineStr">
        <is>
          <t>2024-04-25</t>
        </is>
      </c>
      <c r="C1064" s="45" t="n">
        <v>116.4237</v>
      </c>
      <c r="D1064" t="inlineStr">
        <is>
          <t>€/MWh</t>
        </is>
      </c>
      <c r="E1064" s="54" t="n">
        <v>0.116424</v>
      </c>
      <c r="F1064" s="54" t="n">
        <v>0.146226</v>
      </c>
      <c r="G1064" t="inlineStr">
        <is>
          <t>calculado</t>
        </is>
      </c>
      <c r="H1064" t="inlineStr">
        <is>
          <t>IEE 3.8 % con cuota mínima 1 €/MWh (RDL 8/2023 art. 22.1) + IVA 21 % (RDL 8/2023 art. 21.1 (condición: mes anterior &gt; 45 €/MWh))</t>
        </is>
      </c>
      <c r="J1064" t="inlineStr">
        <is>
          <t>2024-04-24</t>
        </is>
      </c>
      <c r="K1064" t="inlineStr">
        <is>
          <t>ESIOS 1001 geo 8741</t>
        </is>
      </c>
      <c r="L1064" t="inlineStr">
        <is>
          <t>24 valores; mín 71.85, máx 233.83 €/MWh</t>
        </is>
      </c>
    </row>
    <row r="1065">
      <c r="A1065" s="53" t="n">
        <v>45408</v>
      </c>
      <c r="B1065" t="inlineStr">
        <is>
          <t>2024-04-26</t>
        </is>
      </c>
      <c r="C1065" s="45" t="n">
        <v>128.1492</v>
      </c>
      <c r="D1065" t="inlineStr">
        <is>
          <t>€/MWh</t>
        </is>
      </c>
      <c r="E1065" s="54" t="n">
        <v>0.128149</v>
      </c>
      <c r="F1065" s="54" t="n">
        <v>0.160953</v>
      </c>
      <c r="G1065" t="inlineStr">
        <is>
          <t>calculado</t>
        </is>
      </c>
      <c r="H1065" t="inlineStr">
        <is>
          <t>IEE 3.8 % con cuota mínima 1 €/MWh (RDL 8/2023 art. 22.1) + IVA 21 % (RDL 8/2023 art. 21.1 (condición: mes anterior &gt; 45 €/MWh))</t>
        </is>
      </c>
      <c r="J1065" t="inlineStr">
        <is>
          <t>2024-04-25</t>
        </is>
      </c>
      <c r="K1065" t="inlineStr">
        <is>
          <t>ESIOS 1001 geo 8741</t>
        </is>
      </c>
      <c r="L1065" t="inlineStr">
        <is>
          <t>24 valores; mín 77.01, máx 212.19 €/MWh</t>
        </is>
      </c>
    </row>
    <row r="1066">
      <c r="A1066" s="53" t="n">
        <v>45409</v>
      </c>
      <c r="B1066" t="inlineStr">
        <is>
          <t>2024-04-27</t>
        </is>
      </c>
      <c r="C1066" s="45" t="n">
        <v>69.6746</v>
      </c>
      <c r="D1066" t="inlineStr">
        <is>
          <t>€/MWh</t>
        </is>
      </c>
      <c r="E1066" s="54" t="n">
        <v>0.069675</v>
      </c>
      <c r="F1066" s="54" t="n">
        <v>0.08751</v>
      </c>
      <c r="G1066" t="inlineStr">
        <is>
          <t>calculado</t>
        </is>
      </c>
      <c r="H1066" t="inlineStr">
        <is>
          <t>IEE 3.8 % con cuota mínima 1 €/MWh (RDL 8/2023 art. 22.1) + IVA 21 % (RDL 8/2023 art. 21.1 (condición: mes anterior &gt; 45 €/MWh))</t>
        </is>
      </c>
      <c r="J1066" t="inlineStr">
        <is>
          <t>2024-04-26</t>
        </is>
      </c>
      <c r="K1066" t="inlineStr">
        <is>
          <t>ESIOS 1001 geo 8741</t>
        </is>
      </c>
      <c r="L1066" t="inlineStr">
        <is>
          <t>24 valores; mín 37.91, máx 112.45 €/MWh</t>
        </is>
      </c>
    </row>
    <row r="1067">
      <c r="A1067" s="53" t="n">
        <v>45410</v>
      </c>
      <c r="B1067" t="inlineStr">
        <is>
          <t>2024-04-28</t>
        </is>
      </c>
      <c r="C1067" s="45" t="n">
        <v>78.5929</v>
      </c>
      <c r="D1067" t="inlineStr">
        <is>
          <t>€/MWh</t>
        </is>
      </c>
      <c r="E1067" s="54" t="n">
        <v>0.078593</v>
      </c>
      <c r="F1067" s="54" t="n">
        <v>0.09871099999999999</v>
      </c>
      <c r="G1067" t="inlineStr">
        <is>
          <t>calculado</t>
        </is>
      </c>
      <c r="H1067" t="inlineStr">
        <is>
          <t>IEE 3.8 % con cuota mínima 1 €/MWh (RDL 8/2023 art. 22.1) + IVA 21 % (RDL 8/2023 art. 21.1 (condición: mes anterior &gt; 45 €/MWh))</t>
        </is>
      </c>
      <c r="J1067" t="inlineStr">
        <is>
          <t>2024-04-27</t>
        </is>
      </c>
      <c r="K1067" t="inlineStr">
        <is>
          <t>ESIOS 1001 geo 8741</t>
        </is>
      </c>
      <c r="L1067" t="inlineStr">
        <is>
          <t>24 valores; mín 45.27, máx 124.12 €/MWh</t>
        </is>
      </c>
    </row>
    <row r="1068">
      <c r="A1068" s="53" t="n">
        <v>45411</v>
      </c>
      <c r="B1068" t="inlineStr">
        <is>
          <t>2024-04-29</t>
        </is>
      </c>
      <c r="C1068" s="45" t="n">
        <v>129.0308</v>
      </c>
      <c r="D1068" t="inlineStr">
        <is>
          <t>€/MWh</t>
        </is>
      </c>
      <c r="E1068" s="54" t="n">
        <v>0.129031</v>
      </c>
      <c r="F1068" s="54" t="n">
        <v>0.16206</v>
      </c>
      <c r="G1068" t="inlineStr">
        <is>
          <t>calculado</t>
        </is>
      </c>
      <c r="H1068" t="inlineStr">
        <is>
          <t>IEE 3.8 % con cuota mínima 1 €/MWh (RDL 8/2023 art. 22.1) + IVA 21 % (RDL 8/2023 art. 21.1 (condición: mes anterior &gt; 45 €/MWh))</t>
        </is>
      </c>
      <c r="J1068" t="inlineStr">
        <is>
          <t>2024-04-28</t>
        </is>
      </c>
      <c r="K1068" t="inlineStr">
        <is>
          <t>ESIOS 1001 geo 8741</t>
        </is>
      </c>
      <c r="L1068" t="inlineStr">
        <is>
          <t>24 valores; mín 92.75, máx 210.08 €/MWh</t>
        </is>
      </c>
    </row>
    <row r="1069">
      <c r="A1069" s="53" t="n">
        <v>45412</v>
      </c>
      <c r="B1069" t="inlineStr">
        <is>
          <t>2024-04-30</t>
        </is>
      </c>
      <c r="C1069" s="45" t="n">
        <v>123.2013</v>
      </c>
      <c r="D1069" t="inlineStr">
        <is>
          <t>€/MWh</t>
        </is>
      </c>
      <c r="E1069" s="54" t="n">
        <v>0.123201</v>
      </c>
      <c r="F1069" s="54" t="n">
        <v>0.154738</v>
      </c>
      <c r="G1069" t="inlineStr">
        <is>
          <t>calculado</t>
        </is>
      </c>
      <c r="H1069" t="inlineStr">
        <is>
          <t>IEE 3.8 % con cuota mínima 1 €/MWh (RDL 8/2023 art. 22.1) + IVA 21 % (RDL 8/2023 art. 21.1 (condición: mes anterior &gt; 45 €/MWh))</t>
        </is>
      </c>
      <c r="J1069" t="inlineStr">
        <is>
          <t>2024-04-29</t>
        </is>
      </c>
      <c r="K1069" t="inlineStr">
        <is>
          <t>ESIOS 1001 geo 8741</t>
        </is>
      </c>
      <c r="L1069" t="inlineStr">
        <is>
          <t>24 valores; mín 75.50, máx 194.80 €/MWh</t>
        </is>
      </c>
    </row>
    <row r="1070">
      <c r="A1070" s="53" t="n">
        <v>45413</v>
      </c>
      <c r="B1070" t="inlineStr">
        <is>
          <t>2024-05-01</t>
        </is>
      </c>
      <c r="C1070" s="45" t="n">
        <v>61.5792</v>
      </c>
      <c r="D1070" t="inlineStr">
        <is>
          <t>€/MWh</t>
        </is>
      </c>
      <c r="E1070" s="54" t="n">
        <v>0.061579</v>
      </c>
      <c r="F1070" s="54" t="n">
        <v>0.07734199999999999</v>
      </c>
      <c r="G1070" t="inlineStr">
        <is>
          <t>calculado</t>
        </is>
      </c>
      <c r="H1070" t="inlineStr">
        <is>
          <t>IEE 3.8 % con cuota mínima 1 €/MWh (RDL 8/2023 art. 22.1) + IVA 21 % (RDL 8/2023 art. 21.1 (condición: mes anterior &gt; 45 €/MWh))</t>
        </is>
      </c>
      <c r="J1070" t="inlineStr">
        <is>
          <t>2024-04-30</t>
        </is>
      </c>
      <c r="K1070" t="inlineStr">
        <is>
          <t>ESIOS 1001 geo 8741</t>
        </is>
      </c>
      <c r="L1070" t="inlineStr">
        <is>
          <t>24 valores; mín 38.24, máx 89.37 €/MWh</t>
        </is>
      </c>
    </row>
    <row r="1071">
      <c r="A1071" s="53" t="n">
        <v>45414</v>
      </c>
      <c r="B1071" t="inlineStr">
        <is>
          <t>2024-05-02</t>
        </is>
      </c>
      <c r="C1071" s="45" t="n">
        <v>96.3629</v>
      </c>
      <c r="D1071" t="inlineStr">
        <is>
          <t>€/MWh</t>
        </is>
      </c>
      <c r="E1071" s="54" t="n">
        <v>0.096363</v>
      </c>
      <c r="F1071" s="54" t="n">
        <v>0.12103</v>
      </c>
      <c r="G1071" t="inlineStr">
        <is>
          <t>calculado</t>
        </is>
      </c>
      <c r="H1071" t="inlineStr">
        <is>
          <t>IEE 3.8 % con cuota mínima 1 €/MWh (RDL 8/2023 art. 22.1) + IVA 21 % (RDL 8/2023 art. 21.1 (condición: mes anterior &gt; 45 €/MWh))</t>
        </is>
      </c>
      <c r="J1071" t="inlineStr">
        <is>
          <t>2024-05-01</t>
        </is>
      </c>
      <c r="K1071" t="inlineStr">
        <is>
          <t>ESIOS 1001 geo 8741</t>
        </is>
      </c>
      <c r="L1071" t="inlineStr">
        <is>
          <t>24 valores; mín 65.03, máx 179.80 €/MWh</t>
        </is>
      </c>
    </row>
    <row r="1072">
      <c r="A1072" s="53" t="n">
        <v>45415</v>
      </c>
      <c r="B1072" t="inlineStr">
        <is>
          <t>2024-05-03</t>
        </is>
      </c>
      <c r="C1072" s="45" t="n">
        <v>102.0113</v>
      </c>
      <c r="D1072" t="inlineStr">
        <is>
          <t>€/MWh</t>
        </is>
      </c>
      <c r="E1072" s="54" t="n">
        <v>0.102011</v>
      </c>
      <c r="F1072" s="54" t="n">
        <v>0.128124</v>
      </c>
      <c r="G1072" t="inlineStr">
        <is>
          <t>calculado</t>
        </is>
      </c>
      <c r="H1072" t="inlineStr">
        <is>
          <t>IEE 3.8 % con cuota mínima 1 €/MWh (RDL 8/2023 art. 22.1) + IVA 21 % (RDL 8/2023 art. 21.1 (condición: mes anterior &gt; 45 €/MWh))</t>
        </is>
      </c>
      <c r="J1072" t="inlineStr">
        <is>
          <t>2024-05-02</t>
        </is>
      </c>
      <c r="K1072" t="inlineStr">
        <is>
          <t>ESIOS 1001 geo 8741</t>
        </is>
      </c>
      <c r="L1072" t="inlineStr">
        <is>
          <t>24 valores; mín 66.97, máx 186.19 €/MWh</t>
        </is>
      </c>
    </row>
    <row r="1073">
      <c r="A1073" s="53" t="n">
        <v>45416</v>
      </c>
      <c r="B1073" t="inlineStr">
        <is>
          <t>2024-05-04</t>
        </is>
      </c>
      <c r="C1073" s="45" t="n">
        <v>63.0529</v>
      </c>
      <c r="D1073" t="inlineStr">
        <is>
          <t>€/MWh</t>
        </is>
      </c>
      <c r="E1073" s="54" t="n">
        <v>0.063053</v>
      </c>
      <c r="F1073" s="54" t="n">
        <v>0.079193</v>
      </c>
      <c r="G1073" t="inlineStr">
        <is>
          <t>calculado</t>
        </is>
      </c>
      <c r="H1073" t="inlineStr">
        <is>
          <t>IEE 3.8 % con cuota mínima 1 €/MWh (RDL 8/2023 art. 22.1) + IVA 21 % (RDL 8/2023 art. 21.1 (condición: mes anterior &gt; 45 €/MWh))</t>
        </is>
      </c>
      <c r="J1073" t="inlineStr">
        <is>
          <t>2024-05-03</t>
        </is>
      </c>
      <c r="K1073" t="inlineStr">
        <is>
          <t>ESIOS 1001 geo 8741</t>
        </is>
      </c>
      <c r="L1073" t="inlineStr">
        <is>
          <t>24 valores; mín 46.45, máx 84.34 €/MWh</t>
        </is>
      </c>
    </row>
    <row r="1074">
      <c r="A1074" s="53" t="n">
        <v>45417</v>
      </c>
      <c r="B1074" t="inlineStr">
        <is>
          <t>2024-05-05</t>
        </is>
      </c>
      <c r="C1074" s="45" t="n">
        <v>68.66119999999999</v>
      </c>
      <c r="D1074" t="inlineStr">
        <is>
          <t>€/MWh</t>
        </is>
      </c>
      <c r="E1074" s="54" t="n">
        <v>0.068661</v>
      </c>
      <c r="F1074" s="54" t="n">
        <v>0.08623699999999999</v>
      </c>
      <c r="G1074" t="inlineStr">
        <is>
          <t>calculado</t>
        </is>
      </c>
      <c r="H1074" t="inlineStr">
        <is>
          <t>IEE 3.8 % con cuota mínima 1 €/MWh (RDL 8/2023 art. 22.1) + IVA 21 % (RDL 8/2023 art. 21.1 (condición: mes anterior &gt; 45 €/MWh))</t>
        </is>
      </c>
      <c r="J1074" t="inlineStr">
        <is>
          <t>2024-05-04</t>
        </is>
      </c>
      <c r="K1074" t="inlineStr">
        <is>
          <t>ESIOS 1001 geo 8741</t>
        </is>
      </c>
      <c r="L1074" t="inlineStr">
        <is>
          <t>24 valores; mín 43.83, máx 98.11 €/MWh</t>
        </is>
      </c>
    </row>
    <row r="1075">
      <c r="A1075" s="53" t="n">
        <v>45418</v>
      </c>
      <c r="B1075" t="inlineStr">
        <is>
          <t>2024-05-06</t>
        </is>
      </c>
      <c r="C1075" s="45" t="n">
        <v>123.0917</v>
      </c>
      <c r="D1075" t="inlineStr">
        <is>
          <t>€/MWh</t>
        </is>
      </c>
      <c r="E1075" s="54" t="n">
        <v>0.123092</v>
      </c>
      <c r="F1075" s="54" t="n">
        <v>0.154601</v>
      </c>
      <c r="G1075" t="inlineStr">
        <is>
          <t>calculado</t>
        </is>
      </c>
      <c r="H1075" t="inlineStr">
        <is>
          <t>IEE 3.8 % con cuota mínima 1 €/MWh (RDL 8/2023 art. 22.1) + IVA 21 % (RDL 8/2023 art. 21.1 (condición: mes anterior &gt; 45 €/MWh))</t>
        </is>
      </c>
      <c r="J1075" t="inlineStr">
        <is>
          <t>2024-05-05</t>
        </is>
      </c>
      <c r="K1075" t="inlineStr">
        <is>
          <t>ESIOS 1001 geo 8741</t>
        </is>
      </c>
      <c r="L1075" t="inlineStr">
        <is>
          <t>24 valores; mín 68.83, máx 214.74 €/MWh</t>
        </is>
      </c>
    </row>
    <row r="1076">
      <c r="A1076" s="53" t="n">
        <v>45419</v>
      </c>
      <c r="B1076" t="inlineStr">
        <is>
          <t>2024-05-07</t>
        </is>
      </c>
      <c r="C1076" s="45" t="n">
        <v>117.5183</v>
      </c>
      <c r="D1076" t="inlineStr">
        <is>
          <t>€/MWh</t>
        </is>
      </c>
      <c r="E1076" s="54" t="n">
        <v>0.117518</v>
      </c>
      <c r="F1076" s="54" t="n">
        <v>0.147601</v>
      </c>
      <c r="G1076" t="inlineStr">
        <is>
          <t>calculado</t>
        </is>
      </c>
      <c r="H1076" t="inlineStr">
        <is>
          <t>IEE 3.8 % con cuota mínima 1 €/MWh (RDL 8/2023 art. 22.1) + IVA 21 % (RDL 8/2023 art. 21.1 (condición: mes anterior &gt; 45 €/MWh))</t>
        </is>
      </c>
      <c r="J1076" t="inlineStr">
        <is>
          <t>2024-05-06</t>
        </is>
      </c>
      <c r="K1076" t="inlineStr">
        <is>
          <t>ESIOS 1001 geo 8741</t>
        </is>
      </c>
      <c r="L1076" t="inlineStr">
        <is>
          <t>24 valores; mín 63.86, máx 184.17 €/MWh</t>
        </is>
      </c>
    </row>
    <row r="1077">
      <c r="A1077" s="53" t="n">
        <v>45420</v>
      </c>
      <c r="B1077" t="inlineStr">
        <is>
          <t>2024-05-08</t>
        </is>
      </c>
      <c r="C1077" s="45" t="n">
        <v>101.5104</v>
      </c>
      <c r="D1077" t="inlineStr">
        <is>
          <t>€/MWh</t>
        </is>
      </c>
      <c r="E1077" s="54" t="n">
        <v>0.10151</v>
      </c>
      <c r="F1077" s="54" t="n">
        <v>0.127495</v>
      </c>
      <c r="G1077" t="inlineStr">
        <is>
          <t>calculado</t>
        </is>
      </c>
      <c r="H1077" t="inlineStr">
        <is>
          <t>IEE 3.8 % con cuota mínima 1 €/MWh (RDL 8/2023 art. 22.1) + IVA 21 % (RDL 8/2023 art. 21.1 (condición: mes anterior &gt; 45 €/MWh))</t>
        </is>
      </c>
      <c r="J1077" t="inlineStr">
        <is>
          <t>2024-05-07</t>
        </is>
      </c>
      <c r="K1077" t="inlineStr">
        <is>
          <t>ESIOS 1001 geo 8741</t>
        </is>
      </c>
      <c r="L1077" t="inlineStr">
        <is>
          <t>24 valores; mín 66.18, máx 186.78 €/MWh</t>
        </is>
      </c>
    </row>
    <row r="1078">
      <c r="A1078" s="53" t="n">
        <v>45421</v>
      </c>
      <c r="B1078" t="inlineStr">
        <is>
          <t>2024-05-09</t>
        </is>
      </c>
      <c r="C1078" s="45" t="n">
        <v>108.0688</v>
      </c>
      <c r="D1078" t="inlineStr">
        <is>
          <t>€/MWh</t>
        </is>
      </c>
      <c r="E1078" s="54" t="n">
        <v>0.108069</v>
      </c>
      <c r="F1078" s="54" t="n">
        <v>0.135732</v>
      </c>
      <c r="G1078" t="inlineStr">
        <is>
          <t>calculado</t>
        </is>
      </c>
      <c r="H1078" t="inlineStr">
        <is>
          <t>IEE 3.8 % con cuota mínima 1 €/MWh (RDL 8/2023 art. 22.1) + IVA 21 % (RDL 8/2023 art. 21.1 (condición: mes anterior &gt; 45 €/MWh))</t>
        </is>
      </c>
      <c r="J1078" t="inlineStr">
        <is>
          <t>2024-05-08</t>
        </is>
      </c>
      <c r="K1078" t="inlineStr">
        <is>
          <t>ESIOS 1001 geo 8741</t>
        </is>
      </c>
      <c r="L1078" t="inlineStr">
        <is>
          <t>24 valores; mín 61.12, máx 227.24 €/MWh</t>
        </is>
      </c>
    </row>
    <row r="1079">
      <c r="A1079" s="53" t="n">
        <v>45422</v>
      </c>
      <c r="B1079" t="inlineStr">
        <is>
          <t>2024-05-10</t>
        </is>
      </c>
      <c r="C1079" s="45" t="n">
        <v>105.7058</v>
      </c>
      <c r="D1079" t="inlineStr">
        <is>
          <t>€/MWh</t>
        </is>
      </c>
      <c r="E1079" s="54" t="n">
        <v>0.105706</v>
      </c>
      <c r="F1079" s="54" t="n">
        <v>0.132764</v>
      </c>
      <c r="G1079" t="inlineStr">
        <is>
          <t>calculado</t>
        </is>
      </c>
      <c r="H1079" t="inlineStr">
        <is>
          <t>IEE 3.8 % con cuota mínima 1 €/MWh (RDL 8/2023 art. 22.1) + IVA 21 % (RDL 8/2023 art. 21.1 (condición: mes anterior &gt; 45 €/MWh))</t>
        </is>
      </c>
      <c r="J1079" t="inlineStr">
        <is>
          <t>2024-05-09</t>
        </is>
      </c>
      <c r="K1079" t="inlineStr">
        <is>
          <t>ESIOS 1001 geo 8741</t>
        </is>
      </c>
      <c r="L1079" t="inlineStr">
        <is>
          <t>24 valores; mín 64.06, máx 196.20 €/MWh</t>
        </is>
      </c>
    </row>
    <row r="1080">
      <c r="A1080" s="53" t="n">
        <v>45423</v>
      </c>
      <c r="B1080" t="inlineStr">
        <is>
          <t>2024-05-11</t>
        </is>
      </c>
      <c r="C1080" s="45" t="n">
        <v>68.8421</v>
      </c>
      <c r="D1080" t="inlineStr">
        <is>
          <t>€/MWh</t>
        </is>
      </c>
      <c r="E1080" s="54" t="n">
        <v>0.068842</v>
      </c>
      <c r="F1080" s="54" t="n">
        <v>0.086464</v>
      </c>
      <c r="G1080" t="inlineStr">
        <is>
          <t>calculado</t>
        </is>
      </c>
      <c r="H1080" t="inlineStr">
        <is>
          <t>IEE 3.8 % con cuota mínima 1 €/MWh (RDL 8/2023 art. 22.1) + IVA 21 % (RDL 8/2023 art. 21.1 (condición: mes anterior &gt; 45 €/MWh))</t>
        </is>
      </c>
      <c r="J1080" t="inlineStr">
        <is>
          <t>2024-05-10</t>
        </is>
      </c>
      <c r="K1080" t="inlineStr">
        <is>
          <t>ESIOS 1001 geo 8741</t>
        </is>
      </c>
      <c r="L1080" t="inlineStr">
        <is>
          <t>24 valores; mín 42.55, máx 89.40 €/MWh</t>
        </is>
      </c>
    </row>
    <row r="1081">
      <c r="A1081" s="53" t="n">
        <v>45424</v>
      </c>
      <c r="B1081" t="inlineStr">
        <is>
          <t>2024-05-12</t>
        </is>
      </c>
      <c r="C1081" s="45" t="n">
        <v>73.0329</v>
      </c>
      <c r="D1081" t="inlineStr">
        <is>
          <t>€/MWh</t>
        </is>
      </c>
      <c r="E1081" s="54" t="n">
        <v>0.073033</v>
      </c>
      <c r="F1081" s="54" t="n">
        <v>0.091728</v>
      </c>
      <c r="G1081" t="inlineStr">
        <is>
          <t>calculado</t>
        </is>
      </c>
      <c r="H1081" t="inlineStr">
        <is>
          <t>IEE 3.8 % con cuota mínima 1 €/MWh (RDL 8/2023 art. 22.1) + IVA 21 % (RDL 8/2023 art. 21.1 (condición: mes anterior &gt; 45 €/MWh))</t>
        </is>
      </c>
      <c r="J1081" t="inlineStr">
        <is>
          <t>2024-05-11</t>
        </is>
      </c>
      <c r="K1081" t="inlineStr">
        <is>
          <t>ESIOS 1001 geo 8741</t>
        </is>
      </c>
      <c r="L1081" t="inlineStr">
        <is>
          <t>24 valores; mín 42.40, máx 108.08 €/MWh</t>
        </is>
      </c>
    </row>
    <row r="1082">
      <c r="A1082" s="53" t="n">
        <v>45425</v>
      </c>
      <c r="B1082" t="inlineStr">
        <is>
          <t>2024-05-13</t>
        </is>
      </c>
      <c r="C1082" s="45" t="n">
        <v>105.0333</v>
      </c>
      <c r="D1082" t="inlineStr">
        <is>
          <t>€/MWh</t>
        </is>
      </c>
      <c r="E1082" s="54" t="n">
        <v>0.105033</v>
      </c>
      <c r="F1082" s="54" t="n">
        <v>0.13192</v>
      </c>
      <c r="G1082" t="inlineStr">
        <is>
          <t>calculado</t>
        </is>
      </c>
      <c r="H1082" t="inlineStr">
        <is>
          <t>IEE 3.8 % con cuota mínima 1 €/MWh (RDL 8/2023 art. 22.1) + IVA 21 % (RDL 8/2023 art. 21.1 (condición: mes anterior &gt; 45 €/MWh))</t>
        </is>
      </c>
      <c r="J1082" t="inlineStr">
        <is>
          <t>2024-05-12</t>
        </is>
      </c>
      <c r="K1082" t="inlineStr">
        <is>
          <t>ESIOS 1001 geo 8741</t>
        </is>
      </c>
      <c r="L1082" t="inlineStr">
        <is>
          <t>24 valores; mín 63.84, máx 154.62 €/MWh</t>
        </is>
      </c>
    </row>
    <row r="1083">
      <c r="A1083" s="53" t="n">
        <v>45426</v>
      </c>
      <c r="B1083" t="inlineStr">
        <is>
          <t>2024-05-14</t>
        </is>
      </c>
      <c r="C1083" s="45" t="n">
        <v>89.2</v>
      </c>
      <c r="D1083" t="inlineStr">
        <is>
          <t>€/MWh</t>
        </is>
      </c>
      <c r="E1083" s="54" t="n">
        <v>0.0892</v>
      </c>
      <c r="F1083" s="54" t="n">
        <v>0.112033</v>
      </c>
      <c r="G1083" t="inlineStr">
        <is>
          <t>calculado</t>
        </is>
      </c>
      <c r="H1083" t="inlineStr">
        <is>
          <t>IEE 3.8 % con cuota mínima 1 €/MWh (RDL 8/2023 art. 22.1) + IVA 21 % (RDL 8/2023 art. 21.1 (condición: mes anterior &gt; 45 €/MWh))</t>
        </is>
      </c>
      <c r="J1083" t="inlineStr">
        <is>
          <t>2024-05-13</t>
        </is>
      </c>
      <c r="K1083" t="inlineStr">
        <is>
          <t>ESIOS 1001 geo 8741</t>
        </is>
      </c>
      <c r="L1083" t="inlineStr">
        <is>
          <t>24 valores; mín 51.38, máx 154.60 €/MWh</t>
        </is>
      </c>
    </row>
    <row r="1084">
      <c r="A1084" s="53" t="n">
        <v>45427</v>
      </c>
      <c r="B1084" t="inlineStr">
        <is>
          <t>2024-05-15</t>
        </is>
      </c>
      <c r="C1084" s="45" t="n">
        <v>94.67619999999999</v>
      </c>
      <c r="D1084" t="inlineStr">
        <is>
          <t>€/MWh</t>
        </is>
      </c>
      <c r="E1084" s="54" t="n">
        <v>0.094676</v>
      </c>
      <c r="F1084" s="54" t="n">
        <v>0.118911</v>
      </c>
      <c r="G1084" t="inlineStr">
        <is>
          <t>calculado</t>
        </is>
      </c>
      <c r="H1084" t="inlineStr">
        <is>
          <t>IEE 3.8 % con cuota mínima 1 €/MWh (RDL 8/2023 art. 22.1) + IVA 21 % (RDL 8/2023 art. 21.1 (condición: mes anterior &gt; 45 €/MWh))</t>
        </is>
      </c>
      <c r="J1084" t="inlineStr">
        <is>
          <t>2024-05-14</t>
        </is>
      </c>
      <c r="K1084" t="inlineStr">
        <is>
          <t>ESIOS 1001 geo 8741</t>
        </is>
      </c>
      <c r="L1084" t="inlineStr">
        <is>
          <t>24 valores; mín 60.72, máx 162.98 €/MWh</t>
        </is>
      </c>
    </row>
    <row r="1085">
      <c r="A1085" s="53" t="n">
        <v>45428</v>
      </c>
      <c r="B1085" t="inlineStr">
        <is>
          <t>2024-05-16</t>
        </is>
      </c>
      <c r="C1085" s="45" t="n">
        <v>110.3096</v>
      </c>
      <c r="D1085" t="inlineStr">
        <is>
          <t>€/MWh</t>
        </is>
      </c>
      <c r="E1085" s="54" t="n">
        <v>0.11031</v>
      </c>
      <c r="F1085" s="54" t="n">
        <v>0.138547</v>
      </c>
      <c r="G1085" t="inlineStr">
        <is>
          <t>calculado</t>
        </is>
      </c>
      <c r="H1085" t="inlineStr">
        <is>
          <t>IEE 3.8 % con cuota mínima 1 €/MWh (RDL 8/2023 art. 22.1) + IVA 21 % (RDL 8/2023 art. 21.1 (condición: mes anterior &gt; 45 €/MWh))</t>
        </is>
      </c>
      <c r="J1085" t="inlineStr">
        <is>
          <t>2024-05-15</t>
        </is>
      </c>
      <c r="K1085" t="inlineStr">
        <is>
          <t>ESIOS 1001 geo 8741</t>
        </is>
      </c>
      <c r="L1085" t="inlineStr">
        <is>
          <t>24 valores; mín 65.24, máx 246.46 €/MWh</t>
        </is>
      </c>
    </row>
    <row r="1086">
      <c r="A1086" s="53" t="n">
        <v>45429</v>
      </c>
      <c r="B1086" t="inlineStr">
        <is>
          <t>2024-05-17</t>
        </is>
      </c>
      <c r="C1086" s="45" t="n">
        <v>124.2442</v>
      </c>
      <c r="D1086" t="inlineStr">
        <is>
          <t>€/MWh</t>
        </is>
      </c>
      <c r="E1086" s="54" t="n">
        <v>0.124244</v>
      </c>
      <c r="F1086" s="54" t="n">
        <v>0.156048</v>
      </c>
      <c r="G1086" t="inlineStr">
        <is>
          <t>calculado</t>
        </is>
      </c>
      <c r="H1086" t="inlineStr">
        <is>
          <t>IEE 3.8 % con cuota mínima 1 €/MWh (RDL 8/2023 art. 22.1) + IVA 21 % (RDL 8/2023 art. 21.1 (condición: mes anterior &gt; 45 €/MWh))</t>
        </is>
      </c>
      <c r="J1086" t="inlineStr">
        <is>
          <t>2024-05-16</t>
        </is>
      </c>
      <c r="K1086" t="inlineStr">
        <is>
          <t>ESIOS 1001 geo 8741</t>
        </is>
      </c>
      <c r="L1086" t="inlineStr">
        <is>
          <t>24 valores; mín 69.33, máx 196.15 €/MWh</t>
        </is>
      </c>
    </row>
    <row r="1087">
      <c r="A1087" s="53" t="n">
        <v>45430</v>
      </c>
      <c r="B1087" t="inlineStr">
        <is>
          <t>2024-05-18</t>
        </is>
      </c>
      <c r="C1087" s="45" t="n">
        <v>78.7958</v>
      </c>
      <c r="D1087" t="inlineStr">
        <is>
          <t>€/MWh</t>
        </is>
      </c>
      <c r="E1087" s="54" t="n">
        <v>0.078796</v>
      </c>
      <c r="F1087" s="54" t="n">
        <v>0.098966</v>
      </c>
      <c r="G1087" t="inlineStr">
        <is>
          <t>calculado</t>
        </is>
      </c>
      <c r="H1087" t="inlineStr">
        <is>
          <t>IEE 3.8 % con cuota mínima 1 €/MWh (RDL 8/2023 art. 22.1) + IVA 21 % (RDL 8/2023 art. 21.1 (condición: mes anterior &gt; 45 €/MWh))</t>
        </is>
      </c>
      <c r="J1087" t="inlineStr">
        <is>
          <t>2024-05-17</t>
        </is>
      </c>
      <c r="K1087" t="inlineStr">
        <is>
          <t>ESIOS 1001 geo 8741</t>
        </is>
      </c>
      <c r="L1087" t="inlineStr">
        <is>
          <t>24 valores; mín 36.58, máx 120.84 €/MWh</t>
        </is>
      </c>
    </row>
    <row r="1088">
      <c r="A1088" s="53" t="n">
        <v>45431</v>
      </c>
      <c r="B1088" t="inlineStr">
        <is>
          <t>2024-05-19</t>
        </is>
      </c>
      <c r="C1088" s="45" t="n">
        <v>79.9667</v>
      </c>
      <c r="D1088" t="inlineStr">
        <is>
          <t>€/MWh</t>
        </is>
      </c>
      <c r="E1088" s="54" t="n">
        <v>0.079967</v>
      </c>
      <c r="F1088" s="54" t="n">
        <v>0.100437</v>
      </c>
      <c r="G1088" t="inlineStr">
        <is>
          <t>calculado</t>
        </is>
      </c>
      <c r="H1088" t="inlineStr">
        <is>
          <t>IEE 3.8 % con cuota mínima 1 €/MWh (RDL 8/2023 art. 22.1) + IVA 21 % (RDL 8/2023 art. 21.1 (condición: mes anterior &gt; 45 €/MWh))</t>
        </is>
      </c>
      <c r="J1088" t="inlineStr">
        <is>
          <t>2024-05-18</t>
        </is>
      </c>
      <c r="K1088" t="inlineStr">
        <is>
          <t>ESIOS 1001 geo 8741</t>
        </is>
      </c>
      <c r="L1088" t="inlineStr">
        <is>
          <t>24 valores; mín 44.41, máx 116.31 €/MWh</t>
        </is>
      </c>
    </row>
    <row r="1089">
      <c r="A1089" s="53" t="n">
        <v>45432</v>
      </c>
      <c r="B1089" t="inlineStr">
        <is>
          <t>2024-05-20</t>
        </is>
      </c>
      <c r="C1089" s="45" t="n">
        <v>112.4992</v>
      </c>
      <c r="D1089" t="inlineStr">
        <is>
          <t>€/MWh</t>
        </is>
      </c>
      <c r="E1089" s="54" t="n">
        <v>0.112499</v>
      </c>
      <c r="F1089" s="54" t="n">
        <v>0.141297</v>
      </c>
      <c r="G1089" t="inlineStr">
        <is>
          <t>calculado</t>
        </is>
      </c>
      <c r="H1089" t="inlineStr">
        <is>
          <t>IEE 3.8 % con cuota mínima 1 €/MWh (RDL 8/2023 art. 22.1) + IVA 21 % (RDL 8/2023 art. 21.1 (condición: mes anterior &gt; 45 €/MWh))</t>
        </is>
      </c>
      <c r="J1089" t="inlineStr">
        <is>
          <t>2024-05-19</t>
        </is>
      </c>
      <c r="K1089" t="inlineStr">
        <is>
          <t>ESIOS 1001 geo 8741</t>
        </is>
      </c>
      <c r="L1089" t="inlineStr">
        <is>
          <t>24 valores; mín 64.73, máx 175.34 €/MWh</t>
        </is>
      </c>
    </row>
    <row r="1090">
      <c r="A1090" s="53" t="n">
        <v>45433</v>
      </c>
      <c r="B1090" t="inlineStr">
        <is>
          <t>2024-05-21</t>
        </is>
      </c>
      <c r="C1090" s="45" t="n">
        <v>119.5921</v>
      </c>
      <c r="D1090" t="inlineStr">
        <is>
          <t>€/MWh</t>
        </is>
      </c>
      <c r="E1090" s="54" t="n">
        <v>0.119592</v>
      </c>
      <c r="F1090" s="54" t="n">
        <v>0.150205</v>
      </c>
      <c r="G1090" t="inlineStr">
        <is>
          <t>calculado</t>
        </is>
      </c>
      <c r="H1090" t="inlineStr">
        <is>
          <t>IEE 3.8 % con cuota mínima 1 €/MWh (RDL 8/2023 art. 22.1) + IVA 21 % (RDL 8/2023 art. 21.1 (condición: mes anterior &gt; 45 €/MWh))</t>
        </is>
      </c>
      <c r="J1090" t="inlineStr">
        <is>
          <t>2024-05-20</t>
        </is>
      </c>
      <c r="K1090" t="inlineStr">
        <is>
          <t>ESIOS 1001 geo 8741</t>
        </is>
      </c>
      <c r="L1090" t="inlineStr">
        <is>
          <t>24 valores; mín 69.50, máx 180.31 €/MWh</t>
        </is>
      </c>
    </row>
    <row r="1091">
      <c r="A1091" s="53" t="n">
        <v>45434</v>
      </c>
      <c r="B1091" t="inlineStr">
        <is>
          <t>2024-05-22</t>
        </is>
      </c>
      <c r="C1091" s="45" t="n">
        <v>116.5675</v>
      </c>
      <c r="D1091" t="inlineStr">
        <is>
          <t>€/MWh</t>
        </is>
      </c>
      <c r="E1091" s="54" t="n">
        <v>0.116567</v>
      </c>
      <c r="F1091" s="54" t="n">
        <v>0.146406</v>
      </c>
      <c r="G1091" t="inlineStr">
        <is>
          <t>calculado</t>
        </is>
      </c>
      <c r="H1091" t="inlineStr">
        <is>
          <t>IEE 3.8 % con cuota mínima 1 €/MWh (RDL 8/2023 art. 22.1) + IVA 21 % (RDL 8/2023 art. 21.1 (condición: mes anterior &gt; 45 €/MWh))</t>
        </is>
      </c>
      <c r="J1091" t="inlineStr">
        <is>
          <t>2024-05-21</t>
        </is>
      </c>
      <c r="K1091" t="inlineStr">
        <is>
          <t>ESIOS 1001 geo 8741</t>
        </is>
      </c>
      <c r="L1091" t="inlineStr">
        <is>
          <t>24 valores; mín 60.62, máx 189.29 €/MWh</t>
        </is>
      </c>
    </row>
    <row r="1092">
      <c r="A1092" s="53" t="n">
        <v>45435</v>
      </c>
      <c r="B1092" t="inlineStr">
        <is>
          <t>2024-05-23</t>
        </is>
      </c>
      <c r="C1092" s="45" t="n">
        <v>130.6217</v>
      </c>
      <c r="D1092" t="inlineStr">
        <is>
          <t>€/MWh</t>
        </is>
      </c>
      <c r="E1092" s="54" t="n">
        <v>0.130622</v>
      </c>
      <c r="F1092" s="54" t="n">
        <v>0.164058</v>
      </c>
      <c r="G1092" t="inlineStr">
        <is>
          <t>calculado</t>
        </is>
      </c>
      <c r="H1092" t="inlineStr">
        <is>
          <t>IEE 3.8 % con cuota mínima 1 €/MWh (RDL 8/2023 art. 22.1) + IVA 21 % (RDL 8/2023 art. 21.1 (condición: mes anterior &gt; 45 €/MWh))</t>
        </is>
      </c>
      <c r="J1092" t="inlineStr">
        <is>
          <t>2024-05-22</t>
        </is>
      </c>
      <c r="K1092" t="inlineStr">
        <is>
          <t>ESIOS 1001 geo 8741</t>
        </is>
      </c>
      <c r="L1092" t="inlineStr">
        <is>
          <t>24 valores; mín 81.33, máx 203.22 €/MWh</t>
        </is>
      </c>
    </row>
    <row r="1093">
      <c r="A1093" s="53" t="n">
        <v>45436</v>
      </c>
      <c r="B1093" t="inlineStr">
        <is>
          <t>2024-05-24</t>
        </is>
      </c>
      <c r="C1093" s="45" t="n">
        <v>139.7438</v>
      </c>
      <c r="D1093" t="inlineStr">
        <is>
          <t>€/MWh</t>
        </is>
      </c>
      <c r="E1093" s="54" t="n">
        <v>0.139744</v>
      </c>
      <c r="F1093" s="54" t="n">
        <v>0.175515</v>
      </c>
      <c r="G1093" t="inlineStr">
        <is>
          <t>calculado</t>
        </is>
      </c>
      <c r="H1093" t="inlineStr">
        <is>
          <t>IEE 3.8 % con cuota mínima 1 €/MWh (RDL 8/2023 art. 22.1) + IVA 21 % (RDL 8/2023 art. 21.1 (condición: mes anterior &gt; 45 €/MWh))</t>
        </is>
      </c>
      <c r="J1093" t="inlineStr">
        <is>
          <t>2024-05-23</t>
        </is>
      </c>
      <c r="K1093" t="inlineStr">
        <is>
          <t>ESIOS 1001 geo 8741</t>
        </is>
      </c>
      <c r="L1093" t="inlineStr">
        <is>
          <t>24 valores; mín 88.69, máx 228.90 €/MWh</t>
        </is>
      </c>
    </row>
    <row r="1094">
      <c r="A1094" s="53" t="n">
        <v>45437</v>
      </c>
      <c r="B1094" t="inlineStr">
        <is>
          <t>2024-05-25</t>
        </is>
      </c>
      <c r="C1094" s="45" t="n">
        <v>90.2308</v>
      </c>
      <c r="D1094" t="inlineStr">
        <is>
          <t>€/MWh</t>
        </is>
      </c>
      <c r="E1094" s="54" t="n">
        <v>0.09023100000000001</v>
      </c>
      <c r="F1094" s="54" t="n">
        <v>0.113328</v>
      </c>
      <c r="G1094" t="inlineStr">
        <is>
          <t>calculado</t>
        </is>
      </c>
      <c r="H1094" t="inlineStr">
        <is>
          <t>IEE 3.8 % con cuota mínima 1 €/MWh (RDL 8/2023 art. 22.1) + IVA 21 % (RDL 8/2023 art. 21.1 (condición: mes anterior &gt; 45 €/MWh))</t>
        </is>
      </c>
      <c r="J1094" t="inlineStr">
        <is>
          <t>2024-05-24</t>
        </is>
      </c>
      <c r="K1094" t="inlineStr">
        <is>
          <t>ESIOS 1001 geo 8741</t>
        </is>
      </c>
      <c r="L1094" t="inlineStr">
        <is>
          <t>24 valores; mín 34.78, máx 149.30 €/MWh</t>
        </is>
      </c>
    </row>
    <row r="1095">
      <c r="A1095" s="53" t="n">
        <v>45438</v>
      </c>
      <c r="B1095" t="inlineStr">
        <is>
          <t>2024-05-26</t>
        </is>
      </c>
      <c r="C1095" s="45" t="n">
        <v>78.31829999999999</v>
      </c>
      <c r="D1095" t="inlineStr">
        <is>
          <t>€/MWh</t>
        </is>
      </c>
      <c r="E1095" s="54" t="n">
        <v>0.078318</v>
      </c>
      <c r="F1095" s="54" t="n">
        <v>0.098366</v>
      </c>
      <c r="G1095" t="inlineStr">
        <is>
          <t>calculado</t>
        </is>
      </c>
      <c r="H1095" t="inlineStr">
        <is>
          <t>IEE 3.8 % con cuota mínima 1 €/MWh (RDL 8/2023 art. 22.1) + IVA 21 % (RDL 8/2023 art. 21.1 (condición: mes anterior &gt; 45 €/MWh))</t>
        </is>
      </c>
      <c r="J1095" t="inlineStr">
        <is>
          <t>2024-05-25</t>
        </is>
      </c>
      <c r="K1095" t="inlineStr">
        <is>
          <t>ESIOS 1001 geo 8741</t>
        </is>
      </c>
      <c r="L1095" t="inlineStr">
        <is>
          <t>24 valores; mín 41.20, máx 120.93 €/MWh</t>
        </is>
      </c>
    </row>
    <row r="1096">
      <c r="A1096" s="53" t="n">
        <v>45439</v>
      </c>
      <c r="B1096" t="inlineStr">
        <is>
          <t>2024-05-27</t>
        </is>
      </c>
      <c r="C1096" s="45" t="n">
        <v>113.2687</v>
      </c>
      <c r="D1096" t="inlineStr">
        <is>
          <t>€/MWh</t>
        </is>
      </c>
      <c r="E1096" s="54" t="n">
        <v>0.113269</v>
      </c>
      <c r="F1096" s="54" t="n">
        <v>0.142263</v>
      </c>
      <c r="G1096" t="inlineStr">
        <is>
          <t>calculado</t>
        </is>
      </c>
      <c r="H1096" t="inlineStr">
        <is>
          <t>IEE 3.8 % con cuota mínima 1 €/MWh (RDL 8/2023 art. 22.1) + IVA 21 % (RDL 8/2023 art. 21.1 (condición: mes anterior &gt; 45 €/MWh))</t>
        </is>
      </c>
      <c r="J1096" t="inlineStr">
        <is>
          <t>2024-05-26</t>
        </is>
      </c>
      <c r="K1096" t="inlineStr">
        <is>
          <t>ESIOS 1001 geo 8741</t>
        </is>
      </c>
      <c r="L1096" t="inlineStr">
        <is>
          <t>24 valores; mín 72.28, máx 173.84 €/MWh</t>
        </is>
      </c>
    </row>
    <row r="1097">
      <c r="A1097" s="53" t="n">
        <v>45440</v>
      </c>
      <c r="B1097" t="inlineStr">
        <is>
          <t>2024-05-28</t>
        </is>
      </c>
      <c r="C1097" s="45" t="n">
        <v>106.5104</v>
      </c>
      <c r="D1097" t="inlineStr">
        <is>
          <t>€/MWh</t>
        </is>
      </c>
      <c r="E1097" s="54" t="n">
        <v>0.10651</v>
      </c>
      <c r="F1097" s="54" t="n">
        <v>0.133775</v>
      </c>
      <c r="G1097" t="inlineStr">
        <is>
          <t>calculado</t>
        </is>
      </c>
      <c r="H1097" t="inlineStr">
        <is>
          <t>IEE 3.8 % con cuota mínima 1 €/MWh (RDL 8/2023 art. 22.1) + IVA 21 % (RDL 8/2023 art. 21.1 (condición: mes anterior &gt; 45 €/MWh))</t>
        </is>
      </c>
      <c r="J1097" t="inlineStr">
        <is>
          <t>2024-05-27</t>
        </is>
      </c>
      <c r="K1097" t="inlineStr">
        <is>
          <t>ESIOS 1001 geo 8741</t>
        </is>
      </c>
      <c r="L1097" t="inlineStr">
        <is>
          <t>24 valores; mín 63.72, máx 193.17 €/MWh</t>
        </is>
      </c>
    </row>
    <row r="1098">
      <c r="A1098" s="53" t="n">
        <v>45441</v>
      </c>
      <c r="B1098" t="inlineStr">
        <is>
          <t>2024-05-29</t>
        </is>
      </c>
      <c r="C1098" s="45" t="n">
        <v>114.8975</v>
      </c>
      <c r="D1098" t="inlineStr">
        <is>
          <t>€/MWh</t>
        </is>
      </c>
      <c r="E1098" s="54" t="n">
        <v>0.114897</v>
      </c>
      <c r="F1098" s="54" t="n">
        <v>0.144309</v>
      </c>
      <c r="G1098" t="inlineStr">
        <is>
          <t>calculado</t>
        </is>
      </c>
      <c r="H1098" t="inlineStr">
        <is>
          <t>IEE 3.8 % con cuota mínima 1 €/MWh (RDL 8/2023 art. 22.1) + IVA 21 % (RDL 8/2023 art. 21.1 (condición: mes anterior &gt; 45 €/MWh))</t>
        </is>
      </c>
      <c r="J1098" t="inlineStr">
        <is>
          <t>2024-05-28</t>
        </is>
      </c>
      <c r="K1098" t="inlineStr">
        <is>
          <t>ESIOS 1001 geo 8741</t>
        </is>
      </c>
      <c r="L1098" t="inlineStr">
        <is>
          <t>24 valores; mín 76.57, máx 182.85 €/MWh</t>
        </is>
      </c>
    </row>
    <row r="1099">
      <c r="A1099" s="53" t="n">
        <v>45442</v>
      </c>
      <c r="B1099" t="inlineStr">
        <is>
          <t>2024-05-30</t>
        </is>
      </c>
      <c r="C1099" s="45" t="n">
        <v>106.3788</v>
      </c>
      <c r="D1099" t="inlineStr">
        <is>
          <t>€/MWh</t>
        </is>
      </c>
      <c r="E1099" s="54" t="n">
        <v>0.106379</v>
      </c>
      <c r="F1099" s="54" t="n">
        <v>0.13361</v>
      </c>
      <c r="G1099" t="inlineStr">
        <is>
          <t>calculado</t>
        </is>
      </c>
      <c r="H1099" t="inlineStr">
        <is>
          <t>IEE 3.8 % con cuota mínima 1 €/MWh (RDL 8/2023 art. 22.1) + IVA 21 % (RDL 8/2023 art. 21.1 (condición: mes anterior &gt; 45 €/MWh))</t>
        </is>
      </c>
      <c r="J1099" t="inlineStr">
        <is>
          <t>2024-05-29</t>
        </is>
      </c>
      <c r="K1099" t="inlineStr">
        <is>
          <t>ESIOS 1001 geo 8741</t>
        </is>
      </c>
      <c r="L1099" t="inlineStr">
        <is>
          <t>24 valores; mín 69.37, máx 161.53 €/MWh</t>
        </is>
      </c>
    </row>
    <row r="1100">
      <c r="A1100" s="53" t="n">
        <v>45443</v>
      </c>
      <c r="B1100" t="inlineStr">
        <is>
          <t>2024-05-31</t>
        </is>
      </c>
      <c r="C1100" s="45" t="n">
        <v>89.4629</v>
      </c>
      <c r="D1100" t="inlineStr">
        <is>
          <t>€/MWh</t>
        </is>
      </c>
      <c r="E1100" s="54" t="n">
        <v>0.089463</v>
      </c>
      <c r="F1100" s="54" t="n">
        <v>0.112364</v>
      </c>
      <c r="G1100" t="inlineStr">
        <is>
          <t>calculado</t>
        </is>
      </c>
      <c r="H1100" t="inlineStr">
        <is>
          <t>IEE 3.8 % con cuota mínima 1 €/MWh (RDL 8/2023 art. 22.1) + IVA 21 % (RDL 8/2023 art. 21.1 (condición: mes anterior &gt; 45 €/MWh))</t>
        </is>
      </c>
      <c r="J1100" t="inlineStr">
        <is>
          <t>2024-05-30</t>
        </is>
      </c>
      <c r="K1100" t="inlineStr">
        <is>
          <t>ESIOS 1001 geo 8741</t>
        </is>
      </c>
      <c r="L1100" t="inlineStr">
        <is>
          <t>24 valores; mín 56.56, máx 131.76 €/MWh</t>
        </is>
      </c>
    </row>
    <row r="1101">
      <c r="A1101" s="53" t="n">
        <v>45444</v>
      </c>
      <c r="B1101" t="inlineStr">
        <is>
          <t>2024-06-01</t>
        </is>
      </c>
      <c r="C1101" s="45" t="n">
        <v>54.1308</v>
      </c>
      <c r="D1101" t="inlineStr">
        <is>
          <t>€/MWh</t>
        </is>
      </c>
      <c r="E1101" s="54" t="n">
        <v>0.054131</v>
      </c>
      <c r="F1101" s="54" t="n">
        <v>0.06798700000000001</v>
      </c>
      <c r="G1101" t="inlineStr">
        <is>
          <t>calculado</t>
        </is>
      </c>
      <c r="H1101" t="inlineStr">
        <is>
          <t>IEE 3.8 % con cuota mínima 1 €/MWh (RDL 8/2023 art. 22.1) + IVA 21 % (RDL 8/2023 art. 21.1 (condición: mes anterior &gt; 45 €/MWh))</t>
        </is>
      </c>
      <c r="J1101" t="inlineStr">
        <is>
          <t>2024-05-31</t>
        </is>
      </c>
      <c r="K1101" t="inlineStr">
        <is>
          <t>ESIOS 1001 geo 8741</t>
        </is>
      </c>
      <c r="L1101" t="inlineStr">
        <is>
          <t>24 valores; mín 49.00, máx 59.19 €/MWh</t>
        </is>
      </c>
    </row>
    <row r="1102">
      <c r="A1102" s="53" t="n">
        <v>45445</v>
      </c>
      <c r="B1102" t="inlineStr">
        <is>
          <t>2024-06-02</t>
        </is>
      </c>
      <c r="C1102" s="45" t="n">
        <v>56.1267</v>
      </c>
      <c r="D1102" t="inlineStr">
        <is>
          <t>€/MWh</t>
        </is>
      </c>
      <c r="E1102" s="54" t="n">
        <v>0.056127</v>
      </c>
      <c r="F1102" s="54" t="n">
        <v>0.070494</v>
      </c>
      <c r="G1102" t="inlineStr">
        <is>
          <t>calculado</t>
        </is>
      </c>
      <c r="H1102" t="inlineStr">
        <is>
          <t>IEE 3.8 % con cuota mínima 1 €/MWh (RDL 8/2023 art. 22.1) + IVA 21 % (RDL 8/2023 art. 21.1 (condición: mes anterior &gt; 45 €/MWh))</t>
        </is>
      </c>
      <c r="J1102" t="inlineStr">
        <is>
          <t>2024-06-01</t>
        </is>
      </c>
      <c r="K1102" t="inlineStr">
        <is>
          <t>ESIOS 1001 geo 8741</t>
        </is>
      </c>
      <c r="L1102" t="inlineStr">
        <is>
          <t>24 valores; mín 42.32, máx 78.55 €/MWh</t>
        </is>
      </c>
    </row>
    <row r="1103">
      <c r="A1103" s="53" t="n">
        <v>45446</v>
      </c>
      <c r="B1103" t="inlineStr">
        <is>
          <t>2024-06-03</t>
        </is>
      </c>
      <c r="C1103" s="45" t="n">
        <v>106.8292</v>
      </c>
      <c r="D1103" t="inlineStr">
        <is>
          <t>€/MWh</t>
        </is>
      </c>
      <c r="E1103" s="54" t="n">
        <v>0.106829</v>
      </c>
      <c r="F1103" s="54" t="n">
        <v>0.134175</v>
      </c>
      <c r="G1103" t="inlineStr">
        <is>
          <t>calculado</t>
        </is>
      </c>
      <c r="H1103" t="inlineStr">
        <is>
          <t>IEE 3.8 % con cuota mínima 1 €/MWh (RDL 8/2023 art. 22.1) + IVA 21 % (RDL 8/2023 art. 21.1 (condición: mes anterior &gt; 45 €/MWh))</t>
        </is>
      </c>
      <c r="J1103" t="inlineStr">
        <is>
          <t>2024-06-02</t>
        </is>
      </c>
      <c r="K1103" t="inlineStr">
        <is>
          <t>ESIOS 1001 geo 8741</t>
        </is>
      </c>
      <c r="L1103" t="inlineStr">
        <is>
          <t>24 valores; mín 55.58, máx 223.61 €/MWh</t>
        </is>
      </c>
    </row>
    <row r="1104">
      <c r="A1104" s="53" t="n">
        <v>45447</v>
      </c>
      <c r="B1104" t="inlineStr">
        <is>
          <t>2024-06-04</t>
        </is>
      </c>
      <c r="C1104" s="45" t="n">
        <v>150.2629</v>
      </c>
      <c r="D1104" t="inlineStr">
        <is>
          <t>€/MWh</t>
        </is>
      </c>
      <c r="E1104" s="54" t="n">
        <v>0.150263</v>
      </c>
      <c r="F1104" s="54" t="n">
        <v>0.188727</v>
      </c>
      <c r="G1104" t="inlineStr">
        <is>
          <t>calculado</t>
        </is>
      </c>
      <c r="H1104" t="inlineStr">
        <is>
          <t>IEE 3.8 % con cuota mínima 1 €/MWh (RDL 8/2023 art. 22.1) + IVA 21 % (RDL 8/2023 art. 21.1 (condición: mes anterior &gt; 45 €/MWh))</t>
        </is>
      </c>
      <c r="J1104" t="inlineStr">
        <is>
          <t>2024-06-03</t>
        </is>
      </c>
      <c r="K1104" t="inlineStr">
        <is>
          <t>ESIOS 1001 geo 8741</t>
        </is>
      </c>
      <c r="L1104" t="inlineStr">
        <is>
          <t>24 valores; mín 73.68, máx 284.50 €/MWh</t>
        </is>
      </c>
    </row>
    <row r="1105">
      <c r="A1105" s="53" t="n">
        <v>45448</v>
      </c>
      <c r="B1105" t="inlineStr">
        <is>
          <t>2024-06-05</t>
        </is>
      </c>
      <c r="C1105" s="45" t="n">
        <v>163.9692</v>
      </c>
      <c r="D1105" t="inlineStr">
        <is>
          <t>€/MWh</t>
        </is>
      </c>
      <c r="E1105" s="54" t="n">
        <v>0.163969</v>
      </c>
      <c r="F1105" s="54" t="n">
        <v>0.205942</v>
      </c>
      <c r="G1105" t="inlineStr">
        <is>
          <t>calculado</t>
        </is>
      </c>
      <c r="H1105" t="inlineStr">
        <is>
          <t>IEE 3.8 % con cuota mínima 1 €/MWh (RDL 8/2023 art. 22.1) + IVA 21 % (RDL 8/2023 art. 21.1 (condición: mes anterior &gt; 45 €/MWh))</t>
        </is>
      </c>
      <c r="J1105" t="inlineStr">
        <is>
          <t>2024-06-04</t>
        </is>
      </c>
      <c r="K1105" t="inlineStr">
        <is>
          <t>ESIOS 1001 geo 8741</t>
        </is>
      </c>
      <c r="L1105" t="inlineStr">
        <is>
          <t>24 valores; mín 78.51, máx 287.59 €/MWh</t>
        </is>
      </c>
    </row>
    <row r="1106">
      <c r="A1106" s="53" t="n">
        <v>45449</v>
      </c>
      <c r="B1106" t="inlineStr">
        <is>
          <t>2024-06-06</t>
        </is>
      </c>
      <c r="C1106" s="45" t="n">
        <v>154.7438</v>
      </c>
      <c r="D1106" t="inlineStr">
        <is>
          <t>€/MWh</t>
        </is>
      </c>
      <c r="E1106" s="54" t="n">
        <v>0.154744</v>
      </c>
      <c r="F1106" s="54" t="n">
        <v>0.194355</v>
      </c>
      <c r="G1106" t="inlineStr">
        <is>
          <t>calculado</t>
        </is>
      </c>
      <c r="H1106" t="inlineStr">
        <is>
          <t>IEE 3.8 % con cuota mínima 1 €/MWh (RDL 8/2023 art. 22.1) + IVA 21 % (RDL 8/2023 art. 21.1 (condición: mes anterior &gt; 45 €/MWh))</t>
        </is>
      </c>
      <c r="J1106" t="inlineStr">
        <is>
          <t>2024-06-05</t>
        </is>
      </c>
      <c r="K1106" t="inlineStr">
        <is>
          <t>ESIOS 1001 geo 8741</t>
        </is>
      </c>
      <c r="L1106" t="inlineStr">
        <is>
          <t>24 valores; mín 103.15, máx 226.43 €/MWh</t>
        </is>
      </c>
    </row>
    <row r="1107">
      <c r="A1107" s="53" t="n">
        <v>45450</v>
      </c>
      <c r="B1107" t="inlineStr">
        <is>
          <t>2024-06-07</t>
        </is>
      </c>
      <c r="C1107" s="45" t="n">
        <v>142.2067</v>
      </c>
      <c r="D1107" t="inlineStr">
        <is>
          <t>€/MWh</t>
        </is>
      </c>
      <c r="E1107" s="54" t="n">
        <v>0.142207</v>
      </c>
      <c r="F1107" s="54" t="n">
        <v>0.178609</v>
      </c>
      <c r="G1107" t="inlineStr">
        <is>
          <t>calculado</t>
        </is>
      </c>
      <c r="H1107" t="inlineStr">
        <is>
          <t>IEE 3.8 % con cuota mínima 1 €/MWh (RDL 8/2023 art. 22.1) + IVA 21 % (RDL 8/2023 art. 21.1 (condición: mes anterior &gt; 45 €/MWh))</t>
        </is>
      </c>
      <c r="J1107" t="inlineStr">
        <is>
          <t>2024-06-06</t>
        </is>
      </c>
      <c r="K1107" t="inlineStr">
        <is>
          <t>ESIOS 1001 geo 8741</t>
        </is>
      </c>
      <c r="L1107" t="inlineStr">
        <is>
          <t>24 valores; mín 86.66, máx 207.64 €/MWh</t>
        </is>
      </c>
    </row>
    <row r="1108">
      <c r="A1108" s="53" t="n">
        <v>45451</v>
      </c>
      <c r="B1108" t="inlineStr">
        <is>
          <t>2024-06-08</t>
        </is>
      </c>
      <c r="C1108" s="45" t="n">
        <v>105.5479</v>
      </c>
      <c r="D1108" t="inlineStr">
        <is>
          <t>€/MWh</t>
        </is>
      </c>
      <c r="E1108" s="54" t="n">
        <v>0.105548</v>
      </c>
      <c r="F1108" s="54" t="n">
        <v>0.132566</v>
      </c>
      <c r="G1108" t="inlineStr">
        <is>
          <t>calculado</t>
        </is>
      </c>
      <c r="H1108" t="inlineStr">
        <is>
          <t>IEE 3.8 % con cuota mínima 1 €/MWh (RDL 8/2023 art. 22.1) + IVA 21 % (RDL 8/2023 art. 21.1 (condición: mes anterior &gt; 45 €/MWh))</t>
        </is>
      </c>
      <c r="J1108" t="inlineStr">
        <is>
          <t>2024-06-07</t>
        </is>
      </c>
      <c r="K1108" t="inlineStr">
        <is>
          <t>ESIOS 1001 geo 8741</t>
        </is>
      </c>
      <c r="L1108" t="inlineStr">
        <is>
          <t>24 valores; mín 54.90, máx 142.27 €/MWh</t>
        </is>
      </c>
    </row>
    <row r="1109">
      <c r="A1109" s="53" t="n">
        <v>45452</v>
      </c>
      <c r="B1109" t="inlineStr">
        <is>
          <t>2024-06-09</t>
        </is>
      </c>
      <c r="C1109" s="45" t="n">
        <v>69.4325</v>
      </c>
      <c r="D1109" t="inlineStr">
        <is>
          <t>€/MWh</t>
        </is>
      </c>
      <c r="E1109" s="54" t="n">
        <v>0.06943299999999999</v>
      </c>
      <c r="F1109" s="54" t="n">
        <v>0.08720600000000001</v>
      </c>
      <c r="G1109" t="inlineStr">
        <is>
          <t>calculado</t>
        </is>
      </c>
      <c r="H1109" t="inlineStr">
        <is>
          <t>IEE 3.8 % con cuota mínima 1 €/MWh (RDL 8/2023 art. 22.1) + IVA 21 % (RDL 8/2023 art. 21.1 (condición: mes anterior &gt; 45 €/MWh))</t>
        </is>
      </c>
      <c r="J1109" t="inlineStr">
        <is>
          <t>2024-06-08</t>
        </is>
      </c>
      <c r="K1109" t="inlineStr">
        <is>
          <t>ESIOS 1001 geo 8741</t>
        </is>
      </c>
      <c r="L1109" t="inlineStr">
        <is>
          <t>24 valores; mín 42.47, máx 122.66 €/MWh</t>
        </is>
      </c>
    </row>
    <row r="1110">
      <c r="A1110" s="53" t="n">
        <v>45453</v>
      </c>
      <c r="B1110" t="inlineStr">
        <is>
          <t>2024-06-10</t>
        </is>
      </c>
      <c r="C1110" s="45" t="n">
        <v>119.8525</v>
      </c>
      <c r="D1110" t="inlineStr">
        <is>
          <t>€/MWh</t>
        </is>
      </c>
      <c r="E1110" s="54" t="n">
        <v>0.119853</v>
      </c>
      <c r="F1110" s="54" t="n">
        <v>0.150532</v>
      </c>
      <c r="G1110" t="inlineStr">
        <is>
          <t>calculado</t>
        </is>
      </c>
      <c r="H1110" t="inlineStr">
        <is>
          <t>IEE 3.8 % con cuota mínima 1 €/MWh (RDL 8/2023 art. 22.1) + IVA 21 % (RDL 8/2023 art. 21.1 (condición: mes anterior &gt; 45 €/MWh))</t>
        </is>
      </c>
      <c r="J1110" t="inlineStr">
        <is>
          <t>2024-06-09</t>
        </is>
      </c>
      <c r="K1110" t="inlineStr">
        <is>
          <t>ESIOS 1001 geo 8741</t>
        </is>
      </c>
      <c r="L1110" t="inlineStr">
        <is>
          <t>24 valores; mín 79.43, máx 206.72 €/MWh</t>
        </is>
      </c>
    </row>
    <row r="1111">
      <c r="A1111" s="53" t="n">
        <v>45454</v>
      </c>
      <c r="B1111" t="inlineStr">
        <is>
          <t>2024-06-11</t>
        </is>
      </c>
      <c r="C1111" s="45" t="n">
        <v>136.5775</v>
      </c>
      <c r="D1111" t="inlineStr">
        <is>
          <t>€/MWh</t>
        </is>
      </c>
      <c r="E1111" s="54" t="n">
        <v>0.136578</v>
      </c>
      <c r="F1111" s="54" t="n">
        <v>0.171539</v>
      </c>
      <c r="G1111" t="inlineStr">
        <is>
          <t>calculado</t>
        </is>
      </c>
      <c r="H1111" t="inlineStr">
        <is>
          <t>IEE 3.8 % con cuota mínima 1 €/MWh (RDL 8/2023 art. 22.1) + IVA 21 % (RDL 8/2023 art. 21.1 (condición: mes anterior &gt; 45 €/MWh))</t>
        </is>
      </c>
      <c r="J1111" t="inlineStr">
        <is>
          <t>2024-06-10</t>
        </is>
      </c>
      <c r="K1111" t="inlineStr">
        <is>
          <t>ESIOS 1001 geo 8741</t>
        </is>
      </c>
      <c r="L1111" t="inlineStr">
        <is>
          <t>24 valores; mín 89.43, máx 198.03 €/MWh</t>
        </is>
      </c>
    </row>
    <row r="1112">
      <c r="A1112" s="53" t="n">
        <v>45455</v>
      </c>
      <c r="B1112" t="inlineStr">
        <is>
          <t>2024-06-12</t>
        </is>
      </c>
      <c r="C1112" s="45" t="n">
        <v>126.5742</v>
      </c>
      <c r="D1112" t="inlineStr">
        <is>
          <t>€/MWh</t>
        </is>
      </c>
      <c r="E1112" s="54" t="n">
        <v>0.126574</v>
      </c>
      <c r="F1112" s="54" t="n">
        <v>0.158975</v>
      </c>
      <c r="G1112" t="inlineStr">
        <is>
          <t>calculado</t>
        </is>
      </c>
      <c r="H1112" t="inlineStr">
        <is>
          <t>IEE 3.8 % con cuota mínima 1 €/MWh (RDL 8/2023 art. 22.1) + IVA 21 % (RDL 8/2023 art. 21.1 (condición: mes anterior &gt; 45 €/MWh))</t>
        </is>
      </c>
      <c r="J1112" t="inlineStr">
        <is>
          <t>2024-06-11</t>
        </is>
      </c>
      <c r="K1112" t="inlineStr">
        <is>
          <t>ESIOS 1001 geo 8741</t>
        </is>
      </c>
      <c r="L1112" t="inlineStr">
        <is>
          <t>24 valores; mín 67.59, máx 217.80 €/MWh</t>
        </is>
      </c>
    </row>
    <row r="1113">
      <c r="A1113" s="53" t="n">
        <v>45456</v>
      </c>
      <c r="B1113" t="inlineStr">
        <is>
          <t>2024-06-13</t>
        </is>
      </c>
      <c r="C1113" s="45" t="n">
        <v>135.6383</v>
      </c>
      <c r="D1113" t="inlineStr">
        <is>
          <t>€/MWh</t>
        </is>
      </c>
      <c r="E1113" s="54" t="n">
        <v>0.135638</v>
      </c>
      <c r="F1113" s="54" t="n">
        <v>0.170359</v>
      </c>
      <c r="G1113" t="inlineStr">
        <is>
          <t>calculado</t>
        </is>
      </c>
      <c r="H1113" t="inlineStr">
        <is>
          <t>IEE 3.8 % con cuota mínima 1 €/MWh (RDL 8/2023 art. 22.1) + IVA 21 % (RDL 8/2023 art. 21.1 (condición: mes anterior &gt; 45 €/MWh))</t>
        </is>
      </c>
      <c r="J1113" t="inlineStr">
        <is>
          <t>2024-06-12</t>
        </is>
      </c>
      <c r="K1113" t="inlineStr">
        <is>
          <t>ESIOS 1001 geo 8741</t>
        </is>
      </c>
      <c r="L1113" t="inlineStr">
        <is>
          <t>24 valores; mín 53.11, máx 224.14 €/MWh</t>
        </is>
      </c>
    </row>
    <row r="1114">
      <c r="A1114" s="53" t="n">
        <v>45457</v>
      </c>
      <c r="B1114" t="inlineStr">
        <is>
          <t>2024-06-14</t>
        </is>
      </c>
      <c r="C1114" s="45" t="n">
        <v>117.7167</v>
      </c>
      <c r="D1114" t="inlineStr">
        <is>
          <t>€/MWh</t>
        </is>
      </c>
      <c r="E1114" s="54" t="n">
        <v>0.117717</v>
      </c>
      <c r="F1114" s="54" t="n">
        <v>0.14785</v>
      </c>
      <c r="G1114" t="inlineStr">
        <is>
          <t>calculado</t>
        </is>
      </c>
      <c r="H1114" t="inlineStr">
        <is>
          <t>IEE 3.8 % con cuota mínima 1 €/MWh (RDL 8/2023 art. 22.1) + IVA 21 % (RDL 8/2023 art. 21.1 (condición: mes anterior &gt; 45 €/MWh))</t>
        </is>
      </c>
      <c r="J1114" t="inlineStr">
        <is>
          <t>2024-06-13</t>
        </is>
      </c>
      <c r="K1114" t="inlineStr">
        <is>
          <t>ESIOS 1001 geo 8741</t>
        </is>
      </c>
      <c r="L1114" t="inlineStr">
        <is>
          <t>24 valores; mín 58.71, máx 191.80 €/MWh</t>
        </is>
      </c>
    </row>
    <row r="1115">
      <c r="A1115" s="53" t="n">
        <v>45458</v>
      </c>
      <c r="B1115" t="inlineStr">
        <is>
          <t>2024-06-15</t>
        </is>
      </c>
      <c r="C1115" s="45" t="n">
        <v>67.06789999999999</v>
      </c>
      <c r="D1115" t="inlineStr">
        <is>
          <t>€/MWh</t>
        </is>
      </c>
      <c r="E1115" s="54" t="n">
        <v>0.067068</v>
      </c>
      <c r="F1115" s="54" t="n">
        <v>0.08423600000000001</v>
      </c>
      <c r="G1115" t="inlineStr">
        <is>
          <t>calculado</t>
        </is>
      </c>
      <c r="H1115" t="inlineStr">
        <is>
          <t>IEE 3.8 % con cuota mínima 1 €/MWh (RDL 8/2023 art. 22.1) + IVA 21 % (RDL 8/2023 art. 21.1 (condición: mes anterior &gt; 45 €/MWh))</t>
        </is>
      </c>
      <c r="J1115" t="inlineStr">
        <is>
          <t>2024-06-14</t>
        </is>
      </c>
      <c r="K1115" t="inlineStr">
        <is>
          <t>ESIOS 1001 geo 8741</t>
        </is>
      </c>
      <c r="L1115" t="inlineStr">
        <is>
          <t>24 valores; mín 40.38, máx 94.90 €/MWh</t>
        </is>
      </c>
    </row>
    <row r="1116">
      <c r="A1116" s="53" t="n">
        <v>45459</v>
      </c>
      <c r="B1116" t="inlineStr">
        <is>
          <t>2024-06-16</t>
        </is>
      </c>
      <c r="C1116" s="45" t="n">
        <v>66.38379999999999</v>
      </c>
      <c r="D1116" t="inlineStr">
        <is>
          <t>€/MWh</t>
        </is>
      </c>
      <c r="E1116" s="54" t="n">
        <v>0.066384</v>
      </c>
      <c r="F1116" s="54" t="n">
        <v>0.08337700000000001</v>
      </c>
      <c r="G1116" t="inlineStr">
        <is>
          <t>calculado</t>
        </is>
      </c>
      <c r="H1116" t="inlineStr">
        <is>
          <t>IEE 3.8 % con cuota mínima 1 €/MWh (RDL 8/2023 art. 22.1) + IVA 21 % (RDL 8/2023 art. 21.1 (condición: mes anterior &gt; 45 €/MWh))</t>
        </is>
      </c>
      <c r="J1116" t="inlineStr">
        <is>
          <t>2024-06-15</t>
        </is>
      </c>
      <c r="K1116" t="inlineStr">
        <is>
          <t>ESIOS 1001 geo 8741</t>
        </is>
      </c>
      <c r="L1116" t="inlineStr">
        <is>
          <t>24 valores; mín 41.28, máx 91.69 €/MWh</t>
        </is>
      </c>
    </row>
    <row r="1117">
      <c r="A1117" s="53" t="n">
        <v>45460</v>
      </c>
      <c r="B1117" t="inlineStr">
        <is>
          <t>2024-06-17</t>
        </is>
      </c>
      <c r="C1117" s="45" t="n">
        <v>106.7146</v>
      </c>
      <c r="D1117" t="inlineStr">
        <is>
          <t>€/MWh</t>
        </is>
      </c>
      <c r="E1117" s="54" t="n">
        <v>0.106715</v>
      </c>
      <c r="F1117" s="54" t="n">
        <v>0.134031</v>
      </c>
      <c r="G1117" t="inlineStr">
        <is>
          <t>calculado</t>
        </is>
      </c>
      <c r="H1117" t="inlineStr">
        <is>
          <t>IEE 3.8 % con cuota mínima 1 €/MWh (RDL 8/2023 art. 22.1) + IVA 21 % (RDL 8/2023 art. 21.1 (condición: mes anterior &gt; 45 €/MWh))</t>
        </is>
      </c>
      <c r="J1117" t="inlineStr">
        <is>
          <t>2024-06-16</t>
        </is>
      </c>
      <c r="K1117" t="inlineStr">
        <is>
          <t>ESIOS 1001 geo 8741</t>
        </is>
      </c>
      <c r="L1117" t="inlineStr">
        <is>
          <t>24 valores; mín 63.09, máx 191.32 €/MWh</t>
        </is>
      </c>
    </row>
    <row r="1118">
      <c r="A1118" s="53" t="n">
        <v>45461</v>
      </c>
      <c r="B1118" t="inlineStr">
        <is>
          <t>2024-06-18</t>
        </is>
      </c>
      <c r="C1118" s="45" t="n">
        <v>127.0492</v>
      </c>
      <c r="D1118" t="inlineStr">
        <is>
          <t>€/MWh</t>
        </is>
      </c>
      <c r="E1118" s="54" t="n">
        <v>0.127049</v>
      </c>
      <c r="F1118" s="54" t="n">
        <v>0.159571</v>
      </c>
      <c r="G1118" t="inlineStr">
        <is>
          <t>calculado</t>
        </is>
      </c>
      <c r="H1118" t="inlineStr">
        <is>
          <t>IEE 3.8 % con cuota mínima 1 €/MWh (RDL 8/2023 art. 22.1) + IVA 21 % (RDL 8/2023 art. 21.1 (condición: mes anterior &gt; 45 €/MWh))</t>
        </is>
      </c>
      <c r="J1118" t="inlineStr">
        <is>
          <t>2024-06-17</t>
        </is>
      </c>
      <c r="K1118" t="inlineStr">
        <is>
          <t>ESIOS 1001 geo 8741</t>
        </is>
      </c>
      <c r="L1118" t="inlineStr">
        <is>
          <t>24 valores; mín 63.79, máx 241.02 €/MWh</t>
        </is>
      </c>
    </row>
    <row r="1119">
      <c r="A1119" s="53" t="n">
        <v>45462</v>
      </c>
      <c r="B1119" t="inlineStr">
        <is>
          <t>2024-06-19</t>
        </is>
      </c>
      <c r="C1119" s="45" t="n">
        <v>148.2733</v>
      </c>
      <c r="D1119" t="inlineStr">
        <is>
          <t>€/MWh</t>
        </is>
      </c>
      <c r="E1119" s="54" t="n">
        <v>0.148273</v>
      </c>
      <c r="F1119" s="54" t="n">
        <v>0.186228</v>
      </c>
      <c r="G1119" t="inlineStr">
        <is>
          <t>calculado</t>
        </is>
      </c>
      <c r="H1119" t="inlineStr">
        <is>
          <t>IEE 3.8 % con cuota mínima 1 €/MWh (RDL 8/2023 art. 22.1) + IVA 21 % (RDL 8/2023 art. 21.1 (condición: mes anterior &gt; 45 €/MWh))</t>
        </is>
      </c>
      <c r="J1119" t="inlineStr">
        <is>
          <t>2024-06-18</t>
        </is>
      </c>
      <c r="K1119" t="inlineStr">
        <is>
          <t>ESIOS 1001 geo 8741</t>
        </is>
      </c>
      <c r="L1119" t="inlineStr">
        <is>
          <t>24 valores; mín 85.44, máx 225.00 €/MWh</t>
        </is>
      </c>
    </row>
    <row r="1120">
      <c r="A1120" s="53" t="n">
        <v>45463</v>
      </c>
      <c r="B1120" t="inlineStr">
        <is>
          <t>2024-06-20</t>
        </is>
      </c>
      <c r="C1120" s="45" t="n">
        <v>151.8842</v>
      </c>
      <c r="D1120" t="inlineStr">
        <is>
          <t>€/MWh</t>
        </is>
      </c>
      <c r="E1120" s="54" t="n">
        <v>0.151884</v>
      </c>
      <c r="F1120" s="54" t="n">
        <v>0.190764</v>
      </c>
      <c r="G1120" t="inlineStr">
        <is>
          <t>calculado</t>
        </is>
      </c>
      <c r="H1120" t="inlineStr">
        <is>
          <t>IEE 3.8 % con cuota mínima 1 €/MWh (RDL 8/2023 art. 22.1) + IVA 21 % (RDL 8/2023 art. 21.1 (condición: mes anterior &gt; 45 €/MWh))</t>
        </is>
      </c>
      <c r="J1120" t="inlineStr">
        <is>
          <t>2024-06-19</t>
        </is>
      </c>
      <c r="K1120" t="inlineStr">
        <is>
          <t>ESIOS 1001 geo 8741</t>
        </is>
      </c>
      <c r="L1120" t="inlineStr">
        <is>
          <t>24 valores; mín 110.03, máx 226.96 €/MWh</t>
        </is>
      </c>
    </row>
    <row r="1121">
      <c r="A1121" s="53" t="n">
        <v>45464</v>
      </c>
      <c r="B1121" t="inlineStr">
        <is>
          <t>2024-06-21</t>
        </is>
      </c>
      <c r="C1121" s="45" t="n">
        <v>148.9137</v>
      </c>
      <c r="D1121" t="inlineStr">
        <is>
          <t>€/MWh</t>
        </is>
      </c>
      <c r="E1121" s="54" t="n">
        <v>0.148914</v>
      </c>
      <c r="F1121" s="54" t="n">
        <v>0.187033</v>
      </c>
      <c r="G1121" t="inlineStr">
        <is>
          <t>calculado</t>
        </is>
      </c>
      <c r="H1121" t="inlineStr">
        <is>
          <t>IEE 3.8 % con cuota mínima 1 €/MWh (RDL 8/2023 art. 22.1) + IVA 21 % (RDL 8/2023 art. 21.1 (condición: mes anterior &gt; 45 €/MWh))</t>
        </is>
      </c>
      <c r="J1121" t="inlineStr">
        <is>
          <t>2024-06-20</t>
        </is>
      </c>
      <c r="K1121" t="inlineStr">
        <is>
          <t>ESIOS 1001 geo 8741</t>
        </is>
      </c>
      <c r="L1121" t="inlineStr">
        <is>
          <t>24 valores; mín 86.98, máx 220.88 €/MWh</t>
        </is>
      </c>
    </row>
    <row r="1122">
      <c r="A1122" s="53" t="n">
        <v>45465</v>
      </c>
      <c r="B1122" t="inlineStr">
        <is>
          <t>2024-06-22</t>
        </is>
      </c>
      <c r="C1122" s="45" t="n">
        <v>84.7521</v>
      </c>
      <c r="D1122" t="inlineStr">
        <is>
          <t>€/MWh</t>
        </is>
      </c>
      <c r="E1122" s="54" t="n">
        <v>0.08475199999999999</v>
      </c>
      <c r="F1122" s="54" t="n">
        <v>0.106447</v>
      </c>
      <c r="G1122" t="inlineStr">
        <is>
          <t>calculado</t>
        </is>
      </c>
      <c r="H1122" t="inlineStr">
        <is>
          <t>IEE 3.8 % con cuota mínima 1 €/MWh (RDL 8/2023 art. 22.1) + IVA 21 % (RDL 8/2023 art. 21.1 (condición: mes anterior &gt; 45 €/MWh))</t>
        </is>
      </c>
      <c r="J1122" t="inlineStr">
        <is>
          <t>2024-06-21</t>
        </is>
      </c>
      <c r="K1122" t="inlineStr">
        <is>
          <t>ESIOS 1001 geo 8741</t>
        </is>
      </c>
      <c r="L1122" t="inlineStr">
        <is>
          <t>24 valores; mín 36.29, máx 143.94 €/MWh</t>
        </is>
      </c>
    </row>
    <row r="1123">
      <c r="A1123" s="53" t="n">
        <v>45466</v>
      </c>
      <c r="B1123" t="inlineStr">
        <is>
          <t>2024-06-23</t>
        </is>
      </c>
      <c r="C1123" s="45" t="n">
        <v>77.19880000000001</v>
      </c>
      <c r="D1123" t="inlineStr">
        <is>
          <t>€/MWh</t>
        </is>
      </c>
      <c r="E1123" s="54" t="n">
        <v>0.077199</v>
      </c>
      <c r="F1123" s="54" t="n">
        <v>0.09696</v>
      </c>
      <c r="G1123" t="inlineStr">
        <is>
          <t>calculado</t>
        </is>
      </c>
      <c r="H1123" t="inlineStr">
        <is>
          <t>IEE 3.8 % con cuota mínima 1 €/MWh (RDL 8/2023 art. 22.1) + IVA 21 % (RDL 8/2023 art. 21.1 (condición: mes anterior &gt; 45 €/MWh))</t>
        </is>
      </c>
      <c r="J1123" t="inlineStr">
        <is>
          <t>2024-06-22</t>
        </is>
      </c>
      <c r="K1123" t="inlineStr">
        <is>
          <t>ESIOS 1001 geo 8741</t>
        </is>
      </c>
      <c r="L1123" t="inlineStr">
        <is>
          <t>24 valores; mín 41.38, máx 142.70 €/MWh</t>
        </is>
      </c>
    </row>
    <row r="1124">
      <c r="A1124" s="53" t="n">
        <v>45467</v>
      </c>
      <c r="B1124" t="inlineStr">
        <is>
          <t>2024-06-24</t>
        </is>
      </c>
      <c r="C1124" s="45" t="n">
        <v>114.6713</v>
      </c>
      <c r="D1124" t="inlineStr">
        <is>
          <t>€/MWh</t>
        </is>
      </c>
      <c r="E1124" s="54" t="n">
        <v>0.114671</v>
      </c>
      <c r="F1124" s="54" t="n">
        <v>0.144025</v>
      </c>
      <c r="G1124" t="inlineStr">
        <is>
          <t>calculado</t>
        </is>
      </c>
      <c r="H1124" t="inlineStr">
        <is>
          <t>IEE 3.8 % con cuota mínima 1 €/MWh (RDL 8/2023 art. 22.1) + IVA 21 % (RDL 8/2023 art. 21.1 (condición: mes anterior &gt; 45 €/MWh))</t>
        </is>
      </c>
      <c r="J1124" t="inlineStr">
        <is>
          <t>2024-06-23</t>
        </is>
      </c>
      <c r="K1124" t="inlineStr">
        <is>
          <t>ESIOS 1001 geo 8741</t>
        </is>
      </c>
      <c r="L1124" t="inlineStr">
        <is>
          <t>24 valores; mín 60.13, máx 235.49 €/MWh</t>
        </is>
      </c>
    </row>
    <row r="1125">
      <c r="A1125" s="53" t="n">
        <v>45468</v>
      </c>
      <c r="B1125" t="inlineStr">
        <is>
          <t>2024-06-25</t>
        </is>
      </c>
      <c r="C1125" s="45" t="n">
        <v>135.2946</v>
      </c>
      <c r="D1125" t="inlineStr">
        <is>
          <t>€/MWh</t>
        </is>
      </c>
      <c r="E1125" s="54" t="n">
        <v>0.135295</v>
      </c>
      <c r="F1125" s="54" t="n">
        <v>0.169927</v>
      </c>
      <c r="G1125" t="inlineStr">
        <is>
          <t>calculado</t>
        </is>
      </c>
      <c r="H1125" t="inlineStr">
        <is>
          <t>IEE 3.8 % con cuota mínima 1 €/MWh (RDL 8/2023 art. 22.1) + IVA 21 % (RDL 8/2023 art. 21.1 (condición: mes anterior &gt; 45 €/MWh))</t>
        </is>
      </c>
      <c r="J1125" t="inlineStr">
        <is>
          <t>2024-06-24</t>
        </is>
      </c>
      <c r="K1125" t="inlineStr">
        <is>
          <t>ESIOS 1001 geo 8741</t>
        </is>
      </c>
      <c r="L1125" t="inlineStr">
        <is>
          <t>24 valores; mín 85.63, máx 226.10 €/MWh</t>
        </is>
      </c>
    </row>
    <row r="1126">
      <c r="A1126" s="53" t="n">
        <v>45469</v>
      </c>
      <c r="B1126" t="inlineStr">
        <is>
          <t>2024-06-26</t>
        </is>
      </c>
      <c r="C1126" s="45" t="n">
        <v>157.5913</v>
      </c>
      <c r="D1126" t="inlineStr">
        <is>
          <t>€/MWh</t>
        </is>
      </c>
      <c r="E1126" s="54" t="n">
        <v>0.157591</v>
      </c>
      <c r="F1126" s="54" t="n">
        <v>0.197932</v>
      </c>
      <c r="G1126" t="inlineStr">
        <is>
          <t>calculado</t>
        </is>
      </c>
      <c r="H1126" t="inlineStr">
        <is>
          <t>IEE 3.8 % con cuota mínima 1 €/MWh (RDL 8/2023 art. 22.1) + IVA 21 % (RDL 8/2023 art. 21.1 (condición: mes anterior &gt; 45 €/MWh))</t>
        </is>
      </c>
      <c r="J1126" t="inlineStr">
        <is>
          <t>2024-06-25</t>
        </is>
      </c>
      <c r="K1126" t="inlineStr">
        <is>
          <t>ESIOS 1001 geo 8741</t>
        </is>
      </c>
      <c r="L1126" t="inlineStr">
        <is>
          <t>24 valores; mín 103.01, máx 244.24 €/MWh</t>
        </is>
      </c>
    </row>
    <row r="1127">
      <c r="A1127" s="53" t="n">
        <v>45470</v>
      </c>
      <c r="B1127" t="inlineStr">
        <is>
          <t>2024-06-27</t>
        </is>
      </c>
      <c r="C1127" s="45" t="n">
        <v>150.6058</v>
      </c>
      <c r="D1127" t="inlineStr">
        <is>
          <t>€/MWh</t>
        </is>
      </c>
      <c r="E1127" s="54" t="n">
        <v>0.150606</v>
      </c>
      <c r="F1127" s="54" t="n">
        <v>0.189158</v>
      </c>
      <c r="G1127" t="inlineStr">
        <is>
          <t>calculado</t>
        </is>
      </c>
      <c r="H1127" t="inlineStr">
        <is>
          <t>IEE 3.8 % con cuota mínima 1 €/MWh (RDL 8/2023 art. 22.1) + IVA 21 % (RDL 8/2023 art. 21.1 (condición: mes anterior &gt; 45 €/MWh))</t>
        </is>
      </c>
      <c r="J1127" t="inlineStr">
        <is>
          <t>2024-06-26</t>
        </is>
      </c>
      <c r="K1127" t="inlineStr">
        <is>
          <t>ESIOS 1001 geo 8741</t>
        </is>
      </c>
      <c r="L1127" t="inlineStr">
        <is>
          <t>24 valores; mín 87.54, máx 222.54 €/MWh</t>
        </is>
      </c>
    </row>
    <row r="1128">
      <c r="A1128" s="53" t="n">
        <v>45471</v>
      </c>
      <c r="B1128" t="inlineStr">
        <is>
          <t>2024-06-28</t>
        </is>
      </c>
      <c r="C1128" s="45" t="n">
        <v>146.8392</v>
      </c>
      <c r="D1128" t="inlineStr">
        <is>
          <t>€/MWh</t>
        </is>
      </c>
      <c r="E1128" s="54" t="n">
        <v>0.146839</v>
      </c>
      <c r="F1128" s="54" t="n">
        <v>0.184427</v>
      </c>
      <c r="G1128" t="inlineStr">
        <is>
          <t>calculado</t>
        </is>
      </c>
      <c r="H1128" t="inlineStr">
        <is>
          <t>IEE 3.8 % con cuota mínima 1 €/MWh (RDL 8/2023 art. 22.1) + IVA 21 % (RDL 8/2023 art. 21.1 (condición: mes anterior &gt; 45 €/MWh))</t>
        </is>
      </c>
      <c r="J1128" t="inlineStr">
        <is>
          <t>2024-06-27</t>
        </is>
      </c>
      <c r="K1128" t="inlineStr">
        <is>
          <t>ESIOS 1001 geo 8741</t>
        </is>
      </c>
      <c r="L1128" t="inlineStr">
        <is>
          <t>24 valores; mín 81.49, máx 210.81 €/MWh</t>
        </is>
      </c>
    </row>
    <row r="1129">
      <c r="A1129" s="53" t="n">
        <v>45472</v>
      </c>
      <c r="B1129" t="inlineStr">
        <is>
          <t>2024-06-29</t>
        </is>
      </c>
      <c r="C1129" s="45" t="n">
        <v>90.1096</v>
      </c>
      <c r="D1129" t="inlineStr">
        <is>
          <t>€/MWh</t>
        </is>
      </c>
      <c r="E1129" s="54" t="n">
        <v>0.09011</v>
      </c>
      <c r="F1129" s="54" t="n">
        <v>0.113176</v>
      </c>
      <c r="G1129" t="inlineStr">
        <is>
          <t>calculado</t>
        </is>
      </c>
      <c r="H1129" t="inlineStr">
        <is>
          <t>IEE 3.8 % con cuota mínima 1 €/MWh (RDL 8/2023 art. 22.1) + IVA 21 % (RDL 8/2023 art. 21.1 (condición: mes anterior &gt; 45 €/MWh))</t>
        </is>
      </c>
      <c r="J1129" t="inlineStr">
        <is>
          <t>2024-06-28</t>
        </is>
      </c>
      <c r="K1129" t="inlineStr">
        <is>
          <t>ESIOS 1001 geo 8741</t>
        </is>
      </c>
      <c r="L1129" t="inlineStr">
        <is>
          <t>24 valores; mín 32.33, máx 148.99 €/MWh</t>
        </is>
      </c>
    </row>
    <row r="1130">
      <c r="A1130" s="53" t="n">
        <v>45473</v>
      </c>
      <c r="B1130" t="inlineStr">
        <is>
          <t>2024-06-30</t>
        </is>
      </c>
      <c r="C1130" s="45" t="n">
        <v>97.6696</v>
      </c>
      <c r="D1130" t="inlineStr">
        <is>
          <t>€/MWh</t>
        </is>
      </c>
      <c r="E1130" s="54" t="n">
        <v>0.09767000000000001</v>
      </c>
      <c r="F1130" s="54" t="n">
        <v>0.122671</v>
      </c>
      <c r="G1130" t="inlineStr">
        <is>
          <t>calculado</t>
        </is>
      </c>
      <c r="H1130" t="inlineStr">
        <is>
          <t>IEE 3.8 % con cuota mínima 1 €/MWh (RDL 8/2023 art. 22.1) + IVA 21 % (RDL 8/2023 art. 21.1 (condición: mes anterior &gt; 45 €/MWh))</t>
        </is>
      </c>
      <c r="J1130" t="inlineStr">
        <is>
          <t>2024-06-29</t>
        </is>
      </c>
      <c r="K1130" t="inlineStr">
        <is>
          <t>ESIOS 1001 geo 8741</t>
        </is>
      </c>
      <c r="L1130" t="inlineStr">
        <is>
          <t>24 valores; mín 30.45, máx 148.92 €/MWh</t>
        </is>
      </c>
    </row>
    <row r="1131">
      <c r="A1131" s="53" t="n">
        <v>45474</v>
      </c>
      <c r="B1131" t="inlineStr">
        <is>
          <t>2024-07-01</t>
        </is>
      </c>
      <c r="C1131" s="45" t="n">
        <v>132.1863</v>
      </c>
      <c r="D1131" t="inlineStr">
        <is>
          <t>€/MWh</t>
        </is>
      </c>
      <c r="E1131" s="54" t="n">
        <v>0.132186</v>
      </c>
      <c r="F1131" s="54" t="n">
        <v>0.152839</v>
      </c>
      <c r="G1131" t="inlineStr">
        <is>
          <t>calculado</t>
        </is>
      </c>
      <c r="H1131" t="inlineStr">
        <is>
          <t>IEE 5.1127 % con cuota mínima 1 €/MWh (Ley 38/1992 art. 99 (sin medidas vigentes)) + IVA 10 % (RDL 8/2023 art. 21.1 (condición: mes anterior &gt; 45 €/MWh))</t>
        </is>
      </c>
      <c r="J1131" t="inlineStr">
        <is>
          <t>2024-06-30</t>
        </is>
      </c>
      <c r="K1131" t="inlineStr">
        <is>
          <t>ESIOS 1001 geo 8741</t>
        </is>
      </c>
      <c r="L1131" t="inlineStr">
        <is>
          <t>24 valores; mín 76.65, máx 202.02 €/MWh</t>
        </is>
      </c>
    </row>
    <row r="1132">
      <c r="A1132" s="53" t="n">
        <v>45475</v>
      </c>
      <c r="B1132" t="inlineStr">
        <is>
          <t>2024-07-02</t>
        </is>
      </c>
      <c r="C1132" s="45" t="n">
        <v>125.3067</v>
      </c>
      <c r="D1132" t="inlineStr">
        <is>
          <t>€/MWh</t>
        </is>
      </c>
      <c r="E1132" s="54" t="n">
        <v>0.125307</v>
      </c>
      <c r="F1132" s="54" t="n">
        <v>0.144885</v>
      </c>
      <c r="G1132" t="inlineStr">
        <is>
          <t>calculado</t>
        </is>
      </c>
      <c r="H1132" t="inlineStr">
        <is>
          <t>IEE 5.1127 % con cuota mínima 1 €/MWh (Ley 38/1992 art. 99 (sin medidas vigentes)) + IVA 10 % (RDL 8/2023 art. 21.1 (condición: mes anterior &gt; 45 €/MWh))</t>
        </is>
      </c>
      <c r="J1132" t="inlineStr">
        <is>
          <t>2024-07-01</t>
        </is>
      </c>
      <c r="K1132" t="inlineStr">
        <is>
          <t>ESIOS 1001 geo 8741</t>
        </is>
      </c>
      <c r="L1132" t="inlineStr">
        <is>
          <t>24 valores; mín 68.92, máx 233.18 €/MWh</t>
        </is>
      </c>
    </row>
    <row r="1133">
      <c r="A1133" s="53" t="n">
        <v>45476</v>
      </c>
      <c r="B1133" t="inlineStr">
        <is>
          <t>2024-07-03</t>
        </is>
      </c>
      <c r="C1133" s="45" t="n">
        <v>135.935</v>
      </c>
      <c r="D1133" t="inlineStr">
        <is>
          <t>€/MWh</t>
        </is>
      </c>
      <c r="E1133" s="54" t="n">
        <v>0.135935</v>
      </c>
      <c r="F1133" s="54" t="n">
        <v>0.157173</v>
      </c>
      <c r="G1133" t="inlineStr">
        <is>
          <t>calculado</t>
        </is>
      </c>
      <c r="H1133" t="inlineStr">
        <is>
          <t>IEE 5.1127 % con cuota mínima 1 €/MWh (Ley 38/1992 art. 99 (sin medidas vigentes)) + IVA 10 % (RDL 8/2023 art. 21.1 (condición: mes anterior &gt; 45 €/MWh))</t>
        </is>
      </c>
      <c r="J1133" t="inlineStr">
        <is>
          <t>2024-07-02</t>
        </is>
      </c>
      <c r="K1133" t="inlineStr">
        <is>
          <t>ESIOS 1001 geo 8741</t>
        </is>
      </c>
      <c r="L1133" t="inlineStr">
        <is>
          <t>24 valores; mín 63.64, máx 225.41 €/MWh</t>
        </is>
      </c>
    </row>
    <row r="1134">
      <c r="A1134" s="53" t="n">
        <v>45477</v>
      </c>
      <c r="B1134" t="inlineStr">
        <is>
          <t>2024-07-04</t>
        </is>
      </c>
      <c r="C1134" s="45" t="n">
        <v>125.4992</v>
      </c>
      <c r="D1134" t="inlineStr">
        <is>
          <t>€/MWh</t>
        </is>
      </c>
      <c r="E1134" s="54" t="n">
        <v>0.125499</v>
      </c>
      <c r="F1134" s="54" t="n">
        <v>0.145107</v>
      </c>
      <c r="G1134" t="inlineStr">
        <is>
          <t>calculado</t>
        </is>
      </c>
      <c r="H1134" t="inlineStr">
        <is>
          <t>IEE 5.1127 % con cuota mínima 1 €/MWh (Ley 38/1992 art. 99 (sin medidas vigentes)) + IVA 10 % (RDL 8/2023 art. 21.1 (condición: mes anterior &gt; 45 €/MWh))</t>
        </is>
      </c>
      <c r="J1134" t="inlineStr">
        <is>
          <t>2024-07-03</t>
        </is>
      </c>
      <c r="K1134" t="inlineStr">
        <is>
          <t>ESIOS 1001 geo 8741</t>
        </is>
      </c>
      <c r="L1134" t="inlineStr">
        <is>
          <t>24 valores; mín 54.64, máx 218.52 €/MWh</t>
        </is>
      </c>
    </row>
    <row r="1135">
      <c r="A1135" s="53" t="n">
        <v>45478</v>
      </c>
      <c r="B1135" t="inlineStr">
        <is>
          <t>2024-07-05</t>
        </is>
      </c>
      <c r="C1135" s="45" t="n">
        <v>130.3721</v>
      </c>
      <c r="D1135" t="inlineStr">
        <is>
          <t>€/MWh</t>
        </is>
      </c>
      <c r="E1135" s="54" t="n">
        <v>0.130372</v>
      </c>
      <c r="F1135" s="54" t="n">
        <v>0.150741</v>
      </c>
      <c r="G1135" t="inlineStr">
        <is>
          <t>calculado</t>
        </is>
      </c>
      <c r="H1135" t="inlineStr">
        <is>
          <t>IEE 5.1127 % con cuota mínima 1 €/MWh (Ley 38/1992 art. 99 (sin medidas vigentes)) + IVA 10 % (RDL 8/2023 art. 21.1 (condición: mes anterior &gt; 45 €/MWh))</t>
        </is>
      </c>
      <c r="J1135" t="inlineStr">
        <is>
          <t>2024-07-04</t>
        </is>
      </c>
      <c r="K1135" t="inlineStr">
        <is>
          <t>ESIOS 1001 geo 8741</t>
        </is>
      </c>
      <c r="L1135" t="inlineStr">
        <is>
          <t>24 valores; mín 52.85, máx 209.22 €/MWh</t>
        </is>
      </c>
    </row>
    <row r="1136">
      <c r="A1136" s="53" t="n">
        <v>45479</v>
      </c>
      <c r="B1136" t="inlineStr">
        <is>
          <t>2024-07-06</t>
        </is>
      </c>
      <c r="C1136" s="45" t="n">
        <v>80.5763</v>
      </c>
      <c r="D1136" t="inlineStr">
        <is>
          <t>€/MWh</t>
        </is>
      </c>
      <c r="E1136" s="54" t="n">
        <v>0.08057599999999999</v>
      </c>
      <c r="F1136" s="54" t="n">
        <v>0.093166</v>
      </c>
      <c r="G1136" t="inlineStr">
        <is>
          <t>calculado</t>
        </is>
      </c>
      <c r="H1136" t="inlineStr">
        <is>
          <t>IEE 5.1127 % con cuota mínima 1 €/MWh (Ley 38/1992 art. 99 (sin medidas vigentes)) + IVA 10 % (RDL 8/2023 art. 21.1 (condición: mes anterior &gt; 45 €/MWh))</t>
        </is>
      </c>
      <c r="J1136" t="inlineStr">
        <is>
          <t>2024-07-05</t>
        </is>
      </c>
      <c r="K1136" t="inlineStr">
        <is>
          <t>ESIOS 1001 geo 8741</t>
        </is>
      </c>
      <c r="L1136" t="inlineStr">
        <is>
          <t>24 valores; mín 36.61, máx 154.01 €/MWh</t>
        </is>
      </c>
    </row>
    <row r="1137">
      <c r="A1137" s="53" t="n">
        <v>45480</v>
      </c>
      <c r="B1137" t="inlineStr">
        <is>
          <t>2024-07-07</t>
        </is>
      </c>
      <c r="C1137" s="45" t="n">
        <v>83.9425</v>
      </c>
      <c r="D1137" t="inlineStr">
        <is>
          <t>€/MWh</t>
        </is>
      </c>
      <c r="E1137" s="54" t="n">
        <v>0.083943</v>
      </c>
      <c r="F1137" s="54" t="n">
        <v>0.09705800000000001</v>
      </c>
      <c r="G1137" t="inlineStr">
        <is>
          <t>calculado</t>
        </is>
      </c>
      <c r="H1137" t="inlineStr">
        <is>
          <t>IEE 5.1127 % con cuota mínima 1 €/MWh (Ley 38/1992 art. 99 (sin medidas vigentes)) + IVA 10 % (RDL 8/2023 art. 21.1 (condición: mes anterior &gt; 45 €/MWh))</t>
        </is>
      </c>
      <c r="J1137" t="inlineStr">
        <is>
          <t>2024-07-06</t>
        </is>
      </c>
      <c r="K1137" t="inlineStr">
        <is>
          <t>ESIOS 1001 geo 8741</t>
        </is>
      </c>
      <c r="L1137" t="inlineStr">
        <is>
          <t>24 valores; mín 40.41, máx 157.77 €/MWh</t>
        </is>
      </c>
    </row>
    <row r="1138">
      <c r="A1138" s="53" t="n">
        <v>45481</v>
      </c>
      <c r="B1138" t="inlineStr">
        <is>
          <t>2024-07-08</t>
        </is>
      </c>
      <c r="C1138" s="45" t="n">
        <v>144.5979</v>
      </c>
      <c r="D1138" t="inlineStr">
        <is>
          <t>€/MWh</t>
        </is>
      </c>
      <c r="E1138" s="54" t="n">
        <v>0.144598</v>
      </c>
      <c r="F1138" s="54" t="n">
        <v>0.16719</v>
      </c>
      <c r="G1138" t="inlineStr">
        <is>
          <t>calculado</t>
        </is>
      </c>
      <c r="H1138" t="inlineStr">
        <is>
          <t>IEE 5.1127 % con cuota mínima 1 €/MWh (Ley 38/1992 art. 99 (sin medidas vigentes)) + IVA 10 % (RDL 8/2023 art. 21.1 (condición: mes anterior &gt; 45 €/MWh))</t>
        </is>
      </c>
      <c r="J1138" t="inlineStr">
        <is>
          <t>2024-07-07</t>
        </is>
      </c>
      <c r="K1138" t="inlineStr">
        <is>
          <t>ESIOS 1001 geo 8741</t>
        </is>
      </c>
      <c r="L1138" t="inlineStr">
        <is>
          <t>24 valores; mín 86.06, máx 231.12 €/MWh</t>
        </is>
      </c>
    </row>
    <row r="1139">
      <c r="A1139" s="53" t="n">
        <v>45482</v>
      </c>
      <c r="B1139" t="inlineStr">
        <is>
          <t>2024-07-09</t>
        </is>
      </c>
      <c r="C1139" s="45" t="n">
        <v>138.2587</v>
      </c>
      <c r="D1139" t="inlineStr">
        <is>
          <t>€/MWh</t>
        </is>
      </c>
      <c r="E1139" s="54" t="n">
        <v>0.138259</v>
      </c>
      <c r="F1139" s="54" t="n">
        <v>0.15986</v>
      </c>
      <c r="G1139" t="inlineStr">
        <is>
          <t>calculado</t>
        </is>
      </c>
      <c r="H1139" t="inlineStr">
        <is>
          <t>IEE 5.1127 % con cuota mínima 1 €/MWh (Ley 38/1992 art. 99 (sin medidas vigentes)) + IVA 10 % (RDL 8/2023 art. 21.1 (condición: mes anterior &gt; 45 €/MWh))</t>
        </is>
      </c>
      <c r="J1139" t="inlineStr">
        <is>
          <t>2024-07-08</t>
        </is>
      </c>
      <c r="K1139" t="inlineStr">
        <is>
          <t>ESIOS 1001 geo 8741</t>
        </is>
      </c>
      <c r="L1139" t="inlineStr">
        <is>
          <t>24 valores; mín 56.65, máx 234.72 €/MWh</t>
        </is>
      </c>
    </row>
    <row r="1140">
      <c r="A1140" s="53" t="n">
        <v>45483</v>
      </c>
      <c r="B1140" t="inlineStr">
        <is>
          <t>2024-07-10</t>
        </is>
      </c>
      <c r="C1140" s="45" t="n">
        <v>150.9171</v>
      </c>
      <c r="D1140" t="inlineStr">
        <is>
          <t>€/MWh</t>
        </is>
      </c>
      <c r="E1140" s="54" t="n">
        <v>0.150917</v>
      </c>
      <c r="F1140" s="54" t="n">
        <v>0.174496</v>
      </c>
      <c r="G1140" t="inlineStr">
        <is>
          <t>calculado</t>
        </is>
      </c>
      <c r="H1140" t="inlineStr">
        <is>
          <t>IEE 5.1127 % con cuota mínima 1 €/MWh (Ley 38/1992 art. 99 (sin medidas vigentes)) + IVA 10 % (RDL 8/2023 art. 21.1 (condición: mes anterior &gt; 45 €/MWh))</t>
        </is>
      </c>
      <c r="J1140" t="inlineStr">
        <is>
          <t>2024-07-09</t>
        </is>
      </c>
      <c r="K1140" t="inlineStr">
        <is>
          <t>ESIOS 1001 geo 8741</t>
        </is>
      </c>
      <c r="L1140" t="inlineStr">
        <is>
          <t>24 valores; mín 93.17, máx 228.16 €/MWh</t>
        </is>
      </c>
    </row>
    <row r="1141">
      <c r="A1141" s="53" t="n">
        <v>45484</v>
      </c>
      <c r="B1141" t="inlineStr">
        <is>
          <t>2024-07-11</t>
        </is>
      </c>
      <c r="C1141" s="45" t="n">
        <v>149.5442</v>
      </c>
      <c r="D1141" t="inlineStr">
        <is>
          <t>€/MWh</t>
        </is>
      </c>
      <c r="E1141" s="54" t="n">
        <v>0.149544</v>
      </c>
      <c r="F1141" s="54" t="n">
        <v>0.172909</v>
      </c>
      <c r="G1141" t="inlineStr">
        <is>
          <t>calculado</t>
        </is>
      </c>
      <c r="H1141" t="inlineStr">
        <is>
          <t>IEE 5.1127 % con cuota mínima 1 €/MWh (Ley 38/1992 art. 99 (sin medidas vigentes)) + IVA 10 % (RDL 8/2023 art. 21.1 (condición: mes anterior &gt; 45 €/MWh))</t>
        </is>
      </c>
      <c r="J1141" t="inlineStr">
        <is>
          <t>2024-07-10</t>
        </is>
      </c>
      <c r="K1141" t="inlineStr">
        <is>
          <t>ESIOS 1001 geo 8741</t>
        </is>
      </c>
      <c r="L1141" t="inlineStr">
        <is>
          <t>24 valores; mín 101.08, máx 215.78 €/MWh</t>
        </is>
      </c>
    </row>
    <row r="1142">
      <c r="A1142" s="53" t="n">
        <v>45485</v>
      </c>
      <c r="B1142" t="inlineStr">
        <is>
          <t>2024-07-12</t>
        </is>
      </c>
      <c r="C1142" s="45" t="n">
        <v>128.8092</v>
      </c>
      <c r="D1142" t="inlineStr">
        <is>
          <t>€/MWh</t>
        </is>
      </c>
      <c r="E1142" s="54" t="n">
        <v>0.128809</v>
      </c>
      <c r="F1142" s="54" t="n">
        <v>0.148934</v>
      </c>
      <c r="G1142" t="inlineStr">
        <is>
          <t>calculado</t>
        </is>
      </c>
      <c r="H1142" t="inlineStr">
        <is>
          <t>IEE 5.1127 % con cuota mínima 1 €/MWh (Ley 38/1992 art. 99 (sin medidas vigentes)) + IVA 10 % (RDL 8/2023 art. 21.1 (condición: mes anterior &gt; 45 €/MWh))</t>
        </is>
      </c>
      <c r="J1142" t="inlineStr">
        <is>
          <t>2024-07-11</t>
        </is>
      </c>
      <c r="K1142" t="inlineStr">
        <is>
          <t>ESIOS 1001 geo 8741</t>
        </is>
      </c>
      <c r="L1142" t="inlineStr">
        <is>
          <t>24 valores; mín 80.62, máx 204.41 €/MWh</t>
        </is>
      </c>
    </row>
    <row r="1143">
      <c r="A1143" s="53" t="n">
        <v>45486</v>
      </c>
      <c r="B1143" t="inlineStr">
        <is>
          <t>2024-07-13</t>
        </is>
      </c>
      <c r="C1143" s="45" t="n">
        <v>91.1437</v>
      </c>
      <c r="D1143" t="inlineStr">
        <is>
          <t>€/MWh</t>
        </is>
      </c>
      <c r="E1143" s="54" t="n">
        <v>0.091144</v>
      </c>
      <c r="F1143" s="54" t="n">
        <v>0.105384</v>
      </c>
      <c r="G1143" t="inlineStr">
        <is>
          <t>calculado</t>
        </is>
      </c>
      <c r="H1143" t="inlineStr">
        <is>
          <t>IEE 5.1127 % con cuota mínima 1 €/MWh (Ley 38/1992 art. 99 (sin medidas vigentes)) + IVA 10 % (RDL 8/2023 art. 21.1 (condición: mes anterior &gt; 45 €/MWh))</t>
        </is>
      </c>
      <c r="J1143" t="inlineStr">
        <is>
          <t>2024-07-12</t>
        </is>
      </c>
      <c r="K1143" t="inlineStr">
        <is>
          <t>ESIOS 1001 geo 8741</t>
        </is>
      </c>
      <c r="L1143" t="inlineStr">
        <is>
          <t>24 valores; mín 28.57, máx 159.17 €/MWh</t>
        </is>
      </c>
    </row>
    <row r="1144">
      <c r="A1144" s="53" t="n">
        <v>45487</v>
      </c>
      <c r="B1144" t="inlineStr">
        <is>
          <t>2024-07-14</t>
        </is>
      </c>
      <c r="C1144" s="45" t="n">
        <v>92.6808</v>
      </c>
      <c r="D1144" t="inlineStr">
        <is>
          <t>€/MWh</t>
        </is>
      </c>
      <c r="E1144" s="54" t="n">
        <v>0.092681</v>
      </c>
      <c r="F1144" s="54" t="n">
        <v>0.107161</v>
      </c>
      <c r="G1144" t="inlineStr">
        <is>
          <t>calculado</t>
        </is>
      </c>
      <c r="H1144" t="inlineStr">
        <is>
          <t>IEE 5.1127 % con cuota mínima 1 €/MWh (Ley 38/1992 art. 99 (sin medidas vigentes)) + IVA 10 % (RDL 8/2023 art. 21.1 (condición: mes anterior &gt; 45 €/MWh))</t>
        </is>
      </c>
      <c r="J1144" t="inlineStr">
        <is>
          <t>2024-07-13</t>
        </is>
      </c>
      <c r="K1144" t="inlineStr">
        <is>
          <t>ESIOS 1001 geo 8741</t>
        </is>
      </c>
      <c r="L1144" t="inlineStr">
        <is>
          <t>24 valores; mín 28.10, máx 157.82 €/MWh</t>
        </is>
      </c>
    </row>
    <row r="1145">
      <c r="A1145" s="53" t="n">
        <v>45488</v>
      </c>
      <c r="B1145" t="inlineStr">
        <is>
          <t>2024-07-15</t>
        </is>
      </c>
      <c r="C1145" s="45" t="n">
        <v>127.8788</v>
      </c>
      <c r="D1145" t="inlineStr">
        <is>
          <t>€/MWh</t>
        </is>
      </c>
      <c r="E1145" s="54" t="n">
        <v>0.127879</v>
      </c>
      <c r="F1145" s="54" t="n">
        <v>0.147859</v>
      </c>
      <c r="G1145" t="inlineStr">
        <is>
          <t>calculado</t>
        </is>
      </c>
      <c r="H1145" t="inlineStr">
        <is>
          <t>IEE 5.1127 % con cuota mínima 1 €/MWh (Ley 38/1992 art. 99 (sin medidas vigentes)) + IVA 10 % (RDL 8/2023 art. 21.1 (condición: mes anterior &gt; 45 €/MWh))</t>
        </is>
      </c>
      <c r="J1145" t="inlineStr">
        <is>
          <t>2024-07-14</t>
        </is>
      </c>
      <c r="K1145" t="inlineStr">
        <is>
          <t>ESIOS 1001 geo 8741</t>
        </is>
      </c>
      <c r="L1145" t="inlineStr">
        <is>
          <t>24 valores; mín 58.91, máx 227.46 €/MWh</t>
        </is>
      </c>
    </row>
    <row r="1146">
      <c r="A1146" s="53" t="n">
        <v>45489</v>
      </c>
      <c r="B1146" t="inlineStr">
        <is>
          <t>2024-07-16</t>
        </is>
      </c>
      <c r="C1146" s="45" t="n">
        <v>153.8713</v>
      </c>
      <c r="D1146" t="inlineStr">
        <is>
          <t>€/MWh</t>
        </is>
      </c>
      <c r="E1146" s="54" t="n">
        <v>0.153871</v>
      </c>
      <c r="F1146" s="54" t="n">
        <v>0.177912</v>
      </c>
      <c r="G1146" t="inlineStr">
        <is>
          <t>calculado</t>
        </is>
      </c>
      <c r="H1146" t="inlineStr">
        <is>
          <t>IEE 5.1127 % con cuota mínima 1 €/MWh (Ley 38/1992 art. 99 (sin medidas vigentes)) + IVA 10 % (RDL 8/2023 art. 21.1 (condición: mes anterior &gt; 45 €/MWh))</t>
        </is>
      </c>
      <c r="J1146" t="inlineStr">
        <is>
          <t>2024-07-15</t>
        </is>
      </c>
      <c r="K1146" t="inlineStr">
        <is>
          <t>ESIOS 1001 geo 8741</t>
        </is>
      </c>
      <c r="L1146" t="inlineStr">
        <is>
          <t>24 valores; mín 111.87, máx 235.05 €/MWh</t>
        </is>
      </c>
    </row>
    <row r="1147">
      <c r="A1147" s="53" t="n">
        <v>45490</v>
      </c>
      <c r="B1147" t="inlineStr">
        <is>
          <t>2024-07-17</t>
        </is>
      </c>
      <c r="C1147" s="45" t="n">
        <v>156.9658</v>
      </c>
      <c r="D1147" t="inlineStr">
        <is>
          <t>€/MWh</t>
        </is>
      </c>
      <c r="E1147" s="54" t="n">
        <v>0.156966</v>
      </c>
      <c r="F1147" s="54" t="n">
        <v>0.18149</v>
      </c>
      <c r="G1147" t="inlineStr">
        <is>
          <t>calculado</t>
        </is>
      </c>
      <c r="H1147" t="inlineStr">
        <is>
          <t>IEE 5.1127 % con cuota mínima 1 €/MWh (Ley 38/1992 art. 99 (sin medidas vigentes)) + IVA 10 % (RDL 8/2023 art. 21.1 (condición: mes anterior &gt; 45 €/MWh))</t>
        </is>
      </c>
      <c r="J1147" t="inlineStr">
        <is>
          <t>2024-07-16</t>
        </is>
      </c>
      <c r="K1147" t="inlineStr">
        <is>
          <t>ESIOS 1001 geo 8741</t>
        </is>
      </c>
      <c r="L1147" t="inlineStr">
        <is>
          <t>24 valores; mín 120.23, máx 231.87 €/MWh</t>
        </is>
      </c>
    </row>
    <row r="1148">
      <c r="A1148" s="53" t="n">
        <v>45491</v>
      </c>
      <c r="B1148" t="inlineStr">
        <is>
          <t>2024-07-18</t>
        </is>
      </c>
      <c r="C1148" s="45" t="n">
        <v>162.1017</v>
      </c>
      <c r="D1148" t="inlineStr">
        <is>
          <t>€/MWh</t>
        </is>
      </c>
      <c r="E1148" s="54" t="n">
        <v>0.162102</v>
      </c>
      <c r="F1148" s="54" t="n">
        <v>0.187428</v>
      </c>
      <c r="G1148" t="inlineStr">
        <is>
          <t>calculado</t>
        </is>
      </c>
      <c r="H1148" t="inlineStr">
        <is>
          <t>IEE 5.1127 % con cuota mínima 1 €/MWh (Ley 38/1992 art. 99 (sin medidas vigentes)) + IVA 10 % (RDL 8/2023 art. 21.1 (condición: mes anterior &gt; 45 €/MWh))</t>
        </is>
      </c>
      <c r="J1148" t="inlineStr">
        <is>
          <t>2024-07-17</t>
        </is>
      </c>
      <c r="K1148" t="inlineStr">
        <is>
          <t>ESIOS 1001 geo 8741</t>
        </is>
      </c>
      <c r="L1148" t="inlineStr">
        <is>
          <t>24 valores; mín 123.28, máx 245.23 €/MWh</t>
        </is>
      </c>
    </row>
    <row r="1149">
      <c r="A1149" s="53" t="n">
        <v>45492</v>
      </c>
      <c r="B1149" t="inlineStr">
        <is>
          <t>2024-07-19</t>
        </is>
      </c>
      <c r="C1149" s="45" t="n">
        <v>159.2696</v>
      </c>
      <c r="D1149" t="inlineStr">
        <is>
          <t>€/MWh</t>
        </is>
      </c>
      <c r="E1149" s="54" t="n">
        <v>0.15927</v>
      </c>
      <c r="F1149" s="54" t="n">
        <v>0.184154</v>
      </c>
      <c r="G1149" t="inlineStr">
        <is>
          <t>calculado</t>
        </is>
      </c>
      <c r="H1149" t="inlineStr">
        <is>
          <t>IEE 5.1127 % con cuota mínima 1 €/MWh (Ley 38/1992 art. 99 (sin medidas vigentes)) + IVA 10 % (RDL 8/2023 art. 21.1 (condición: mes anterior &gt; 45 €/MWh))</t>
        </is>
      </c>
      <c r="J1149" t="inlineStr">
        <is>
          <t>2024-07-18</t>
        </is>
      </c>
      <c r="K1149" t="inlineStr">
        <is>
          <t>ESIOS 1001 geo 8741</t>
        </is>
      </c>
      <c r="L1149" t="inlineStr">
        <is>
          <t>24 valores; mín 117.59, máx 227.47 €/MWh</t>
        </is>
      </c>
    </row>
    <row r="1150">
      <c r="A1150" s="53" t="n">
        <v>45493</v>
      </c>
      <c r="B1150" t="inlineStr">
        <is>
          <t>2024-07-20</t>
        </is>
      </c>
      <c r="C1150" s="45" t="n">
        <v>91.3158</v>
      </c>
      <c r="D1150" t="inlineStr">
        <is>
          <t>€/MWh</t>
        </is>
      </c>
      <c r="E1150" s="54" t="n">
        <v>0.09131599999999999</v>
      </c>
      <c r="F1150" s="54" t="n">
        <v>0.105583</v>
      </c>
      <c r="G1150" t="inlineStr">
        <is>
          <t>calculado</t>
        </is>
      </c>
      <c r="H1150" t="inlineStr">
        <is>
          <t>IEE 5.1127 % con cuota mínima 1 €/MWh (Ley 38/1992 art. 99 (sin medidas vigentes)) + IVA 10 % (RDL 8/2023 art. 21.1 (condición: mes anterior &gt; 45 €/MWh))</t>
        </is>
      </c>
      <c r="J1150" t="inlineStr">
        <is>
          <t>2024-07-19</t>
        </is>
      </c>
      <c r="K1150" t="inlineStr">
        <is>
          <t>ESIOS 1001 geo 8741</t>
        </is>
      </c>
      <c r="L1150" t="inlineStr">
        <is>
          <t>24 valores; mín 27.81, máx 146.02 €/MWh</t>
        </is>
      </c>
    </row>
    <row r="1151">
      <c r="A1151" s="53" t="n">
        <v>45494</v>
      </c>
      <c r="B1151" t="inlineStr">
        <is>
          <t>2024-07-21</t>
        </is>
      </c>
      <c r="C1151" s="45" t="n">
        <v>77.72709999999999</v>
      </c>
      <c r="D1151" t="inlineStr">
        <is>
          <t>€/MWh</t>
        </is>
      </c>
      <c r="E1151" s="54" t="n">
        <v>0.077727</v>
      </c>
      <c r="F1151" s="54" t="n">
        <v>0.08987100000000001</v>
      </c>
      <c r="G1151" t="inlineStr">
        <is>
          <t>calculado</t>
        </is>
      </c>
      <c r="H1151" t="inlineStr">
        <is>
          <t>IEE 5.1127 % con cuota mínima 1 €/MWh (Ley 38/1992 art. 99 (sin medidas vigentes)) + IVA 10 % (RDL 8/2023 art. 21.1 (condición: mes anterior &gt; 45 €/MWh))</t>
        </is>
      </c>
      <c r="J1151" t="inlineStr">
        <is>
          <t>2024-07-20</t>
        </is>
      </c>
      <c r="K1151" t="inlineStr">
        <is>
          <t>ESIOS 1001 geo 8741</t>
        </is>
      </c>
      <c r="L1151" t="inlineStr">
        <is>
          <t>24 valores; mín 38.44, máx 151.32 €/MWh</t>
        </is>
      </c>
    </row>
    <row r="1152">
      <c r="A1152" s="53" t="n">
        <v>45495</v>
      </c>
      <c r="B1152" t="inlineStr">
        <is>
          <t>2024-07-22</t>
        </is>
      </c>
      <c r="C1152" s="45" t="n">
        <v>145.135</v>
      </c>
      <c r="D1152" t="inlineStr">
        <is>
          <t>€/MWh</t>
        </is>
      </c>
      <c r="E1152" s="54" t="n">
        <v>0.145135</v>
      </c>
      <c r="F1152" s="54" t="n">
        <v>0.167811</v>
      </c>
      <c r="G1152" t="inlineStr">
        <is>
          <t>calculado</t>
        </is>
      </c>
      <c r="H1152" t="inlineStr">
        <is>
          <t>IEE 5.1127 % con cuota mínima 1 €/MWh (Ley 38/1992 art. 99 (sin medidas vigentes)) + IVA 10 % (RDL 8/2023 art. 21.1 (condición: mes anterior &gt; 45 €/MWh))</t>
        </is>
      </c>
      <c r="J1152" t="inlineStr">
        <is>
          <t>2024-07-21</t>
        </is>
      </c>
      <c r="K1152" t="inlineStr">
        <is>
          <t>ESIOS 1001 geo 8741</t>
        </is>
      </c>
      <c r="L1152" t="inlineStr">
        <is>
          <t>24 valores; mín 108.71, máx 245.54 €/MWh</t>
        </is>
      </c>
    </row>
    <row r="1153">
      <c r="A1153" s="53" t="n">
        <v>45496</v>
      </c>
      <c r="B1153" t="inlineStr">
        <is>
          <t>2024-07-23</t>
        </is>
      </c>
      <c r="C1153" s="45" t="n">
        <v>154.4342</v>
      </c>
      <c r="D1153" t="inlineStr">
        <is>
          <t>€/MWh</t>
        </is>
      </c>
      <c r="E1153" s="54" t="n">
        <v>0.154434</v>
      </c>
      <c r="F1153" s="54" t="n">
        <v>0.178563</v>
      </c>
      <c r="G1153" t="inlineStr">
        <is>
          <t>calculado</t>
        </is>
      </c>
      <c r="H1153" t="inlineStr">
        <is>
          <t>IEE 5.1127 % con cuota mínima 1 €/MWh (Ley 38/1992 art. 99 (sin medidas vigentes)) + IVA 10 % (RDL 8/2023 art. 21.1 (condición: mes anterior &gt; 45 €/MWh))</t>
        </is>
      </c>
      <c r="J1153" t="inlineStr">
        <is>
          <t>2024-07-22</t>
        </is>
      </c>
      <c r="K1153" t="inlineStr">
        <is>
          <t>ESIOS 1001 geo 8741</t>
        </is>
      </c>
      <c r="L1153" t="inlineStr">
        <is>
          <t>24 valores; mín 122.01, máx 229.46 €/MWh</t>
        </is>
      </c>
    </row>
    <row r="1154">
      <c r="A1154" s="53" t="n">
        <v>45497</v>
      </c>
      <c r="B1154" t="inlineStr">
        <is>
          <t>2024-07-24</t>
        </is>
      </c>
      <c r="C1154" s="45" t="n">
        <v>156.4162</v>
      </c>
      <c r="D1154" t="inlineStr">
        <is>
          <t>€/MWh</t>
        </is>
      </c>
      <c r="E1154" s="54" t="n">
        <v>0.156416</v>
      </c>
      <c r="F1154" s="54" t="n">
        <v>0.180855</v>
      </c>
      <c r="G1154" t="inlineStr">
        <is>
          <t>calculado</t>
        </is>
      </c>
      <c r="H1154" t="inlineStr">
        <is>
          <t>IEE 5.1127 % con cuota mínima 1 €/MWh (Ley 38/1992 art. 99 (sin medidas vigentes)) + IVA 10 % (RDL 8/2023 art. 21.1 (condición: mes anterior &gt; 45 €/MWh))</t>
        </is>
      </c>
      <c r="J1154" t="inlineStr">
        <is>
          <t>2024-07-23</t>
        </is>
      </c>
      <c r="K1154" t="inlineStr">
        <is>
          <t>ESIOS 1001 geo 8741</t>
        </is>
      </c>
      <c r="L1154" t="inlineStr">
        <is>
          <t>24 valores; mín 126.07, máx 230.20 €/MWh</t>
        </is>
      </c>
    </row>
    <row r="1155">
      <c r="A1155" s="53" t="n">
        <v>45498</v>
      </c>
      <c r="B1155" t="inlineStr">
        <is>
          <t>2024-07-25</t>
        </is>
      </c>
      <c r="C1155" s="45" t="n">
        <v>151.9429</v>
      </c>
      <c r="D1155" t="inlineStr">
        <is>
          <t>€/MWh</t>
        </is>
      </c>
      <c r="E1155" s="54" t="n">
        <v>0.151943</v>
      </c>
      <c r="F1155" s="54" t="n">
        <v>0.175682</v>
      </c>
      <c r="G1155" t="inlineStr">
        <is>
          <t>calculado</t>
        </is>
      </c>
      <c r="H1155" t="inlineStr">
        <is>
          <t>IEE 5.1127 % con cuota mínima 1 €/MWh (Ley 38/1992 art. 99 (sin medidas vigentes)) + IVA 10 % (RDL 8/2023 art. 21.1 (condición: mes anterior &gt; 45 €/MWh))</t>
        </is>
      </c>
      <c r="J1155" t="inlineStr">
        <is>
          <t>2024-07-24</t>
        </is>
      </c>
      <c r="K1155" t="inlineStr">
        <is>
          <t>ESIOS 1001 geo 8741</t>
        </is>
      </c>
      <c r="L1155" t="inlineStr">
        <is>
          <t>24 valores; mín 108.32, máx 225.53 €/MWh</t>
        </is>
      </c>
    </row>
    <row r="1156">
      <c r="A1156" s="53" t="n">
        <v>45499</v>
      </c>
      <c r="B1156" t="inlineStr">
        <is>
          <t>2024-07-26</t>
        </is>
      </c>
      <c r="C1156" s="45" t="n">
        <v>157.0883</v>
      </c>
      <c r="D1156" t="inlineStr">
        <is>
          <t>€/MWh</t>
        </is>
      </c>
      <c r="E1156" s="54" t="n">
        <v>0.157088</v>
      </c>
      <c r="F1156" s="54" t="n">
        <v>0.181632</v>
      </c>
      <c r="G1156" t="inlineStr">
        <is>
          <t>calculado</t>
        </is>
      </c>
      <c r="H1156" t="inlineStr">
        <is>
          <t>IEE 5.1127 % con cuota mínima 1 €/MWh (Ley 38/1992 art. 99 (sin medidas vigentes)) + IVA 10 % (RDL 8/2023 art. 21.1 (condición: mes anterior &gt; 45 €/MWh))</t>
        </is>
      </c>
      <c r="J1156" t="inlineStr">
        <is>
          <t>2024-07-25</t>
        </is>
      </c>
      <c r="K1156" t="inlineStr">
        <is>
          <t>ESIOS 1001 geo 8741</t>
        </is>
      </c>
      <c r="L1156" t="inlineStr">
        <is>
          <t>24 valores; mín 121.52, máx 231.00 €/MWh</t>
        </is>
      </c>
    </row>
    <row r="1157">
      <c r="A1157" s="53" t="n">
        <v>45500</v>
      </c>
      <c r="B1157" t="inlineStr">
        <is>
          <t>2024-07-27</t>
        </is>
      </c>
      <c r="C1157" s="45" t="n">
        <v>110.0463</v>
      </c>
      <c r="D1157" t="inlineStr">
        <is>
          <t>€/MWh</t>
        </is>
      </c>
      <c r="E1157" s="54" t="n">
        <v>0.110046</v>
      </c>
      <c r="F1157" s="54" t="n">
        <v>0.12724</v>
      </c>
      <c r="G1157" t="inlineStr">
        <is>
          <t>calculado</t>
        </is>
      </c>
      <c r="H1157" t="inlineStr">
        <is>
          <t>IEE 5.1127 % con cuota mínima 1 €/MWh (Ley 38/1992 art. 99 (sin medidas vigentes)) + IVA 10 % (RDL 8/2023 art. 21.1 (condición: mes anterior &gt; 45 €/MWh))</t>
        </is>
      </c>
      <c r="J1157" t="inlineStr">
        <is>
          <t>2024-07-26</t>
        </is>
      </c>
      <c r="K1157" t="inlineStr">
        <is>
          <t>ESIOS 1001 geo 8741</t>
        </is>
      </c>
      <c r="L1157" t="inlineStr">
        <is>
          <t>24 valores; mín 36.23, máx 163.48 €/MWh</t>
        </is>
      </c>
    </row>
    <row r="1158">
      <c r="A1158" s="53" t="n">
        <v>45501</v>
      </c>
      <c r="B1158" t="inlineStr">
        <is>
          <t>2024-07-28</t>
        </is>
      </c>
      <c r="C1158" s="45" t="n">
        <v>98.8492</v>
      </c>
      <c r="D1158" t="inlineStr">
        <is>
          <t>€/MWh</t>
        </is>
      </c>
      <c r="E1158" s="54" t="n">
        <v>0.09884900000000001</v>
      </c>
      <c r="F1158" s="54" t="n">
        <v>0.114293</v>
      </c>
      <c r="G1158" t="inlineStr">
        <is>
          <t>calculado</t>
        </is>
      </c>
      <c r="H1158" t="inlineStr">
        <is>
          <t>IEE 5.1127 % con cuota mínima 1 €/MWh (Ley 38/1992 art. 99 (sin medidas vigentes)) + IVA 10 % (RDL 8/2023 art. 21.1 (condición: mes anterior &gt; 45 €/MWh))</t>
        </is>
      </c>
      <c r="J1158" t="inlineStr">
        <is>
          <t>2024-07-27</t>
        </is>
      </c>
      <c r="K1158" t="inlineStr">
        <is>
          <t>ESIOS 1001 geo 8741</t>
        </is>
      </c>
      <c r="L1158" t="inlineStr">
        <is>
          <t>24 valores; mín 23.10, máx 171.09 €/MWh</t>
        </is>
      </c>
    </row>
    <row r="1159">
      <c r="A1159" s="53" t="n">
        <v>45502</v>
      </c>
      <c r="B1159" t="inlineStr">
        <is>
          <t>2024-07-29</t>
        </is>
      </c>
      <c r="C1159" s="45" t="n">
        <v>168.4946</v>
      </c>
      <c r="D1159" t="inlineStr">
        <is>
          <t>€/MWh</t>
        </is>
      </c>
      <c r="E1159" s="54" t="n">
        <v>0.168495</v>
      </c>
      <c r="F1159" s="54" t="n">
        <v>0.19482</v>
      </c>
      <c r="G1159" t="inlineStr">
        <is>
          <t>calculado</t>
        </is>
      </c>
      <c r="H1159" t="inlineStr">
        <is>
          <t>IEE 5.1127 % con cuota mínima 1 €/MWh (Ley 38/1992 art. 99 (sin medidas vigentes)) + IVA 10 % (RDL 8/2023 art. 21.1 (condición: mes anterior &gt; 45 €/MWh))</t>
        </is>
      </c>
      <c r="J1159" t="inlineStr">
        <is>
          <t>2024-07-28</t>
        </is>
      </c>
      <c r="K1159" t="inlineStr">
        <is>
          <t>ESIOS 1001 geo 8741</t>
        </is>
      </c>
      <c r="L1159" t="inlineStr">
        <is>
          <t>24 valores; mín 133.08, máx 239.60 €/MWh</t>
        </is>
      </c>
    </row>
    <row r="1160">
      <c r="A1160" s="53" t="n">
        <v>45503</v>
      </c>
      <c r="B1160" t="inlineStr">
        <is>
          <t>2024-07-30</t>
        </is>
      </c>
      <c r="C1160" s="45" t="n">
        <v>161.5337</v>
      </c>
      <c r="D1160" t="inlineStr">
        <is>
          <t>€/MWh</t>
        </is>
      </c>
      <c r="E1160" s="54" t="n">
        <v>0.161534</v>
      </c>
      <c r="F1160" s="54" t="n">
        <v>0.186772</v>
      </c>
      <c r="G1160" t="inlineStr">
        <is>
          <t>calculado</t>
        </is>
      </c>
      <c r="H1160" t="inlineStr">
        <is>
          <t>IEE 5.1127 % con cuota mínima 1 €/MWh (Ley 38/1992 art. 99 (sin medidas vigentes)) + IVA 10 % (RDL 8/2023 art. 21.1 (condición: mes anterior &gt; 45 €/MWh))</t>
        </is>
      </c>
      <c r="J1160" t="inlineStr">
        <is>
          <t>2024-07-29</t>
        </is>
      </c>
      <c r="K1160" t="inlineStr">
        <is>
          <t>ESIOS 1001 geo 8741</t>
        </is>
      </c>
      <c r="L1160" t="inlineStr">
        <is>
          <t>24 valores; mín 113.62, máx 253.01 €/MWh</t>
        </is>
      </c>
    </row>
    <row r="1161">
      <c r="A1161" s="53" t="n">
        <v>45504</v>
      </c>
      <c r="B1161" t="inlineStr">
        <is>
          <t>2024-07-31</t>
        </is>
      </c>
      <c r="C1161" s="45" t="n">
        <v>167.2204</v>
      </c>
      <c r="D1161" t="inlineStr">
        <is>
          <t>€/MWh</t>
        </is>
      </c>
      <c r="E1161" s="54" t="n">
        <v>0.16722</v>
      </c>
      <c r="F1161" s="54" t="n">
        <v>0.193347</v>
      </c>
      <c r="G1161" t="inlineStr">
        <is>
          <t>calculado</t>
        </is>
      </c>
      <c r="H1161" t="inlineStr">
        <is>
          <t>IEE 5.1127 % con cuota mínima 1 €/MWh (Ley 38/1992 art. 99 (sin medidas vigentes)) + IVA 10 % (RDL 8/2023 art. 21.1 (condición: mes anterior &gt; 45 €/MWh))</t>
        </is>
      </c>
      <c r="J1161" t="inlineStr">
        <is>
          <t>2024-07-30</t>
        </is>
      </c>
      <c r="K1161" t="inlineStr">
        <is>
          <t>ESIOS 1001 geo 8741</t>
        </is>
      </c>
      <c r="L1161" t="inlineStr">
        <is>
          <t>24 valores; mín 129.78, máx 251.28 €/MWh</t>
        </is>
      </c>
    </row>
    <row r="1162">
      <c r="A1162" s="53" t="n">
        <v>45505</v>
      </c>
      <c r="B1162" t="inlineStr">
        <is>
          <t>2024-08-01</t>
        </is>
      </c>
      <c r="C1162" s="45" t="n">
        <v>168.725</v>
      </c>
      <c r="D1162" t="inlineStr">
        <is>
          <t>€/MWh</t>
        </is>
      </c>
      <c r="E1162" s="54" t="n">
        <v>0.168725</v>
      </c>
      <c r="F1162" s="54" t="n">
        <v>0.195087</v>
      </c>
      <c r="G1162" t="inlineStr">
        <is>
          <t>calculado</t>
        </is>
      </c>
      <c r="H1162" t="inlineStr">
        <is>
          <t>IEE 5.1127 % con cuota mínima 1 €/MWh (Ley 38/1992 art. 99 (sin medidas vigentes)) + IVA 10 % (RDL 8/2023 art. 21.1 (condición: mes anterior &gt; 45 €/MWh))</t>
        </is>
      </c>
      <c r="J1162" t="inlineStr">
        <is>
          <t>2024-07-31</t>
        </is>
      </c>
      <c r="K1162" t="inlineStr">
        <is>
          <t>ESIOS 1001 geo 8741</t>
        </is>
      </c>
      <c r="L1162" t="inlineStr">
        <is>
          <t>24 valores; mín 131.82, máx 240.94 €/MWh</t>
        </is>
      </c>
    </row>
    <row r="1163">
      <c r="A1163" s="53" t="n">
        <v>45506</v>
      </c>
      <c r="B1163" t="inlineStr">
        <is>
          <t>2024-08-02</t>
        </is>
      </c>
      <c r="C1163" s="45" t="n">
        <v>158.2671</v>
      </c>
      <c r="D1163" t="inlineStr">
        <is>
          <t>€/MWh</t>
        </is>
      </c>
      <c r="E1163" s="54" t="n">
        <v>0.158267</v>
      </c>
      <c r="F1163" s="54" t="n">
        <v>0.182995</v>
      </c>
      <c r="G1163" t="inlineStr">
        <is>
          <t>calculado</t>
        </is>
      </c>
      <c r="H1163" t="inlineStr">
        <is>
          <t>IEE 5.1127 % con cuota mínima 1 €/MWh (Ley 38/1992 art. 99 (sin medidas vigentes)) + IVA 10 % (RDL 8/2023 art. 21.1 (condición: mes anterior &gt; 45 €/MWh))</t>
        </is>
      </c>
      <c r="J1163" t="inlineStr">
        <is>
          <t>2024-08-01</t>
        </is>
      </c>
      <c r="K1163" t="inlineStr">
        <is>
          <t>ESIOS 1001 geo 8741</t>
        </is>
      </c>
      <c r="L1163" t="inlineStr">
        <is>
          <t>24 valores; mín 101.33, máx 241.33 €/MWh</t>
        </is>
      </c>
    </row>
    <row r="1164">
      <c r="A1164" s="53" t="n">
        <v>45507</v>
      </c>
      <c r="B1164" t="inlineStr">
        <is>
          <t>2024-08-03</t>
        </is>
      </c>
      <c r="C1164" s="45" t="n">
        <v>112.3629</v>
      </c>
      <c r="D1164" t="inlineStr">
        <is>
          <t>€/MWh</t>
        </is>
      </c>
      <c r="E1164" s="54" t="n">
        <v>0.112363</v>
      </c>
      <c r="F1164" s="54" t="n">
        <v>0.129918</v>
      </c>
      <c r="G1164" t="inlineStr">
        <is>
          <t>calculado</t>
        </is>
      </c>
      <c r="H1164" t="inlineStr">
        <is>
          <t>IEE 5.1127 % con cuota mínima 1 €/MWh (Ley 38/1992 art. 99 (sin medidas vigentes)) + IVA 10 % (RDL 8/2023 art. 21.1 (condición: mes anterior &gt; 45 €/MWh))</t>
        </is>
      </c>
      <c r="J1164" t="inlineStr">
        <is>
          <t>2024-08-02</t>
        </is>
      </c>
      <c r="K1164" t="inlineStr">
        <is>
          <t>ESIOS 1001 geo 8741</t>
        </is>
      </c>
      <c r="L1164" t="inlineStr">
        <is>
          <t>24 valores; mín 25.63, máx 184.83 €/MWh</t>
        </is>
      </c>
    </row>
    <row r="1165">
      <c r="A1165" s="53" t="n">
        <v>45508</v>
      </c>
      <c r="B1165" t="inlineStr">
        <is>
          <t>2024-08-04</t>
        </is>
      </c>
      <c r="C1165" s="45" t="n">
        <v>110.8242</v>
      </c>
      <c r="D1165" t="inlineStr">
        <is>
          <t>€/MWh</t>
        </is>
      </c>
      <c r="E1165" s="54" t="n">
        <v>0.110824</v>
      </c>
      <c r="F1165" s="54" t="n">
        <v>0.128139</v>
      </c>
      <c r="G1165" t="inlineStr">
        <is>
          <t>calculado</t>
        </is>
      </c>
      <c r="H1165" t="inlineStr">
        <is>
          <t>IEE 5.1127 % con cuota mínima 1 €/MWh (Ley 38/1992 art. 99 (sin medidas vigentes)) + IVA 10 % (RDL 8/2023 art. 21.1 (condición: mes anterior &gt; 45 €/MWh))</t>
        </is>
      </c>
      <c r="J1165" t="inlineStr">
        <is>
          <t>2024-08-03</t>
        </is>
      </c>
      <c r="K1165" t="inlineStr">
        <is>
          <t>ESIOS 1001 geo 8741</t>
        </is>
      </c>
      <c r="L1165" t="inlineStr">
        <is>
          <t>24 valores; mín 21.39, máx 192.62 €/MWh</t>
        </is>
      </c>
    </row>
    <row r="1166">
      <c r="A1166" s="53" t="n">
        <v>45509</v>
      </c>
      <c r="B1166" t="inlineStr">
        <is>
          <t>2024-08-05</t>
        </is>
      </c>
      <c r="C1166" s="45" t="n">
        <v>172.3362</v>
      </c>
      <c r="D1166" t="inlineStr">
        <is>
          <t>€/MWh</t>
        </is>
      </c>
      <c r="E1166" s="54" t="n">
        <v>0.172336</v>
      </c>
      <c r="F1166" s="54" t="n">
        <v>0.199262</v>
      </c>
      <c r="G1166" t="inlineStr">
        <is>
          <t>calculado</t>
        </is>
      </c>
      <c r="H1166" t="inlineStr">
        <is>
          <t>IEE 5.1127 % con cuota mínima 1 €/MWh (Ley 38/1992 art. 99 (sin medidas vigentes)) + IVA 10 % (RDL 8/2023 art. 21.1 (condición: mes anterior &gt; 45 €/MWh))</t>
        </is>
      </c>
      <c r="J1166" t="inlineStr">
        <is>
          <t>2024-08-04</t>
        </is>
      </c>
      <c r="K1166" t="inlineStr">
        <is>
          <t>ESIOS 1001 geo 8741</t>
        </is>
      </c>
      <c r="L1166" t="inlineStr">
        <is>
          <t>24 valores; mín 129.59, máx 261.68 €/MWh</t>
        </is>
      </c>
    </row>
    <row r="1167">
      <c r="A1167" s="53" t="n">
        <v>45510</v>
      </c>
      <c r="B1167" t="inlineStr">
        <is>
          <t>2024-08-06</t>
        </is>
      </c>
      <c r="C1167" s="45" t="n">
        <v>168.2004</v>
      </c>
      <c r="D1167" t="inlineStr">
        <is>
          <t>€/MWh</t>
        </is>
      </c>
      <c r="E1167" s="54" t="n">
        <v>0.1682</v>
      </c>
      <c r="F1167" s="54" t="n">
        <v>0.19448</v>
      </c>
      <c r="G1167" t="inlineStr">
        <is>
          <t>calculado</t>
        </is>
      </c>
      <c r="H1167" t="inlineStr">
        <is>
          <t>IEE 5.1127 % con cuota mínima 1 €/MWh (Ley 38/1992 art. 99 (sin medidas vigentes)) + IVA 10 % (RDL 8/2023 art. 21.1 (condición: mes anterior &gt; 45 €/MWh))</t>
        </is>
      </c>
      <c r="J1167" t="inlineStr">
        <is>
          <t>2024-08-05</t>
        </is>
      </c>
      <c r="K1167" t="inlineStr">
        <is>
          <t>ESIOS 1001 geo 8741</t>
        </is>
      </c>
      <c r="L1167" t="inlineStr">
        <is>
          <t>24 valores; mín 128.57, máx 242.65 €/MWh</t>
        </is>
      </c>
    </row>
    <row r="1168">
      <c r="A1168" s="53" t="n">
        <v>45511</v>
      </c>
      <c r="B1168" t="inlineStr">
        <is>
          <t>2024-08-07</t>
        </is>
      </c>
      <c r="C1168" s="45" t="n">
        <v>161.8108</v>
      </c>
      <c r="D1168" t="inlineStr">
        <is>
          <t>€/MWh</t>
        </is>
      </c>
      <c r="E1168" s="54" t="n">
        <v>0.161811</v>
      </c>
      <c r="F1168" s="54" t="n">
        <v>0.187092</v>
      </c>
      <c r="G1168" t="inlineStr">
        <is>
          <t>calculado</t>
        </is>
      </c>
      <c r="H1168" t="inlineStr">
        <is>
          <t>IEE 5.1127 % con cuota mínima 1 €/MWh (Ley 38/1992 art. 99 (sin medidas vigentes)) + IVA 10 % (RDL 8/2023 art. 21.1 (condición: mes anterior &gt; 45 €/MWh))</t>
        </is>
      </c>
      <c r="J1168" t="inlineStr">
        <is>
          <t>2024-08-06</t>
        </is>
      </c>
      <c r="K1168" t="inlineStr">
        <is>
          <t>ESIOS 1001 geo 8741</t>
        </is>
      </c>
      <c r="L1168" t="inlineStr">
        <is>
          <t>24 valores; mín 125.72, máx 240.89 €/MWh</t>
        </is>
      </c>
    </row>
    <row r="1169">
      <c r="A1169" s="53" t="n">
        <v>45512</v>
      </c>
      <c r="B1169" t="inlineStr">
        <is>
          <t>2024-08-08</t>
        </is>
      </c>
      <c r="C1169" s="45" t="n">
        <v>164.005</v>
      </c>
      <c r="D1169" t="inlineStr">
        <is>
          <t>€/MWh</t>
        </is>
      </c>
      <c r="E1169" s="54" t="n">
        <v>0.164005</v>
      </c>
      <c r="F1169" s="54" t="n">
        <v>0.189629</v>
      </c>
      <c r="G1169" t="inlineStr">
        <is>
          <t>calculado</t>
        </is>
      </c>
      <c r="H1169" t="inlineStr">
        <is>
          <t>IEE 5.1127 % con cuota mínima 1 €/MWh (Ley 38/1992 art. 99 (sin medidas vigentes)) + IVA 10 % (RDL 8/2023 art. 21.1 (condición: mes anterior &gt; 45 €/MWh))</t>
        </is>
      </c>
      <c r="J1169" t="inlineStr">
        <is>
          <t>2024-08-07</t>
        </is>
      </c>
      <c r="K1169" t="inlineStr">
        <is>
          <t>ESIOS 1001 geo 8741</t>
        </is>
      </c>
      <c r="L1169" t="inlineStr">
        <is>
          <t>24 valores; mín 127.78, máx 251.33 €/MWh</t>
        </is>
      </c>
    </row>
    <row r="1170">
      <c r="A1170" s="53" t="n">
        <v>45513</v>
      </c>
      <c r="B1170" t="inlineStr">
        <is>
          <t>2024-08-09</t>
        </is>
      </c>
      <c r="C1170" s="45" t="n">
        <v>165.6196</v>
      </c>
      <c r="D1170" t="inlineStr">
        <is>
          <t>€/MWh</t>
        </is>
      </c>
      <c r="E1170" s="54" t="n">
        <v>0.16562</v>
      </c>
      <c r="F1170" s="54" t="n">
        <v>0.191496</v>
      </c>
      <c r="G1170" t="inlineStr">
        <is>
          <t>calculado</t>
        </is>
      </c>
      <c r="H1170" t="inlineStr">
        <is>
          <t>IEE 5.1127 % con cuota mínima 1 €/MWh (Ley 38/1992 art. 99 (sin medidas vigentes)) + IVA 10 % (RDL 8/2023 art. 21.1 (condición: mes anterior &gt; 45 €/MWh))</t>
        </is>
      </c>
      <c r="J1170" t="inlineStr">
        <is>
          <t>2024-08-08</t>
        </is>
      </c>
      <c r="K1170" t="inlineStr">
        <is>
          <t>ESIOS 1001 geo 8741</t>
        </is>
      </c>
      <c r="L1170" t="inlineStr">
        <is>
          <t>24 valores; mín 130.17, máx 239.41 €/MWh</t>
        </is>
      </c>
    </row>
    <row r="1171">
      <c r="A1171" s="53" t="n">
        <v>45514</v>
      </c>
      <c r="B1171" t="inlineStr">
        <is>
          <t>2024-08-10</t>
        </is>
      </c>
      <c r="C1171" s="45" t="n">
        <v>104.9083</v>
      </c>
      <c r="D1171" t="inlineStr">
        <is>
          <t>€/MWh</t>
        </is>
      </c>
      <c r="E1171" s="54" t="n">
        <v>0.104908</v>
      </c>
      <c r="F1171" s="54" t="n">
        <v>0.121299</v>
      </c>
      <c r="G1171" t="inlineStr">
        <is>
          <t>calculado</t>
        </is>
      </c>
      <c r="H1171" t="inlineStr">
        <is>
          <t>IEE 5.1127 % con cuota mínima 1 €/MWh (Ley 38/1992 art. 99 (sin medidas vigentes)) + IVA 10 % (RDL 8/2023 art. 21.1 (condición: mes anterior &gt; 45 €/MWh))</t>
        </is>
      </c>
      <c r="J1171" t="inlineStr">
        <is>
          <t>2024-08-09</t>
        </is>
      </c>
      <c r="K1171" t="inlineStr">
        <is>
          <t>ESIOS 1001 geo 8741</t>
        </is>
      </c>
      <c r="L1171" t="inlineStr">
        <is>
          <t>24 valores; mín 20.52, máx 171.75 €/MWh</t>
        </is>
      </c>
    </row>
    <row r="1172">
      <c r="A1172" s="53" t="n">
        <v>45515</v>
      </c>
      <c r="B1172" t="inlineStr">
        <is>
          <t>2024-08-11</t>
        </is>
      </c>
      <c r="C1172" s="45" t="n">
        <v>106.8087</v>
      </c>
      <c r="D1172" t="inlineStr">
        <is>
          <t>€/MWh</t>
        </is>
      </c>
      <c r="E1172" s="54" t="n">
        <v>0.106809</v>
      </c>
      <c r="F1172" s="54" t="n">
        <v>0.123496</v>
      </c>
      <c r="G1172" t="inlineStr">
        <is>
          <t>calculado</t>
        </is>
      </c>
      <c r="H1172" t="inlineStr">
        <is>
          <t>IEE 5.1127 % con cuota mínima 1 €/MWh (Ley 38/1992 art. 99 (sin medidas vigentes)) + IVA 10 % (RDL 8/2023 art. 21.1 (condición: mes anterior &gt; 45 €/MWh))</t>
        </is>
      </c>
      <c r="J1172" t="inlineStr">
        <is>
          <t>2024-08-10</t>
        </is>
      </c>
      <c r="K1172" t="inlineStr">
        <is>
          <t>ESIOS 1001 geo 8741</t>
        </is>
      </c>
      <c r="L1172" t="inlineStr">
        <is>
          <t>24 valores; mín 24.67, máx 184.89 €/MWh</t>
        </is>
      </c>
    </row>
    <row r="1173">
      <c r="A1173" s="53" t="n">
        <v>45516</v>
      </c>
      <c r="B1173" t="inlineStr">
        <is>
          <t>2024-08-12</t>
        </is>
      </c>
      <c r="C1173" s="45" t="n">
        <v>169.0992</v>
      </c>
      <c r="D1173" t="inlineStr">
        <is>
          <t>€/MWh</t>
        </is>
      </c>
      <c r="E1173" s="54" t="n">
        <v>0.169099</v>
      </c>
      <c r="F1173" s="54" t="n">
        <v>0.195519</v>
      </c>
      <c r="G1173" t="inlineStr">
        <is>
          <t>calculado</t>
        </is>
      </c>
      <c r="H1173" t="inlineStr">
        <is>
          <t>IEE 5.1127 % con cuota mínima 1 €/MWh (Ley 38/1992 art. 99 (sin medidas vigentes)) + IVA 10 % (RDL 8/2023 art. 21.1 (condición: mes anterior &gt; 45 €/MWh))</t>
        </is>
      </c>
      <c r="J1173" t="inlineStr">
        <is>
          <t>2024-08-11</t>
        </is>
      </c>
      <c r="K1173" t="inlineStr">
        <is>
          <t>ESIOS 1001 geo 8741</t>
        </is>
      </c>
      <c r="L1173" t="inlineStr">
        <is>
          <t>24 valores; mín 129.72, máx 248.53 €/MWh</t>
        </is>
      </c>
    </row>
    <row r="1174">
      <c r="A1174" s="53" t="n">
        <v>45517</v>
      </c>
      <c r="B1174" t="inlineStr">
        <is>
          <t>2024-08-13</t>
        </is>
      </c>
      <c r="C1174" s="45" t="n">
        <v>168.9117</v>
      </c>
      <c r="D1174" t="inlineStr">
        <is>
          <t>€/MWh</t>
        </is>
      </c>
      <c r="E1174" s="54" t="n">
        <v>0.168912</v>
      </c>
      <c r="F1174" s="54" t="n">
        <v>0.195302</v>
      </c>
      <c r="G1174" t="inlineStr">
        <is>
          <t>calculado</t>
        </is>
      </c>
      <c r="H1174" t="inlineStr">
        <is>
          <t>IEE 5.1127 % con cuota mínima 1 €/MWh (Ley 38/1992 art. 99 (sin medidas vigentes)) + IVA 10 % (RDL 8/2023 art. 21.1 (condición: mes anterior &gt; 45 €/MWh))</t>
        </is>
      </c>
      <c r="J1174" t="inlineStr">
        <is>
          <t>2024-08-12</t>
        </is>
      </c>
      <c r="K1174" t="inlineStr">
        <is>
          <t>ESIOS 1001 geo 8741</t>
        </is>
      </c>
      <c r="L1174" t="inlineStr">
        <is>
          <t>24 valores; mín 129.76, máx 240.12 €/MWh</t>
        </is>
      </c>
    </row>
    <row r="1175">
      <c r="A1175" s="53" t="n">
        <v>45518</v>
      </c>
      <c r="B1175" t="inlineStr">
        <is>
          <t>2024-08-14</t>
        </is>
      </c>
      <c r="C1175" s="45" t="n">
        <v>157.7504</v>
      </c>
      <c r="D1175" t="inlineStr">
        <is>
          <t>€/MWh</t>
        </is>
      </c>
      <c r="E1175" s="54" t="n">
        <v>0.15775</v>
      </c>
      <c r="F1175" s="54" t="n">
        <v>0.182397</v>
      </c>
      <c r="G1175" t="inlineStr">
        <is>
          <t>calculado</t>
        </is>
      </c>
      <c r="H1175" t="inlineStr">
        <is>
          <t>IEE 5.1127 % con cuota mínima 1 €/MWh (Ley 38/1992 art. 99 (sin medidas vigentes)) + IVA 10 % (RDL 8/2023 art. 21.1 (condición: mes anterior &gt; 45 €/MWh))</t>
        </is>
      </c>
      <c r="J1175" t="inlineStr">
        <is>
          <t>2024-08-13</t>
        </is>
      </c>
      <c r="K1175" t="inlineStr">
        <is>
          <t>ESIOS 1001 geo 8741</t>
        </is>
      </c>
      <c r="L1175" t="inlineStr">
        <is>
          <t>24 valores; mín 116.88, máx 231.59 €/MWh</t>
        </is>
      </c>
    </row>
    <row r="1176">
      <c r="A1176" s="53" t="n">
        <v>45519</v>
      </c>
      <c r="B1176" t="inlineStr">
        <is>
          <t>2024-08-15</t>
        </is>
      </c>
      <c r="C1176" s="45" t="n">
        <v>91.7675</v>
      </c>
      <c r="D1176" t="inlineStr">
        <is>
          <t>€/MWh</t>
        </is>
      </c>
      <c r="E1176" s="54" t="n">
        <v>0.091768</v>
      </c>
      <c r="F1176" s="54" t="n">
        <v>0.106105</v>
      </c>
      <c r="G1176" t="inlineStr">
        <is>
          <t>calculado</t>
        </is>
      </c>
      <c r="H1176" t="inlineStr">
        <is>
          <t>IEE 5.1127 % con cuota mínima 1 €/MWh (Ley 38/1992 art. 99 (sin medidas vigentes)) + IVA 10 % (RDL 8/2023 art. 21.1 (condición: mes anterior &gt; 45 €/MWh))</t>
        </is>
      </c>
      <c r="J1176" t="inlineStr">
        <is>
          <t>2024-08-14</t>
        </is>
      </c>
      <c r="K1176" t="inlineStr">
        <is>
          <t>ESIOS 1001 geo 8741</t>
        </is>
      </c>
      <c r="L1176" t="inlineStr">
        <is>
          <t>24 valores; mín 33.68, máx 178.14 €/MWh</t>
        </is>
      </c>
    </row>
    <row r="1177">
      <c r="A1177" s="53" t="n">
        <v>45520</v>
      </c>
      <c r="B1177" t="inlineStr">
        <is>
          <t>2024-08-16</t>
        </is>
      </c>
      <c r="C1177" s="45" t="n">
        <v>156.6025</v>
      </c>
      <c r="D1177" t="inlineStr">
        <is>
          <t>€/MWh</t>
        </is>
      </c>
      <c r="E1177" s="54" t="n">
        <v>0.156603</v>
      </c>
      <c r="F1177" s="54" t="n">
        <v>0.18107</v>
      </c>
      <c r="G1177" t="inlineStr">
        <is>
          <t>calculado</t>
        </is>
      </c>
      <c r="H1177" t="inlineStr">
        <is>
          <t>IEE 5.1127 % con cuota mínima 1 €/MWh (Ley 38/1992 art. 99 (sin medidas vigentes)) + IVA 10 % (RDL 8/2023 art. 21.1 (condición: mes anterior &gt; 45 €/MWh))</t>
        </is>
      </c>
      <c r="J1177" t="inlineStr">
        <is>
          <t>2024-08-15</t>
        </is>
      </c>
      <c r="K1177" t="inlineStr">
        <is>
          <t>ESIOS 1001 geo 8741</t>
        </is>
      </c>
      <c r="L1177" t="inlineStr">
        <is>
          <t>24 valores; mín 102.86, máx 247.73 €/MWh</t>
        </is>
      </c>
    </row>
    <row r="1178">
      <c r="A1178" s="53" t="n">
        <v>45521</v>
      </c>
      <c r="B1178" t="inlineStr">
        <is>
          <t>2024-08-17</t>
        </is>
      </c>
      <c r="C1178" s="45" t="n">
        <v>120.0321</v>
      </c>
      <c r="D1178" t="inlineStr">
        <is>
          <t>€/MWh</t>
        </is>
      </c>
      <c r="E1178" s="54" t="n">
        <v>0.120032</v>
      </c>
      <c r="F1178" s="54" t="n">
        <v>0.138786</v>
      </c>
      <c r="G1178" t="inlineStr">
        <is>
          <t>calculado</t>
        </is>
      </c>
      <c r="H1178" t="inlineStr">
        <is>
          <t>IEE 5.1127 % con cuota mínima 1 €/MWh (Ley 38/1992 art. 99 (sin medidas vigentes)) + IVA 10 % (RDL 8/2023 art. 21.1 (condición: mes anterior &gt; 45 €/MWh))</t>
        </is>
      </c>
      <c r="J1178" t="inlineStr">
        <is>
          <t>2024-08-16</t>
        </is>
      </c>
      <c r="K1178" t="inlineStr">
        <is>
          <t>ESIOS 1001 geo 8741</t>
        </is>
      </c>
      <c r="L1178" t="inlineStr">
        <is>
          <t>24 valores; mín 61.01, máx 165.08 €/MWh</t>
        </is>
      </c>
    </row>
    <row r="1179">
      <c r="A1179" s="53" t="n">
        <v>45522</v>
      </c>
      <c r="B1179" t="inlineStr">
        <is>
          <t>2024-08-18</t>
        </is>
      </c>
      <c r="C1179" s="45" t="n">
        <v>99.6858</v>
      </c>
      <c r="D1179" t="inlineStr">
        <is>
          <t>€/MWh</t>
        </is>
      </c>
      <c r="E1179" s="54" t="n">
        <v>0.099686</v>
      </c>
      <c r="F1179" s="54" t="n">
        <v>0.115261</v>
      </c>
      <c r="G1179" t="inlineStr">
        <is>
          <t>calculado</t>
        </is>
      </c>
      <c r="H1179" t="inlineStr">
        <is>
          <t>IEE 5.1127 % con cuota mínima 1 €/MWh (Ley 38/1992 art. 99 (sin medidas vigentes)) + IVA 10 % (RDL 8/2023 art. 21.1 (condición: mes anterior &gt; 45 €/MWh))</t>
        </is>
      </c>
      <c r="J1179" t="inlineStr">
        <is>
          <t>2024-08-17</t>
        </is>
      </c>
      <c r="K1179" t="inlineStr">
        <is>
          <t>ESIOS 1001 geo 8741</t>
        </is>
      </c>
      <c r="L1179" t="inlineStr">
        <is>
          <t>24 valores; mín 32.94, máx 171.22 €/MWh</t>
        </is>
      </c>
    </row>
    <row r="1180">
      <c r="A1180" s="53" t="n">
        <v>45523</v>
      </c>
      <c r="B1180" t="inlineStr">
        <is>
          <t>2024-08-19</t>
        </is>
      </c>
      <c r="C1180" s="45" t="n">
        <v>160.0975</v>
      </c>
      <c r="D1180" t="inlineStr">
        <is>
          <t>€/MWh</t>
        </is>
      </c>
      <c r="E1180" s="54" t="n">
        <v>0.160098</v>
      </c>
      <c r="F1180" s="54" t="n">
        <v>0.185111</v>
      </c>
      <c r="G1180" t="inlineStr">
        <is>
          <t>calculado</t>
        </is>
      </c>
      <c r="H1180" t="inlineStr">
        <is>
          <t>IEE 5.1127 % con cuota mínima 1 €/MWh (Ley 38/1992 art. 99 (sin medidas vigentes)) + IVA 10 % (RDL 8/2023 art. 21.1 (condición: mes anterior &gt; 45 €/MWh))</t>
        </is>
      </c>
      <c r="J1180" t="inlineStr">
        <is>
          <t>2024-08-18</t>
        </is>
      </c>
      <c r="K1180" t="inlineStr">
        <is>
          <t>ESIOS 1001 geo 8741</t>
        </is>
      </c>
      <c r="L1180" t="inlineStr">
        <is>
          <t>24 valores; mín 111.85, máx 272.84 €/MWh</t>
        </is>
      </c>
    </row>
    <row r="1181">
      <c r="A1181" s="53" t="n">
        <v>45524</v>
      </c>
      <c r="B1181" t="inlineStr">
        <is>
          <t>2024-08-20</t>
        </is>
      </c>
      <c r="C1181" s="45" t="n">
        <v>159.8983</v>
      </c>
      <c r="D1181" t="inlineStr">
        <is>
          <t>€/MWh</t>
        </is>
      </c>
      <c r="E1181" s="54" t="n">
        <v>0.159898</v>
      </c>
      <c r="F1181" s="54" t="n">
        <v>0.184881</v>
      </c>
      <c r="G1181" t="inlineStr">
        <is>
          <t>calculado</t>
        </is>
      </c>
      <c r="H1181" t="inlineStr">
        <is>
          <t>IEE 5.1127 % con cuota mínima 1 €/MWh (Ley 38/1992 art. 99 (sin medidas vigentes)) + IVA 10 % (RDL 8/2023 art. 21.1 (condición: mes anterior &gt; 45 €/MWh))</t>
        </is>
      </c>
      <c r="J1181" t="inlineStr">
        <is>
          <t>2024-08-19</t>
        </is>
      </c>
      <c r="K1181" t="inlineStr">
        <is>
          <t>ESIOS 1001 geo 8741</t>
        </is>
      </c>
      <c r="L1181" t="inlineStr">
        <is>
          <t>24 valores; mín 105.45, máx 236.21 €/MWh</t>
        </is>
      </c>
    </row>
    <row r="1182">
      <c r="A1182" s="53" t="n">
        <v>45525</v>
      </c>
      <c r="B1182" t="inlineStr">
        <is>
          <t>2024-08-21</t>
        </is>
      </c>
      <c r="C1182" s="45" t="n">
        <v>147.4988</v>
      </c>
      <c r="D1182" t="inlineStr">
        <is>
          <t>€/MWh</t>
        </is>
      </c>
      <c r="E1182" s="54" t="n">
        <v>0.147499</v>
      </c>
      <c r="F1182" s="54" t="n">
        <v>0.170544</v>
      </c>
      <c r="G1182" t="inlineStr">
        <is>
          <t>calculado</t>
        </is>
      </c>
      <c r="H1182" t="inlineStr">
        <is>
          <t>IEE 5.1127 % con cuota mínima 1 €/MWh (Ley 38/1992 art. 99 (sin medidas vigentes)) + IVA 10 % (RDL 8/2023 art. 21.1 (condición: mes anterior &gt; 45 €/MWh))</t>
        </is>
      </c>
      <c r="J1182" t="inlineStr">
        <is>
          <t>2024-08-20</t>
        </is>
      </c>
      <c r="K1182" t="inlineStr">
        <is>
          <t>ESIOS 1001 geo 8741</t>
        </is>
      </c>
      <c r="L1182" t="inlineStr">
        <is>
          <t>24 valores; mín 95.17, máx 286.70 €/MWh</t>
        </is>
      </c>
    </row>
    <row r="1183">
      <c r="A1183" s="53" t="n">
        <v>45526</v>
      </c>
      <c r="B1183" t="inlineStr">
        <is>
          <t>2024-08-22</t>
        </is>
      </c>
      <c r="C1183" s="45" t="n">
        <v>170.6183</v>
      </c>
      <c r="D1183" t="inlineStr">
        <is>
          <t>€/MWh</t>
        </is>
      </c>
      <c r="E1183" s="54" t="n">
        <v>0.170618</v>
      </c>
      <c r="F1183" s="54" t="n">
        <v>0.197276</v>
      </c>
      <c r="G1183" t="inlineStr">
        <is>
          <t>calculado</t>
        </is>
      </c>
      <c r="H1183" t="inlineStr">
        <is>
          <t>IEE 5.1127 % con cuota mínima 1 €/MWh (Ley 38/1992 art. 99 (sin medidas vigentes)) + IVA 10 % (RDL 8/2023 art. 21.1 (condición: mes anterior &gt; 45 €/MWh))</t>
        </is>
      </c>
      <c r="J1183" t="inlineStr">
        <is>
          <t>2024-08-21</t>
        </is>
      </c>
      <c r="K1183" t="inlineStr">
        <is>
          <t>ESIOS 1001 geo 8741</t>
        </is>
      </c>
      <c r="L1183" t="inlineStr">
        <is>
          <t>24 valores; mín 126.51, máx 276.50 €/MWh</t>
        </is>
      </c>
    </row>
    <row r="1184">
      <c r="A1184" s="53" t="n">
        <v>45527</v>
      </c>
      <c r="B1184" t="inlineStr">
        <is>
          <t>2024-08-23</t>
        </is>
      </c>
      <c r="C1184" s="45" t="n">
        <v>169.8621</v>
      </c>
      <c r="D1184" t="inlineStr">
        <is>
          <t>€/MWh</t>
        </is>
      </c>
      <c r="E1184" s="54" t="n">
        <v>0.169862</v>
      </c>
      <c r="F1184" s="54" t="n">
        <v>0.196401</v>
      </c>
      <c r="G1184" t="inlineStr">
        <is>
          <t>calculado</t>
        </is>
      </c>
      <c r="H1184" t="inlineStr">
        <is>
          <t>IEE 5.1127 % con cuota mínima 1 €/MWh (Ley 38/1992 art. 99 (sin medidas vigentes)) + IVA 10 % (RDL 8/2023 art. 21.1 (condición: mes anterior &gt; 45 €/MWh))</t>
        </is>
      </c>
      <c r="J1184" t="inlineStr">
        <is>
          <t>2024-08-22</t>
        </is>
      </c>
      <c r="K1184" t="inlineStr">
        <is>
          <t>ESIOS 1001 geo 8741</t>
        </is>
      </c>
      <c r="L1184" t="inlineStr">
        <is>
          <t>24 valores; mín 126.63, máx 253.44 €/MWh</t>
        </is>
      </c>
    </row>
    <row r="1185">
      <c r="A1185" s="53" t="n">
        <v>45528</v>
      </c>
      <c r="B1185" t="inlineStr">
        <is>
          <t>2024-08-24</t>
        </is>
      </c>
      <c r="C1185" s="45" t="n">
        <v>96.67870000000001</v>
      </c>
      <c r="D1185" t="inlineStr">
        <is>
          <t>€/MWh</t>
        </is>
      </c>
      <c r="E1185" s="54" t="n">
        <v>0.096679</v>
      </c>
      <c r="F1185" s="54" t="n">
        <v>0.111784</v>
      </c>
      <c r="G1185" t="inlineStr">
        <is>
          <t>calculado</t>
        </is>
      </c>
      <c r="H1185" t="inlineStr">
        <is>
          <t>IEE 5.1127 % con cuota mínima 1 €/MWh (Ley 38/1992 art. 99 (sin medidas vigentes)) + IVA 10 % (RDL 8/2023 art. 21.1 (condición: mes anterior &gt; 45 €/MWh))</t>
        </is>
      </c>
      <c r="J1185" t="inlineStr">
        <is>
          <t>2024-08-23</t>
        </is>
      </c>
      <c r="K1185" t="inlineStr">
        <is>
          <t>ESIOS 1001 geo 8741</t>
        </is>
      </c>
      <c r="L1185" t="inlineStr">
        <is>
          <t>24 valores; mín 22.07, máx 169.00 €/MWh</t>
        </is>
      </c>
    </row>
    <row r="1186">
      <c r="A1186" s="53" t="n">
        <v>45529</v>
      </c>
      <c r="B1186" t="inlineStr">
        <is>
          <t>2024-08-25</t>
        </is>
      </c>
      <c r="C1186" s="45" t="n">
        <v>75.0371</v>
      </c>
      <c r="D1186" t="inlineStr">
        <is>
          <t>€/MWh</t>
        </is>
      </c>
      <c r="E1186" s="54" t="n">
        <v>0.07503700000000001</v>
      </c>
      <c r="F1186" s="54" t="n">
        <v>0.086761</v>
      </c>
      <c r="G1186" t="inlineStr">
        <is>
          <t>calculado</t>
        </is>
      </c>
      <c r="H1186" t="inlineStr">
        <is>
          <t>IEE 5.1127 % con cuota mínima 1 €/MWh (Ley 38/1992 art. 99 (sin medidas vigentes)) + IVA 10 % (RDL 8/2023 art. 21.1 (condición: mes anterior &gt; 45 €/MWh))</t>
        </is>
      </c>
      <c r="J1186" t="inlineStr">
        <is>
          <t>2024-08-24</t>
        </is>
      </c>
      <c r="K1186" t="inlineStr">
        <is>
          <t>ESIOS 1001 geo 8741</t>
        </is>
      </c>
      <c r="L1186" t="inlineStr">
        <is>
          <t>24 valores; mín 31.08, máx 167.86 €/MWh</t>
        </is>
      </c>
    </row>
    <row r="1187">
      <c r="A1187" s="53" t="n">
        <v>45530</v>
      </c>
      <c r="B1187" t="inlineStr">
        <is>
          <t>2024-08-26</t>
        </is>
      </c>
      <c r="C1187" s="45" t="n">
        <v>159.985</v>
      </c>
      <c r="D1187" t="inlineStr">
        <is>
          <t>€/MWh</t>
        </is>
      </c>
      <c r="E1187" s="54" t="n">
        <v>0.159985</v>
      </c>
      <c r="F1187" s="54" t="n">
        <v>0.184981</v>
      </c>
      <c r="G1187" t="inlineStr">
        <is>
          <t>calculado</t>
        </is>
      </c>
      <c r="H1187" t="inlineStr">
        <is>
          <t>IEE 5.1127 % con cuota mínima 1 €/MWh (Ley 38/1992 art. 99 (sin medidas vigentes)) + IVA 10 % (RDL 8/2023 art. 21.1 (condición: mes anterior &gt; 45 €/MWh))</t>
        </is>
      </c>
      <c r="J1187" t="inlineStr">
        <is>
          <t>2024-08-25</t>
        </is>
      </c>
      <c r="K1187" t="inlineStr">
        <is>
          <t>ESIOS 1001 geo 8741</t>
        </is>
      </c>
      <c r="L1187" t="inlineStr">
        <is>
          <t>24 valores; mín 109.43, máx 277.43 €/MWh</t>
        </is>
      </c>
    </row>
    <row r="1188">
      <c r="A1188" s="53" t="n">
        <v>45531</v>
      </c>
      <c r="B1188" t="inlineStr">
        <is>
          <t>2024-08-27</t>
        </is>
      </c>
      <c r="C1188" s="45" t="n">
        <v>168.6496</v>
      </c>
      <c r="D1188" t="inlineStr">
        <is>
          <t>€/MWh</t>
        </is>
      </c>
      <c r="E1188" s="54" t="n">
        <v>0.16865</v>
      </c>
      <c r="F1188" s="54" t="n">
        <v>0.194999</v>
      </c>
      <c r="G1188" t="inlineStr">
        <is>
          <t>calculado</t>
        </is>
      </c>
      <c r="H1188" t="inlineStr">
        <is>
          <t>IEE 5.1127 % con cuota mínima 1 €/MWh (Ley 38/1992 art. 99 (sin medidas vigentes)) + IVA 10 % (RDL 8/2023 art. 21.1 (condición: mes anterior &gt; 45 €/MWh))</t>
        </is>
      </c>
      <c r="J1188" t="inlineStr">
        <is>
          <t>2024-08-26</t>
        </is>
      </c>
      <c r="K1188" t="inlineStr">
        <is>
          <t>ESIOS 1001 geo 8741</t>
        </is>
      </c>
      <c r="L1188" t="inlineStr">
        <is>
          <t>24 valores; mín 122.80, máx 264.51 €/MWh</t>
        </is>
      </c>
    </row>
    <row r="1189">
      <c r="A1189" s="53" t="n">
        <v>45532</v>
      </c>
      <c r="B1189" t="inlineStr">
        <is>
          <t>2024-08-28</t>
        </is>
      </c>
      <c r="C1189" s="45" t="n">
        <v>170.3625</v>
      </c>
      <c r="D1189" t="inlineStr">
        <is>
          <t>€/MWh</t>
        </is>
      </c>
      <c r="E1189" s="54" t="n">
        <v>0.170362</v>
      </c>
      <c r="F1189" s="54" t="n">
        <v>0.19698</v>
      </c>
      <c r="G1189" t="inlineStr">
        <is>
          <t>calculado</t>
        </is>
      </c>
      <c r="H1189" t="inlineStr">
        <is>
          <t>IEE 5.1127 % con cuota mínima 1 €/MWh (Ley 38/1992 art. 99 (sin medidas vigentes)) + IVA 10 % (RDL 8/2023 art. 21.1 (condición: mes anterior &gt; 45 €/MWh))</t>
        </is>
      </c>
      <c r="J1189" t="inlineStr">
        <is>
          <t>2024-08-27</t>
        </is>
      </c>
      <c r="K1189" t="inlineStr">
        <is>
          <t>ESIOS 1001 geo 8741</t>
        </is>
      </c>
      <c r="L1189" t="inlineStr">
        <is>
          <t>24 valores; mín 122.46, máx 249.28 €/MWh</t>
        </is>
      </c>
    </row>
    <row r="1190">
      <c r="A1190" s="53" t="n">
        <v>45533</v>
      </c>
      <c r="B1190" t="inlineStr">
        <is>
          <t>2024-08-29</t>
        </is>
      </c>
      <c r="C1190" s="45" t="n">
        <v>178.8325</v>
      </c>
      <c r="D1190" t="inlineStr">
        <is>
          <t>€/MWh</t>
        </is>
      </c>
      <c r="E1190" s="54" t="n">
        <v>0.178832</v>
      </c>
      <c r="F1190" s="54" t="n">
        <v>0.206773</v>
      </c>
      <c r="G1190" t="inlineStr">
        <is>
          <t>calculado</t>
        </is>
      </c>
      <c r="H1190" t="inlineStr">
        <is>
          <t>IEE 5.1127 % con cuota mínima 1 €/MWh (Ley 38/1992 art. 99 (sin medidas vigentes)) + IVA 10 % (RDL 8/2023 art. 21.1 (condición: mes anterior &gt; 45 €/MWh))</t>
        </is>
      </c>
      <c r="J1190" t="inlineStr">
        <is>
          <t>2024-08-28</t>
        </is>
      </c>
      <c r="K1190" t="inlineStr">
        <is>
          <t>ESIOS 1001 geo 8741</t>
        </is>
      </c>
      <c r="L1190" t="inlineStr">
        <is>
          <t>24 valores; mín 142.15, máx 242.19 €/MWh</t>
        </is>
      </c>
    </row>
    <row r="1191">
      <c r="A1191" s="53" t="n">
        <v>45534</v>
      </c>
      <c r="B1191" t="inlineStr">
        <is>
          <t>2024-08-30</t>
        </is>
      </c>
      <c r="C1191" s="45" t="n">
        <v>175.8713</v>
      </c>
      <c r="D1191" t="inlineStr">
        <is>
          <t>€/MWh</t>
        </is>
      </c>
      <c r="E1191" s="54" t="n">
        <v>0.175871</v>
      </c>
      <c r="F1191" s="54" t="n">
        <v>0.203349</v>
      </c>
      <c r="G1191" t="inlineStr">
        <is>
          <t>calculado</t>
        </is>
      </c>
      <c r="H1191" t="inlineStr">
        <is>
          <t>IEE 5.1127 % con cuota mínima 1 €/MWh (Ley 38/1992 art. 99 (sin medidas vigentes)) + IVA 10 % (RDL 8/2023 art. 21.1 (condición: mes anterior &gt; 45 €/MWh))</t>
        </is>
      </c>
      <c r="J1191" t="inlineStr">
        <is>
          <t>2024-08-29</t>
        </is>
      </c>
      <c r="K1191" t="inlineStr">
        <is>
          <t>ESIOS 1001 geo 8741</t>
        </is>
      </c>
      <c r="L1191" t="inlineStr">
        <is>
          <t>24 valores; mín 137.07, máx 248.16 €/MWh</t>
        </is>
      </c>
    </row>
    <row r="1192">
      <c r="A1192" s="53" t="n">
        <v>45535</v>
      </c>
      <c r="B1192" t="inlineStr">
        <is>
          <t>2024-08-31</t>
        </is>
      </c>
      <c r="C1192" s="45" t="n">
        <v>145.0904</v>
      </c>
      <c r="D1192" t="inlineStr">
        <is>
          <t>€/MWh</t>
        </is>
      </c>
      <c r="E1192" s="54" t="n">
        <v>0.14509</v>
      </c>
      <c r="F1192" s="54" t="n">
        <v>0.167759</v>
      </c>
      <c r="G1192" t="inlineStr">
        <is>
          <t>calculado</t>
        </is>
      </c>
      <c r="H1192" t="inlineStr">
        <is>
          <t>IEE 5.1127 % con cuota mínima 1 €/MWh (Ley 38/1992 art. 99 (sin medidas vigentes)) + IVA 10 % (RDL 8/2023 art. 21.1 (condición: mes anterior &gt; 45 €/MWh))</t>
        </is>
      </c>
      <c r="J1192" t="inlineStr">
        <is>
          <t>2024-08-30</t>
        </is>
      </c>
      <c r="K1192" t="inlineStr">
        <is>
          <t>ESIOS 1001 geo 8741</t>
        </is>
      </c>
      <c r="L1192" t="inlineStr">
        <is>
          <t>24 valores; mín 105.58, máx 192.90 €/MWh</t>
        </is>
      </c>
    </row>
    <row r="1193">
      <c r="A1193" s="53" t="n">
        <v>45536</v>
      </c>
      <c r="B1193" t="inlineStr">
        <is>
          <t>2024-09-01</t>
        </is>
      </c>
      <c r="C1193" s="45" t="n">
        <v>132.3937</v>
      </c>
      <c r="D1193" t="inlineStr">
        <is>
          <t>€/MWh</t>
        </is>
      </c>
      <c r="E1193" s="54" t="n">
        <v>0.132394</v>
      </c>
      <c r="F1193" s="54" t="n">
        <v>0.153079</v>
      </c>
      <c r="G1193" t="inlineStr">
        <is>
          <t>calculado</t>
        </is>
      </c>
      <c r="H1193" t="inlineStr">
        <is>
          <t>IEE 5.1127 % con cuota mínima 1 €/MWh (Ley 38/1992 art. 99 (sin medidas vigentes)) + IVA 10 % (RDL 8/2023 art. 21.1 (condición: mes anterior &gt; 45 €/MWh))</t>
        </is>
      </c>
      <c r="J1193" t="inlineStr">
        <is>
          <t>2024-08-31</t>
        </is>
      </c>
      <c r="K1193" t="inlineStr">
        <is>
          <t>ESIOS 1001 geo 8741</t>
        </is>
      </c>
      <c r="L1193" t="inlineStr">
        <is>
          <t>24 valores; mín 50.33, máx 181.53 €/MWh</t>
        </is>
      </c>
    </row>
    <row r="1194">
      <c r="A1194" s="53" t="n">
        <v>45537</v>
      </c>
      <c r="B1194" t="inlineStr">
        <is>
          <t>2024-09-02</t>
        </is>
      </c>
      <c r="C1194" s="45" t="n">
        <v>177.5625</v>
      </c>
      <c r="D1194" t="inlineStr">
        <is>
          <t>€/MWh</t>
        </is>
      </c>
      <c r="E1194" s="54" t="n">
        <v>0.177563</v>
      </c>
      <c r="F1194" s="54" t="n">
        <v>0.205305</v>
      </c>
      <c r="G1194" t="inlineStr">
        <is>
          <t>calculado</t>
        </is>
      </c>
      <c r="H1194" t="inlineStr">
        <is>
          <t>IEE 5.1127 % con cuota mínima 1 €/MWh (Ley 38/1992 art. 99 (sin medidas vigentes)) + IVA 10 % (RDL 8/2023 art. 21.1 (condición: mes anterior &gt; 45 €/MWh))</t>
        </is>
      </c>
      <c r="J1194" t="inlineStr">
        <is>
          <t>2024-09-01</t>
        </is>
      </c>
      <c r="K1194" t="inlineStr">
        <is>
          <t>ESIOS 1001 geo 8741</t>
        </is>
      </c>
      <c r="L1194" t="inlineStr">
        <is>
          <t>24 valores; mín 137.16, máx 244.86 €/MWh</t>
        </is>
      </c>
    </row>
    <row r="1195">
      <c r="A1195" s="53" t="n">
        <v>45538</v>
      </c>
      <c r="B1195" t="inlineStr">
        <is>
          <t>2024-09-03</t>
        </is>
      </c>
      <c r="C1195" s="45" t="n">
        <v>170.5737</v>
      </c>
      <c r="D1195" t="inlineStr">
        <is>
          <t>€/MWh</t>
        </is>
      </c>
      <c r="E1195" s="54" t="n">
        <v>0.170574</v>
      </c>
      <c r="F1195" s="54" t="n">
        <v>0.197224</v>
      </c>
      <c r="G1195" t="inlineStr">
        <is>
          <t>calculado</t>
        </is>
      </c>
      <c r="H1195" t="inlineStr">
        <is>
          <t>IEE 5.1127 % con cuota mínima 1 €/MWh (Ley 38/1992 art. 99 (sin medidas vigentes)) + IVA 10 % (RDL 8/2023 art. 21.1 (condición: mes anterior &gt; 45 €/MWh))</t>
        </is>
      </c>
      <c r="J1195" t="inlineStr">
        <is>
          <t>2024-09-02</t>
        </is>
      </c>
      <c r="K1195" t="inlineStr">
        <is>
          <t>ESIOS 1001 geo 8741</t>
        </is>
      </c>
      <c r="L1195" t="inlineStr">
        <is>
          <t>24 valores; mín 133.53, máx 238.31 €/MWh</t>
        </is>
      </c>
    </row>
    <row r="1196">
      <c r="A1196" s="53" t="n">
        <v>45539</v>
      </c>
      <c r="B1196" t="inlineStr">
        <is>
          <t>2024-09-04</t>
        </is>
      </c>
      <c r="C1196" s="45" t="n">
        <v>163.2858</v>
      </c>
      <c r="D1196" t="inlineStr">
        <is>
          <t>€/MWh</t>
        </is>
      </c>
      <c r="E1196" s="54" t="n">
        <v>0.163286</v>
      </c>
      <c r="F1196" s="54" t="n">
        <v>0.188798</v>
      </c>
      <c r="G1196" t="inlineStr">
        <is>
          <t>calculado</t>
        </is>
      </c>
      <c r="H1196" t="inlineStr">
        <is>
          <t>IEE 5.1127 % con cuota mínima 1 €/MWh (Ley 38/1992 art. 99 (sin medidas vigentes)) + IVA 10 % (RDL 8/2023 art. 21.1 (condición: mes anterior &gt; 45 €/MWh))</t>
        </is>
      </c>
      <c r="J1196" t="inlineStr">
        <is>
          <t>2024-09-03</t>
        </is>
      </c>
      <c r="K1196" t="inlineStr">
        <is>
          <t>ESIOS 1001 geo 8741</t>
        </is>
      </c>
      <c r="L1196" t="inlineStr">
        <is>
          <t>24 valores; mín 106.32, máx 236.19 €/MWh</t>
        </is>
      </c>
    </row>
    <row r="1197">
      <c r="A1197" s="53" t="n">
        <v>45540</v>
      </c>
      <c r="B1197" t="inlineStr">
        <is>
          <t>2024-09-05</t>
        </is>
      </c>
      <c r="C1197" s="45" t="n">
        <v>166.9396</v>
      </c>
      <c r="D1197" t="inlineStr">
        <is>
          <t>€/MWh</t>
        </is>
      </c>
      <c r="E1197" s="54" t="n">
        <v>0.16694</v>
      </c>
      <c r="F1197" s="54" t="n">
        <v>0.193022</v>
      </c>
      <c r="G1197" t="inlineStr">
        <is>
          <t>calculado</t>
        </is>
      </c>
      <c r="H1197" t="inlineStr">
        <is>
          <t>IEE 5.1127 % con cuota mínima 1 €/MWh (Ley 38/1992 art. 99 (sin medidas vigentes)) + IVA 10 % (RDL 8/2023 art. 21.1 (condición: mes anterior &gt; 45 €/MWh))</t>
        </is>
      </c>
      <c r="J1197" t="inlineStr">
        <is>
          <t>2024-09-04</t>
        </is>
      </c>
      <c r="K1197" t="inlineStr">
        <is>
          <t>ESIOS 1001 geo 8741</t>
        </is>
      </c>
      <c r="L1197" t="inlineStr">
        <is>
          <t>24 valores; mín 127.02, máx 240.20 €/MWh</t>
        </is>
      </c>
    </row>
    <row r="1198">
      <c r="A1198" s="53" t="n">
        <v>45541</v>
      </c>
      <c r="B1198" t="inlineStr">
        <is>
          <t>2024-09-06</t>
        </is>
      </c>
      <c r="C1198" s="45" t="n">
        <v>153.1842</v>
      </c>
      <c r="D1198" t="inlineStr">
        <is>
          <t>€/MWh</t>
        </is>
      </c>
      <c r="E1198" s="54" t="n">
        <v>0.153184</v>
      </c>
      <c r="F1198" s="54" t="n">
        <v>0.177118</v>
      </c>
      <c r="G1198" t="inlineStr">
        <is>
          <t>calculado</t>
        </is>
      </c>
      <c r="H1198" t="inlineStr">
        <is>
          <t>IEE 5.1127 % con cuota mínima 1 €/MWh (Ley 38/1992 art. 99 (sin medidas vigentes)) + IVA 10 % (RDL 8/2023 art. 21.1 (condición: mes anterior &gt; 45 €/MWh))</t>
        </is>
      </c>
      <c r="J1198" t="inlineStr">
        <is>
          <t>2024-09-05</t>
        </is>
      </c>
      <c r="K1198" t="inlineStr">
        <is>
          <t>ESIOS 1001 geo 8741</t>
        </is>
      </c>
      <c r="L1198" t="inlineStr">
        <is>
          <t>24 valores; mín 67.82, máx 229.42 €/MWh</t>
        </is>
      </c>
    </row>
    <row r="1199">
      <c r="A1199" s="53" t="n">
        <v>45542</v>
      </c>
      <c r="B1199" t="inlineStr">
        <is>
          <t>2024-09-07</t>
        </is>
      </c>
      <c r="C1199" s="45" t="n">
        <v>113.6363</v>
      </c>
      <c r="D1199" t="inlineStr">
        <is>
          <t>€/MWh</t>
        </is>
      </c>
      <c r="E1199" s="54" t="n">
        <v>0.113636</v>
      </c>
      <c r="F1199" s="54" t="n">
        <v>0.131391</v>
      </c>
      <c r="G1199" t="inlineStr">
        <is>
          <t>calculado</t>
        </is>
      </c>
      <c r="H1199" t="inlineStr">
        <is>
          <t>IEE 5.1127 % con cuota mínima 1 €/MWh (Ley 38/1992 art. 99 (sin medidas vigentes)) + IVA 10 % (RDL 8/2023 art. 21.1 (condición: mes anterior &gt; 45 €/MWh))</t>
        </is>
      </c>
      <c r="J1199" t="inlineStr">
        <is>
          <t>2024-09-06</t>
        </is>
      </c>
      <c r="K1199" t="inlineStr">
        <is>
          <t>ESIOS 1001 geo 8741</t>
        </is>
      </c>
      <c r="L1199" t="inlineStr">
        <is>
          <t>24 valores; mín 19.54, máx 194.36 €/MWh</t>
        </is>
      </c>
    </row>
    <row r="1200">
      <c r="A1200" s="53" t="n">
        <v>45543</v>
      </c>
      <c r="B1200" t="inlineStr">
        <is>
          <t>2024-09-08</t>
        </is>
      </c>
      <c r="C1200" s="45" t="n">
        <v>106.9296</v>
      </c>
      <c r="D1200" t="inlineStr">
        <is>
          <t>€/MWh</t>
        </is>
      </c>
      <c r="E1200" s="54" t="n">
        <v>0.10693</v>
      </c>
      <c r="F1200" s="54" t="n">
        <v>0.123636</v>
      </c>
      <c r="G1200" t="inlineStr">
        <is>
          <t>calculado</t>
        </is>
      </c>
      <c r="H1200" t="inlineStr">
        <is>
          <t>IEE 5.1127 % con cuota mínima 1 €/MWh (Ley 38/1992 art. 99 (sin medidas vigentes)) + IVA 10 % (RDL 8/2023 art. 21.1 (condición: mes anterior &gt; 45 €/MWh))</t>
        </is>
      </c>
      <c r="J1200" t="inlineStr">
        <is>
          <t>2024-09-07</t>
        </is>
      </c>
      <c r="K1200" t="inlineStr">
        <is>
          <t>ESIOS 1001 geo 8741</t>
        </is>
      </c>
      <c r="L1200" t="inlineStr">
        <is>
          <t>24 valores; mín 27.37, máx 165.26 €/MWh</t>
        </is>
      </c>
    </row>
    <row r="1201">
      <c r="A1201" s="53" t="n">
        <v>45544</v>
      </c>
      <c r="B1201" t="inlineStr">
        <is>
          <t>2024-09-09</t>
        </is>
      </c>
      <c r="C1201" s="45" t="n">
        <v>153.5583</v>
      </c>
      <c r="D1201" t="inlineStr">
        <is>
          <t>€/MWh</t>
        </is>
      </c>
      <c r="E1201" s="54" t="n">
        <v>0.153558</v>
      </c>
      <c r="F1201" s="54" t="n">
        <v>0.17755</v>
      </c>
      <c r="G1201" t="inlineStr">
        <is>
          <t>calculado</t>
        </is>
      </c>
      <c r="H1201" t="inlineStr">
        <is>
          <t>IEE 5.1127 % con cuota mínima 1 €/MWh (Ley 38/1992 art. 99 (sin medidas vigentes)) + IVA 10 % (RDL 8/2023 art. 21.1 (condición: mes anterior &gt; 45 €/MWh))</t>
        </is>
      </c>
      <c r="J1201" t="inlineStr">
        <is>
          <t>2024-09-08</t>
        </is>
      </c>
      <c r="K1201" t="inlineStr">
        <is>
          <t>ESIOS 1001 geo 8741</t>
        </is>
      </c>
      <c r="L1201" t="inlineStr">
        <is>
          <t>24 valores; mín 53.29, máx 244.73 €/MWh</t>
        </is>
      </c>
    </row>
    <row r="1202">
      <c r="A1202" s="53" t="n">
        <v>45545</v>
      </c>
      <c r="B1202" t="inlineStr">
        <is>
          <t>2024-09-10</t>
        </is>
      </c>
      <c r="C1202" s="45" t="n">
        <v>145.31</v>
      </c>
      <c r="D1202" t="inlineStr">
        <is>
          <t>€/MWh</t>
        </is>
      </c>
      <c r="E1202" s="54" t="n">
        <v>0.14531</v>
      </c>
      <c r="F1202" s="54" t="n">
        <v>0.168013</v>
      </c>
      <c r="G1202" t="inlineStr">
        <is>
          <t>calculado</t>
        </is>
      </c>
      <c r="H1202" t="inlineStr">
        <is>
          <t>IEE 5.1127 % con cuota mínima 1 €/MWh (Ley 38/1992 art. 99 (sin medidas vigentes)) + IVA 10 % (RDL 8/2023 art. 21.1 (condición: mes anterior &gt; 45 €/MWh))</t>
        </is>
      </c>
      <c r="J1202" t="inlineStr">
        <is>
          <t>2024-09-09</t>
        </is>
      </c>
      <c r="K1202" t="inlineStr">
        <is>
          <t>ESIOS 1001 geo 8741</t>
        </is>
      </c>
      <c r="L1202" t="inlineStr">
        <is>
          <t>24 valores; mín 52.86, máx 228.97 €/MWh</t>
        </is>
      </c>
    </row>
    <row r="1203">
      <c r="A1203" s="53" t="n">
        <v>45546</v>
      </c>
      <c r="B1203" t="inlineStr">
        <is>
          <t>2024-09-11</t>
        </is>
      </c>
      <c r="C1203" s="45" t="n">
        <v>147.8846</v>
      </c>
      <c r="D1203" t="inlineStr">
        <is>
          <t>€/MWh</t>
        </is>
      </c>
      <c r="E1203" s="54" t="n">
        <v>0.147885</v>
      </c>
      <c r="F1203" s="54" t="n">
        <v>0.17099</v>
      </c>
      <c r="G1203" t="inlineStr">
        <is>
          <t>calculado</t>
        </is>
      </c>
      <c r="H1203" t="inlineStr">
        <is>
          <t>IEE 5.1127 % con cuota mínima 1 €/MWh (Ley 38/1992 art. 99 (sin medidas vigentes)) + IVA 10 % (RDL 8/2023 art. 21.1 (condición: mes anterior &gt; 45 €/MWh))</t>
        </is>
      </c>
      <c r="J1203" t="inlineStr">
        <is>
          <t>2024-09-10</t>
        </is>
      </c>
      <c r="K1203" t="inlineStr">
        <is>
          <t>ESIOS 1001 geo 8741</t>
        </is>
      </c>
      <c r="L1203" t="inlineStr">
        <is>
          <t>24 valores; mín 66.57, máx 230.18 €/MWh</t>
        </is>
      </c>
    </row>
    <row r="1204">
      <c r="A1204" s="53" t="n">
        <v>45547</v>
      </c>
      <c r="B1204" t="inlineStr">
        <is>
          <t>2024-09-12</t>
        </is>
      </c>
      <c r="C1204" s="45" t="n">
        <v>143.7775</v>
      </c>
      <c r="D1204" t="inlineStr">
        <is>
          <t>€/MWh</t>
        </is>
      </c>
      <c r="E1204" s="54" t="n">
        <v>0.143778</v>
      </c>
      <c r="F1204" s="54" t="n">
        <v>0.166241</v>
      </c>
      <c r="G1204" t="inlineStr">
        <is>
          <t>calculado</t>
        </is>
      </c>
      <c r="H1204" t="inlineStr">
        <is>
          <t>IEE 5.1127 % con cuota mínima 1 €/MWh (Ley 38/1992 art. 99 (sin medidas vigentes)) + IVA 10 % (RDL 8/2023 art. 21.1 (condición: mes anterior &gt; 45 €/MWh))</t>
        </is>
      </c>
      <c r="J1204" t="inlineStr">
        <is>
          <t>2024-09-11</t>
        </is>
      </c>
      <c r="K1204" t="inlineStr">
        <is>
          <t>ESIOS 1001 geo 8741</t>
        </is>
      </c>
      <c r="L1204" t="inlineStr">
        <is>
          <t>24 valores; mín 54.55, máx 218.81 €/MWh</t>
        </is>
      </c>
    </row>
    <row r="1205">
      <c r="A1205" s="53" t="n">
        <v>45548</v>
      </c>
      <c r="B1205" t="inlineStr">
        <is>
          <t>2024-09-13</t>
        </is>
      </c>
      <c r="C1205" s="45" t="n">
        <v>123.6263</v>
      </c>
      <c r="D1205" t="inlineStr">
        <is>
          <t>€/MWh</t>
        </is>
      </c>
      <c r="E1205" s="54" t="n">
        <v>0.123626</v>
      </c>
      <c r="F1205" s="54" t="n">
        <v>0.142942</v>
      </c>
      <c r="G1205" t="inlineStr">
        <is>
          <t>calculado</t>
        </is>
      </c>
      <c r="H1205" t="inlineStr">
        <is>
          <t>IEE 5.1127 % con cuota mínima 1 €/MWh (Ley 38/1992 art. 99 (sin medidas vigentes)) + IVA 10 % (RDL 8/2023 art. 21.1 (condición: mes anterior &gt; 45 €/MWh))</t>
        </is>
      </c>
      <c r="J1205" t="inlineStr">
        <is>
          <t>2024-09-12</t>
        </is>
      </c>
      <c r="K1205" t="inlineStr">
        <is>
          <t>ESIOS 1001 geo 8741</t>
        </is>
      </c>
      <c r="L1205" t="inlineStr">
        <is>
          <t>24 valores; mín 59.81, máx 212.60 €/MWh</t>
        </is>
      </c>
    </row>
    <row r="1206">
      <c r="A1206" s="53" t="n">
        <v>45549</v>
      </c>
      <c r="B1206" t="inlineStr">
        <is>
          <t>2024-09-14</t>
        </is>
      </c>
      <c r="C1206" s="45" t="n">
        <v>87.91370000000001</v>
      </c>
      <c r="D1206" t="inlineStr">
        <is>
          <t>€/MWh</t>
        </is>
      </c>
      <c r="E1206" s="54" t="n">
        <v>0.08791400000000001</v>
      </c>
      <c r="F1206" s="54" t="n">
        <v>0.101649</v>
      </c>
      <c r="G1206" t="inlineStr">
        <is>
          <t>calculado</t>
        </is>
      </c>
      <c r="H1206" t="inlineStr">
        <is>
          <t>IEE 5.1127 % con cuota mínima 1 €/MWh (Ley 38/1992 art. 99 (sin medidas vigentes)) + IVA 10 % (RDL 8/2023 art. 21.1 (condición: mes anterior &gt; 45 €/MWh))</t>
        </is>
      </c>
      <c r="J1206" t="inlineStr">
        <is>
          <t>2024-09-13</t>
        </is>
      </c>
      <c r="K1206" t="inlineStr">
        <is>
          <t>ESIOS 1001 geo 8741</t>
        </is>
      </c>
      <c r="L1206" t="inlineStr">
        <is>
          <t>24 valores; mín 33.63, máx 155.65 €/MWh</t>
        </is>
      </c>
    </row>
    <row r="1207">
      <c r="A1207" s="53" t="n">
        <v>45550</v>
      </c>
      <c r="B1207" t="inlineStr">
        <is>
          <t>2024-09-15</t>
        </is>
      </c>
      <c r="C1207" s="45" t="n">
        <v>82.0162</v>
      </c>
      <c r="D1207" t="inlineStr">
        <is>
          <t>€/MWh</t>
        </is>
      </c>
      <c r="E1207" s="54" t="n">
        <v>0.08201600000000001</v>
      </c>
      <c r="F1207" s="54" t="n">
        <v>0.09483</v>
      </c>
      <c r="G1207" t="inlineStr">
        <is>
          <t>calculado</t>
        </is>
      </c>
      <c r="H1207" t="inlineStr">
        <is>
          <t>IEE 5.1127 % con cuota mínima 1 €/MWh (Ley 38/1992 art. 99 (sin medidas vigentes)) + IVA 10 % (RDL 8/2023 art. 21.1 (condición: mes anterior &gt; 45 €/MWh))</t>
        </is>
      </c>
      <c r="J1207" t="inlineStr">
        <is>
          <t>2024-09-14</t>
        </is>
      </c>
      <c r="K1207" t="inlineStr">
        <is>
          <t>ESIOS 1001 geo 8741</t>
        </is>
      </c>
      <c r="L1207" t="inlineStr">
        <is>
          <t>24 valores; mín 41.14, máx 115.45 €/MWh</t>
        </is>
      </c>
    </row>
    <row r="1208">
      <c r="A1208" s="53" t="n">
        <v>45551</v>
      </c>
      <c r="B1208" t="inlineStr">
        <is>
          <t>2024-09-16</t>
        </is>
      </c>
      <c r="C1208" s="45" t="n">
        <v>111.6346</v>
      </c>
      <c r="D1208" t="inlineStr">
        <is>
          <t>€/MWh</t>
        </is>
      </c>
      <c r="E1208" s="54" t="n">
        <v>0.111635</v>
      </c>
      <c r="F1208" s="54" t="n">
        <v>0.129076</v>
      </c>
      <c r="G1208" t="inlineStr">
        <is>
          <t>calculado</t>
        </is>
      </c>
      <c r="H1208" t="inlineStr">
        <is>
          <t>IEE 5.1127 % con cuota mínima 1 €/MWh (Ley 38/1992 art. 99 (sin medidas vigentes)) + IVA 10 % (RDL 8/2023 art. 21.1 (condición: mes anterior &gt; 45 €/MWh))</t>
        </is>
      </c>
      <c r="J1208" t="inlineStr">
        <is>
          <t>2024-09-15</t>
        </is>
      </c>
      <c r="K1208" t="inlineStr">
        <is>
          <t>ESIOS 1001 geo 8741</t>
        </is>
      </c>
      <c r="L1208" t="inlineStr">
        <is>
          <t>24 valores; mín 59.32, máx 216.50 €/MWh</t>
        </is>
      </c>
    </row>
    <row r="1209">
      <c r="A1209" s="53" t="n">
        <v>45552</v>
      </c>
      <c r="B1209" t="inlineStr">
        <is>
          <t>2024-09-17</t>
        </is>
      </c>
      <c r="C1209" s="45" t="n">
        <v>108.1908</v>
      </c>
      <c r="D1209" t="inlineStr">
        <is>
          <t>€/MWh</t>
        </is>
      </c>
      <c r="E1209" s="54" t="n">
        <v>0.108191</v>
      </c>
      <c r="F1209" s="54" t="n">
        <v>0.125094</v>
      </c>
      <c r="G1209" t="inlineStr">
        <is>
          <t>calculado</t>
        </is>
      </c>
      <c r="H1209" t="inlineStr">
        <is>
          <t>IEE 5.1127 % con cuota mínima 1 €/MWh (Ley 38/1992 art. 99 (sin medidas vigentes)) + IVA 10 % (RDL 8/2023 art. 21.1 (condición: mes anterior &gt; 45 €/MWh))</t>
        </is>
      </c>
      <c r="J1209" t="inlineStr">
        <is>
          <t>2024-09-16</t>
        </is>
      </c>
      <c r="K1209" t="inlineStr">
        <is>
          <t>ESIOS 1001 geo 8741</t>
        </is>
      </c>
      <c r="L1209" t="inlineStr">
        <is>
          <t>24 valores; mín 53.41, máx 225.30 €/MWh</t>
        </is>
      </c>
    </row>
    <row r="1210">
      <c r="A1210" s="53" t="n">
        <v>45553</v>
      </c>
      <c r="B1210" t="inlineStr">
        <is>
          <t>2024-09-18</t>
        </is>
      </c>
      <c r="C1210" s="45" t="n">
        <v>157.3</v>
      </c>
      <c r="D1210" t="inlineStr">
        <is>
          <t>€/MWh</t>
        </is>
      </c>
      <c r="E1210" s="54" t="n">
        <v>0.1573</v>
      </c>
      <c r="F1210" s="54" t="n">
        <v>0.181876</v>
      </c>
      <c r="G1210" t="inlineStr">
        <is>
          <t>calculado</t>
        </is>
      </c>
      <c r="H1210" t="inlineStr">
        <is>
          <t>IEE 5.1127 % con cuota mínima 1 €/MWh (Ley 38/1992 art. 99 (sin medidas vigentes)) + IVA 10 % (RDL 8/2023 art. 21.1 (condición: mes anterior &gt; 45 €/MWh))</t>
        </is>
      </c>
      <c r="J1210" t="inlineStr">
        <is>
          <t>2024-09-17</t>
        </is>
      </c>
      <c r="K1210" t="inlineStr">
        <is>
          <t>ESIOS 1001 geo 8741</t>
        </is>
      </c>
      <c r="L1210" t="inlineStr">
        <is>
          <t>24 valores; mín 100.00, máx 260.53 €/MWh</t>
        </is>
      </c>
    </row>
    <row r="1211">
      <c r="A1211" s="53" t="n">
        <v>45554</v>
      </c>
      <c r="B1211" t="inlineStr">
        <is>
          <t>2024-09-19</t>
        </is>
      </c>
      <c r="C1211" s="45" t="n">
        <v>166.325</v>
      </c>
      <c r="D1211" t="inlineStr">
        <is>
          <t>€/MWh</t>
        </is>
      </c>
      <c r="E1211" s="54" t="n">
        <v>0.166325</v>
      </c>
      <c r="F1211" s="54" t="n">
        <v>0.192312</v>
      </c>
      <c r="G1211" t="inlineStr">
        <is>
          <t>calculado</t>
        </is>
      </c>
      <c r="H1211" t="inlineStr">
        <is>
          <t>IEE 5.1127 % con cuota mínima 1 €/MWh (Ley 38/1992 art. 99 (sin medidas vigentes)) + IVA 10 % (RDL 8/2023 art. 21.1 (condición: mes anterior &gt; 45 €/MWh))</t>
        </is>
      </c>
      <c r="J1211" t="inlineStr">
        <is>
          <t>2024-09-18</t>
        </is>
      </c>
      <c r="K1211" t="inlineStr">
        <is>
          <t>ESIOS 1001 geo 8741</t>
        </is>
      </c>
      <c r="L1211" t="inlineStr">
        <is>
          <t>24 valores; mín 119.01, máx 263.14 €/MWh</t>
        </is>
      </c>
    </row>
    <row r="1212">
      <c r="A1212" s="53" t="n">
        <v>45555</v>
      </c>
      <c r="B1212" t="inlineStr">
        <is>
          <t>2024-09-20</t>
        </is>
      </c>
      <c r="C1212" s="45" t="n">
        <v>167.2904</v>
      </c>
      <c r="D1212" t="inlineStr">
        <is>
          <t>€/MWh</t>
        </is>
      </c>
      <c r="E1212" s="54" t="n">
        <v>0.16729</v>
      </c>
      <c r="F1212" s="54" t="n">
        <v>0.193428</v>
      </c>
      <c r="G1212" t="inlineStr">
        <is>
          <t>calculado</t>
        </is>
      </c>
      <c r="H1212" t="inlineStr">
        <is>
          <t>IEE 5.1127 % con cuota mínima 1 €/MWh (Ley 38/1992 art. 99 (sin medidas vigentes)) + IVA 10 % (RDL 8/2023 art. 21.1 (condición: mes anterior &gt; 45 €/MWh))</t>
        </is>
      </c>
      <c r="J1212" t="inlineStr">
        <is>
          <t>2024-09-19</t>
        </is>
      </c>
      <c r="K1212" t="inlineStr">
        <is>
          <t>ESIOS 1001 geo 8741</t>
        </is>
      </c>
      <c r="L1212" t="inlineStr">
        <is>
          <t>24 valores; mín 119.18, máx 253.71 €/MWh</t>
        </is>
      </c>
    </row>
    <row r="1213">
      <c r="A1213" s="53" t="n">
        <v>45556</v>
      </c>
      <c r="B1213" t="inlineStr">
        <is>
          <t>2024-09-21</t>
        </is>
      </c>
      <c r="C1213" s="45" t="n">
        <v>118.7625</v>
      </c>
      <c r="D1213" t="inlineStr">
        <is>
          <t>€/MWh</t>
        </is>
      </c>
      <c r="E1213" s="54" t="n">
        <v>0.118763</v>
      </c>
      <c r="F1213" s="54" t="n">
        <v>0.137318</v>
      </c>
      <c r="G1213" t="inlineStr">
        <is>
          <t>calculado</t>
        </is>
      </c>
      <c r="H1213" t="inlineStr">
        <is>
          <t>IEE 5.1127 % con cuota mínima 1 €/MWh (Ley 38/1992 art. 99 (sin medidas vigentes)) + IVA 10 % (RDL 8/2023 art. 21.1 (condición: mes anterior &gt; 45 €/MWh))</t>
        </is>
      </c>
      <c r="J1213" t="inlineStr">
        <is>
          <t>2024-09-20</t>
        </is>
      </c>
      <c r="K1213" t="inlineStr">
        <is>
          <t>ESIOS 1001 geo 8741</t>
        </is>
      </c>
      <c r="L1213" t="inlineStr">
        <is>
          <t>24 valores; mín 22.86, máx 173.12 €/MWh</t>
        </is>
      </c>
    </row>
    <row r="1214">
      <c r="A1214" s="53" t="n">
        <v>45557</v>
      </c>
      <c r="B1214" t="inlineStr">
        <is>
          <t>2024-09-22</t>
        </is>
      </c>
      <c r="C1214" s="45" t="n">
        <v>114.2862</v>
      </c>
      <c r="D1214" t="inlineStr">
        <is>
          <t>€/MWh</t>
        </is>
      </c>
      <c r="E1214" s="54" t="n">
        <v>0.114286</v>
      </c>
      <c r="F1214" s="54" t="n">
        <v>0.132142</v>
      </c>
      <c r="G1214" t="inlineStr">
        <is>
          <t>calculado</t>
        </is>
      </c>
      <c r="H1214" t="inlineStr">
        <is>
          <t>IEE 5.1127 % con cuota mínima 1 €/MWh (Ley 38/1992 art. 99 (sin medidas vigentes)) + IVA 10 % (RDL 8/2023 art. 21.1 (condición: mes anterior &gt; 45 €/MWh))</t>
        </is>
      </c>
      <c r="J1214" t="inlineStr">
        <is>
          <t>2024-09-21</t>
        </is>
      </c>
      <c r="K1214" t="inlineStr">
        <is>
          <t>ESIOS 1001 geo 8741</t>
        </is>
      </c>
      <c r="L1214" t="inlineStr">
        <is>
          <t>24 valores; mín 28.44, máx 232.69 €/MWh</t>
        </is>
      </c>
    </row>
    <row r="1215">
      <c r="A1215" s="53" t="n">
        <v>45558</v>
      </c>
      <c r="B1215" t="inlineStr">
        <is>
          <t>2024-09-23</t>
        </is>
      </c>
      <c r="C1215" s="45" t="n">
        <v>157.1279</v>
      </c>
      <c r="D1215" t="inlineStr">
        <is>
          <t>€/MWh</t>
        </is>
      </c>
      <c r="E1215" s="54" t="n">
        <v>0.157128</v>
      </c>
      <c r="F1215" s="54" t="n">
        <v>0.181678</v>
      </c>
      <c r="G1215" t="inlineStr">
        <is>
          <t>calculado</t>
        </is>
      </c>
      <c r="H1215" t="inlineStr">
        <is>
          <t>IEE 5.1127 % con cuota mínima 1 €/MWh (Ley 38/1992 art. 99 (sin medidas vigentes)) + IVA 10 % (RDL 8/2023 art. 21.1 (condición: mes anterior &gt; 45 €/MWh))</t>
        </is>
      </c>
      <c r="J1215" t="inlineStr">
        <is>
          <t>2024-09-22</t>
        </is>
      </c>
      <c r="K1215" t="inlineStr">
        <is>
          <t>ESIOS 1001 geo 8741</t>
        </is>
      </c>
      <c r="L1215" t="inlineStr">
        <is>
          <t>24 valores; mín 66.78, máx 271.02 €/MWh</t>
        </is>
      </c>
    </row>
    <row r="1216">
      <c r="A1216" s="53" t="n">
        <v>45559</v>
      </c>
      <c r="B1216" t="inlineStr">
        <is>
          <t>2024-09-24</t>
        </is>
      </c>
      <c r="C1216" s="45" t="n">
        <v>161.0892</v>
      </c>
      <c r="D1216" t="inlineStr">
        <is>
          <t>€/MWh</t>
        </is>
      </c>
      <c r="E1216" s="54" t="n">
        <v>0.161089</v>
      </c>
      <c r="F1216" s="54" t="n">
        <v>0.186258</v>
      </c>
      <c r="G1216" t="inlineStr">
        <is>
          <t>calculado</t>
        </is>
      </c>
      <c r="H1216" t="inlineStr">
        <is>
          <t>IEE 5.1127 % con cuota mínima 1 €/MWh (Ley 38/1992 art. 99 (sin medidas vigentes)) + IVA 10 % (RDL 8/2023 art. 21.1 (condición: mes anterior &gt; 45 €/MWh))</t>
        </is>
      </c>
      <c r="J1216" t="inlineStr">
        <is>
          <t>2024-09-23</t>
        </is>
      </c>
      <c r="K1216" t="inlineStr">
        <is>
          <t>ESIOS 1001 geo 8741</t>
        </is>
      </c>
      <c r="L1216" t="inlineStr">
        <is>
          <t>24 valores; mín 106.79, máx 249.53 €/MWh</t>
        </is>
      </c>
    </row>
    <row r="1217">
      <c r="A1217" s="53" t="n">
        <v>45560</v>
      </c>
      <c r="B1217" t="inlineStr">
        <is>
          <t>2024-09-25</t>
        </is>
      </c>
      <c r="C1217" s="45" t="n">
        <v>133.5946</v>
      </c>
      <c r="D1217" t="inlineStr">
        <is>
          <t>€/MWh</t>
        </is>
      </c>
      <c r="E1217" s="54" t="n">
        <v>0.133595</v>
      </c>
      <c r="F1217" s="54" t="n">
        <v>0.154467</v>
      </c>
      <c r="G1217" t="inlineStr">
        <is>
          <t>calculado</t>
        </is>
      </c>
      <c r="H1217" t="inlineStr">
        <is>
          <t>IEE 5.1127 % con cuota mínima 1 €/MWh (Ley 38/1992 art. 99 (sin medidas vigentes)) + IVA 10 % (RDL 8/2023 art. 21.1 (condición: mes anterior &gt; 45 €/MWh))</t>
        </is>
      </c>
      <c r="J1217" t="inlineStr">
        <is>
          <t>2024-09-24</t>
        </is>
      </c>
      <c r="K1217" t="inlineStr">
        <is>
          <t>ESIOS 1001 geo 8741</t>
        </is>
      </c>
      <c r="L1217" t="inlineStr">
        <is>
          <t>24 valores; mín 75.70, máx 192.47 €/MWh</t>
        </is>
      </c>
    </row>
    <row r="1218">
      <c r="A1218" s="53" t="n">
        <v>45561</v>
      </c>
      <c r="B1218" t="inlineStr">
        <is>
          <t>2024-09-26</t>
        </is>
      </c>
      <c r="C1218" s="45" t="n">
        <v>110.0108</v>
      </c>
      <c r="D1218" t="inlineStr">
        <is>
          <t>€/MWh</t>
        </is>
      </c>
      <c r="E1218" s="54" t="n">
        <v>0.110011</v>
      </c>
      <c r="F1218" s="54" t="n">
        <v>0.127199</v>
      </c>
      <c r="G1218" t="inlineStr">
        <is>
          <t>calculado</t>
        </is>
      </c>
      <c r="H1218" t="inlineStr">
        <is>
          <t>IEE 5.1127 % con cuota mínima 1 €/MWh (Ley 38/1992 art. 99 (sin medidas vigentes)) + IVA 10 % (RDL 8/2023 art. 21.1 (condición: mes anterior &gt; 45 €/MWh))</t>
        </is>
      </c>
      <c r="J1218" t="inlineStr">
        <is>
          <t>2024-09-25</t>
        </is>
      </c>
      <c r="K1218" t="inlineStr">
        <is>
          <t>ESIOS 1001 geo 8741</t>
        </is>
      </c>
      <c r="L1218" t="inlineStr">
        <is>
          <t>24 valores; mín 56.48, máx 204.00 €/MWh</t>
        </is>
      </c>
    </row>
    <row r="1219">
      <c r="A1219" s="53" t="n">
        <v>45562</v>
      </c>
      <c r="B1219" t="inlineStr">
        <is>
          <t>2024-09-27</t>
        </is>
      </c>
      <c r="C1219" s="45" t="n">
        <v>109.4054</v>
      </c>
      <c r="D1219" t="inlineStr">
        <is>
          <t>€/MWh</t>
        </is>
      </c>
      <c r="E1219" s="54" t="n">
        <v>0.109405</v>
      </c>
      <c r="F1219" s="54" t="n">
        <v>0.126499</v>
      </c>
      <c r="G1219" t="inlineStr">
        <is>
          <t>calculado</t>
        </is>
      </c>
      <c r="H1219" t="inlineStr">
        <is>
          <t>IEE 5.1127 % con cuota mínima 1 €/MWh (Ley 38/1992 art. 99 (sin medidas vigentes)) + IVA 10 % (RDL 8/2023 art. 21.1 (condición: mes anterior &gt; 45 €/MWh))</t>
        </is>
      </c>
      <c r="J1219" t="inlineStr">
        <is>
          <t>2024-09-26</t>
        </is>
      </c>
      <c r="K1219" t="inlineStr">
        <is>
          <t>ESIOS 1001 geo 8741</t>
        </is>
      </c>
      <c r="L1219" t="inlineStr">
        <is>
          <t>24 valores; mín 53.49, máx 242.95 €/MWh</t>
        </is>
      </c>
    </row>
    <row r="1220">
      <c r="A1220" s="53" t="n">
        <v>45563</v>
      </c>
      <c r="B1220" t="inlineStr">
        <is>
          <t>2024-09-28</t>
        </is>
      </c>
      <c r="C1220" s="45" t="n">
        <v>92.1267</v>
      </c>
      <c r="D1220" t="inlineStr">
        <is>
          <t>€/MWh</t>
        </is>
      </c>
      <c r="E1220" s="54" t="n">
        <v>0.092127</v>
      </c>
      <c r="F1220" s="54" t="n">
        <v>0.106521</v>
      </c>
      <c r="G1220" t="inlineStr">
        <is>
          <t>calculado</t>
        </is>
      </c>
      <c r="H1220" t="inlineStr">
        <is>
          <t>IEE 5.1127 % con cuota mínima 1 €/MWh (Ley 38/1992 art. 99 (sin medidas vigentes)) + IVA 10 % (RDL 8/2023 art. 21.1 (condición: mes anterior &gt; 45 €/MWh))</t>
        </is>
      </c>
      <c r="J1220" t="inlineStr">
        <is>
          <t>2024-09-27</t>
        </is>
      </c>
      <c r="K1220" t="inlineStr">
        <is>
          <t>ESIOS 1001 geo 8741</t>
        </is>
      </c>
      <c r="L1220" t="inlineStr">
        <is>
          <t>24 valores; mín 33.33, máx 171.39 €/MWh</t>
        </is>
      </c>
    </row>
    <row r="1221">
      <c r="A1221" s="53" t="n">
        <v>45564</v>
      </c>
      <c r="B1221" t="inlineStr">
        <is>
          <t>2024-09-29</t>
        </is>
      </c>
      <c r="C1221" s="45" t="n">
        <v>91.6996</v>
      </c>
      <c r="D1221" t="inlineStr">
        <is>
          <t>€/MWh</t>
        </is>
      </c>
      <c r="E1221" s="54" t="n">
        <v>0.0917</v>
      </c>
      <c r="F1221" s="54" t="n">
        <v>0.106027</v>
      </c>
      <c r="G1221" t="inlineStr">
        <is>
          <t>calculado</t>
        </is>
      </c>
      <c r="H1221" t="inlineStr">
        <is>
          <t>IEE 5.1127 % con cuota mínima 1 €/MWh (Ley 38/1992 art. 99 (sin medidas vigentes)) + IVA 10 % (RDL 8/2023 art. 21.1 (condición: mes anterior &gt; 45 €/MWh))</t>
        </is>
      </c>
      <c r="J1221" t="inlineStr">
        <is>
          <t>2024-09-28</t>
        </is>
      </c>
      <c r="K1221" t="inlineStr">
        <is>
          <t>ESIOS 1001 geo 8741</t>
        </is>
      </c>
      <c r="L1221" t="inlineStr">
        <is>
          <t>24 valores; mín 37.64, máx 149.14 €/MWh</t>
        </is>
      </c>
    </row>
    <row r="1222">
      <c r="A1222" s="53" t="n">
        <v>45565</v>
      </c>
      <c r="B1222" t="inlineStr">
        <is>
          <t>2024-09-30</t>
        </is>
      </c>
      <c r="C1222" s="45" t="n">
        <v>154.8296</v>
      </c>
      <c r="D1222" t="inlineStr">
        <is>
          <t>€/MWh</t>
        </is>
      </c>
      <c r="E1222" s="54" t="n">
        <v>0.15483</v>
      </c>
      <c r="F1222" s="54" t="n">
        <v>0.17902</v>
      </c>
      <c r="G1222" t="inlineStr">
        <is>
          <t>calculado</t>
        </is>
      </c>
      <c r="H1222" t="inlineStr">
        <is>
          <t>IEE 5.1127 % con cuota mínima 1 €/MWh (Ley 38/1992 art. 99 (sin medidas vigentes)) + IVA 10 % (RDL 8/2023 art. 21.1 (condición: mes anterior &gt; 45 €/MWh))</t>
        </is>
      </c>
      <c r="J1222" t="inlineStr">
        <is>
          <t>2024-09-29</t>
        </is>
      </c>
      <c r="K1222" t="inlineStr">
        <is>
          <t>ESIOS 1001 geo 8741</t>
        </is>
      </c>
      <c r="L1222" t="inlineStr">
        <is>
          <t>24 valores; mín 46.59, máx 294.31 €/MWh</t>
        </is>
      </c>
    </row>
    <row r="1223">
      <c r="A1223" s="53" t="n">
        <v>45566</v>
      </c>
      <c r="B1223" t="inlineStr">
        <is>
          <t>2024-10-01</t>
        </is>
      </c>
      <c r="C1223" s="45" t="n">
        <v>167.4571</v>
      </c>
      <c r="D1223" t="inlineStr">
        <is>
          <t>€/MWh</t>
        </is>
      </c>
      <c r="E1223" s="54" t="n">
        <v>0.167457</v>
      </c>
      <c r="F1223" s="54" t="n">
        <v>0.193621</v>
      </c>
      <c r="G1223" t="inlineStr">
        <is>
          <t>calculado</t>
        </is>
      </c>
      <c r="H1223" t="inlineStr">
        <is>
          <t>IEE 5.1127 % con cuota mínima 1 €/MWh (Ley 38/1992 art. 99 (sin medidas vigentes)) + IVA 10 % (RDL 8/2023 art. 21.1 (condición: mes anterior &gt; 45 €/MWh))</t>
        </is>
      </c>
      <c r="J1223" t="inlineStr">
        <is>
          <t>2024-09-30</t>
        </is>
      </c>
      <c r="K1223" t="inlineStr">
        <is>
          <t>ESIOS 1001 geo 8741</t>
        </is>
      </c>
      <c r="L1223" t="inlineStr">
        <is>
          <t>24 valores; mín 109.14, máx 293.94 €/MWh</t>
        </is>
      </c>
    </row>
    <row r="1224">
      <c r="A1224" s="53" t="n">
        <v>45567</v>
      </c>
      <c r="B1224" t="inlineStr">
        <is>
          <t>2024-10-02</t>
        </is>
      </c>
      <c r="C1224" s="45" t="n">
        <v>164.2133</v>
      </c>
      <c r="D1224" t="inlineStr">
        <is>
          <t>€/MWh</t>
        </is>
      </c>
      <c r="E1224" s="54" t="n">
        <v>0.164213</v>
      </c>
      <c r="F1224" s="54" t="n">
        <v>0.18987</v>
      </c>
      <c r="G1224" t="inlineStr">
        <is>
          <t>calculado</t>
        </is>
      </c>
      <c r="H1224" t="inlineStr">
        <is>
          <t>IEE 5.1127 % con cuota mínima 1 €/MWh (Ley 38/1992 art. 99 (sin medidas vigentes)) + IVA 10 % (RDL 8/2023 art. 21.1 (condición: mes anterior &gt; 45 €/MWh))</t>
        </is>
      </c>
      <c r="J1224" t="inlineStr">
        <is>
          <t>2024-10-01</t>
        </is>
      </c>
      <c r="K1224" t="inlineStr">
        <is>
          <t>ESIOS 1001 geo 8741</t>
        </is>
      </c>
      <c r="L1224" t="inlineStr">
        <is>
          <t>24 valores; mín 121.40, máx 228.24 €/MWh</t>
        </is>
      </c>
    </row>
    <row r="1225">
      <c r="A1225" s="53" t="n">
        <v>45568</v>
      </c>
      <c r="B1225" t="inlineStr">
        <is>
          <t>2024-10-03</t>
        </is>
      </c>
      <c r="C1225" s="45" t="n">
        <v>136.2946</v>
      </c>
      <c r="D1225" t="inlineStr">
        <is>
          <t>€/MWh</t>
        </is>
      </c>
      <c r="E1225" s="54" t="n">
        <v>0.136295</v>
      </c>
      <c r="F1225" s="54" t="n">
        <v>0.157589</v>
      </c>
      <c r="G1225" t="inlineStr">
        <is>
          <t>calculado</t>
        </is>
      </c>
      <c r="H1225" t="inlineStr">
        <is>
          <t>IEE 5.1127 % con cuota mínima 1 €/MWh (Ley 38/1992 art. 99 (sin medidas vigentes)) + IVA 10 % (RDL 8/2023 art. 21.1 (condición: mes anterior &gt; 45 €/MWh))</t>
        </is>
      </c>
      <c r="J1225" t="inlineStr">
        <is>
          <t>2024-10-02</t>
        </is>
      </c>
      <c r="K1225" t="inlineStr">
        <is>
          <t>ESIOS 1001 geo 8741</t>
        </is>
      </c>
      <c r="L1225" t="inlineStr">
        <is>
          <t>24 valores; mín 52.75, máx 256.38 €/MWh</t>
        </is>
      </c>
    </row>
    <row r="1226">
      <c r="A1226" s="53" t="n">
        <v>45569</v>
      </c>
      <c r="B1226" t="inlineStr">
        <is>
          <t>2024-10-04</t>
        </is>
      </c>
      <c r="C1226" s="45" t="n">
        <v>166.3875</v>
      </c>
      <c r="D1226" t="inlineStr">
        <is>
          <t>€/MWh</t>
        </is>
      </c>
      <c r="E1226" s="54" t="n">
        <v>0.166388</v>
      </c>
      <c r="F1226" s="54" t="n">
        <v>0.192384</v>
      </c>
      <c r="G1226" t="inlineStr">
        <is>
          <t>calculado</t>
        </is>
      </c>
      <c r="H1226" t="inlineStr">
        <is>
          <t>IEE 5.1127 % con cuota mínima 1 €/MWh (Ley 38/1992 art. 99 (sin medidas vigentes)) + IVA 10 % (RDL 8/2023 art. 21.1 (condición: mes anterior &gt; 45 €/MWh))</t>
        </is>
      </c>
      <c r="J1226" t="inlineStr">
        <is>
          <t>2024-10-03</t>
        </is>
      </c>
      <c r="K1226" t="inlineStr">
        <is>
          <t>ESIOS 1001 geo 8741</t>
        </is>
      </c>
      <c r="L1226" t="inlineStr">
        <is>
          <t>24 valores; mín 99.37, máx 262.76 €/MWh</t>
        </is>
      </c>
    </row>
    <row r="1227">
      <c r="A1227" s="53" t="n">
        <v>45570</v>
      </c>
      <c r="B1227" t="inlineStr">
        <is>
          <t>2024-10-05</t>
        </is>
      </c>
      <c r="C1227" s="45" t="n">
        <v>102.6133</v>
      </c>
      <c r="D1227" t="inlineStr">
        <is>
          <t>€/MWh</t>
        </is>
      </c>
      <c r="E1227" s="54" t="n">
        <v>0.102613</v>
      </c>
      <c r="F1227" s="54" t="n">
        <v>0.118646</v>
      </c>
      <c r="G1227" t="inlineStr">
        <is>
          <t>calculado</t>
        </is>
      </c>
      <c r="H1227" t="inlineStr">
        <is>
          <t>IEE 5.1127 % con cuota mínima 1 €/MWh (Ley 38/1992 art. 99 (sin medidas vigentes)) + IVA 10 % (RDL 8/2023 art. 21.1 (condición: mes anterior &gt; 45 €/MWh))</t>
        </is>
      </c>
      <c r="J1227" t="inlineStr">
        <is>
          <t>2024-10-04</t>
        </is>
      </c>
      <c r="K1227" t="inlineStr">
        <is>
          <t>ESIOS 1001 geo 8741</t>
        </is>
      </c>
      <c r="L1227" t="inlineStr">
        <is>
          <t>24 valores; mín 29.77, máx 156.68 €/MWh</t>
        </is>
      </c>
    </row>
    <row r="1228">
      <c r="A1228" s="53" t="n">
        <v>45571</v>
      </c>
      <c r="B1228" t="inlineStr">
        <is>
          <t>2024-10-06</t>
        </is>
      </c>
      <c r="C1228" s="45" t="n">
        <v>75.7525</v>
      </c>
      <c r="D1228" t="inlineStr">
        <is>
          <t>€/MWh</t>
        </is>
      </c>
      <c r="E1228" s="54" t="n">
        <v>0.075753</v>
      </c>
      <c r="F1228" s="54" t="n">
        <v>0.087588</v>
      </c>
      <c r="G1228" t="inlineStr">
        <is>
          <t>calculado</t>
        </is>
      </c>
      <c r="H1228" t="inlineStr">
        <is>
          <t>IEE 5.1127 % con cuota mínima 1 €/MWh (Ley 38/1992 art. 99 (sin medidas vigentes)) + IVA 10 % (RDL 8/2023 art. 21.1 (condición: mes anterior &gt; 45 €/MWh))</t>
        </is>
      </c>
      <c r="J1228" t="inlineStr">
        <is>
          <t>2024-10-05</t>
        </is>
      </c>
      <c r="K1228" t="inlineStr">
        <is>
          <t>ESIOS 1001 geo 8741</t>
        </is>
      </c>
      <c r="L1228" t="inlineStr">
        <is>
          <t>24 valores; mín 42.16, máx 141.62 €/MWh</t>
        </is>
      </c>
    </row>
    <row r="1229">
      <c r="A1229" s="53" t="n">
        <v>45572</v>
      </c>
      <c r="B1229" t="inlineStr">
        <is>
          <t>2024-10-07</t>
        </is>
      </c>
      <c r="C1229" s="45" t="n">
        <v>134.9425</v>
      </c>
      <c r="D1229" t="inlineStr">
        <is>
          <t>€/MWh</t>
        </is>
      </c>
      <c r="E1229" s="54" t="n">
        <v>0.134942</v>
      </c>
      <c r="F1229" s="54" t="n">
        <v>0.156026</v>
      </c>
      <c r="G1229" t="inlineStr">
        <is>
          <t>calculado</t>
        </is>
      </c>
      <c r="H1229" t="inlineStr">
        <is>
          <t>IEE 5.1127 % con cuota mínima 1 €/MWh (Ley 38/1992 art. 99 (sin medidas vigentes)) + IVA 10 % (RDL 8/2023 art. 21.1 (condición: mes anterior &gt; 45 €/MWh))</t>
        </is>
      </c>
      <c r="J1229" t="inlineStr">
        <is>
          <t>2024-10-06</t>
        </is>
      </c>
      <c r="K1229" t="inlineStr">
        <is>
          <t>ESIOS 1001 geo 8741</t>
        </is>
      </c>
      <c r="L1229" t="inlineStr">
        <is>
          <t>24 valores; mín 78.72, máx 205.65 €/MWh</t>
        </is>
      </c>
    </row>
    <row r="1230">
      <c r="A1230" s="53" t="n">
        <v>45573</v>
      </c>
      <c r="B1230" t="inlineStr">
        <is>
          <t>2024-10-08</t>
        </is>
      </c>
      <c r="C1230" s="45" t="n">
        <v>114.7279</v>
      </c>
      <c r="D1230" t="inlineStr">
        <is>
          <t>€/MWh</t>
        </is>
      </c>
      <c r="E1230" s="54" t="n">
        <v>0.114728</v>
      </c>
      <c r="F1230" s="54" t="n">
        <v>0.132653</v>
      </c>
      <c r="G1230" t="inlineStr">
        <is>
          <t>calculado</t>
        </is>
      </c>
      <c r="H1230" t="inlineStr">
        <is>
          <t>IEE 5.1127 % con cuota mínima 1 €/MWh (Ley 38/1992 art. 99 (sin medidas vigentes)) + IVA 10 % (RDL 8/2023 art. 21.1 (condición: mes anterior &gt; 45 €/MWh))</t>
        </is>
      </c>
      <c r="J1230" t="inlineStr">
        <is>
          <t>2024-10-07</t>
        </is>
      </c>
      <c r="K1230" t="inlineStr">
        <is>
          <t>ESIOS 1001 geo 8741</t>
        </is>
      </c>
      <c r="L1230" t="inlineStr">
        <is>
          <t>24 valores; mín 53.31, máx 222.62 €/MWh</t>
        </is>
      </c>
    </row>
    <row r="1231">
      <c r="A1231" s="53" t="n">
        <v>45574</v>
      </c>
      <c r="B1231" t="inlineStr">
        <is>
          <t>2024-10-09</t>
        </is>
      </c>
      <c r="C1231" s="45" t="n">
        <v>113.3871</v>
      </c>
      <c r="D1231" t="inlineStr">
        <is>
          <t>€/MWh</t>
        </is>
      </c>
      <c r="E1231" s="54" t="n">
        <v>0.113387</v>
      </c>
      <c r="F1231" s="54" t="n">
        <v>0.131103</v>
      </c>
      <c r="G1231" t="inlineStr">
        <is>
          <t>calculado</t>
        </is>
      </c>
      <c r="H1231" t="inlineStr">
        <is>
          <t>IEE 5.1127 % con cuota mínima 1 €/MWh (Ley 38/1992 art. 99 (sin medidas vigentes)) + IVA 10 % (RDL 8/2023 art. 21.1 (condición: mes anterior &gt; 45 €/MWh))</t>
        </is>
      </c>
      <c r="J1231" t="inlineStr">
        <is>
          <t>2024-10-08</t>
        </is>
      </c>
      <c r="K1231" t="inlineStr">
        <is>
          <t>ESIOS 1001 geo 8741</t>
        </is>
      </c>
      <c r="L1231" t="inlineStr">
        <is>
          <t>24 valores; mín 64.39, máx 188.86 €/MWh</t>
        </is>
      </c>
    </row>
    <row r="1232">
      <c r="A1232" s="53" t="n">
        <v>45575</v>
      </c>
      <c r="B1232" t="inlineStr">
        <is>
          <t>2024-10-10</t>
        </is>
      </c>
      <c r="C1232" s="45" t="n">
        <v>148.3142</v>
      </c>
      <c r="D1232" t="inlineStr">
        <is>
          <t>€/MWh</t>
        </is>
      </c>
      <c r="E1232" s="54" t="n">
        <v>0.148314</v>
      </c>
      <c r="F1232" s="54" t="n">
        <v>0.171487</v>
      </c>
      <c r="G1232" t="inlineStr">
        <is>
          <t>calculado</t>
        </is>
      </c>
      <c r="H1232" t="inlineStr">
        <is>
          <t>IEE 5.1127 % con cuota mínima 1 €/MWh (Ley 38/1992 art. 99 (sin medidas vigentes)) + IVA 10 % (RDL 8/2023 art. 21.1 (condición: mes anterior &gt; 45 €/MWh))</t>
        </is>
      </c>
      <c r="J1232" t="inlineStr">
        <is>
          <t>2024-10-09</t>
        </is>
      </c>
      <c r="K1232" t="inlineStr">
        <is>
          <t>ESIOS 1001 geo 8741</t>
        </is>
      </c>
      <c r="L1232" t="inlineStr">
        <is>
          <t>24 valores; mín 75.51, máx 306.83 €/MWh</t>
        </is>
      </c>
    </row>
    <row r="1233">
      <c r="A1233" s="53" t="n">
        <v>45576</v>
      </c>
      <c r="B1233" t="inlineStr">
        <is>
          <t>2024-10-11</t>
        </is>
      </c>
      <c r="C1233" s="45" t="n">
        <v>159.5933</v>
      </c>
      <c r="D1233" t="inlineStr">
        <is>
          <t>€/MWh</t>
        </is>
      </c>
      <c r="E1233" s="54" t="n">
        <v>0.159593</v>
      </c>
      <c r="F1233" s="54" t="n">
        <v>0.184528</v>
      </c>
      <c r="G1233" t="inlineStr">
        <is>
          <t>calculado</t>
        </is>
      </c>
      <c r="H1233" t="inlineStr">
        <is>
          <t>IEE 5.1127 % con cuota mínima 1 €/MWh (Ley 38/1992 art. 99 (sin medidas vigentes)) + IVA 10 % (RDL 8/2023 art. 21.1 (condición: mes anterior &gt; 45 €/MWh))</t>
        </is>
      </c>
      <c r="J1233" t="inlineStr">
        <is>
          <t>2024-10-10</t>
        </is>
      </c>
      <c r="K1233" t="inlineStr">
        <is>
          <t>ESIOS 1001 geo 8741</t>
        </is>
      </c>
      <c r="L1233" t="inlineStr">
        <is>
          <t>24 valores; mín 116.61, máx 226.21 €/MWh</t>
        </is>
      </c>
    </row>
    <row r="1234">
      <c r="A1234" s="53" t="n">
        <v>45577</v>
      </c>
      <c r="B1234" t="inlineStr">
        <is>
          <t>2024-10-12</t>
        </is>
      </c>
      <c r="C1234" s="45" t="n">
        <v>110.6171</v>
      </c>
      <c r="D1234" t="inlineStr">
        <is>
          <t>€/MWh</t>
        </is>
      </c>
      <c r="E1234" s="54" t="n">
        <v>0.110617</v>
      </c>
      <c r="F1234" s="54" t="n">
        <v>0.1279</v>
      </c>
      <c r="G1234" t="inlineStr">
        <is>
          <t>calculado</t>
        </is>
      </c>
      <c r="H1234" t="inlineStr">
        <is>
          <t>IEE 5.1127 % con cuota mínima 1 €/MWh (Ley 38/1992 art. 99 (sin medidas vigentes)) + IVA 10 % (RDL 8/2023 art. 21.1 (condición: mes anterior &gt; 45 €/MWh))</t>
        </is>
      </c>
      <c r="J1234" t="inlineStr">
        <is>
          <t>2024-10-11</t>
        </is>
      </c>
      <c r="K1234" t="inlineStr">
        <is>
          <t>ESIOS 1001 geo 8741</t>
        </is>
      </c>
      <c r="L1234" t="inlineStr">
        <is>
          <t>24 valores; mín 77.58, máx 164.22 €/MWh</t>
        </is>
      </c>
    </row>
    <row r="1235">
      <c r="A1235" s="53" t="n">
        <v>45578</v>
      </c>
      <c r="B1235" t="inlineStr">
        <is>
          <t>2024-10-13</t>
        </is>
      </c>
      <c r="C1235" s="45" t="n">
        <v>102.0667</v>
      </c>
      <c r="D1235" t="inlineStr">
        <is>
          <t>€/MWh</t>
        </is>
      </c>
      <c r="E1235" s="54" t="n">
        <v>0.102067</v>
      </c>
      <c r="F1235" s="54" t="n">
        <v>0.118014</v>
      </c>
      <c r="G1235" t="inlineStr">
        <is>
          <t>calculado</t>
        </is>
      </c>
      <c r="H1235" t="inlineStr">
        <is>
          <t>IEE 5.1127 % con cuota mínima 1 €/MWh (Ley 38/1992 art. 99 (sin medidas vigentes)) + IVA 10 % (RDL 8/2023 art. 21.1 (condición: mes anterior &gt; 45 €/MWh))</t>
        </is>
      </c>
      <c r="J1235" t="inlineStr">
        <is>
          <t>2024-10-12</t>
        </is>
      </c>
      <c r="K1235" t="inlineStr">
        <is>
          <t>ESIOS 1001 geo 8741</t>
        </is>
      </c>
      <c r="L1235" t="inlineStr">
        <is>
          <t>24 valores; mín 37.36, máx 171.42 €/MWh</t>
        </is>
      </c>
    </row>
    <row r="1236">
      <c r="A1236" s="53" t="n">
        <v>45579</v>
      </c>
      <c r="B1236" t="inlineStr">
        <is>
          <t>2024-10-14</t>
        </is>
      </c>
      <c r="C1236" s="45" t="n">
        <v>171.4363</v>
      </c>
      <c r="D1236" t="inlineStr">
        <is>
          <t>€/MWh</t>
        </is>
      </c>
      <c r="E1236" s="54" t="n">
        <v>0.171436</v>
      </c>
      <c r="F1236" s="54" t="n">
        <v>0.198221</v>
      </c>
      <c r="G1236" t="inlineStr">
        <is>
          <t>calculado</t>
        </is>
      </c>
      <c r="H1236" t="inlineStr">
        <is>
          <t>IEE 5.1127 % con cuota mínima 1 €/MWh (Ley 38/1992 art. 99 (sin medidas vigentes)) + IVA 10 % (RDL 8/2023 art. 21.1 (condición: mes anterior &gt; 45 €/MWh))</t>
        </is>
      </c>
      <c r="J1236" t="inlineStr">
        <is>
          <t>2024-10-13</t>
        </is>
      </c>
      <c r="K1236" t="inlineStr">
        <is>
          <t>ESIOS 1001 geo 8741</t>
        </is>
      </c>
      <c r="L1236" t="inlineStr">
        <is>
          <t>24 valores; mín 121.69, máx 294.71 €/MWh</t>
        </is>
      </c>
    </row>
    <row r="1237">
      <c r="A1237" s="53" t="n">
        <v>45580</v>
      </c>
      <c r="B1237" t="inlineStr">
        <is>
          <t>2024-10-15</t>
        </is>
      </c>
      <c r="C1237" s="45" t="n">
        <v>157.4625</v>
      </c>
      <c r="D1237" t="inlineStr">
        <is>
          <t>€/MWh</t>
        </is>
      </c>
      <c r="E1237" s="54" t="n">
        <v>0.157463</v>
      </c>
      <c r="F1237" s="54" t="n">
        <v>0.182064</v>
      </c>
      <c r="G1237" t="inlineStr">
        <is>
          <t>calculado</t>
        </is>
      </c>
      <c r="H1237" t="inlineStr">
        <is>
          <t>IEE 5.1127 % con cuota mínima 1 €/MWh (Ley 38/1992 art. 99 (sin medidas vigentes)) + IVA 10 % (RDL 8/2023 art. 21.1 (condición: mes anterior &gt; 45 €/MWh))</t>
        </is>
      </c>
      <c r="J1237" t="inlineStr">
        <is>
          <t>2024-10-14</t>
        </is>
      </c>
      <c r="K1237" t="inlineStr">
        <is>
          <t>ESIOS 1001 geo 8741</t>
        </is>
      </c>
      <c r="L1237" t="inlineStr">
        <is>
          <t>24 valores; mín 106.55, máx 239.23 €/MWh</t>
        </is>
      </c>
    </row>
    <row r="1238">
      <c r="A1238" s="53" t="n">
        <v>45581</v>
      </c>
      <c r="B1238" t="inlineStr">
        <is>
          <t>2024-10-16</t>
        </is>
      </c>
      <c r="C1238" s="45" t="n">
        <v>126.4154</v>
      </c>
      <c r="D1238" t="inlineStr">
        <is>
          <t>€/MWh</t>
        </is>
      </c>
      <c r="E1238" s="54" t="n">
        <v>0.126415</v>
      </c>
      <c r="F1238" s="54" t="n">
        <v>0.146166</v>
      </c>
      <c r="G1238" t="inlineStr">
        <is>
          <t>calculado</t>
        </is>
      </c>
      <c r="H1238" t="inlineStr">
        <is>
          <t>IEE 5.1127 % con cuota mínima 1 €/MWh (Ley 38/1992 art. 99 (sin medidas vigentes)) + IVA 10 % (RDL 8/2023 art. 21.1 (condición: mes anterior &gt; 45 €/MWh))</t>
        </is>
      </c>
      <c r="J1238" t="inlineStr">
        <is>
          <t>2024-10-15</t>
        </is>
      </c>
      <c r="K1238" t="inlineStr">
        <is>
          <t>ESIOS 1001 geo 8741</t>
        </is>
      </c>
      <c r="L1238" t="inlineStr">
        <is>
          <t>24 valores; mín 65.67, máx 236.29 €/MWh</t>
        </is>
      </c>
    </row>
    <row r="1239">
      <c r="A1239" s="53" t="n">
        <v>45582</v>
      </c>
      <c r="B1239" t="inlineStr">
        <is>
          <t>2024-10-17</t>
        </is>
      </c>
      <c r="C1239" s="45" t="n">
        <v>129.7275</v>
      </c>
      <c r="D1239" t="inlineStr">
        <is>
          <t>€/MWh</t>
        </is>
      </c>
      <c r="E1239" s="54" t="n">
        <v>0.129727</v>
      </c>
      <c r="F1239" s="54" t="n">
        <v>0.149996</v>
      </c>
      <c r="G1239" t="inlineStr">
        <is>
          <t>calculado</t>
        </is>
      </c>
      <c r="H1239" t="inlineStr">
        <is>
          <t>IEE 5.1127 % con cuota mínima 1 €/MWh (Ley 38/1992 art. 99 (sin medidas vigentes)) + IVA 10 % (RDL 8/2023 art. 21.1 (condición: mes anterior &gt; 45 €/MWh))</t>
        </is>
      </c>
      <c r="J1239" t="inlineStr">
        <is>
          <t>2024-10-16</t>
        </is>
      </c>
      <c r="K1239" t="inlineStr">
        <is>
          <t>ESIOS 1001 geo 8741</t>
        </is>
      </c>
      <c r="L1239" t="inlineStr">
        <is>
          <t>24 valores; mín 63.03, máx 205.30 €/MWh</t>
        </is>
      </c>
    </row>
    <row r="1240">
      <c r="A1240" s="53" t="n">
        <v>45583</v>
      </c>
      <c r="B1240" t="inlineStr">
        <is>
          <t>2024-10-18</t>
        </is>
      </c>
      <c r="C1240" s="45" t="n">
        <v>131.5579</v>
      </c>
      <c r="D1240" t="inlineStr">
        <is>
          <t>€/MWh</t>
        </is>
      </c>
      <c r="E1240" s="54" t="n">
        <v>0.131558</v>
      </c>
      <c r="F1240" s="54" t="n">
        <v>0.152112</v>
      </c>
      <c r="G1240" t="inlineStr">
        <is>
          <t>calculado</t>
        </is>
      </c>
      <c r="H1240" t="inlineStr">
        <is>
          <t>IEE 5.1127 % con cuota mínima 1 €/MWh (Ley 38/1992 art. 99 (sin medidas vigentes)) + IVA 10 % (RDL 8/2023 art. 21.1 (condición: mes anterior &gt; 45 €/MWh))</t>
        </is>
      </c>
      <c r="J1240" t="inlineStr">
        <is>
          <t>2024-10-17</t>
        </is>
      </c>
      <c r="K1240" t="inlineStr">
        <is>
          <t>ESIOS 1001 geo 8741</t>
        </is>
      </c>
      <c r="L1240" t="inlineStr">
        <is>
          <t>24 valores; mín 64.38, máx 239.51 €/MWh</t>
        </is>
      </c>
    </row>
    <row r="1241">
      <c r="A1241" s="53" t="n">
        <v>45584</v>
      </c>
      <c r="B1241" t="inlineStr">
        <is>
          <t>2024-10-19</t>
        </is>
      </c>
      <c r="C1241" s="45" t="n">
        <v>98.6529</v>
      </c>
      <c r="D1241" t="inlineStr">
        <is>
          <t>€/MWh</t>
        </is>
      </c>
      <c r="E1241" s="54" t="n">
        <v>0.098653</v>
      </c>
      <c r="F1241" s="54" t="n">
        <v>0.114066</v>
      </c>
      <c r="G1241" t="inlineStr">
        <is>
          <t>calculado</t>
        </is>
      </c>
      <c r="H1241" t="inlineStr">
        <is>
          <t>IEE 5.1127 % con cuota mínima 1 €/MWh (Ley 38/1992 art. 99 (sin medidas vigentes)) + IVA 10 % (RDL 8/2023 art. 21.1 (condición: mes anterior &gt; 45 €/MWh))</t>
        </is>
      </c>
      <c r="J1241" t="inlineStr">
        <is>
          <t>2024-10-18</t>
        </is>
      </c>
      <c r="K1241" t="inlineStr">
        <is>
          <t>ESIOS 1001 geo 8741</t>
        </is>
      </c>
      <c r="L1241" t="inlineStr">
        <is>
          <t>24 valores; mín 40.60, máx 141.87 €/MWh</t>
        </is>
      </c>
    </row>
    <row r="1242">
      <c r="A1242" s="53" t="n">
        <v>45585</v>
      </c>
      <c r="B1242" t="inlineStr">
        <is>
          <t>2024-10-20</t>
        </is>
      </c>
      <c r="C1242" s="45" t="n">
        <v>98.3096</v>
      </c>
      <c r="D1242" t="inlineStr">
        <is>
          <t>€/MWh</t>
        </is>
      </c>
      <c r="E1242" s="54" t="n">
        <v>0.09830999999999999</v>
      </c>
      <c r="F1242" s="54" t="n">
        <v>0.113669</v>
      </c>
      <c r="G1242" t="inlineStr">
        <is>
          <t>calculado</t>
        </is>
      </c>
      <c r="H1242" t="inlineStr">
        <is>
          <t>IEE 5.1127 % con cuota mínima 1 €/MWh (Ley 38/1992 art. 99 (sin medidas vigentes)) + IVA 10 % (RDL 8/2023 art. 21.1 (condición: mes anterior &gt; 45 €/MWh))</t>
        </is>
      </c>
      <c r="J1242" t="inlineStr">
        <is>
          <t>2024-10-19</t>
        </is>
      </c>
      <c r="K1242" t="inlineStr">
        <is>
          <t>ESIOS 1001 geo 8741</t>
        </is>
      </c>
      <c r="L1242" t="inlineStr">
        <is>
          <t>24 valores; mín 34.83, máx 179.47 €/MWh</t>
        </is>
      </c>
    </row>
    <row r="1243">
      <c r="A1243" s="53" t="n">
        <v>45586</v>
      </c>
      <c r="B1243" t="inlineStr">
        <is>
          <t>2024-10-21</t>
        </is>
      </c>
      <c r="C1243" s="45" t="n">
        <v>165.5025</v>
      </c>
      <c r="D1243" t="inlineStr">
        <is>
          <t>€/MWh</t>
        </is>
      </c>
      <c r="E1243" s="54" t="n">
        <v>0.165502</v>
      </c>
      <c r="F1243" s="54" t="n">
        <v>0.191361</v>
      </c>
      <c r="G1243" t="inlineStr">
        <is>
          <t>calculado</t>
        </is>
      </c>
      <c r="H1243" t="inlineStr">
        <is>
          <t>IEE 5.1127 % con cuota mínima 1 €/MWh (Ley 38/1992 art. 99 (sin medidas vigentes)) + IVA 10 % (RDL 8/2023 art. 21.1 (condición: mes anterior &gt; 45 €/MWh))</t>
        </is>
      </c>
      <c r="J1243" t="inlineStr">
        <is>
          <t>2024-10-20</t>
        </is>
      </c>
      <c r="K1243" t="inlineStr">
        <is>
          <t>ESIOS 1001 geo 8741</t>
        </is>
      </c>
      <c r="L1243" t="inlineStr">
        <is>
          <t>24 valores; mín 109.22, máx 304.39 €/MWh</t>
        </is>
      </c>
    </row>
    <row r="1244">
      <c r="A1244" s="53" t="n">
        <v>45587</v>
      </c>
      <c r="B1244" t="inlineStr">
        <is>
          <t>2024-10-22</t>
        </is>
      </c>
      <c r="C1244" s="45" t="n">
        <v>153.8217</v>
      </c>
      <c r="D1244" t="inlineStr">
        <is>
          <t>€/MWh</t>
        </is>
      </c>
      <c r="E1244" s="54" t="n">
        <v>0.153822</v>
      </c>
      <c r="F1244" s="54" t="n">
        <v>0.177855</v>
      </c>
      <c r="G1244" t="inlineStr">
        <is>
          <t>calculado</t>
        </is>
      </c>
      <c r="H1244" t="inlineStr">
        <is>
          <t>IEE 5.1127 % con cuota mínima 1 €/MWh (Ley 38/1992 art. 99 (sin medidas vigentes)) + IVA 10 % (RDL 8/2023 art. 21.1 (condición: mes anterior &gt; 45 €/MWh))</t>
        </is>
      </c>
      <c r="J1244" t="inlineStr">
        <is>
          <t>2024-10-21</t>
        </is>
      </c>
      <c r="K1244" t="inlineStr">
        <is>
          <t>ESIOS 1001 geo 8741</t>
        </is>
      </c>
      <c r="L1244" t="inlineStr">
        <is>
          <t>24 valores; mín 105.30, máx 247.58 €/MWh</t>
        </is>
      </c>
    </row>
    <row r="1245">
      <c r="A1245" s="53" t="n">
        <v>45588</v>
      </c>
      <c r="B1245" t="inlineStr">
        <is>
          <t>2024-10-23</t>
        </is>
      </c>
      <c r="C1245" s="45" t="n">
        <v>156.4908</v>
      </c>
      <c r="D1245" t="inlineStr">
        <is>
          <t>€/MWh</t>
        </is>
      </c>
      <c r="E1245" s="54" t="n">
        <v>0.156491</v>
      </c>
      <c r="F1245" s="54" t="n">
        <v>0.180941</v>
      </c>
      <c r="G1245" t="inlineStr">
        <is>
          <t>calculado</t>
        </is>
      </c>
      <c r="H1245" t="inlineStr">
        <is>
          <t>IEE 5.1127 % con cuota mínima 1 €/MWh (Ley 38/1992 art. 99 (sin medidas vigentes)) + IVA 10 % (RDL 8/2023 art. 21.1 (condición: mes anterior &gt; 45 €/MWh))</t>
        </is>
      </c>
      <c r="J1245" t="inlineStr">
        <is>
          <t>2024-10-22</t>
        </is>
      </c>
      <c r="K1245" t="inlineStr">
        <is>
          <t>ESIOS 1001 geo 8741</t>
        </is>
      </c>
      <c r="L1245" t="inlineStr">
        <is>
          <t>24 valores; mín 100.14, máx 280.02 €/MWh</t>
        </is>
      </c>
    </row>
    <row r="1246">
      <c r="A1246" s="53" t="n">
        <v>45589</v>
      </c>
      <c r="B1246" t="inlineStr">
        <is>
          <t>2024-10-24</t>
        </is>
      </c>
      <c r="C1246" s="45" t="n">
        <v>145.8642</v>
      </c>
      <c r="D1246" t="inlineStr">
        <is>
          <t>€/MWh</t>
        </is>
      </c>
      <c r="E1246" s="54" t="n">
        <v>0.145864</v>
      </c>
      <c r="F1246" s="54" t="n">
        <v>0.168654</v>
      </c>
      <c r="G1246" t="inlineStr">
        <is>
          <t>calculado</t>
        </is>
      </c>
      <c r="H1246" t="inlineStr">
        <is>
          <t>IEE 5.1127 % con cuota mínima 1 €/MWh (Ley 38/1992 art. 99 (sin medidas vigentes)) + IVA 10 % (RDL 8/2023 art. 21.1 (condición: mes anterior &gt; 45 €/MWh))</t>
        </is>
      </c>
      <c r="J1246" t="inlineStr">
        <is>
          <t>2024-10-23</t>
        </is>
      </c>
      <c r="K1246" t="inlineStr">
        <is>
          <t>ESIOS 1001 geo 8741</t>
        </is>
      </c>
      <c r="L1246" t="inlineStr">
        <is>
          <t>24 valores; mín 84.79, máx 229.34 €/MWh</t>
        </is>
      </c>
    </row>
    <row r="1247">
      <c r="A1247" s="53" t="n">
        <v>45590</v>
      </c>
      <c r="B1247" t="inlineStr">
        <is>
          <t>2024-10-25</t>
        </is>
      </c>
      <c r="C1247" s="45" t="n">
        <v>140.2738</v>
      </c>
      <c r="D1247" t="inlineStr">
        <is>
          <t>€/MWh</t>
        </is>
      </c>
      <c r="E1247" s="54" t="n">
        <v>0.140274</v>
      </c>
      <c r="F1247" s="54" t="n">
        <v>0.16219</v>
      </c>
      <c r="G1247" t="inlineStr">
        <is>
          <t>calculado</t>
        </is>
      </c>
      <c r="H1247" t="inlineStr">
        <is>
          <t>IEE 5.1127 % con cuota mínima 1 €/MWh (Ley 38/1992 art. 99 (sin medidas vigentes)) + IVA 10 % (RDL 8/2023 art. 21.1 (condición: mes anterior &gt; 45 €/MWh))</t>
        </is>
      </c>
      <c r="J1247" t="inlineStr">
        <is>
          <t>2024-10-24</t>
        </is>
      </c>
      <c r="K1247" t="inlineStr">
        <is>
          <t>ESIOS 1001 geo 8741</t>
        </is>
      </c>
      <c r="L1247" t="inlineStr">
        <is>
          <t>24 valores; mín 86.98, máx 225.27 €/MWh</t>
        </is>
      </c>
    </row>
    <row r="1248">
      <c r="A1248" s="53" t="n">
        <v>45591</v>
      </c>
      <c r="B1248" t="inlineStr">
        <is>
          <t>2024-10-26</t>
        </is>
      </c>
      <c r="C1248" s="45" t="n">
        <v>97.1992</v>
      </c>
      <c r="D1248" t="inlineStr">
        <is>
          <t>€/MWh</t>
        </is>
      </c>
      <c r="E1248" s="54" t="n">
        <v>0.09719899999999999</v>
      </c>
      <c r="F1248" s="54" t="n">
        <v>0.112386</v>
      </c>
      <c r="G1248" t="inlineStr">
        <is>
          <t>calculado</t>
        </is>
      </c>
      <c r="H1248" t="inlineStr">
        <is>
          <t>IEE 5.1127 % con cuota mínima 1 €/MWh (Ley 38/1992 art. 99 (sin medidas vigentes)) + IVA 10 % (RDL 8/2023 art. 21.1 (condición: mes anterior &gt; 45 €/MWh))</t>
        </is>
      </c>
      <c r="J1248" t="inlineStr">
        <is>
          <t>2024-10-25</t>
        </is>
      </c>
      <c r="K1248" t="inlineStr">
        <is>
          <t>ESIOS 1001 geo 8741</t>
        </is>
      </c>
      <c r="L1248" t="inlineStr">
        <is>
          <t>24 valores; mín 42.55, máx 143.78 €/MWh</t>
        </is>
      </c>
    </row>
    <row r="1249">
      <c r="A1249" s="53" t="n">
        <v>45592</v>
      </c>
      <c r="B1249" t="inlineStr">
        <is>
          <t>2024-10-27</t>
        </is>
      </c>
      <c r="C1249" s="45" t="n">
        <v>122.944</v>
      </c>
      <c r="D1249" t="inlineStr">
        <is>
          <t>€/MWh</t>
        </is>
      </c>
      <c r="E1249" s="54" t="n">
        <v>0.122944</v>
      </c>
      <c r="F1249" s="54" t="n">
        <v>0.142153</v>
      </c>
      <c r="G1249" t="inlineStr">
        <is>
          <t>calculado</t>
        </is>
      </c>
      <c r="H1249" t="inlineStr">
        <is>
          <t>IEE 5.1127 % con cuota mínima 1 €/MWh (Ley 38/1992 art. 99 (sin medidas vigentes)) + IVA 10 % (RDL 8/2023 art. 21.1 (condición: mes anterior &gt; 45 €/MWh))</t>
        </is>
      </c>
      <c r="J1249" t="inlineStr">
        <is>
          <t>2024-10-26</t>
        </is>
      </c>
      <c r="K1249" t="inlineStr">
        <is>
          <t>ESIOS 1001 geo 8741</t>
        </is>
      </c>
      <c r="L1249" t="inlineStr">
        <is>
          <t>25 valores; mín 75.32, máx 175.13 €/MWh</t>
        </is>
      </c>
    </row>
    <row r="1250">
      <c r="A1250" s="53" t="n">
        <v>45593</v>
      </c>
      <c r="B1250" t="inlineStr">
        <is>
          <t>2024-10-28</t>
        </is>
      </c>
      <c r="C1250" s="45" t="n">
        <v>153.32</v>
      </c>
      <c r="D1250" t="inlineStr">
        <is>
          <t>€/MWh</t>
        </is>
      </c>
      <c r="E1250" s="54" t="n">
        <v>0.15332</v>
      </c>
      <c r="F1250" s="54" t="n">
        <v>0.177275</v>
      </c>
      <c r="G1250" t="inlineStr">
        <is>
          <t>calculado</t>
        </is>
      </c>
      <c r="H1250" t="inlineStr">
        <is>
          <t>IEE 5.1127 % con cuota mínima 1 €/MWh (Ley 38/1992 art. 99 (sin medidas vigentes)) + IVA 10 % (RDL 8/2023 art. 21.1 (condición: mes anterior &gt; 45 €/MWh))</t>
        </is>
      </c>
      <c r="J1250" t="inlineStr">
        <is>
          <t>2024-10-27</t>
        </is>
      </c>
      <c r="K1250" t="inlineStr">
        <is>
          <t>ESIOS 1001 geo 8741</t>
        </is>
      </c>
      <c r="L1250" t="inlineStr">
        <is>
          <t>24 valores; mín 96.78, máx 275.62 €/MWh</t>
        </is>
      </c>
    </row>
    <row r="1251">
      <c r="A1251" s="53" t="n">
        <v>45594</v>
      </c>
      <c r="B1251" t="inlineStr">
        <is>
          <t>2024-10-29</t>
        </is>
      </c>
      <c r="C1251" s="45" t="n">
        <v>148.4092</v>
      </c>
      <c r="D1251" t="inlineStr">
        <is>
          <t>€/MWh</t>
        </is>
      </c>
      <c r="E1251" s="54" t="n">
        <v>0.148409</v>
      </c>
      <c r="F1251" s="54" t="n">
        <v>0.171597</v>
      </c>
      <c r="G1251" t="inlineStr">
        <is>
          <t>calculado</t>
        </is>
      </c>
      <c r="H1251" t="inlineStr">
        <is>
          <t>IEE 5.1127 % con cuota mínima 1 €/MWh (Ley 38/1992 art. 99 (sin medidas vigentes)) + IVA 10 % (RDL 8/2023 art. 21.1 (condición: mes anterior &gt; 45 €/MWh))</t>
        </is>
      </c>
      <c r="J1251" t="inlineStr">
        <is>
          <t>2024-10-28</t>
        </is>
      </c>
      <c r="K1251" t="inlineStr">
        <is>
          <t>ESIOS 1001 geo 8741</t>
        </is>
      </c>
      <c r="L1251" t="inlineStr">
        <is>
          <t>24 valores; mín 90.26, máx 215.54 €/MWh</t>
        </is>
      </c>
    </row>
    <row r="1252">
      <c r="A1252" s="53" t="n">
        <v>45595</v>
      </c>
      <c r="B1252" t="inlineStr">
        <is>
          <t>2024-10-30</t>
        </is>
      </c>
      <c r="C1252" s="45" t="n">
        <v>156.3954</v>
      </c>
      <c r="D1252" t="inlineStr">
        <is>
          <t>€/MWh</t>
        </is>
      </c>
      <c r="E1252" s="54" t="n">
        <v>0.156395</v>
      </c>
      <c r="F1252" s="54" t="n">
        <v>0.180831</v>
      </c>
      <c r="G1252" t="inlineStr">
        <is>
          <t>calculado</t>
        </is>
      </c>
      <c r="H1252" t="inlineStr">
        <is>
          <t>IEE 5.1127 % con cuota mínima 1 €/MWh (Ley 38/1992 art. 99 (sin medidas vigentes)) + IVA 10 % (RDL 8/2023 art. 21.1 (condición: mes anterior &gt; 45 €/MWh))</t>
        </is>
      </c>
      <c r="J1252" t="inlineStr">
        <is>
          <t>2024-10-29</t>
        </is>
      </c>
      <c r="K1252" t="inlineStr">
        <is>
          <t>ESIOS 1001 geo 8741</t>
        </is>
      </c>
      <c r="L1252" t="inlineStr">
        <is>
          <t>24 valores; mín 79.72, máx 266.81 €/MWh</t>
        </is>
      </c>
    </row>
    <row r="1253">
      <c r="A1253" s="53" t="n">
        <v>45596</v>
      </c>
      <c r="B1253" t="inlineStr">
        <is>
          <t>2024-10-31</t>
        </is>
      </c>
      <c r="C1253" s="45" t="n">
        <v>172.9542</v>
      </c>
      <c r="D1253" t="inlineStr">
        <is>
          <t>€/MWh</t>
        </is>
      </c>
      <c r="E1253" s="54" t="n">
        <v>0.172954</v>
      </c>
      <c r="F1253" s="54" t="n">
        <v>0.199977</v>
      </c>
      <c r="G1253" t="inlineStr">
        <is>
          <t>calculado</t>
        </is>
      </c>
      <c r="H1253" t="inlineStr">
        <is>
          <t>IEE 5.1127 % con cuota mínima 1 €/MWh (Ley 38/1992 art. 99 (sin medidas vigentes)) + IVA 10 % (RDL 8/2023 art. 21.1 (condición: mes anterior &gt; 45 €/MWh))</t>
        </is>
      </c>
      <c r="J1253" t="inlineStr">
        <is>
          <t>2024-10-30</t>
        </is>
      </c>
      <c r="K1253" t="inlineStr">
        <is>
          <t>ESIOS 1001 geo 8741</t>
        </is>
      </c>
      <c r="L1253" t="inlineStr">
        <is>
          <t>24 valores; mín 109.18, máx 265.32 €/MWh</t>
        </is>
      </c>
    </row>
    <row r="1254">
      <c r="A1254" s="53" t="n">
        <v>45597</v>
      </c>
      <c r="B1254" t="inlineStr">
        <is>
          <t>2024-11-01</t>
        </is>
      </c>
      <c r="C1254" s="45" t="n">
        <v>124.9471</v>
      </c>
      <c r="D1254" t="inlineStr">
        <is>
          <t>€/MWh</t>
        </is>
      </c>
      <c r="E1254" s="54" t="n">
        <v>0.124947</v>
      </c>
      <c r="F1254" s="54" t="n">
        <v>0.144469</v>
      </c>
      <c r="G1254" t="inlineStr">
        <is>
          <t>calculado</t>
        </is>
      </c>
      <c r="H1254" t="inlineStr">
        <is>
          <t>IEE 5.1127 % con cuota mínima 1 €/MWh (Ley 38/1992 art. 99 (sin medidas vigentes)) + IVA 10 % (RDL 8/2023 art. 21.1 (condición: mes anterior &gt; 45 €/MWh))</t>
        </is>
      </c>
      <c r="J1254" t="inlineStr">
        <is>
          <t>2024-10-31</t>
        </is>
      </c>
      <c r="K1254" t="inlineStr">
        <is>
          <t>ESIOS 1001 geo 8741</t>
        </is>
      </c>
      <c r="L1254" t="inlineStr">
        <is>
          <t>24 valores; mín 82.88, máx 169.87 €/MWh</t>
        </is>
      </c>
    </row>
    <row r="1255">
      <c r="A1255" s="53" t="n">
        <v>45598</v>
      </c>
      <c r="B1255" t="inlineStr">
        <is>
          <t>2024-11-02</t>
        </is>
      </c>
      <c r="C1255" s="45" t="n">
        <v>136.03</v>
      </c>
      <c r="D1255" t="inlineStr">
        <is>
          <t>€/MWh</t>
        </is>
      </c>
      <c r="E1255" s="54" t="n">
        <v>0.13603</v>
      </c>
      <c r="F1255" s="54" t="n">
        <v>0.157283</v>
      </c>
      <c r="G1255" t="inlineStr">
        <is>
          <t>calculado</t>
        </is>
      </c>
      <c r="H1255" t="inlineStr">
        <is>
          <t>IEE 5.1127 % con cuota mínima 1 €/MWh (Ley 38/1992 art. 99 (sin medidas vigentes)) + IVA 10 % (RDL 8/2023 art. 21.1 (condición: mes anterior &gt; 45 €/MWh))</t>
        </is>
      </c>
      <c r="J1255" t="inlineStr">
        <is>
          <t>2024-11-01</t>
        </is>
      </c>
      <c r="K1255" t="inlineStr">
        <is>
          <t>ESIOS 1001 geo 8741</t>
        </is>
      </c>
      <c r="L1255" t="inlineStr">
        <is>
          <t>24 valores; mín 104.54, máx 156.34 €/MWh</t>
        </is>
      </c>
    </row>
    <row r="1256">
      <c r="A1256" s="53" t="n">
        <v>45599</v>
      </c>
      <c r="B1256" t="inlineStr">
        <is>
          <t>2024-11-03</t>
        </is>
      </c>
      <c r="C1256" s="45" t="n">
        <v>121.0042</v>
      </c>
      <c r="D1256" t="inlineStr">
        <is>
          <t>€/MWh</t>
        </is>
      </c>
      <c r="E1256" s="54" t="n">
        <v>0.121004</v>
      </c>
      <c r="F1256" s="54" t="n">
        <v>0.13991</v>
      </c>
      <c r="G1256" t="inlineStr">
        <is>
          <t>calculado</t>
        </is>
      </c>
      <c r="H1256" t="inlineStr">
        <is>
          <t>IEE 5.1127 % con cuota mínima 1 €/MWh (Ley 38/1992 art. 99 (sin medidas vigentes)) + IVA 10 % (RDL 8/2023 art. 21.1 (condición: mes anterior &gt; 45 €/MWh))</t>
        </is>
      </c>
      <c r="J1256" t="inlineStr">
        <is>
          <t>2024-11-02</t>
        </is>
      </c>
      <c r="K1256" t="inlineStr">
        <is>
          <t>ESIOS 1001 geo 8741</t>
        </is>
      </c>
      <c r="L1256" t="inlineStr">
        <is>
          <t>24 valores; mín 40.21, máx 164.12 €/MWh</t>
        </is>
      </c>
    </row>
    <row r="1257">
      <c r="A1257" s="53" t="n">
        <v>45600</v>
      </c>
      <c r="B1257" t="inlineStr">
        <is>
          <t>2024-11-04</t>
        </is>
      </c>
      <c r="C1257" s="45" t="n">
        <v>180.8412</v>
      </c>
      <c r="D1257" t="inlineStr">
        <is>
          <t>€/MWh</t>
        </is>
      </c>
      <c r="E1257" s="54" t="n">
        <v>0.180841</v>
      </c>
      <c r="F1257" s="54" t="n">
        <v>0.209096</v>
      </c>
      <c r="G1257" t="inlineStr">
        <is>
          <t>calculado</t>
        </is>
      </c>
      <c r="H1257" t="inlineStr">
        <is>
          <t>IEE 5.1127 % con cuota mínima 1 €/MWh (Ley 38/1992 art. 99 (sin medidas vigentes)) + IVA 10 % (RDL 8/2023 art. 21.1 (condición: mes anterior &gt; 45 €/MWh))</t>
        </is>
      </c>
      <c r="J1257" t="inlineStr">
        <is>
          <t>2024-11-03</t>
        </is>
      </c>
      <c r="K1257" t="inlineStr">
        <is>
          <t>ESIOS 1001 geo 8741</t>
        </is>
      </c>
      <c r="L1257" t="inlineStr">
        <is>
          <t>24 valores; mín 138.75, máx 278.08 €/MWh</t>
        </is>
      </c>
    </row>
    <row r="1258">
      <c r="A1258" s="53" t="n">
        <v>45601</v>
      </c>
      <c r="B1258" t="inlineStr">
        <is>
          <t>2024-11-05</t>
        </is>
      </c>
      <c r="C1258" s="45" t="n">
        <v>183.3371</v>
      </c>
      <c r="D1258" t="inlineStr">
        <is>
          <t>€/MWh</t>
        </is>
      </c>
      <c r="E1258" s="54" t="n">
        <v>0.183337</v>
      </c>
      <c r="F1258" s="54" t="n">
        <v>0.211982</v>
      </c>
      <c r="G1258" t="inlineStr">
        <is>
          <t>calculado</t>
        </is>
      </c>
      <c r="H1258" t="inlineStr">
        <is>
          <t>IEE 5.1127 % con cuota mínima 1 €/MWh (Ley 38/1992 art. 99 (sin medidas vigentes)) + IVA 10 % (RDL 8/2023 art. 21.1 (condición: mes anterior &gt; 45 €/MWh))</t>
        </is>
      </c>
      <c r="J1258" t="inlineStr">
        <is>
          <t>2024-11-04</t>
        </is>
      </c>
      <c r="K1258" t="inlineStr">
        <is>
          <t>ESIOS 1001 geo 8741</t>
        </is>
      </c>
      <c r="L1258" t="inlineStr">
        <is>
          <t>24 valores; mín 127.84, máx 312.54 €/MWh</t>
        </is>
      </c>
    </row>
    <row r="1259">
      <c r="A1259" s="53" t="n">
        <v>45602</v>
      </c>
      <c r="B1259" t="inlineStr">
        <is>
          <t>2024-11-06</t>
        </is>
      </c>
      <c r="C1259" s="45" t="n">
        <v>183.8983</v>
      </c>
      <c r="D1259" t="inlineStr">
        <is>
          <t>€/MWh</t>
        </is>
      </c>
      <c r="E1259" s="54" t="n">
        <v>0.183898</v>
      </c>
      <c r="F1259" s="54" t="n">
        <v>0.212631</v>
      </c>
      <c r="G1259" t="inlineStr">
        <is>
          <t>calculado</t>
        </is>
      </c>
      <c r="H1259" t="inlineStr">
        <is>
          <t>IEE 5.1127 % con cuota mínima 1 €/MWh (Ley 38/1992 art. 99 (sin medidas vigentes)) + IVA 10 % (RDL 8/2023 art. 21.1 (condición: mes anterior &gt; 45 €/MWh))</t>
        </is>
      </c>
      <c r="J1259" t="inlineStr">
        <is>
          <t>2024-11-05</t>
        </is>
      </c>
      <c r="K1259" t="inlineStr">
        <is>
          <t>ESIOS 1001 geo 8741</t>
        </is>
      </c>
      <c r="L1259" t="inlineStr">
        <is>
          <t>24 valores; mín 136.00, máx 289.81 €/MWh</t>
        </is>
      </c>
    </row>
    <row r="1260">
      <c r="A1260" s="53" t="n">
        <v>45603</v>
      </c>
      <c r="B1260" t="inlineStr">
        <is>
          <t>2024-11-07</t>
        </is>
      </c>
      <c r="C1260" s="45" t="n">
        <v>180.8958</v>
      </c>
      <c r="D1260" t="inlineStr">
        <is>
          <t>€/MWh</t>
        </is>
      </c>
      <c r="E1260" s="54" t="n">
        <v>0.180896</v>
      </c>
      <c r="F1260" s="54" t="n">
        <v>0.209159</v>
      </c>
      <c r="G1260" t="inlineStr">
        <is>
          <t>calculado</t>
        </is>
      </c>
      <c r="H1260" t="inlineStr">
        <is>
          <t>IEE 5.1127 % con cuota mínima 1 €/MWh (Ley 38/1992 art. 99 (sin medidas vigentes)) + IVA 10 % (RDL 8/2023 art. 21.1 (condición: mes anterior &gt; 45 €/MWh))</t>
        </is>
      </c>
      <c r="J1260" t="inlineStr">
        <is>
          <t>2024-11-06</t>
        </is>
      </c>
      <c r="K1260" t="inlineStr">
        <is>
          <t>ESIOS 1001 geo 8741</t>
        </is>
      </c>
      <c r="L1260" t="inlineStr">
        <is>
          <t>24 valores; mín 132.66, máx 265.06 €/MWh</t>
        </is>
      </c>
    </row>
    <row r="1261">
      <c r="A1261" s="53" t="n">
        <v>45604</v>
      </c>
      <c r="B1261" t="inlineStr">
        <is>
          <t>2024-11-08</t>
        </is>
      </c>
      <c r="C1261" s="45" t="n">
        <v>187.9288</v>
      </c>
      <c r="D1261" t="inlineStr">
        <is>
          <t>€/MWh</t>
        </is>
      </c>
      <c r="E1261" s="54" t="n">
        <v>0.187929</v>
      </c>
      <c r="F1261" s="54" t="n">
        <v>0.217291</v>
      </c>
      <c r="G1261" t="inlineStr">
        <is>
          <t>calculado</t>
        </is>
      </c>
      <c r="H1261" t="inlineStr">
        <is>
          <t>IEE 5.1127 % con cuota mínima 1 €/MWh (Ley 38/1992 art. 99 (sin medidas vigentes)) + IVA 10 % (RDL 8/2023 art. 21.1 (condición: mes anterior &gt; 45 €/MWh))</t>
        </is>
      </c>
      <c r="J1261" t="inlineStr">
        <is>
          <t>2024-11-07</t>
        </is>
      </c>
      <c r="K1261" t="inlineStr">
        <is>
          <t>ESIOS 1001 geo 8741</t>
        </is>
      </c>
      <c r="L1261" t="inlineStr">
        <is>
          <t>24 valores; mín 136.49, máx 244.33 €/MWh</t>
        </is>
      </c>
    </row>
    <row r="1262">
      <c r="A1262" s="53" t="n">
        <v>45605</v>
      </c>
      <c r="B1262" t="inlineStr">
        <is>
          <t>2024-11-09</t>
        </is>
      </c>
      <c r="C1262" s="45" t="n">
        <v>152.1154</v>
      </c>
      <c r="D1262" t="inlineStr">
        <is>
          <t>€/MWh</t>
        </is>
      </c>
      <c r="E1262" s="54" t="n">
        <v>0.152115</v>
      </c>
      <c r="F1262" s="54" t="n">
        <v>0.175882</v>
      </c>
      <c r="G1262" t="inlineStr">
        <is>
          <t>calculado</t>
        </is>
      </c>
      <c r="H1262" t="inlineStr">
        <is>
          <t>IEE 5.1127 % con cuota mínima 1 €/MWh (Ley 38/1992 art. 99 (sin medidas vigentes)) + IVA 10 % (RDL 8/2023 art. 21.1 (condición: mes anterior &gt; 45 €/MWh))</t>
        </is>
      </c>
      <c r="J1262" t="inlineStr">
        <is>
          <t>2024-11-08</t>
        </is>
      </c>
      <c r="K1262" t="inlineStr">
        <is>
          <t>ESIOS 1001 geo 8741</t>
        </is>
      </c>
      <c r="L1262" t="inlineStr">
        <is>
          <t>24 valores; mín 126.23, máx 177.35 €/MWh</t>
        </is>
      </c>
    </row>
    <row r="1263">
      <c r="A1263" s="53" t="n">
        <v>45606</v>
      </c>
      <c r="B1263" t="inlineStr">
        <is>
          <t>2024-11-10</t>
        </is>
      </c>
      <c r="C1263" s="45" t="n">
        <v>139.8854</v>
      </c>
      <c r="D1263" t="inlineStr">
        <is>
          <t>€/MWh</t>
        </is>
      </c>
      <c r="E1263" s="54" t="n">
        <v>0.139885</v>
      </c>
      <c r="F1263" s="54" t="n">
        <v>0.161741</v>
      </c>
      <c r="G1263" t="inlineStr">
        <is>
          <t>calculado</t>
        </is>
      </c>
      <c r="H1263" t="inlineStr">
        <is>
          <t>IEE 5.1127 % con cuota mínima 1 €/MWh (Ley 38/1992 art. 99 (sin medidas vigentes)) + IVA 10 % (RDL 8/2023 art. 21.1 (condición: mes anterior &gt; 45 €/MWh))</t>
        </is>
      </c>
      <c r="J1263" t="inlineStr">
        <is>
          <t>2024-11-09</t>
        </is>
      </c>
      <c r="K1263" t="inlineStr">
        <is>
          <t>ESIOS 1001 geo 8741</t>
        </is>
      </c>
      <c r="L1263" t="inlineStr">
        <is>
          <t>24 valores; mín 81.51, máx 172.80 €/MWh</t>
        </is>
      </c>
    </row>
    <row r="1264">
      <c r="A1264" s="53" t="n">
        <v>45607</v>
      </c>
      <c r="B1264" t="inlineStr">
        <is>
          <t>2024-11-11</t>
        </is>
      </c>
      <c r="C1264" s="45" t="n">
        <v>158.8033</v>
      </c>
      <c r="D1264" t="inlineStr">
        <is>
          <t>€/MWh</t>
        </is>
      </c>
      <c r="E1264" s="54" t="n">
        <v>0.158803</v>
      </c>
      <c r="F1264" s="54" t="n">
        <v>0.183615</v>
      </c>
      <c r="G1264" t="inlineStr">
        <is>
          <t>calculado</t>
        </is>
      </c>
      <c r="H1264" t="inlineStr">
        <is>
          <t>IEE 5.1127 % con cuota mínima 1 €/MWh (Ley 38/1992 art. 99 (sin medidas vigentes)) + IVA 10 % (RDL 8/2023 art. 21.1 (condición: mes anterior &gt; 45 €/MWh))</t>
        </is>
      </c>
      <c r="J1264" t="inlineStr">
        <is>
          <t>2024-11-10</t>
        </is>
      </c>
      <c r="K1264" t="inlineStr">
        <is>
          <t>ESIOS 1001 geo 8741</t>
        </is>
      </c>
      <c r="L1264" t="inlineStr">
        <is>
          <t>24 valores; mín 58.23, máx 234.57 €/MWh</t>
        </is>
      </c>
    </row>
    <row r="1265">
      <c r="A1265" s="53" t="n">
        <v>45608</v>
      </c>
      <c r="B1265" t="inlineStr">
        <is>
          <t>2024-11-12</t>
        </is>
      </c>
      <c r="C1265" s="45" t="n">
        <v>142.6554</v>
      </c>
      <c r="D1265" t="inlineStr">
        <is>
          <t>€/MWh</t>
        </is>
      </c>
      <c r="E1265" s="54" t="n">
        <v>0.142655</v>
      </c>
      <c r="F1265" s="54" t="n">
        <v>0.164944</v>
      </c>
      <c r="G1265" t="inlineStr">
        <is>
          <t>calculado</t>
        </is>
      </c>
      <c r="H1265" t="inlineStr">
        <is>
          <t>IEE 5.1127 % con cuota mínima 1 €/MWh (Ley 38/1992 art. 99 (sin medidas vigentes)) + IVA 10 % (RDL 8/2023 art. 21.1 (condición: mes anterior &gt; 45 €/MWh))</t>
        </is>
      </c>
      <c r="J1265" t="inlineStr">
        <is>
          <t>2024-11-11</t>
        </is>
      </c>
      <c r="K1265" t="inlineStr">
        <is>
          <t>ESIOS 1001 geo 8741</t>
        </is>
      </c>
      <c r="L1265" t="inlineStr">
        <is>
          <t>24 valores; mín 61.21, máx 254.37 €/MWh</t>
        </is>
      </c>
    </row>
    <row r="1266">
      <c r="A1266" s="53" t="n">
        <v>45609</v>
      </c>
      <c r="B1266" t="inlineStr">
        <is>
          <t>2024-11-13</t>
        </is>
      </c>
      <c r="C1266" s="45" t="n">
        <v>178.1175</v>
      </c>
      <c r="D1266" t="inlineStr">
        <is>
          <t>€/MWh</t>
        </is>
      </c>
      <c r="E1266" s="54" t="n">
        <v>0.178117</v>
      </c>
      <c r="F1266" s="54" t="n">
        <v>0.205947</v>
      </c>
      <c r="G1266" t="inlineStr">
        <is>
          <t>calculado</t>
        </is>
      </c>
      <c r="H1266" t="inlineStr">
        <is>
          <t>IEE 5.1127 % con cuota mínima 1 €/MWh (Ley 38/1992 art. 99 (sin medidas vigentes)) + IVA 10 % (RDL 8/2023 art. 21.1 (condición: mes anterior &gt; 45 €/MWh))</t>
        </is>
      </c>
      <c r="J1266" t="inlineStr">
        <is>
          <t>2024-11-12</t>
        </is>
      </c>
      <c r="K1266" t="inlineStr">
        <is>
          <t>ESIOS 1001 geo 8741</t>
        </is>
      </c>
      <c r="L1266" t="inlineStr">
        <is>
          <t>24 valores; mín 137.46, máx 248.23 €/MWh</t>
        </is>
      </c>
    </row>
    <row r="1267">
      <c r="A1267" s="53" t="n">
        <v>45610</v>
      </c>
      <c r="B1267" t="inlineStr">
        <is>
          <t>2024-11-14</t>
        </is>
      </c>
      <c r="C1267" s="45" t="n">
        <v>188.0479</v>
      </c>
      <c r="D1267" t="inlineStr">
        <is>
          <t>€/MWh</t>
        </is>
      </c>
      <c r="E1267" s="54" t="n">
        <v>0.188048</v>
      </c>
      <c r="F1267" s="54" t="n">
        <v>0.217428</v>
      </c>
      <c r="G1267" t="inlineStr">
        <is>
          <t>calculado</t>
        </is>
      </c>
      <c r="H1267" t="inlineStr">
        <is>
          <t>IEE 5.1127 % con cuota mínima 1 €/MWh (Ley 38/1992 art. 99 (sin medidas vigentes)) + IVA 10 % (RDL 8/2023 art. 21.1 (condición: mes anterior &gt; 45 €/MWh))</t>
        </is>
      </c>
      <c r="J1267" t="inlineStr">
        <is>
          <t>2024-11-13</t>
        </is>
      </c>
      <c r="K1267" t="inlineStr">
        <is>
          <t>ESIOS 1001 geo 8741</t>
        </is>
      </c>
      <c r="L1267" t="inlineStr">
        <is>
          <t>24 valores; mín 129.84, máx 263.94 €/MWh</t>
        </is>
      </c>
    </row>
    <row r="1268">
      <c r="A1268" s="53" t="n">
        <v>45611</v>
      </c>
      <c r="B1268" t="inlineStr">
        <is>
          <t>2024-11-15</t>
        </is>
      </c>
      <c r="C1268" s="45" t="n">
        <v>192.2429</v>
      </c>
      <c r="D1268" t="inlineStr">
        <is>
          <t>€/MWh</t>
        </is>
      </c>
      <c r="E1268" s="54" t="n">
        <v>0.192243</v>
      </c>
      <c r="F1268" s="54" t="n">
        <v>0.222279</v>
      </c>
      <c r="G1268" t="inlineStr">
        <is>
          <t>calculado</t>
        </is>
      </c>
      <c r="H1268" t="inlineStr">
        <is>
          <t>IEE 5.1127 % con cuota mínima 1 €/MWh (Ley 38/1992 art. 99 (sin medidas vigentes)) + IVA 10 % (RDL 8/2023 art. 21.1 (condición: mes anterior &gt; 45 €/MWh))</t>
        </is>
      </c>
      <c r="J1268" t="inlineStr">
        <is>
          <t>2024-11-14</t>
        </is>
      </c>
      <c r="K1268" t="inlineStr">
        <is>
          <t>ESIOS 1001 geo 8741</t>
        </is>
      </c>
      <c r="L1268" t="inlineStr">
        <is>
          <t>24 valores; mín 144.84, máx 247.01 €/MWh</t>
        </is>
      </c>
    </row>
    <row r="1269">
      <c r="A1269" s="53" t="n">
        <v>45612</v>
      </c>
      <c r="B1269" t="inlineStr">
        <is>
          <t>2024-11-16</t>
        </is>
      </c>
      <c r="C1269" s="45" t="n">
        <v>153.4625</v>
      </c>
      <c r="D1269" t="inlineStr">
        <is>
          <t>€/MWh</t>
        </is>
      </c>
      <c r="E1269" s="54" t="n">
        <v>0.153463</v>
      </c>
      <c r="F1269" s="54" t="n">
        <v>0.177439</v>
      </c>
      <c r="G1269" t="inlineStr">
        <is>
          <t>calculado</t>
        </is>
      </c>
      <c r="H1269" t="inlineStr">
        <is>
          <t>IEE 5.1127 % con cuota mínima 1 €/MWh (Ley 38/1992 art. 99 (sin medidas vigentes)) + IVA 10 % (RDL 8/2023 art. 21.1 (condición: mes anterior &gt; 45 €/MWh))</t>
        </is>
      </c>
      <c r="J1269" t="inlineStr">
        <is>
          <t>2024-11-15</t>
        </is>
      </c>
      <c r="K1269" t="inlineStr">
        <is>
          <t>ESIOS 1001 geo 8741</t>
        </is>
      </c>
      <c r="L1269" t="inlineStr">
        <is>
          <t>24 valores; mín 134.42, máx 179.96 €/MWh</t>
        </is>
      </c>
    </row>
    <row r="1270">
      <c r="A1270" s="53" t="n">
        <v>45613</v>
      </c>
      <c r="B1270" t="inlineStr">
        <is>
          <t>2024-11-17</t>
        </is>
      </c>
      <c r="C1270" s="45" t="n">
        <v>157.9737</v>
      </c>
      <c r="D1270" t="inlineStr">
        <is>
          <t>€/MWh</t>
        </is>
      </c>
      <c r="E1270" s="54" t="n">
        <v>0.157974</v>
      </c>
      <c r="F1270" s="54" t="n">
        <v>0.182655</v>
      </c>
      <c r="G1270" t="inlineStr">
        <is>
          <t>calculado</t>
        </is>
      </c>
      <c r="H1270" t="inlineStr">
        <is>
          <t>IEE 5.1127 % con cuota mínima 1 €/MWh (Ley 38/1992 art. 99 (sin medidas vigentes)) + IVA 10 % (RDL 8/2023 art. 21.1 (condición: mes anterior &gt; 45 €/MWh))</t>
        </is>
      </c>
      <c r="J1270" t="inlineStr">
        <is>
          <t>2024-11-16</t>
        </is>
      </c>
      <c r="K1270" t="inlineStr">
        <is>
          <t>ESIOS 1001 geo 8741</t>
        </is>
      </c>
      <c r="L1270" t="inlineStr">
        <is>
          <t>24 valores; mín 119.33, máx 194.74 €/MWh</t>
        </is>
      </c>
    </row>
    <row r="1271">
      <c r="A1271" s="53" t="n">
        <v>45614</v>
      </c>
      <c r="B1271" t="inlineStr">
        <is>
          <t>2024-11-18</t>
        </is>
      </c>
      <c r="C1271" s="45" t="n">
        <v>202.0421</v>
      </c>
      <c r="D1271" t="inlineStr">
        <is>
          <t>€/MWh</t>
        </is>
      </c>
      <c r="E1271" s="54" t="n">
        <v>0.202042</v>
      </c>
      <c r="F1271" s="54" t="n">
        <v>0.233609</v>
      </c>
      <c r="G1271" t="inlineStr">
        <is>
          <t>calculado</t>
        </is>
      </c>
      <c r="H1271" t="inlineStr">
        <is>
          <t>IEE 5.1127 % con cuota mínima 1 €/MWh (Ley 38/1992 art. 99 (sin medidas vigentes)) + IVA 10 % (RDL 8/2023 art. 21.1 (condición: mes anterior &gt; 45 €/MWh))</t>
        </is>
      </c>
      <c r="J1271" t="inlineStr">
        <is>
          <t>2024-11-17</t>
        </is>
      </c>
      <c r="K1271" t="inlineStr">
        <is>
          <t>ESIOS 1001 geo 8741</t>
        </is>
      </c>
      <c r="L1271" t="inlineStr">
        <is>
          <t>24 valores; mín 161.65, máx 277.71 €/MWh</t>
        </is>
      </c>
    </row>
    <row r="1272">
      <c r="A1272" s="53" t="n">
        <v>45615</v>
      </c>
      <c r="B1272" t="inlineStr">
        <is>
          <t>2024-11-19</t>
        </is>
      </c>
      <c r="C1272" s="45" t="n">
        <v>199.5263</v>
      </c>
      <c r="D1272" t="inlineStr">
        <is>
          <t>€/MWh</t>
        </is>
      </c>
      <c r="E1272" s="54" t="n">
        <v>0.199526</v>
      </c>
      <c r="F1272" s="54" t="n">
        <v>0.2307</v>
      </c>
      <c r="G1272" t="inlineStr">
        <is>
          <t>calculado</t>
        </is>
      </c>
      <c r="H1272" t="inlineStr">
        <is>
          <t>IEE 5.1127 % con cuota mínima 1 €/MWh (Ley 38/1992 art. 99 (sin medidas vigentes)) + IVA 10 % (RDL 8/2023 art. 21.1 (condición: mes anterior &gt; 45 €/MWh))</t>
        </is>
      </c>
      <c r="J1272" t="inlineStr">
        <is>
          <t>2024-11-18</t>
        </is>
      </c>
      <c r="K1272" t="inlineStr">
        <is>
          <t>ESIOS 1001 geo 8741</t>
        </is>
      </c>
      <c r="L1272" t="inlineStr">
        <is>
          <t>24 valores; mín 147.73, máx 254.29 €/MWh</t>
        </is>
      </c>
    </row>
    <row r="1273">
      <c r="A1273" s="53" t="n">
        <v>45616</v>
      </c>
      <c r="B1273" t="inlineStr">
        <is>
          <t>2024-11-20</t>
        </is>
      </c>
      <c r="C1273" s="45" t="n">
        <v>173.5467</v>
      </c>
      <c r="D1273" t="inlineStr">
        <is>
          <t>€/MWh</t>
        </is>
      </c>
      <c r="E1273" s="54" t="n">
        <v>0.173547</v>
      </c>
      <c r="F1273" s="54" t="n">
        <v>0.200662</v>
      </c>
      <c r="G1273" t="inlineStr">
        <is>
          <t>calculado</t>
        </is>
      </c>
      <c r="H1273" t="inlineStr">
        <is>
          <t>IEE 5.1127 % con cuota mínima 1 €/MWh (Ley 38/1992 art. 99 (sin medidas vigentes)) + IVA 10 % (RDL 8/2023 art. 21.1 (condición: mes anterior &gt; 45 €/MWh))</t>
        </is>
      </c>
      <c r="J1273" t="inlineStr">
        <is>
          <t>2024-11-19</t>
        </is>
      </c>
      <c r="K1273" t="inlineStr">
        <is>
          <t>ESIOS 1001 geo 8741</t>
        </is>
      </c>
      <c r="L1273" t="inlineStr">
        <is>
          <t>24 valores; mín 83.23, máx 264.65 €/MWh</t>
        </is>
      </c>
    </row>
    <row r="1274">
      <c r="A1274" s="53" t="n">
        <v>45617</v>
      </c>
      <c r="B1274" t="inlineStr">
        <is>
          <t>2024-11-21</t>
        </is>
      </c>
      <c r="C1274" s="45" t="n">
        <v>160.1471</v>
      </c>
      <c r="D1274" t="inlineStr">
        <is>
          <t>€/MWh</t>
        </is>
      </c>
      <c r="E1274" s="54" t="n">
        <v>0.160147</v>
      </c>
      <c r="F1274" s="54" t="n">
        <v>0.185168</v>
      </c>
      <c r="G1274" t="inlineStr">
        <is>
          <t>calculado</t>
        </is>
      </c>
      <c r="H1274" t="inlineStr">
        <is>
          <t>IEE 5.1127 % con cuota mínima 1 €/MWh (Ley 38/1992 art. 99 (sin medidas vigentes)) + IVA 10 % (RDL 8/2023 art. 21.1 (condición: mes anterior &gt; 45 €/MWh))</t>
        </is>
      </c>
      <c r="J1274" t="inlineStr">
        <is>
          <t>2024-11-20</t>
        </is>
      </c>
      <c r="K1274" t="inlineStr">
        <is>
          <t>ESIOS 1001 geo 8741</t>
        </is>
      </c>
      <c r="L1274" t="inlineStr">
        <is>
          <t>24 valores; mín 83.46, máx 248.63 €/MWh</t>
        </is>
      </c>
    </row>
    <row r="1275">
      <c r="A1275" s="53" t="n">
        <v>45618</v>
      </c>
      <c r="B1275" t="inlineStr">
        <is>
          <t>2024-11-22</t>
        </is>
      </c>
      <c r="C1275" s="45" t="n">
        <v>191.0579</v>
      </c>
      <c r="D1275" t="inlineStr">
        <is>
          <t>€/MWh</t>
        </is>
      </c>
      <c r="E1275" s="54" t="n">
        <v>0.191058</v>
      </c>
      <c r="F1275" s="54" t="n">
        <v>0.220909</v>
      </c>
      <c r="G1275" t="inlineStr">
        <is>
          <t>calculado</t>
        </is>
      </c>
      <c r="H1275" t="inlineStr">
        <is>
          <t>IEE 5.1127 % con cuota mínima 1 €/MWh (Ley 38/1992 art. 99 (sin medidas vigentes)) + IVA 10 % (RDL 8/2023 art. 21.1 (condición: mes anterior &gt; 45 €/MWh))</t>
        </is>
      </c>
      <c r="J1275" t="inlineStr">
        <is>
          <t>2024-11-21</t>
        </is>
      </c>
      <c r="K1275" t="inlineStr">
        <is>
          <t>ESIOS 1001 geo 8741</t>
        </is>
      </c>
      <c r="L1275" t="inlineStr">
        <is>
          <t>24 valores; mín 115.48, máx 276.22 €/MWh</t>
        </is>
      </c>
    </row>
    <row r="1276">
      <c r="A1276" s="53" t="n">
        <v>45619</v>
      </c>
      <c r="B1276" t="inlineStr">
        <is>
          <t>2024-11-23</t>
        </is>
      </c>
      <c r="C1276" s="45" t="n">
        <v>133.9308</v>
      </c>
      <c r="D1276" t="inlineStr">
        <is>
          <t>€/MWh</t>
        </is>
      </c>
      <c r="E1276" s="54" t="n">
        <v>0.133931</v>
      </c>
      <c r="F1276" s="54" t="n">
        <v>0.154856</v>
      </c>
      <c r="G1276" t="inlineStr">
        <is>
          <t>calculado</t>
        </is>
      </c>
      <c r="H1276" t="inlineStr">
        <is>
          <t>IEE 5.1127 % con cuota mínima 1 €/MWh (Ley 38/1992 art. 99 (sin medidas vigentes)) + IVA 10 % (RDL 8/2023 art. 21.1 (condición: mes anterior &gt; 45 €/MWh))</t>
        </is>
      </c>
      <c r="J1276" t="inlineStr">
        <is>
          <t>2024-11-22</t>
        </is>
      </c>
      <c r="K1276" t="inlineStr">
        <is>
          <t>ESIOS 1001 geo 8741</t>
        </is>
      </c>
      <c r="L1276" t="inlineStr">
        <is>
          <t>24 valores; mín 65.60, máx 212.89 €/MWh</t>
        </is>
      </c>
    </row>
    <row r="1277">
      <c r="A1277" s="53" t="n">
        <v>45620</v>
      </c>
      <c r="B1277" t="inlineStr">
        <is>
          <t>2024-11-24</t>
        </is>
      </c>
      <c r="C1277" s="45" t="n">
        <v>77.69880000000001</v>
      </c>
      <c r="D1277" t="inlineStr">
        <is>
          <t>€/MWh</t>
        </is>
      </c>
      <c r="E1277" s="54" t="n">
        <v>0.077699</v>
      </c>
      <c r="F1277" s="54" t="n">
        <v>0.089838</v>
      </c>
      <c r="G1277" t="inlineStr">
        <is>
          <t>calculado</t>
        </is>
      </c>
      <c r="H1277" t="inlineStr">
        <is>
          <t>IEE 5.1127 % con cuota mínima 1 €/MWh (Ley 38/1992 art. 99 (sin medidas vigentes)) + IVA 10 % (RDL 8/2023 art. 21.1 (condición: mes anterior &gt; 45 €/MWh))</t>
        </is>
      </c>
      <c r="J1277" t="inlineStr">
        <is>
          <t>2024-11-23</t>
        </is>
      </c>
      <c r="K1277" t="inlineStr">
        <is>
          <t>ESIOS 1001 geo 8741</t>
        </is>
      </c>
      <c r="L1277" t="inlineStr">
        <is>
          <t>24 valores; mín 56.99, máx 118.59 €/MWh</t>
        </is>
      </c>
    </row>
    <row r="1278">
      <c r="A1278" s="53" t="n">
        <v>45621</v>
      </c>
      <c r="B1278" t="inlineStr">
        <is>
          <t>2024-11-25</t>
        </is>
      </c>
      <c r="C1278" s="45" t="n">
        <v>165.9683</v>
      </c>
      <c r="D1278" t="inlineStr">
        <is>
          <t>€/MWh</t>
        </is>
      </c>
      <c r="E1278" s="54" t="n">
        <v>0.165968</v>
      </c>
      <c r="F1278" s="54" t="n">
        <v>0.191899</v>
      </c>
      <c r="G1278" t="inlineStr">
        <is>
          <t>calculado</t>
        </is>
      </c>
      <c r="H1278" t="inlineStr">
        <is>
          <t>IEE 5.1127 % con cuota mínima 1 €/MWh (Ley 38/1992 art. 99 (sin medidas vigentes)) + IVA 10 % (RDL 8/2023 art. 21.1 (condición: mes anterior &gt; 45 €/MWh))</t>
        </is>
      </c>
      <c r="J1278" t="inlineStr">
        <is>
          <t>2024-11-24</t>
        </is>
      </c>
      <c r="K1278" t="inlineStr">
        <is>
          <t>ESIOS 1001 geo 8741</t>
        </is>
      </c>
      <c r="L1278" t="inlineStr">
        <is>
          <t>24 valores; mín 59.01, máx 286.65 €/MWh</t>
        </is>
      </c>
    </row>
    <row r="1279">
      <c r="A1279" s="53" t="n">
        <v>45622</v>
      </c>
      <c r="B1279" t="inlineStr">
        <is>
          <t>2024-11-26</t>
        </is>
      </c>
      <c r="C1279" s="45" t="n">
        <v>206.62</v>
      </c>
      <c r="D1279" t="inlineStr">
        <is>
          <t>€/MWh</t>
        </is>
      </c>
      <c r="E1279" s="54" t="n">
        <v>0.20662</v>
      </c>
      <c r="F1279" s="54" t="n">
        <v>0.238902</v>
      </c>
      <c r="G1279" t="inlineStr">
        <is>
          <t>calculado</t>
        </is>
      </c>
      <c r="H1279" t="inlineStr">
        <is>
          <t>IEE 5.1127 % con cuota mínima 1 €/MWh (Ley 38/1992 art. 99 (sin medidas vigentes)) + IVA 10 % (RDL 8/2023 art. 21.1 (condición: mes anterior &gt; 45 €/MWh))</t>
        </is>
      </c>
      <c r="J1279" t="inlineStr">
        <is>
          <t>2024-11-25</t>
        </is>
      </c>
      <c r="K1279" t="inlineStr">
        <is>
          <t>ESIOS 1001 geo 8741</t>
        </is>
      </c>
      <c r="L1279" t="inlineStr">
        <is>
          <t>24 valores; mín 162.84, máx 268.39 €/MWh</t>
        </is>
      </c>
    </row>
    <row r="1280">
      <c r="A1280" s="53" t="n">
        <v>45623</v>
      </c>
      <c r="B1280" t="inlineStr">
        <is>
          <t>2024-11-27</t>
        </is>
      </c>
      <c r="C1280" s="45" t="n">
        <v>203.0067</v>
      </c>
      <c r="D1280" t="inlineStr">
        <is>
          <t>€/MWh</t>
        </is>
      </c>
      <c r="E1280" s="54" t="n">
        <v>0.203007</v>
      </c>
      <c r="F1280" s="54" t="n">
        <v>0.234724</v>
      </c>
      <c r="G1280" t="inlineStr">
        <is>
          <t>calculado</t>
        </is>
      </c>
      <c r="H1280" t="inlineStr">
        <is>
          <t>IEE 5.1127 % con cuota mínima 1 €/MWh (Ley 38/1992 art. 99 (sin medidas vigentes)) + IVA 10 % (RDL 8/2023 art. 21.1 (condición: mes anterior &gt; 45 €/MWh))</t>
        </is>
      </c>
      <c r="J1280" t="inlineStr">
        <is>
          <t>2024-11-26</t>
        </is>
      </c>
      <c r="K1280" t="inlineStr">
        <is>
          <t>ESIOS 1001 geo 8741</t>
        </is>
      </c>
      <c r="L1280" t="inlineStr">
        <is>
          <t>24 valores; mín 155.65, máx 276.51 €/MWh</t>
        </is>
      </c>
    </row>
    <row r="1281">
      <c r="A1281" s="53" t="n">
        <v>45624</v>
      </c>
      <c r="B1281" t="inlineStr">
        <is>
          <t>2024-11-28</t>
        </is>
      </c>
      <c r="C1281" s="45" t="n">
        <v>197.8733</v>
      </c>
      <c r="D1281" t="inlineStr">
        <is>
          <t>€/MWh</t>
        </is>
      </c>
      <c r="E1281" s="54" t="n">
        <v>0.197873</v>
      </c>
      <c r="F1281" s="54" t="n">
        <v>0.228789</v>
      </c>
      <c r="G1281" t="inlineStr">
        <is>
          <t>calculado</t>
        </is>
      </c>
      <c r="H1281" t="inlineStr">
        <is>
          <t>IEE 5.1127 % con cuota mínima 1 €/MWh (Ley 38/1992 art. 99 (sin medidas vigentes)) + IVA 10 % (RDL 8/2023 art. 21.1 (condición: mes anterior &gt; 45 €/MWh))</t>
        </is>
      </c>
      <c r="J1281" t="inlineStr">
        <is>
          <t>2024-11-27</t>
        </is>
      </c>
      <c r="K1281" t="inlineStr">
        <is>
          <t>ESIOS 1001 geo 8741</t>
        </is>
      </c>
      <c r="L1281" t="inlineStr">
        <is>
          <t>24 valores; mín 147.54, máx 266.40 €/MWh</t>
        </is>
      </c>
    </row>
    <row r="1282">
      <c r="A1282" s="53" t="n">
        <v>45625</v>
      </c>
      <c r="B1282" t="inlineStr">
        <is>
          <t>2024-11-29</t>
        </is>
      </c>
      <c r="C1282" s="45" t="n">
        <v>195.1742</v>
      </c>
      <c r="D1282" t="inlineStr">
        <is>
          <t>€/MWh</t>
        </is>
      </c>
      <c r="E1282" s="54" t="n">
        <v>0.195174</v>
      </c>
      <c r="F1282" s="54" t="n">
        <v>0.225668</v>
      </c>
      <c r="G1282" t="inlineStr">
        <is>
          <t>calculado</t>
        </is>
      </c>
      <c r="H1282" t="inlineStr">
        <is>
          <t>IEE 5.1127 % con cuota mínima 1 €/MWh (Ley 38/1992 art. 99 (sin medidas vigentes)) + IVA 10 % (RDL 8/2023 art. 21.1 (condición: mes anterior &gt; 45 €/MWh))</t>
        </is>
      </c>
      <c r="J1282" t="inlineStr">
        <is>
          <t>2024-11-28</t>
        </is>
      </c>
      <c r="K1282" t="inlineStr">
        <is>
          <t>ESIOS 1001 geo 8741</t>
        </is>
      </c>
      <c r="L1282" t="inlineStr">
        <is>
          <t>24 valores; mín 138.47, máx 268.85 €/MWh</t>
        </is>
      </c>
    </row>
    <row r="1283">
      <c r="A1283" s="53" t="n">
        <v>45626</v>
      </c>
      <c r="B1283" t="inlineStr">
        <is>
          <t>2024-11-30</t>
        </is>
      </c>
      <c r="C1283" s="45" t="n">
        <v>162.8542</v>
      </c>
      <c r="D1283" t="inlineStr">
        <is>
          <t>€/MWh</t>
        </is>
      </c>
      <c r="E1283" s="54" t="n">
        <v>0.162854</v>
      </c>
      <c r="F1283" s="54" t="n">
        <v>0.188298</v>
      </c>
      <c r="G1283" t="inlineStr">
        <is>
          <t>calculado</t>
        </is>
      </c>
      <c r="H1283" t="inlineStr">
        <is>
          <t>IEE 5.1127 % con cuota mínima 1 €/MWh (Ley 38/1992 art. 99 (sin medidas vigentes)) + IVA 10 % (RDL 8/2023 art. 21.1 (condición: mes anterior &gt; 45 €/MWh))</t>
        </is>
      </c>
      <c r="J1283" t="inlineStr">
        <is>
          <t>2024-11-29</t>
        </is>
      </c>
      <c r="K1283" t="inlineStr">
        <is>
          <t>ESIOS 1001 geo 8741</t>
        </is>
      </c>
      <c r="L1283" t="inlineStr">
        <is>
          <t>24 valores; mín 117.19, máx 186.37 €/MWh</t>
        </is>
      </c>
    </row>
    <row r="1284">
      <c r="A1284" s="53" t="n">
        <v>45627</v>
      </c>
      <c r="B1284" t="inlineStr">
        <is>
          <t>2024-12-01</t>
        </is>
      </c>
      <c r="C1284" s="45" t="n">
        <v>171.83</v>
      </c>
      <c r="D1284" t="inlineStr">
        <is>
          <t>€/MWh</t>
        </is>
      </c>
      <c r="E1284" s="54" t="n">
        <v>0.17183</v>
      </c>
      <c r="F1284" s="54" t="n">
        <v>0.198677</v>
      </c>
      <c r="G1284" t="inlineStr">
        <is>
          <t>calculado</t>
        </is>
      </c>
      <c r="H1284" t="inlineStr">
        <is>
          <t>IEE 5.1127 % con cuota mínima 1 €/MWh (Ley 38/1992 art. 99 (sin medidas vigentes)) + IVA 10 % (RDL 8/2023 art. 21.1 (condición: mes anterior &gt; 45 €/MWh))</t>
        </is>
      </c>
      <c r="J1284" t="inlineStr">
        <is>
          <t>2024-11-30</t>
        </is>
      </c>
      <c r="K1284" t="inlineStr">
        <is>
          <t>ESIOS 1001 geo 8741</t>
        </is>
      </c>
      <c r="L1284" t="inlineStr">
        <is>
          <t>24 valores; mín 137.97, máx 223.97 €/MWh</t>
        </is>
      </c>
    </row>
    <row r="1285">
      <c r="A1285" s="53" t="n">
        <v>45628</v>
      </c>
      <c r="B1285" t="inlineStr">
        <is>
          <t>2024-12-02</t>
        </is>
      </c>
      <c r="C1285" s="45" t="n">
        <v>211.8183</v>
      </c>
      <c r="D1285" t="inlineStr">
        <is>
          <t>€/MWh</t>
        </is>
      </c>
      <c r="E1285" s="54" t="n">
        <v>0.211818</v>
      </c>
      <c r="F1285" s="54" t="n">
        <v>0.244913</v>
      </c>
      <c r="G1285" t="inlineStr">
        <is>
          <t>calculado</t>
        </is>
      </c>
      <c r="H1285" t="inlineStr">
        <is>
          <t>IEE 5.1127 % con cuota mínima 1 €/MWh (Ley 38/1992 art. 99 (sin medidas vigentes)) + IVA 10 % (RDL 8/2023 art. 21.1 (condición: mes anterior &gt; 45 €/MWh))</t>
        </is>
      </c>
      <c r="J1285" t="inlineStr">
        <is>
          <t>2024-12-01</t>
        </is>
      </c>
      <c r="K1285" t="inlineStr">
        <is>
          <t>ESIOS 1001 geo 8741</t>
        </is>
      </c>
      <c r="L1285" t="inlineStr">
        <is>
          <t>24 valores; mín 171.95, máx 268.58 €/MWh</t>
        </is>
      </c>
    </row>
    <row r="1286">
      <c r="A1286" s="53" t="n">
        <v>45629</v>
      </c>
      <c r="B1286" t="inlineStr">
        <is>
          <t>2024-12-03</t>
        </is>
      </c>
      <c r="C1286" s="45" t="n">
        <v>209.6308</v>
      </c>
      <c r="D1286" t="inlineStr">
        <is>
          <t>€/MWh</t>
        </is>
      </c>
      <c r="E1286" s="54" t="n">
        <v>0.209631</v>
      </c>
      <c r="F1286" s="54" t="n">
        <v>0.242383</v>
      </c>
      <c r="G1286" t="inlineStr">
        <is>
          <t>calculado</t>
        </is>
      </c>
      <c r="H1286" t="inlineStr">
        <is>
          <t>IEE 5.1127 % con cuota mínima 1 €/MWh (Ley 38/1992 art. 99 (sin medidas vigentes)) + IVA 10 % (RDL 8/2023 art. 21.1 (condición: mes anterior &gt; 45 €/MWh))</t>
        </is>
      </c>
      <c r="J1286" t="inlineStr">
        <is>
          <t>2024-12-02</t>
        </is>
      </c>
      <c r="K1286" t="inlineStr">
        <is>
          <t>ESIOS 1001 geo 8741</t>
        </is>
      </c>
      <c r="L1286" t="inlineStr">
        <is>
          <t>24 valores; mín 162.00, máx 273.04 €/MWh</t>
        </is>
      </c>
    </row>
    <row r="1287">
      <c r="A1287" s="53" t="n">
        <v>45630</v>
      </c>
      <c r="B1287" t="inlineStr">
        <is>
          <t>2024-12-04</t>
        </is>
      </c>
      <c r="C1287" s="45" t="n">
        <v>205.6712</v>
      </c>
      <c r="D1287" t="inlineStr">
        <is>
          <t>€/MWh</t>
        </is>
      </c>
      <c r="E1287" s="54" t="n">
        <v>0.205671</v>
      </c>
      <c r="F1287" s="54" t="n">
        <v>0.237805</v>
      </c>
      <c r="G1287" t="inlineStr">
        <is>
          <t>calculado</t>
        </is>
      </c>
      <c r="H1287" t="inlineStr">
        <is>
          <t>IEE 5.1127 % con cuota mínima 1 €/MWh (Ley 38/1992 art. 99 (sin medidas vigentes)) + IVA 10 % (RDL 8/2023 art. 21.1 (condición: mes anterior &gt; 45 €/MWh))</t>
        </is>
      </c>
      <c r="J1287" t="inlineStr">
        <is>
          <t>2024-12-03</t>
        </is>
      </c>
      <c r="K1287" t="inlineStr">
        <is>
          <t>ESIOS 1001 geo 8741</t>
        </is>
      </c>
      <c r="L1287" t="inlineStr">
        <is>
          <t>24 valores; mín 149.18, máx 294.02 €/MWh</t>
        </is>
      </c>
    </row>
    <row r="1288">
      <c r="A1288" s="53" t="n">
        <v>45631</v>
      </c>
      <c r="B1288" t="inlineStr">
        <is>
          <t>2024-12-05</t>
        </is>
      </c>
      <c r="C1288" s="45" t="n">
        <v>207.7263</v>
      </c>
      <c r="D1288" t="inlineStr">
        <is>
          <t>€/MWh</t>
        </is>
      </c>
      <c r="E1288" s="54" t="n">
        <v>0.207726</v>
      </c>
      <c r="F1288" s="54" t="n">
        <v>0.240181</v>
      </c>
      <c r="G1288" t="inlineStr">
        <is>
          <t>calculado</t>
        </is>
      </c>
      <c r="H1288" t="inlineStr">
        <is>
          <t>IEE 5.1127 % con cuota mínima 1 €/MWh (Ley 38/1992 art. 99 (sin medidas vigentes)) + IVA 10 % (RDL 8/2023 art. 21.1 (condición: mes anterior &gt; 45 €/MWh))</t>
        </is>
      </c>
      <c r="J1288" t="inlineStr">
        <is>
          <t>2024-12-04</t>
        </is>
      </c>
      <c r="K1288" t="inlineStr">
        <is>
          <t>ESIOS 1001 geo 8741</t>
        </is>
      </c>
      <c r="L1288" t="inlineStr">
        <is>
          <t>24 valores; mín 161.23, máx 271.88 €/MWh</t>
        </is>
      </c>
    </row>
    <row r="1289">
      <c r="A1289" s="53" t="n">
        <v>45632</v>
      </c>
      <c r="B1289" t="inlineStr">
        <is>
          <t>2024-12-06</t>
        </is>
      </c>
      <c r="C1289" s="45" t="n">
        <v>165.1662</v>
      </c>
      <c r="D1289" t="inlineStr">
        <is>
          <t>€/MWh</t>
        </is>
      </c>
      <c r="E1289" s="54" t="n">
        <v>0.165166</v>
      </c>
      <c r="F1289" s="54" t="n">
        <v>0.190972</v>
      </c>
      <c r="G1289" t="inlineStr">
        <is>
          <t>calculado</t>
        </is>
      </c>
      <c r="H1289" t="inlineStr">
        <is>
          <t>IEE 5.1127 % con cuota mínima 1 €/MWh (Ley 38/1992 art. 99 (sin medidas vigentes)) + IVA 10 % (RDL 8/2023 art. 21.1 (condición: mes anterior &gt; 45 €/MWh))</t>
        </is>
      </c>
      <c r="J1289" t="inlineStr">
        <is>
          <t>2024-12-05</t>
        </is>
      </c>
      <c r="K1289" t="inlineStr">
        <is>
          <t>ESIOS 1001 geo 8741</t>
        </is>
      </c>
      <c r="L1289" t="inlineStr">
        <is>
          <t>24 valores; mín 129.80, máx 209.11 €/MWh</t>
        </is>
      </c>
    </row>
    <row r="1290">
      <c r="A1290" s="53" t="n">
        <v>45633</v>
      </c>
      <c r="B1290" t="inlineStr">
        <is>
          <t>2024-12-07</t>
        </is>
      </c>
      <c r="C1290" s="45" t="n">
        <v>96.12</v>
      </c>
      <c r="D1290" t="inlineStr">
        <is>
          <t>€/MWh</t>
        </is>
      </c>
      <c r="E1290" s="54" t="n">
        <v>0.09612</v>
      </c>
      <c r="F1290" s="54" t="n">
        <v>0.111138</v>
      </c>
      <c r="G1290" t="inlineStr">
        <is>
          <t>calculado</t>
        </is>
      </c>
      <c r="H1290" t="inlineStr">
        <is>
          <t>IEE 5.1127 % con cuota mínima 1 €/MWh (Ley 38/1992 art. 99 (sin medidas vigentes)) + IVA 10 % (RDL 8/2023 art. 21.1 (condición: mes anterior &gt; 45 €/MWh))</t>
        </is>
      </c>
      <c r="J1290" t="inlineStr">
        <is>
          <t>2024-12-06</t>
        </is>
      </c>
      <c r="K1290" t="inlineStr">
        <is>
          <t>ESIOS 1001 geo 8741</t>
        </is>
      </c>
      <c r="L1290" t="inlineStr">
        <is>
          <t>24 valores; mín 47.15, máx 141.12 €/MWh</t>
        </is>
      </c>
    </row>
    <row r="1291">
      <c r="A1291" s="53" t="n">
        <v>45634</v>
      </c>
      <c r="B1291" t="inlineStr">
        <is>
          <t>2024-12-08</t>
        </is>
      </c>
      <c r="C1291" s="45" t="n">
        <v>84.49420000000001</v>
      </c>
      <c r="D1291" t="inlineStr">
        <is>
          <t>€/MWh</t>
        </is>
      </c>
      <c r="E1291" s="54" t="n">
        <v>0.084494</v>
      </c>
      <c r="F1291" s="54" t="n">
        <v>0.09769600000000001</v>
      </c>
      <c r="G1291" t="inlineStr">
        <is>
          <t>calculado</t>
        </is>
      </c>
      <c r="H1291" t="inlineStr">
        <is>
          <t>IEE 5.1127 % con cuota mínima 1 €/MWh (Ley 38/1992 art. 99 (sin medidas vigentes)) + IVA 10 % (RDL 8/2023 art. 21.1 (condición: mes anterior &gt; 45 €/MWh))</t>
        </is>
      </c>
      <c r="J1291" t="inlineStr">
        <is>
          <t>2024-12-07</t>
        </is>
      </c>
      <c r="K1291" t="inlineStr">
        <is>
          <t>ESIOS 1001 geo 8741</t>
        </is>
      </c>
      <c r="L1291" t="inlineStr">
        <is>
          <t>24 valores; mín 46.90, máx 139.42 €/MWh</t>
        </is>
      </c>
    </row>
    <row r="1292">
      <c r="A1292" s="53" t="n">
        <v>45635</v>
      </c>
      <c r="B1292" t="inlineStr">
        <is>
          <t>2024-12-09</t>
        </is>
      </c>
      <c r="C1292" s="45" t="n">
        <v>152.6387</v>
      </c>
      <c r="D1292" t="inlineStr">
        <is>
          <t>€/MWh</t>
        </is>
      </c>
      <c r="E1292" s="54" t="n">
        <v>0.152639</v>
      </c>
      <c r="F1292" s="54" t="n">
        <v>0.176487</v>
      </c>
      <c r="G1292" t="inlineStr">
        <is>
          <t>calculado</t>
        </is>
      </c>
      <c r="H1292" t="inlineStr">
        <is>
          <t>IEE 5.1127 % con cuota mínima 1 €/MWh (Ley 38/1992 art. 99 (sin medidas vigentes)) + IVA 10 % (RDL 8/2023 art. 21.1 (condición: mes anterior &gt; 45 €/MWh))</t>
        </is>
      </c>
      <c r="J1292" t="inlineStr">
        <is>
          <t>2024-12-08</t>
        </is>
      </c>
      <c r="K1292" t="inlineStr">
        <is>
          <t>ESIOS 1001 geo 8741</t>
        </is>
      </c>
      <c r="L1292" t="inlineStr">
        <is>
          <t>24 valores; mín 60.72, máx 268.27 €/MWh</t>
        </is>
      </c>
    </row>
    <row r="1293">
      <c r="A1293" s="53" t="n">
        <v>45636</v>
      </c>
      <c r="B1293" t="inlineStr">
        <is>
          <t>2024-12-10</t>
        </is>
      </c>
      <c r="C1293" s="45" t="n">
        <v>206.8983</v>
      </c>
      <c r="D1293" t="inlineStr">
        <is>
          <t>€/MWh</t>
        </is>
      </c>
      <c r="E1293" s="54" t="n">
        <v>0.206898</v>
      </c>
      <c r="F1293" s="54" t="n">
        <v>0.239224</v>
      </c>
      <c r="G1293" t="inlineStr">
        <is>
          <t>calculado</t>
        </is>
      </c>
      <c r="H1293" t="inlineStr">
        <is>
          <t>IEE 5.1127 % con cuota mínima 1 €/MWh (Ley 38/1992 art. 99 (sin medidas vigentes)) + IVA 10 % (RDL 8/2023 art. 21.1 (condición: mes anterior &gt; 45 €/MWh))</t>
        </is>
      </c>
      <c r="J1293" t="inlineStr">
        <is>
          <t>2024-12-09</t>
        </is>
      </c>
      <c r="K1293" t="inlineStr">
        <is>
          <t>ESIOS 1001 geo 8741</t>
        </is>
      </c>
      <c r="L1293" t="inlineStr">
        <is>
          <t>24 valores; mín 145.03, máx 299.17 €/MWh</t>
        </is>
      </c>
    </row>
    <row r="1294">
      <c r="A1294" s="53" t="n">
        <v>45637</v>
      </c>
      <c r="B1294" t="inlineStr">
        <is>
          <t>2024-12-11</t>
        </is>
      </c>
      <c r="C1294" s="45" t="n">
        <v>207.9971</v>
      </c>
      <c r="D1294" t="inlineStr">
        <is>
          <t>€/MWh</t>
        </is>
      </c>
      <c r="E1294" s="54" t="n">
        <v>0.207997</v>
      </c>
      <c r="F1294" s="54" t="n">
        <v>0.240494</v>
      </c>
      <c r="G1294" t="inlineStr">
        <is>
          <t>calculado</t>
        </is>
      </c>
      <c r="H1294" t="inlineStr">
        <is>
          <t>IEE 5.1127 % con cuota mínima 1 €/MWh (Ley 38/1992 art. 99 (sin medidas vigentes)) + IVA 10 % (RDL 8/2023 art. 21.1 (condición: mes anterior &gt; 45 €/MWh))</t>
        </is>
      </c>
      <c r="J1294" t="inlineStr">
        <is>
          <t>2024-12-10</t>
        </is>
      </c>
      <c r="K1294" t="inlineStr">
        <is>
          <t>ESIOS 1001 geo 8741</t>
        </is>
      </c>
      <c r="L1294" t="inlineStr">
        <is>
          <t>24 valores; mín 149.39, máx 297.12 €/MWh</t>
        </is>
      </c>
    </row>
    <row r="1295">
      <c r="A1295" s="53" t="n">
        <v>45638</v>
      </c>
      <c r="B1295" t="inlineStr">
        <is>
          <t>2024-12-12</t>
        </is>
      </c>
      <c r="C1295" s="45" t="n">
        <v>215.2196</v>
      </c>
      <c r="D1295" t="inlineStr">
        <is>
          <t>€/MWh</t>
        </is>
      </c>
      <c r="E1295" s="54" t="n">
        <v>0.21522</v>
      </c>
      <c r="F1295" s="54" t="n">
        <v>0.248845</v>
      </c>
      <c r="G1295" t="inlineStr">
        <is>
          <t>calculado</t>
        </is>
      </c>
      <c r="H1295" t="inlineStr">
        <is>
          <t>IEE 5.1127 % con cuota mínima 1 €/MWh (Ley 38/1992 art. 99 (sin medidas vigentes)) + IVA 10 % (RDL 8/2023 art. 21.1 (condición: mes anterior &gt; 45 €/MWh))</t>
        </is>
      </c>
      <c r="J1295" t="inlineStr">
        <is>
          <t>2024-12-11</t>
        </is>
      </c>
      <c r="K1295" t="inlineStr">
        <is>
          <t>ESIOS 1001 geo 8741</t>
        </is>
      </c>
      <c r="L1295" t="inlineStr">
        <is>
          <t>24 valores; mín 145.23, máx 290.18 €/MWh</t>
        </is>
      </c>
    </row>
    <row r="1296">
      <c r="A1296" s="53" t="n">
        <v>45639</v>
      </c>
      <c r="B1296" t="inlineStr">
        <is>
          <t>2024-12-13</t>
        </is>
      </c>
      <c r="C1296" s="45" t="n">
        <v>212.4442</v>
      </c>
      <c r="D1296" t="inlineStr">
        <is>
          <t>€/MWh</t>
        </is>
      </c>
      <c r="E1296" s="54" t="n">
        <v>0.212444</v>
      </c>
      <c r="F1296" s="54" t="n">
        <v>0.245636</v>
      </c>
      <c r="G1296" t="inlineStr">
        <is>
          <t>calculado</t>
        </is>
      </c>
      <c r="H1296" t="inlineStr">
        <is>
          <t>IEE 5.1127 % con cuota mínima 1 €/MWh (Ley 38/1992 art. 99 (sin medidas vigentes)) + IVA 10 % (RDL 8/2023 art. 21.1 (condición: mes anterior &gt; 45 €/MWh))</t>
        </is>
      </c>
      <c r="J1296" t="inlineStr">
        <is>
          <t>2024-12-12</t>
        </is>
      </c>
      <c r="K1296" t="inlineStr">
        <is>
          <t>ESIOS 1001 geo 8741</t>
        </is>
      </c>
      <c r="L1296" t="inlineStr">
        <is>
          <t>24 valores; mín 148.68, máx 289.50 €/MWh</t>
        </is>
      </c>
    </row>
    <row r="1297">
      <c r="A1297" s="53" t="n">
        <v>45640</v>
      </c>
      <c r="B1297" t="inlineStr">
        <is>
          <t>2024-12-14</t>
        </is>
      </c>
      <c r="C1297" s="45" t="n">
        <v>169.6804</v>
      </c>
      <c r="D1297" t="inlineStr">
        <is>
          <t>€/MWh</t>
        </is>
      </c>
      <c r="E1297" s="54" t="n">
        <v>0.16968</v>
      </c>
      <c r="F1297" s="54" t="n">
        <v>0.196191</v>
      </c>
      <c r="G1297" t="inlineStr">
        <is>
          <t>calculado</t>
        </is>
      </c>
      <c r="H1297" t="inlineStr">
        <is>
          <t>IEE 5.1127 % con cuota mínima 1 €/MWh (Ley 38/1992 art. 99 (sin medidas vigentes)) + IVA 10 % (RDL 8/2023 art. 21.1 (condición: mes anterior &gt; 45 €/MWh))</t>
        </is>
      </c>
      <c r="J1297" t="inlineStr">
        <is>
          <t>2024-12-13</t>
        </is>
      </c>
      <c r="K1297" t="inlineStr">
        <is>
          <t>ESIOS 1001 geo 8741</t>
        </is>
      </c>
      <c r="L1297" t="inlineStr">
        <is>
          <t>24 valores; mín 134.79, máx 193.38 €/MWh</t>
        </is>
      </c>
    </row>
    <row r="1298">
      <c r="A1298" s="53" t="n">
        <v>45641</v>
      </c>
      <c r="B1298" t="inlineStr">
        <is>
          <t>2024-12-15</t>
        </is>
      </c>
      <c r="C1298" s="45" t="n">
        <v>151.8167</v>
      </c>
      <c r="D1298" t="inlineStr">
        <is>
          <t>€/MWh</t>
        </is>
      </c>
      <c r="E1298" s="54" t="n">
        <v>0.151817</v>
      </c>
      <c r="F1298" s="54" t="n">
        <v>0.175536</v>
      </c>
      <c r="G1298" t="inlineStr">
        <is>
          <t>calculado</t>
        </is>
      </c>
      <c r="H1298" t="inlineStr">
        <is>
          <t>IEE 5.1127 % con cuota mínima 1 €/MWh (Ley 38/1992 art. 99 (sin medidas vigentes)) + IVA 10 % (RDL 8/2023 art. 21.1 (condición: mes anterior &gt; 45 €/MWh))</t>
        </is>
      </c>
      <c r="J1298" t="inlineStr">
        <is>
          <t>2024-12-14</t>
        </is>
      </c>
      <c r="K1298" t="inlineStr">
        <is>
          <t>ESIOS 1001 geo 8741</t>
        </is>
      </c>
      <c r="L1298" t="inlineStr">
        <is>
          <t>24 valores; mín 106.92, máx 186.01 €/MWh</t>
        </is>
      </c>
    </row>
    <row r="1299">
      <c r="A1299" s="53" t="n">
        <v>45642</v>
      </c>
      <c r="B1299" t="inlineStr">
        <is>
          <t>2024-12-16</t>
        </is>
      </c>
      <c r="C1299" s="45" t="n">
        <v>195.1808</v>
      </c>
      <c r="D1299" t="inlineStr">
        <is>
          <t>€/MWh</t>
        </is>
      </c>
      <c r="E1299" s="54" t="n">
        <v>0.195181</v>
      </c>
      <c r="F1299" s="54" t="n">
        <v>0.225676</v>
      </c>
      <c r="G1299" t="inlineStr">
        <is>
          <t>calculado</t>
        </is>
      </c>
      <c r="H1299" t="inlineStr">
        <is>
          <t>IEE 5.1127 % con cuota mínima 1 €/MWh (Ley 38/1992 art. 99 (sin medidas vigentes)) + IVA 10 % (RDL 8/2023 art. 21.1 (condición: mes anterior &gt; 45 €/MWh))</t>
        </is>
      </c>
      <c r="J1299" t="inlineStr">
        <is>
          <t>2024-12-15</t>
        </is>
      </c>
      <c r="K1299" t="inlineStr">
        <is>
          <t>ESIOS 1001 geo 8741</t>
        </is>
      </c>
      <c r="L1299" t="inlineStr">
        <is>
          <t>24 valores; mín 144.90, máx 286.38 €/MWh</t>
        </is>
      </c>
    </row>
    <row r="1300">
      <c r="A1300" s="53" t="n">
        <v>45643</v>
      </c>
      <c r="B1300" t="inlineStr">
        <is>
          <t>2024-12-17</t>
        </is>
      </c>
      <c r="C1300" s="45" t="n">
        <v>194.93</v>
      </c>
      <c r="D1300" t="inlineStr">
        <is>
          <t>€/MWh</t>
        </is>
      </c>
      <c r="E1300" s="54" t="n">
        <v>0.19493</v>
      </c>
      <c r="F1300" s="54" t="n">
        <v>0.225386</v>
      </c>
      <c r="G1300" t="inlineStr">
        <is>
          <t>calculado</t>
        </is>
      </c>
      <c r="H1300" t="inlineStr">
        <is>
          <t>IEE 5.1127 % con cuota mínima 1 €/MWh (Ley 38/1992 art. 99 (sin medidas vigentes)) + IVA 10 % (RDL 8/2023 art. 21.1 (condición: mes anterior &gt; 45 €/MWh))</t>
        </is>
      </c>
      <c r="J1300" t="inlineStr">
        <is>
          <t>2024-12-16</t>
        </is>
      </c>
      <c r="K1300" t="inlineStr">
        <is>
          <t>ESIOS 1001 geo 8741</t>
        </is>
      </c>
      <c r="L1300" t="inlineStr">
        <is>
          <t>24 valores; mín 146.83, máx 262.63 €/MWh</t>
        </is>
      </c>
    </row>
    <row r="1301">
      <c r="A1301" s="53" t="n">
        <v>45644</v>
      </c>
      <c r="B1301" t="inlineStr">
        <is>
          <t>2024-12-18</t>
        </is>
      </c>
      <c r="C1301" s="45" t="n">
        <v>186.9071</v>
      </c>
      <c r="D1301" t="inlineStr">
        <is>
          <t>€/MWh</t>
        </is>
      </c>
      <c r="E1301" s="54" t="n">
        <v>0.186907</v>
      </c>
      <c r="F1301" s="54" t="n">
        <v>0.216109</v>
      </c>
      <c r="G1301" t="inlineStr">
        <is>
          <t>calculado</t>
        </is>
      </c>
      <c r="H1301" t="inlineStr">
        <is>
          <t>IEE 5.1127 % con cuota mínima 1 €/MWh (Ley 38/1992 art. 99 (sin medidas vigentes)) + IVA 10 % (RDL 8/2023 art. 21.1 (condición: mes anterior &gt; 45 €/MWh))</t>
        </is>
      </c>
      <c r="J1301" t="inlineStr">
        <is>
          <t>2024-12-17</t>
        </is>
      </c>
      <c r="K1301" t="inlineStr">
        <is>
          <t>ESIOS 1001 geo 8741</t>
        </is>
      </c>
      <c r="L1301" t="inlineStr">
        <is>
          <t>24 valores; mín 139.65, máx 251.11 €/MWh</t>
        </is>
      </c>
    </row>
    <row r="1302">
      <c r="A1302" s="53" t="n">
        <v>45645</v>
      </c>
      <c r="B1302" t="inlineStr">
        <is>
          <t>2024-12-19</t>
        </is>
      </c>
      <c r="C1302" s="45" t="n">
        <v>157.6675</v>
      </c>
      <c r="D1302" t="inlineStr">
        <is>
          <t>€/MWh</t>
        </is>
      </c>
      <c r="E1302" s="54" t="n">
        <v>0.157667</v>
      </c>
      <c r="F1302" s="54" t="n">
        <v>0.182301</v>
      </c>
      <c r="G1302" t="inlineStr">
        <is>
          <t>calculado</t>
        </is>
      </c>
      <c r="H1302" t="inlineStr">
        <is>
          <t>IEE 5.1127 % con cuota mínima 1 €/MWh (Ley 38/1992 art. 99 (sin medidas vigentes)) + IVA 10 % (RDL 8/2023 art. 21.1 (condición: mes anterior &gt; 45 €/MWh))</t>
        </is>
      </c>
      <c r="J1302" t="inlineStr">
        <is>
          <t>2024-12-18</t>
        </is>
      </c>
      <c r="K1302" t="inlineStr">
        <is>
          <t>ESIOS 1001 geo 8741</t>
        </is>
      </c>
      <c r="L1302" t="inlineStr">
        <is>
          <t>24 valores; mín 50.17, máx 250.79 €/MWh</t>
        </is>
      </c>
    </row>
    <row r="1303">
      <c r="A1303" s="53" t="n">
        <v>45646</v>
      </c>
      <c r="B1303" t="inlineStr">
        <is>
          <t>2024-12-20</t>
        </is>
      </c>
      <c r="C1303" s="45" t="n">
        <v>189.3863</v>
      </c>
      <c r="D1303" t="inlineStr">
        <is>
          <t>€/MWh</t>
        </is>
      </c>
      <c r="E1303" s="54" t="n">
        <v>0.189386</v>
      </c>
      <c r="F1303" s="54" t="n">
        <v>0.218976</v>
      </c>
      <c r="G1303" t="inlineStr">
        <is>
          <t>calculado</t>
        </is>
      </c>
      <c r="H1303" t="inlineStr">
        <is>
          <t>IEE 5.1127 % con cuota mínima 1 €/MWh (Ley 38/1992 art. 99 (sin medidas vigentes)) + IVA 10 % (RDL 8/2023 art. 21.1 (condición: mes anterior &gt; 45 €/MWh))</t>
        </is>
      </c>
      <c r="J1303" t="inlineStr">
        <is>
          <t>2024-12-19</t>
        </is>
      </c>
      <c r="K1303" t="inlineStr">
        <is>
          <t>ESIOS 1001 geo 8741</t>
        </is>
      </c>
      <c r="L1303" t="inlineStr">
        <is>
          <t>24 valores; mín 134.12, máx 265.00 €/MWh</t>
        </is>
      </c>
    </row>
    <row r="1304">
      <c r="A1304" s="53" t="n">
        <v>45647</v>
      </c>
      <c r="B1304" t="inlineStr">
        <is>
          <t>2024-12-21</t>
        </is>
      </c>
      <c r="C1304" s="45" t="n">
        <v>141.7425</v>
      </c>
      <c r="D1304" t="inlineStr">
        <is>
          <t>€/MWh</t>
        </is>
      </c>
      <c r="E1304" s="54" t="n">
        <v>0.141742</v>
      </c>
      <c r="F1304" s="54" t="n">
        <v>0.163888</v>
      </c>
      <c r="G1304" t="inlineStr">
        <is>
          <t>calculado</t>
        </is>
      </c>
      <c r="H1304" t="inlineStr">
        <is>
          <t>IEE 5.1127 % con cuota mínima 1 €/MWh (Ley 38/1992 art. 99 (sin medidas vigentes)) + IVA 10 % (RDL 8/2023 art. 21.1 (condición: mes anterior &gt; 45 €/MWh))</t>
        </is>
      </c>
      <c r="J1304" t="inlineStr">
        <is>
          <t>2024-12-20</t>
        </is>
      </c>
      <c r="K1304" t="inlineStr">
        <is>
          <t>ESIOS 1001 geo 8741</t>
        </is>
      </c>
      <c r="L1304" t="inlineStr">
        <is>
          <t>24 valores; mín 61.19, máx 187.28 €/MWh</t>
        </is>
      </c>
    </row>
    <row r="1305">
      <c r="A1305" s="53" t="n">
        <v>45648</v>
      </c>
      <c r="B1305" t="inlineStr">
        <is>
          <t>2024-12-22</t>
        </is>
      </c>
      <c r="C1305" s="45" t="n">
        <v>105.7683</v>
      </c>
      <c r="D1305" t="inlineStr">
        <is>
          <t>€/MWh</t>
        </is>
      </c>
      <c r="E1305" s="54" t="n">
        <v>0.105768</v>
      </c>
      <c r="F1305" s="54" t="n">
        <v>0.122294</v>
      </c>
      <c r="G1305" t="inlineStr">
        <is>
          <t>calculado</t>
        </is>
      </c>
      <c r="H1305" t="inlineStr">
        <is>
          <t>IEE 5.1127 % con cuota mínima 1 €/MWh (Ley 38/1992 art. 99 (sin medidas vigentes)) + IVA 10 % (RDL 8/2023 art. 21.1 (condición: mes anterior &gt; 45 €/MWh))</t>
        </is>
      </c>
      <c r="J1305" t="inlineStr">
        <is>
          <t>2024-12-21</t>
        </is>
      </c>
      <c r="K1305" t="inlineStr">
        <is>
          <t>ESIOS 1001 geo 8741</t>
        </is>
      </c>
      <c r="L1305" t="inlineStr">
        <is>
          <t>24 valores; mín 39.16, máx 160.90 €/MWh</t>
        </is>
      </c>
    </row>
    <row r="1306">
      <c r="A1306" s="53" t="n">
        <v>45649</v>
      </c>
      <c r="B1306" t="inlineStr">
        <is>
          <t>2024-12-23</t>
        </is>
      </c>
      <c r="C1306" s="45" t="n">
        <v>128.2067</v>
      </c>
      <c r="D1306" t="inlineStr">
        <is>
          <t>€/MWh</t>
        </is>
      </c>
      <c r="E1306" s="54" t="n">
        <v>0.128207</v>
      </c>
      <c r="F1306" s="54" t="n">
        <v>0.148238</v>
      </c>
      <c r="G1306" t="inlineStr">
        <is>
          <t>calculado</t>
        </is>
      </c>
      <c r="H1306" t="inlineStr">
        <is>
          <t>IEE 5.1127 % con cuota mínima 1 €/MWh (Ley 38/1992 art. 99 (sin medidas vigentes)) + IVA 10 % (RDL 8/2023 art. 21.1 (condición: mes anterior &gt; 45 €/MWh))</t>
        </is>
      </c>
      <c r="J1306" t="inlineStr">
        <is>
          <t>2024-12-22</t>
        </is>
      </c>
      <c r="K1306" t="inlineStr">
        <is>
          <t>ESIOS 1001 geo 8741</t>
        </is>
      </c>
      <c r="L1306" t="inlineStr">
        <is>
          <t>24 valores; mín 61.28, máx 254.03 €/MWh</t>
        </is>
      </c>
    </row>
    <row r="1307">
      <c r="A1307" s="53" t="n">
        <v>45650</v>
      </c>
      <c r="B1307" t="inlineStr">
        <is>
          <t>2024-12-24</t>
        </is>
      </c>
      <c r="C1307" s="45" t="n">
        <v>153.9321</v>
      </c>
      <c r="D1307" t="inlineStr">
        <is>
          <t>€/MWh</t>
        </is>
      </c>
      <c r="E1307" s="54" t="n">
        <v>0.153932</v>
      </c>
      <c r="F1307" s="54" t="n">
        <v>0.177982</v>
      </c>
      <c r="G1307" t="inlineStr">
        <is>
          <t>calculado</t>
        </is>
      </c>
      <c r="H1307" t="inlineStr">
        <is>
          <t>IEE 5.1127 % con cuota mínima 1 €/MWh (Ley 38/1992 art. 99 (sin medidas vigentes)) + IVA 10 % (RDL 8/2023 art. 21.1 (condición: mes anterior &gt; 45 €/MWh))</t>
        </is>
      </c>
      <c r="J1307" t="inlineStr">
        <is>
          <t>2024-12-23</t>
        </is>
      </c>
      <c r="K1307" t="inlineStr">
        <is>
          <t>ESIOS 1001 geo 8741</t>
        </is>
      </c>
      <c r="L1307" t="inlineStr">
        <is>
          <t>24 valores; mín 95.16, máx 232.01 €/MWh</t>
        </is>
      </c>
    </row>
    <row r="1308">
      <c r="A1308" s="53" t="n">
        <v>45651</v>
      </c>
      <c r="B1308" t="inlineStr">
        <is>
          <t>2024-12-25</t>
        </is>
      </c>
      <c r="C1308" s="45" t="n">
        <v>154.2317</v>
      </c>
      <c r="D1308" t="inlineStr">
        <is>
          <t>€/MWh</t>
        </is>
      </c>
      <c r="E1308" s="54" t="n">
        <v>0.154232</v>
      </c>
      <c r="F1308" s="54" t="n">
        <v>0.178329</v>
      </c>
      <c r="G1308" t="inlineStr">
        <is>
          <t>calculado</t>
        </is>
      </c>
      <c r="H1308" t="inlineStr">
        <is>
          <t>IEE 5.1127 % con cuota mínima 1 €/MWh (Ley 38/1992 art. 99 (sin medidas vigentes)) + IVA 10 % (RDL 8/2023 art. 21.1 (condición: mes anterior &gt; 45 €/MWh))</t>
        </is>
      </c>
      <c r="J1308" t="inlineStr">
        <is>
          <t>2024-12-24</t>
        </is>
      </c>
      <c r="K1308" t="inlineStr">
        <is>
          <t>ESIOS 1001 geo 8741</t>
        </is>
      </c>
      <c r="L1308" t="inlineStr">
        <is>
          <t>24 valores; mín 125.82, máx 190.11 €/MWh</t>
        </is>
      </c>
    </row>
    <row r="1309">
      <c r="A1309" s="53" t="n">
        <v>45652</v>
      </c>
      <c r="B1309" t="inlineStr">
        <is>
          <t>2024-12-26</t>
        </is>
      </c>
      <c r="C1309" s="45" t="n">
        <v>207.3388</v>
      </c>
      <c r="D1309" t="inlineStr">
        <is>
          <t>€/MWh</t>
        </is>
      </c>
      <c r="E1309" s="54" t="n">
        <v>0.207339</v>
      </c>
      <c r="F1309" s="54" t="n">
        <v>0.239733</v>
      </c>
      <c r="G1309" t="inlineStr">
        <is>
          <t>calculado</t>
        </is>
      </c>
      <c r="H1309" t="inlineStr">
        <is>
          <t>IEE 5.1127 % con cuota mínima 1 €/MWh (Ley 38/1992 art. 99 (sin medidas vigentes)) + IVA 10 % (RDL 8/2023 art. 21.1 (condición: mes anterior &gt; 45 €/MWh))</t>
        </is>
      </c>
      <c r="J1309" t="inlineStr">
        <is>
          <t>2024-12-25</t>
        </is>
      </c>
      <c r="K1309" t="inlineStr">
        <is>
          <t>ESIOS 1001 geo 8741</t>
        </is>
      </c>
      <c r="L1309" t="inlineStr">
        <is>
          <t>24 valores; mín 165.22, máx 284.29 €/MWh</t>
        </is>
      </c>
    </row>
    <row r="1310">
      <c r="A1310" s="53" t="n">
        <v>45653</v>
      </c>
      <c r="B1310" t="inlineStr">
        <is>
          <t>2024-12-27</t>
        </is>
      </c>
      <c r="C1310" s="45" t="n">
        <v>204.8233</v>
      </c>
      <c r="D1310" t="inlineStr">
        <is>
          <t>€/MWh</t>
        </is>
      </c>
      <c r="E1310" s="54" t="n">
        <v>0.204823</v>
      </c>
      <c r="F1310" s="54" t="n">
        <v>0.236825</v>
      </c>
      <c r="G1310" t="inlineStr">
        <is>
          <t>calculado</t>
        </is>
      </c>
      <c r="H1310" t="inlineStr">
        <is>
          <t>IEE 5.1127 % con cuota mínima 1 €/MWh (Ley 38/1992 art. 99 (sin medidas vigentes)) + IVA 10 % (RDL 8/2023 art. 21.1 (condición: mes anterior &gt; 45 €/MWh))</t>
        </is>
      </c>
      <c r="J1310" t="inlineStr">
        <is>
          <t>2024-12-26</t>
        </is>
      </c>
      <c r="K1310" t="inlineStr">
        <is>
          <t>ESIOS 1001 geo 8741</t>
        </is>
      </c>
      <c r="L1310" t="inlineStr">
        <is>
          <t>24 valores; mín 161.36, máx 276.67 €/MWh</t>
        </is>
      </c>
    </row>
    <row r="1311">
      <c r="A1311" s="53" t="n">
        <v>45654</v>
      </c>
      <c r="B1311" t="inlineStr">
        <is>
          <t>2024-12-28</t>
        </is>
      </c>
      <c r="C1311" s="45" t="n">
        <v>174.3529</v>
      </c>
      <c r="D1311" t="inlineStr">
        <is>
          <t>€/MWh</t>
        </is>
      </c>
      <c r="E1311" s="54" t="n">
        <v>0.174353</v>
      </c>
      <c r="F1311" s="54" t="n">
        <v>0.201594</v>
      </c>
      <c r="G1311" t="inlineStr">
        <is>
          <t>calculado</t>
        </is>
      </c>
      <c r="H1311" t="inlineStr">
        <is>
          <t>IEE 5.1127 % con cuota mínima 1 €/MWh (Ley 38/1992 art. 99 (sin medidas vigentes)) + IVA 10 % (RDL 8/2023 art. 21.1 (condición: mes anterior &gt; 45 €/MWh))</t>
        </is>
      </c>
      <c r="J1311" t="inlineStr">
        <is>
          <t>2024-12-27</t>
        </is>
      </c>
      <c r="K1311" t="inlineStr">
        <is>
          <t>ESIOS 1001 geo 8741</t>
        </is>
      </c>
      <c r="L1311" t="inlineStr">
        <is>
          <t>24 valores; mín 141.12, máx 202.31 €/MWh</t>
        </is>
      </c>
    </row>
    <row r="1312">
      <c r="A1312" s="53" t="n">
        <v>45655</v>
      </c>
      <c r="B1312" t="inlineStr">
        <is>
          <t>2024-12-29</t>
        </is>
      </c>
      <c r="C1312" s="45" t="n">
        <v>181.7358</v>
      </c>
      <c r="D1312" t="inlineStr">
        <is>
          <t>€/MWh</t>
        </is>
      </c>
      <c r="E1312" s="54" t="n">
        <v>0.181736</v>
      </c>
      <c r="F1312" s="54" t="n">
        <v>0.21013</v>
      </c>
      <c r="G1312" t="inlineStr">
        <is>
          <t>calculado</t>
        </is>
      </c>
      <c r="H1312" t="inlineStr">
        <is>
          <t>IEE 5.1127 % con cuota mínima 1 €/MWh (Ley 38/1992 art. 99 (sin medidas vigentes)) + IVA 10 % (RDL 8/2023 art. 21.1 (condición: mes anterior &gt; 45 €/MWh))</t>
        </is>
      </c>
      <c r="J1312" t="inlineStr">
        <is>
          <t>2024-12-28</t>
        </is>
      </c>
      <c r="K1312" t="inlineStr">
        <is>
          <t>ESIOS 1001 geo 8741</t>
        </is>
      </c>
      <c r="L1312" t="inlineStr">
        <is>
          <t>24 valores; mín 140.79, máx 205.34 €/MWh</t>
        </is>
      </c>
    </row>
    <row r="1313">
      <c r="A1313" s="53" t="n">
        <v>45656</v>
      </c>
      <c r="B1313" t="inlineStr">
        <is>
          <t>2024-12-30</t>
        </is>
      </c>
      <c r="C1313" s="45" t="n">
        <v>215.0213</v>
      </c>
      <c r="D1313" t="inlineStr">
        <is>
          <t>€/MWh</t>
        </is>
      </c>
      <c r="E1313" s="54" t="n">
        <v>0.215021</v>
      </c>
      <c r="F1313" s="54" t="n">
        <v>0.248616</v>
      </c>
      <c r="G1313" t="inlineStr">
        <is>
          <t>calculado</t>
        </is>
      </c>
      <c r="H1313" t="inlineStr">
        <is>
          <t>IEE 5.1127 % con cuota mínima 1 €/MWh (Ley 38/1992 art. 99 (sin medidas vigentes)) + IVA 10 % (RDL 8/2023 art. 21.1 (condición: mes anterior &gt; 45 €/MWh))</t>
        </is>
      </c>
      <c r="J1313" t="inlineStr">
        <is>
          <t>2024-12-29</t>
        </is>
      </c>
      <c r="K1313" t="inlineStr">
        <is>
          <t>ESIOS 1001 geo 8741</t>
        </is>
      </c>
      <c r="L1313" t="inlineStr">
        <is>
          <t>24 valores; mín 176.22, máx 288.57 €/MWh</t>
        </is>
      </c>
    </row>
    <row r="1314">
      <c r="A1314" s="53" t="n">
        <v>45657</v>
      </c>
      <c r="B1314" t="inlineStr">
        <is>
          <t>2024-12-31</t>
        </is>
      </c>
      <c r="C1314" s="45" t="n">
        <v>210.1958</v>
      </c>
      <c r="D1314" t="inlineStr">
        <is>
          <t>€/MWh</t>
        </is>
      </c>
      <c r="E1314" s="54" t="n">
        <v>0.210196</v>
      </c>
      <c r="F1314" s="54" t="n">
        <v>0.243037</v>
      </c>
      <c r="G1314" t="inlineStr">
        <is>
          <t>calculado</t>
        </is>
      </c>
      <c r="H1314" t="inlineStr">
        <is>
          <t>IEE 5.1127 % con cuota mínima 1 €/MWh (Ley 38/1992 art. 99 (sin medidas vigentes)) + IVA 10 % (RDL 8/2023 art. 21.1 (condición: mes anterior &gt; 45 €/MWh))</t>
        </is>
      </c>
      <c r="J1314" t="inlineStr">
        <is>
          <t>2024-12-30</t>
        </is>
      </c>
      <c r="K1314" t="inlineStr">
        <is>
          <t>ESIOS 1001 geo 8741</t>
        </is>
      </c>
      <c r="L1314" t="inlineStr">
        <is>
          <t>24 valores; mín 166.81, máx 274.90 €/MWh</t>
        </is>
      </c>
    </row>
    <row r="1315">
      <c r="A1315" s="53" t="n">
        <v>45658</v>
      </c>
      <c r="B1315" t="inlineStr">
        <is>
          <t>2025-01-01</t>
        </is>
      </c>
      <c r="C1315" s="45" t="n">
        <v>161.8779</v>
      </c>
      <c r="D1315" t="inlineStr">
        <is>
          <t>€/MWh</t>
        </is>
      </c>
      <c r="E1315" s="54" t="n">
        <v>0.161878</v>
      </c>
      <c r="F1315" s="54" t="n">
        <v>0.205887</v>
      </c>
      <c r="G1315" t="inlineStr">
        <is>
          <t>calculado</t>
        </is>
      </c>
      <c r="H1315" t="inlineStr">
        <is>
          <t>IEE 5.1127 % con cuota mínima 1 €/MWh (Ley 38/1992 art. 99 (sin medidas vigentes)) + IVA 21 % (Ley 37/1992 art. 90 (sin medidas vigentes))</t>
        </is>
      </c>
      <c r="J1315" t="inlineStr">
        <is>
          <t>2024-12-31</t>
        </is>
      </c>
      <c r="K1315" t="inlineStr">
        <is>
          <t>ESIOS 1001 geo 8741</t>
        </is>
      </c>
      <c r="L1315" t="inlineStr">
        <is>
          <t>24 valores; mín 29.12, máx 423.15 €/MWh</t>
        </is>
      </c>
    </row>
    <row r="1316">
      <c r="A1316" s="53" t="n">
        <v>45659</v>
      </c>
      <c r="B1316" t="inlineStr">
        <is>
          <t>2025-01-02</t>
        </is>
      </c>
      <c r="C1316" s="45" t="n">
        <v>199.7846</v>
      </c>
      <c r="D1316" t="inlineStr">
        <is>
          <t>€/MWh</t>
        </is>
      </c>
      <c r="E1316" s="54" t="n">
        <v>0.199785</v>
      </c>
      <c r="F1316" s="54" t="n">
        <v>0.254099</v>
      </c>
      <c r="G1316" t="inlineStr">
        <is>
          <t>calculado</t>
        </is>
      </c>
      <c r="H1316" t="inlineStr">
        <is>
          <t>IEE 5.1127 % con cuota mínima 1 €/MWh (Ley 38/1992 art. 99 (sin medidas vigentes)) + IVA 21 % (Ley 37/1992 art. 90 (sin medidas vigentes))</t>
        </is>
      </c>
      <c r="J1316" t="inlineStr">
        <is>
          <t>2025-01-01</t>
        </is>
      </c>
      <c r="K1316" t="inlineStr">
        <is>
          <t>ESIOS 1001 geo 8741</t>
        </is>
      </c>
      <c r="L1316" t="inlineStr">
        <is>
          <t>24 valores; mín 140.71, máx 278.06 €/MWh</t>
        </is>
      </c>
    </row>
    <row r="1317">
      <c r="A1317" s="53" t="n">
        <v>45660</v>
      </c>
      <c r="B1317" t="inlineStr">
        <is>
          <t>2025-01-03</t>
        </is>
      </c>
      <c r="C1317" s="45" t="n">
        <v>191.5425</v>
      </c>
      <c r="D1317" t="inlineStr">
        <is>
          <t>€/MWh</t>
        </is>
      </c>
      <c r="E1317" s="54" t="n">
        <v>0.191542</v>
      </c>
      <c r="F1317" s="54" t="n">
        <v>0.243616</v>
      </c>
      <c r="G1317" t="inlineStr">
        <is>
          <t>calculado</t>
        </is>
      </c>
      <c r="H1317" t="inlineStr">
        <is>
          <t>IEE 5.1127 % con cuota mínima 1 €/MWh (Ley 38/1992 art. 99 (sin medidas vigentes)) + IVA 21 % (Ley 37/1992 art. 90 (sin medidas vigentes))</t>
        </is>
      </c>
      <c r="J1317" t="inlineStr">
        <is>
          <t>2025-01-02</t>
        </is>
      </c>
      <c r="K1317" t="inlineStr">
        <is>
          <t>ESIOS 1001 geo 8741</t>
        </is>
      </c>
      <c r="L1317" t="inlineStr">
        <is>
          <t>24 valores; mín 126.83, máx 271.65 €/MWh</t>
        </is>
      </c>
    </row>
    <row r="1318">
      <c r="A1318" s="53" t="n">
        <v>45661</v>
      </c>
      <c r="B1318" t="inlineStr">
        <is>
          <t>2025-01-04</t>
        </is>
      </c>
      <c r="C1318" s="45" t="n">
        <v>145.7662</v>
      </c>
      <c r="D1318" t="inlineStr">
        <is>
          <t>€/MWh</t>
        </is>
      </c>
      <c r="E1318" s="54" t="n">
        <v>0.145766</v>
      </c>
      <c r="F1318" s="54" t="n">
        <v>0.185395</v>
      </c>
      <c r="G1318" t="inlineStr">
        <is>
          <t>calculado</t>
        </is>
      </c>
      <c r="H1318" t="inlineStr">
        <is>
          <t>IEE 5.1127 % con cuota mínima 1 €/MWh (Ley 38/1992 art. 99 (sin medidas vigentes)) + IVA 21 % (Ley 37/1992 art. 90 (sin medidas vigentes))</t>
        </is>
      </c>
      <c r="J1318" t="inlineStr">
        <is>
          <t>2025-01-03</t>
        </is>
      </c>
      <c r="K1318" t="inlineStr">
        <is>
          <t>ESIOS 1001 geo 8741</t>
        </is>
      </c>
      <c r="L1318" t="inlineStr">
        <is>
          <t>24 valores; mín 107.13, máx 177.56 €/MWh</t>
        </is>
      </c>
    </row>
    <row r="1319">
      <c r="A1319" s="53" t="n">
        <v>45662</v>
      </c>
      <c r="B1319" t="inlineStr">
        <is>
          <t>2025-01-05</t>
        </is>
      </c>
      <c r="C1319" s="45" t="n">
        <v>106.0367</v>
      </c>
      <c r="D1319" t="inlineStr">
        <is>
          <t>€/MWh</t>
        </is>
      </c>
      <c r="E1319" s="54" t="n">
        <v>0.106037</v>
      </c>
      <c r="F1319" s="54" t="n">
        <v>0.134864</v>
      </c>
      <c r="G1319" t="inlineStr">
        <is>
          <t>calculado</t>
        </is>
      </c>
      <c r="H1319" t="inlineStr">
        <is>
          <t>IEE 5.1127 % con cuota mínima 1 €/MWh (Ley 38/1992 art. 99 (sin medidas vigentes)) + IVA 21 % (Ley 37/1992 art. 90 (sin medidas vigentes))</t>
        </is>
      </c>
      <c r="J1319" t="inlineStr">
        <is>
          <t>2025-01-04</t>
        </is>
      </c>
      <c r="K1319" t="inlineStr">
        <is>
          <t>ESIOS 1001 geo 8741</t>
        </is>
      </c>
      <c r="L1319" t="inlineStr">
        <is>
          <t>24 valores; mín 67.87, máx 163.73 €/MWh</t>
        </is>
      </c>
    </row>
    <row r="1320">
      <c r="A1320" s="53" t="n">
        <v>45663</v>
      </c>
      <c r="B1320" t="inlineStr">
        <is>
          <t>2025-01-06</t>
        </is>
      </c>
      <c r="C1320" s="45" t="n">
        <v>101.0487</v>
      </c>
      <c r="D1320" t="inlineStr">
        <is>
          <t>€/MWh</t>
        </is>
      </c>
      <c r="E1320" s="54" t="n">
        <v>0.101049</v>
      </c>
      <c r="F1320" s="54" t="n">
        <v>0.12852</v>
      </c>
      <c r="G1320" t="inlineStr">
        <is>
          <t>calculado</t>
        </is>
      </c>
      <c r="H1320" t="inlineStr">
        <is>
          <t>IEE 5.1127 % con cuota mínima 1 €/MWh (Ley 38/1992 art. 99 (sin medidas vigentes)) + IVA 21 % (Ley 37/1992 art. 90 (sin medidas vigentes))</t>
        </is>
      </c>
      <c r="J1320" t="inlineStr">
        <is>
          <t>2025-01-05</t>
        </is>
      </c>
      <c r="K1320" t="inlineStr">
        <is>
          <t>ESIOS 1001 geo 8741</t>
        </is>
      </c>
      <c r="L1320" t="inlineStr">
        <is>
          <t>24 valores; mín 51.55, máx 179.23 €/MWh</t>
        </is>
      </c>
    </row>
    <row r="1321">
      <c r="A1321" s="53" t="n">
        <v>45664</v>
      </c>
      <c r="B1321" t="inlineStr">
        <is>
          <t>2025-01-07</t>
        </is>
      </c>
      <c r="C1321" s="45" t="n">
        <v>163.2658</v>
      </c>
      <c r="D1321" t="inlineStr">
        <is>
          <t>€/MWh</t>
        </is>
      </c>
      <c r="E1321" s="54" t="n">
        <v>0.163266</v>
      </c>
      <c r="F1321" s="54" t="n">
        <v>0.207652</v>
      </c>
      <c r="G1321" t="inlineStr">
        <is>
          <t>calculado</t>
        </is>
      </c>
      <c r="H1321" t="inlineStr">
        <is>
          <t>IEE 5.1127 % con cuota mínima 1 €/MWh (Ley 38/1992 art. 99 (sin medidas vigentes)) + IVA 21 % (Ley 37/1992 art. 90 (sin medidas vigentes))</t>
        </is>
      </c>
      <c r="J1321" t="inlineStr">
        <is>
          <t>2025-01-06</t>
        </is>
      </c>
      <c r="K1321" t="inlineStr">
        <is>
          <t>ESIOS 1001 geo 8741</t>
        </is>
      </c>
      <c r="L1321" t="inlineStr">
        <is>
          <t>24 valores; mín 68.41, máx 259.25 €/MWh</t>
        </is>
      </c>
    </row>
    <row r="1322">
      <c r="A1322" s="53" t="n">
        <v>45665</v>
      </c>
      <c r="B1322" t="inlineStr">
        <is>
          <t>2025-01-08</t>
        </is>
      </c>
      <c r="C1322" s="45" t="n">
        <v>170.4496</v>
      </c>
      <c r="D1322" t="inlineStr">
        <is>
          <t>€/MWh</t>
        </is>
      </c>
      <c r="E1322" s="54" t="n">
        <v>0.17045</v>
      </c>
      <c r="F1322" s="54" t="n">
        <v>0.216789</v>
      </c>
      <c r="G1322" t="inlineStr">
        <is>
          <t>calculado</t>
        </is>
      </c>
      <c r="H1322" t="inlineStr">
        <is>
          <t>IEE 5.1127 % con cuota mínima 1 €/MWh (Ley 38/1992 art. 99 (sin medidas vigentes)) + IVA 21 % (Ley 37/1992 art. 90 (sin medidas vigentes))</t>
        </is>
      </c>
      <c r="J1322" t="inlineStr">
        <is>
          <t>2025-01-07</t>
        </is>
      </c>
      <c r="K1322" t="inlineStr">
        <is>
          <t>ESIOS 1001 geo 8741</t>
        </is>
      </c>
      <c r="L1322" t="inlineStr">
        <is>
          <t>24 valores; mín 88.65, máx 255.03 €/MWh</t>
        </is>
      </c>
    </row>
    <row r="1323">
      <c r="A1323" s="53" t="n">
        <v>45666</v>
      </c>
      <c r="B1323" t="inlineStr">
        <is>
          <t>2025-01-09</t>
        </is>
      </c>
      <c r="C1323" s="45" t="n">
        <v>159.6463</v>
      </c>
      <c r="D1323" t="inlineStr">
        <is>
          <t>€/MWh</t>
        </is>
      </c>
      <c r="E1323" s="54" t="n">
        <v>0.159646</v>
      </c>
      <c r="F1323" s="54" t="n">
        <v>0.203048</v>
      </c>
      <c r="G1323" t="inlineStr">
        <is>
          <t>calculado</t>
        </is>
      </c>
      <c r="H1323" t="inlineStr">
        <is>
          <t>IEE 5.1127 % con cuota mínima 1 €/MWh (Ley 38/1992 art. 99 (sin medidas vigentes)) + IVA 21 % (Ley 37/1992 art. 90 (sin medidas vigentes))</t>
        </is>
      </c>
      <c r="J1323" t="inlineStr">
        <is>
          <t>2025-01-08</t>
        </is>
      </c>
      <c r="K1323" t="inlineStr">
        <is>
          <t>ESIOS 1001 geo 8741</t>
        </is>
      </c>
      <c r="L1323" t="inlineStr">
        <is>
          <t>24 valores; mín 35.14, máx 273.42 €/MWh</t>
        </is>
      </c>
    </row>
    <row r="1324">
      <c r="A1324" s="53" t="n">
        <v>45667</v>
      </c>
      <c r="B1324" t="inlineStr">
        <is>
          <t>2025-01-10</t>
        </is>
      </c>
      <c r="C1324" s="45" t="n">
        <v>179.3704</v>
      </c>
      <c r="D1324" t="inlineStr">
        <is>
          <t>€/MWh</t>
        </is>
      </c>
      <c r="E1324" s="54" t="n">
        <v>0.17937</v>
      </c>
      <c r="F1324" s="54" t="n">
        <v>0.228135</v>
      </c>
      <c r="G1324" t="inlineStr">
        <is>
          <t>calculado</t>
        </is>
      </c>
      <c r="H1324" t="inlineStr">
        <is>
          <t>IEE 5.1127 % con cuota mínima 1 €/MWh (Ley 38/1992 art. 99 (sin medidas vigentes)) + IVA 21 % (Ley 37/1992 art. 90 (sin medidas vigentes))</t>
        </is>
      </c>
      <c r="J1324" t="inlineStr">
        <is>
          <t>2025-01-09</t>
        </is>
      </c>
      <c r="K1324" t="inlineStr">
        <is>
          <t>ESIOS 1001 geo 8741</t>
        </is>
      </c>
      <c r="L1324" t="inlineStr">
        <is>
          <t>24 valores; mín 100.16, máx 265.33 €/MWh</t>
        </is>
      </c>
    </row>
    <row r="1325">
      <c r="A1325" s="53" t="n">
        <v>45668</v>
      </c>
      <c r="B1325" t="inlineStr">
        <is>
          <t>2025-01-11</t>
        </is>
      </c>
      <c r="C1325" s="45" t="n">
        <v>130.7542</v>
      </c>
      <c r="D1325" t="inlineStr">
        <is>
          <t>€/MWh</t>
        </is>
      </c>
      <c r="E1325" s="54" t="n">
        <v>0.130754</v>
      </c>
      <c r="F1325" s="54" t="n">
        <v>0.166302</v>
      </c>
      <c r="G1325" t="inlineStr">
        <is>
          <t>calculado</t>
        </is>
      </c>
      <c r="H1325" t="inlineStr">
        <is>
          <t>IEE 5.1127 % con cuota mínima 1 €/MWh (Ley 38/1992 art. 99 (sin medidas vigentes)) + IVA 21 % (Ley 37/1992 art. 90 (sin medidas vigentes))</t>
        </is>
      </c>
      <c r="J1325" t="inlineStr">
        <is>
          <t>2025-01-10</t>
        </is>
      </c>
      <c r="K1325" t="inlineStr">
        <is>
          <t>ESIOS 1001 geo 8741</t>
        </is>
      </c>
      <c r="L1325" t="inlineStr">
        <is>
          <t>24 valores; mín 87.32, máx 156.48 €/MWh</t>
        </is>
      </c>
    </row>
    <row r="1326">
      <c r="A1326" s="53" t="n">
        <v>45669</v>
      </c>
      <c r="B1326" t="inlineStr">
        <is>
          <t>2025-01-12</t>
        </is>
      </c>
      <c r="C1326" s="45" t="n">
        <v>119.4667</v>
      </c>
      <c r="D1326" t="inlineStr">
        <is>
          <t>€/MWh</t>
        </is>
      </c>
      <c r="E1326" s="54" t="n">
        <v>0.119467</v>
      </c>
      <c r="F1326" s="54" t="n">
        <v>0.151945</v>
      </c>
      <c r="G1326" t="inlineStr">
        <is>
          <t>calculado</t>
        </is>
      </c>
      <c r="H1326" t="inlineStr">
        <is>
          <t>IEE 5.1127 % con cuota mínima 1 €/MWh (Ley 38/1992 art. 99 (sin medidas vigentes)) + IVA 21 % (Ley 37/1992 art. 90 (sin medidas vigentes))</t>
        </is>
      </c>
      <c r="J1326" t="inlineStr">
        <is>
          <t>2025-01-11</t>
        </is>
      </c>
      <c r="K1326" t="inlineStr">
        <is>
          <t>ESIOS 1001 geo 8741</t>
        </is>
      </c>
      <c r="L1326" t="inlineStr">
        <is>
          <t>24 valores; mín 28.75, máx 174.24 €/MWh</t>
        </is>
      </c>
    </row>
    <row r="1327">
      <c r="A1327" s="53" t="n">
        <v>45670</v>
      </c>
      <c r="B1327" t="inlineStr">
        <is>
          <t>2025-01-13</t>
        </is>
      </c>
      <c r="C1327" s="45" t="n">
        <v>192.7996</v>
      </c>
      <c r="D1327" t="inlineStr">
        <is>
          <t>€/MWh</t>
        </is>
      </c>
      <c r="E1327" s="54" t="n">
        <v>0.1928</v>
      </c>
      <c r="F1327" s="54" t="n">
        <v>0.245215</v>
      </c>
      <c r="G1327" t="inlineStr">
        <is>
          <t>calculado</t>
        </is>
      </c>
      <c r="H1327" t="inlineStr">
        <is>
          <t>IEE 5.1127 % con cuota mínima 1 €/MWh (Ley 38/1992 art. 99 (sin medidas vigentes)) + IVA 21 % (Ley 37/1992 art. 90 (sin medidas vigentes))</t>
        </is>
      </c>
      <c r="J1327" t="inlineStr">
        <is>
          <t>2025-01-12</t>
        </is>
      </c>
      <c r="K1327" t="inlineStr">
        <is>
          <t>ESIOS 1001 geo 8741</t>
        </is>
      </c>
      <c r="L1327" t="inlineStr">
        <is>
          <t>24 valores; mín 136.15, máx 276.88 €/MWh</t>
        </is>
      </c>
    </row>
    <row r="1328">
      <c r="A1328" s="53" t="n">
        <v>45671</v>
      </c>
      <c r="B1328" t="inlineStr">
        <is>
          <t>2025-01-14</t>
        </is>
      </c>
      <c r="C1328" s="45" t="n">
        <v>197.8879</v>
      </c>
      <c r="D1328" t="inlineStr">
        <is>
          <t>€/MWh</t>
        </is>
      </c>
      <c r="E1328" s="54" t="n">
        <v>0.197888</v>
      </c>
      <c r="F1328" s="54" t="n">
        <v>0.251686</v>
      </c>
      <c r="G1328" t="inlineStr">
        <is>
          <t>calculado</t>
        </is>
      </c>
      <c r="H1328" t="inlineStr">
        <is>
          <t>IEE 5.1127 % con cuota mínima 1 €/MWh (Ley 38/1992 art. 99 (sin medidas vigentes)) + IVA 21 % (Ley 37/1992 art. 90 (sin medidas vigentes))</t>
        </is>
      </c>
      <c r="J1328" t="inlineStr">
        <is>
          <t>2025-01-13</t>
        </is>
      </c>
      <c r="K1328" t="inlineStr">
        <is>
          <t>ESIOS 1001 geo 8741</t>
        </is>
      </c>
      <c r="L1328" t="inlineStr">
        <is>
          <t>24 valores; mín 136.21, máx 309.13 €/MWh</t>
        </is>
      </c>
    </row>
    <row r="1329">
      <c r="A1329" s="53" t="n">
        <v>45672</v>
      </c>
      <c r="B1329" t="inlineStr">
        <is>
          <t>2025-01-15</t>
        </is>
      </c>
      <c r="C1329" s="45" t="n">
        <v>201.0163</v>
      </c>
      <c r="D1329" t="inlineStr">
        <is>
          <t>€/MWh</t>
        </is>
      </c>
      <c r="E1329" s="54" t="n">
        <v>0.201016</v>
      </c>
      <c r="F1329" s="54" t="n">
        <v>0.255665</v>
      </c>
      <c r="G1329" t="inlineStr">
        <is>
          <t>calculado</t>
        </is>
      </c>
      <c r="H1329" t="inlineStr">
        <is>
          <t>IEE 5.1127 % con cuota mínima 1 €/MWh (Ley 38/1992 art. 99 (sin medidas vigentes)) + IVA 21 % (Ley 37/1992 art. 90 (sin medidas vigentes))</t>
        </is>
      </c>
      <c r="J1329" t="inlineStr">
        <is>
          <t>2025-01-14</t>
        </is>
      </c>
      <c r="K1329" t="inlineStr">
        <is>
          <t>ESIOS 1001 geo 8741</t>
        </is>
      </c>
      <c r="L1329" t="inlineStr">
        <is>
          <t>24 valores; mín 138.84, máx 296.20 €/MWh</t>
        </is>
      </c>
    </row>
    <row r="1330">
      <c r="A1330" s="53" t="n">
        <v>45673</v>
      </c>
      <c r="B1330" t="inlineStr">
        <is>
          <t>2025-01-16</t>
        </is>
      </c>
      <c r="C1330" s="45" t="n">
        <v>196.9346</v>
      </c>
      <c r="D1330" t="inlineStr">
        <is>
          <t>€/MWh</t>
        </is>
      </c>
      <c r="E1330" s="54" t="n">
        <v>0.196935</v>
      </c>
      <c r="F1330" s="54" t="n">
        <v>0.250474</v>
      </c>
      <c r="G1330" t="inlineStr">
        <is>
          <t>calculado</t>
        </is>
      </c>
      <c r="H1330" t="inlineStr">
        <is>
          <t>IEE 5.1127 % con cuota mínima 1 €/MWh (Ley 38/1992 art. 99 (sin medidas vigentes)) + IVA 21 % (Ley 37/1992 art. 90 (sin medidas vigentes))</t>
        </is>
      </c>
      <c r="J1330" t="inlineStr">
        <is>
          <t>2025-01-15</t>
        </is>
      </c>
      <c r="K1330" t="inlineStr">
        <is>
          <t>ESIOS 1001 geo 8741</t>
        </is>
      </c>
      <c r="L1330" t="inlineStr">
        <is>
          <t>24 valores; mín 132.65, máx 305.12 €/MWh</t>
        </is>
      </c>
    </row>
    <row r="1331">
      <c r="A1331" s="53" t="n">
        <v>45674</v>
      </c>
      <c r="B1331" t="inlineStr">
        <is>
          <t>2025-01-17</t>
        </is>
      </c>
      <c r="C1331" s="45" t="n">
        <v>196.2833</v>
      </c>
      <c r="D1331" t="inlineStr">
        <is>
          <t>€/MWh</t>
        </is>
      </c>
      <c r="E1331" s="54" t="n">
        <v>0.196283</v>
      </c>
      <c r="F1331" s="54" t="n">
        <v>0.249646</v>
      </c>
      <c r="G1331" t="inlineStr">
        <is>
          <t>calculado</t>
        </is>
      </c>
      <c r="H1331" t="inlineStr">
        <is>
          <t>IEE 5.1127 % con cuota mínima 1 €/MWh (Ley 38/1992 art. 99 (sin medidas vigentes)) + IVA 21 % (Ley 37/1992 art. 90 (sin medidas vigentes))</t>
        </is>
      </c>
      <c r="J1331" t="inlineStr">
        <is>
          <t>2025-01-16</t>
        </is>
      </c>
      <c r="K1331" t="inlineStr">
        <is>
          <t>ESIOS 1001 geo 8741</t>
        </is>
      </c>
      <c r="L1331" t="inlineStr">
        <is>
          <t>24 valores; mín 139.78, máx 294.78 €/MWh</t>
        </is>
      </c>
    </row>
    <row r="1332">
      <c r="A1332" s="53" t="n">
        <v>45675</v>
      </c>
      <c r="B1332" t="inlineStr">
        <is>
          <t>2025-01-18</t>
        </is>
      </c>
      <c r="C1332" s="45" t="n">
        <v>157.2883</v>
      </c>
      <c r="D1332" t="inlineStr">
        <is>
          <t>€/MWh</t>
        </is>
      </c>
      <c r="E1332" s="54" t="n">
        <v>0.157288</v>
      </c>
      <c r="F1332" s="54" t="n">
        <v>0.200049</v>
      </c>
      <c r="G1332" t="inlineStr">
        <is>
          <t>calculado</t>
        </is>
      </c>
      <c r="H1332" t="inlineStr">
        <is>
          <t>IEE 5.1127 % con cuota mínima 1 €/MWh (Ley 38/1992 art. 99 (sin medidas vigentes)) + IVA 21 % (Ley 37/1992 art. 90 (sin medidas vigentes))</t>
        </is>
      </c>
      <c r="J1332" t="inlineStr">
        <is>
          <t>2025-01-17</t>
        </is>
      </c>
      <c r="K1332" t="inlineStr">
        <is>
          <t>ESIOS 1001 geo 8741</t>
        </is>
      </c>
      <c r="L1332" t="inlineStr">
        <is>
          <t>24 valores; mín 127.95, máx 193.96 €/MWh</t>
        </is>
      </c>
    </row>
    <row r="1333">
      <c r="A1333" s="53" t="n">
        <v>45676</v>
      </c>
      <c r="B1333" t="inlineStr">
        <is>
          <t>2025-01-19</t>
        </is>
      </c>
      <c r="C1333" s="45" t="n">
        <v>153.9642</v>
      </c>
      <c r="D1333" t="inlineStr">
        <is>
          <t>€/MWh</t>
        </is>
      </c>
      <c r="E1333" s="54" t="n">
        <v>0.153964</v>
      </c>
      <c r="F1333" s="54" t="n">
        <v>0.195821</v>
      </c>
      <c r="G1333" t="inlineStr">
        <is>
          <t>calculado</t>
        </is>
      </c>
      <c r="H1333" t="inlineStr">
        <is>
          <t>IEE 5.1127 % con cuota mínima 1 €/MWh (Ley 38/1992 art. 99 (sin medidas vigentes)) + IVA 21 % (Ley 37/1992 art. 90 (sin medidas vigentes))</t>
        </is>
      </c>
      <c r="J1333" t="inlineStr">
        <is>
          <t>2025-01-18</t>
        </is>
      </c>
      <c r="K1333" t="inlineStr">
        <is>
          <t>ESIOS 1001 geo 8741</t>
        </is>
      </c>
      <c r="L1333" t="inlineStr">
        <is>
          <t>24 valores; mín 122.12, máx 190.25 €/MWh</t>
        </is>
      </c>
    </row>
    <row r="1334">
      <c r="A1334" s="53" t="n">
        <v>45677</v>
      </c>
      <c r="B1334" t="inlineStr">
        <is>
          <t>2025-01-20</t>
        </is>
      </c>
      <c r="C1334" s="45" t="n">
        <v>205.0896</v>
      </c>
      <c r="D1334" t="inlineStr">
        <is>
          <t>€/MWh</t>
        </is>
      </c>
      <c r="E1334" s="54" t="n">
        <v>0.20509</v>
      </c>
      <c r="F1334" s="54" t="n">
        <v>0.260846</v>
      </c>
      <c r="G1334" t="inlineStr">
        <is>
          <t>calculado</t>
        </is>
      </c>
      <c r="H1334" t="inlineStr">
        <is>
          <t>IEE 5.1127 % con cuota mínima 1 €/MWh (Ley 38/1992 art. 99 (sin medidas vigentes)) + IVA 21 % (Ley 37/1992 art. 90 (sin medidas vigentes))</t>
        </is>
      </c>
      <c r="J1334" t="inlineStr">
        <is>
          <t>2025-01-19</t>
        </is>
      </c>
      <c r="K1334" t="inlineStr">
        <is>
          <t>ESIOS 1001 geo 8741</t>
        </is>
      </c>
      <c r="L1334" t="inlineStr">
        <is>
          <t>24 valores; mín 137.63, máx 286.75 €/MWh</t>
        </is>
      </c>
    </row>
    <row r="1335">
      <c r="A1335" s="53" t="n">
        <v>45678</v>
      </c>
      <c r="B1335" t="inlineStr">
        <is>
          <t>2025-01-21</t>
        </is>
      </c>
      <c r="C1335" s="45" t="n">
        <v>200.9079</v>
      </c>
      <c r="D1335" t="inlineStr">
        <is>
          <t>€/MWh</t>
        </is>
      </c>
      <c r="E1335" s="54" t="n">
        <v>0.200908</v>
      </c>
      <c r="F1335" s="54" t="n">
        <v>0.255527</v>
      </c>
      <c r="G1335" t="inlineStr">
        <is>
          <t>calculado</t>
        </is>
      </c>
      <c r="H1335" t="inlineStr">
        <is>
          <t>IEE 5.1127 % con cuota mínima 1 €/MWh (Ley 38/1992 art. 99 (sin medidas vigentes)) + IVA 21 % (Ley 37/1992 art. 90 (sin medidas vigentes))</t>
        </is>
      </c>
      <c r="J1335" t="inlineStr">
        <is>
          <t>2025-01-20</t>
        </is>
      </c>
      <c r="K1335" t="inlineStr">
        <is>
          <t>ESIOS 1001 geo 8741</t>
        </is>
      </c>
      <c r="L1335" t="inlineStr">
        <is>
          <t>24 valores; mín 137.61, máx 278.25 €/MWh</t>
        </is>
      </c>
    </row>
    <row r="1336">
      <c r="A1336" s="53" t="n">
        <v>45679</v>
      </c>
      <c r="B1336" t="inlineStr">
        <is>
          <t>2025-01-22</t>
        </is>
      </c>
      <c r="C1336" s="45" t="n">
        <v>198.0096</v>
      </c>
      <c r="D1336" t="inlineStr">
        <is>
          <t>€/MWh</t>
        </is>
      </c>
      <c r="E1336" s="54" t="n">
        <v>0.19801</v>
      </c>
      <c r="F1336" s="54" t="n">
        <v>0.251841</v>
      </c>
      <c r="G1336" t="inlineStr">
        <is>
          <t>calculado</t>
        </is>
      </c>
      <c r="H1336" t="inlineStr">
        <is>
          <t>IEE 5.1127 % con cuota mínima 1 €/MWh (Ley 38/1992 art. 99 (sin medidas vigentes)) + IVA 21 % (Ley 37/1992 art. 90 (sin medidas vigentes))</t>
        </is>
      </c>
      <c r="J1336" t="inlineStr">
        <is>
          <t>2025-01-21</t>
        </is>
      </c>
      <c r="K1336" t="inlineStr">
        <is>
          <t>ESIOS 1001 geo 8741</t>
        </is>
      </c>
      <c r="L1336" t="inlineStr">
        <is>
          <t>24 valores; mín 128.48, máx 285.24 €/MWh</t>
        </is>
      </c>
    </row>
    <row r="1337">
      <c r="A1337" s="53" t="n">
        <v>45680</v>
      </c>
      <c r="B1337" t="inlineStr">
        <is>
          <t>2025-01-23</t>
        </is>
      </c>
      <c r="C1337" s="45" t="n">
        <v>199.3333</v>
      </c>
      <c r="D1337" t="inlineStr">
        <is>
          <t>€/MWh</t>
        </is>
      </c>
      <c r="E1337" s="54" t="n">
        <v>0.199333</v>
      </c>
      <c r="F1337" s="54" t="n">
        <v>0.253525</v>
      </c>
      <c r="G1337" t="inlineStr">
        <is>
          <t>calculado</t>
        </is>
      </c>
      <c r="H1337" t="inlineStr">
        <is>
          <t>IEE 5.1127 % con cuota mínima 1 €/MWh (Ley 38/1992 art. 99 (sin medidas vigentes)) + IVA 21 % (Ley 37/1992 art. 90 (sin medidas vigentes))</t>
        </is>
      </c>
      <c r="J1337" t="inlineStr">
        <is>
          <t>2025-01-22</t>
        </is>
      </c>
      <c r="K1337" t="inlineStr">
        <is>
          <t>ESIOS 1001 geo 8741</t>
        </is>
      </c>
      <c r="L1337" t="inlineStr">
        <is>
          <t>24 valores; mín 134.33, máx 316.71 €/MWh</t>
        </is>
      </c>
    </row>
    <row r="1338">
      <c r="A1338" s="53" t="n">
        <v>45681</v>
      </c>
      <c r="B1338" t="inlineStr">
        <is>
          <t>2025-01-24</t>
        </is>
      </c>
      <c r="C1338" s="45" t="n">
        <v>164.2171</v>
      </c>
      <c r="D1338" t="inlineStr">
        <is>
          <t>€/MWh</t>
        </is>
      </c>
      <c r="E1338" s="54" t="n">
        <v>0.164217</v>
      </c>
      <c r="F1338" s="54" t="n">
        <v>0.208862</v>
      </c>
      <c r="G1338" t="inlineStr">
        <is>
          <t>calculado</t>
        </is>
      </c>
      <c r="H1338" t="inlineStr">
        <is>
          <t>IEE 5.1127 % con cuota mínima 1 €/MWh (Ley 38/1992 art. 99 (sin medidas vigentes)) + IVA 21 % (Ley 37/1992 art. 90 (sin medidas vigentes))</t>
        </is>
      </c>
      <c r="J1338" t="inlineStr">
        <is>
          <t>2025-01-23</t>
        </is>
      </c>
      <c r="K1338" t="inlineStr">
        <is>
          <t>ESIOS 1001 geo 8741</t>
        </is>
      </c>
      <c r="L1338" t="inlineStr">
        <is>
          <t>24 valores; mín 114.40, máx 238.86 €/MWh</t>
        </is>
      </c>
    </row>
    <row r="1339">
      <c r="A1339" s="53" t="n">
        <v>45682</v>
      </c>
      <c r="B1339" t="inlineStr">
        <is>
          <t>2025-01-25</t>
        </is>
      </c>
      <c r="C1339" s="45" t="n">
        <v>90.3908</v>
      </c>
      <c r="D1339" t="inlineStr">
        <is>
          <t>€/MWh</t>
        </is>
      </c>
      <c r="E1339" s="54" t="n">
        <v>0.090391</v>
      </c>
      <c r="F1339" s="54" t="n">
        <v>0.114965</v>
      </c>
      <c r="G1339" t="inlineStr">
        <is>
          <t>calculado</t>
        </is>
      </c>
      <c r="H1339" t="inlineStr">
        <is>
          <t>IEE 5.1127 % con cuota mínima 1 €/MWh (Ley 38/1992 art. 99 (sin medidas vigentes)) + IVA 21 % (Ley 37/1992 art. 90 (sin medidas vigentes))</t>
        </is>
      </c>
      <c r="J1339" t="inlineStr">
        <is>
          <t>2025-01-24</t>
        </is>
      </c>
      <c r="K1339" t="inlineStr">
        <is>
          <t>ESIOS 1001 geo 8741</t>
        </is>
      </c>
      <c r="L1339" t="inlineStr">
        <is>
          <t>24 valores; mín 38.79, máx 150.25 €/MWh</t>
        </is>
      </c>
    </row>
    <row r="1340">
      <c r="A1340" s="53" t="n">
        <v>45683</v>
      </c>
      <c r="B1340" t="inlineStr">
        <is>
          <t>2025-01-26</t>
        </is>
      </c>
      <c r="C1340" s="45" t="n">
        <v>84.0946</v>
      </c>
      <c r="D1340" t="inlineStr">
        <is>
          <t>€/MWh</t>
        </is>
      </c>
      <c r="E1340" s="54" t="n">
        <v>0.084095</v>
      </c>
      <c r="F1340" s="54" t="n">
        <v>0.106957</v>
      </c>
      <c r="G1340" t="inlineStr">
        <is>
          <t>calculado</t>
        </is>
      </c>
      <c r="H1340" t="inlineStr">
        <is>
          <t>IEE 5.1127 % con cuota mínima 1 €/MWh (Ley 38/1992 art. 99 (sin medidas vigentes)) + IVA 21 % (Ley 37/1992 art. 90 (sin medidas vigentes))</t>
        </is>
      </c>
      <c r="J1340" t="inlineStr">
        <is>
          <t>2025-01-25</t>
        </is>
      </c>
      <c r="K1340" t="inlineStr">
        <is>
          <t>ESIOS 1001 geo 8741</t>
        </is>
      </c>
      <c r="L1340" t="inlineStr">
        <is>
          <t>24 valores; mín 50.09, máx 114.88 €/MWh</t>
        </is>
      </c>
    </row>
    <row r="1341">
      <c r="A1341" s="53" t="n">
        <v>45684</v>
      </c>
      <c r="B1341" t="inlineStr">
        <is>
          <t>2025-01-27</t>
        </is>
      </c>
      <c r="C1341" s="45" t="n">
        <v>113.3821</v>
      </c>
      <c r="D1341" t="inlineStr">
        <is>
          <t>€/MWh</t>
        </is>
      </c>
      <c r="E1341" s="54" t="n">
        <v>0.113382</v>
      </c>
      <c r="F1341" s="54" t="n">
        <v>0.144207</v>
      </c>
      <c r="G1341" t="inlineStr">
        <is>
          <t>calculado</t>
        </is>
      </c>
      <c r="H1341" t="inlineStr">
        <is>
          <t>IEE 5.1127 % con cuota mínima 1 €/MWh (Ley 38/1992 art. 99 (sin medidas vigentes)) + IVA 21 % (Ley 37/1992 art. 90 (sin medidas vigentes))</t>
        </is>
      </c>
      <c r="J1341" t="inlineStr">
        <is>
          <t>2025-01-26</t>
        </is>
      </c>
      <c r="K1341" t="inlineStr">
        <is>
          <t>ESIOS 1001 geo 8741</t>
        </is>
      </c>
      <c r="L1341" t="inlineStr">
        <is>
          <t>24 valores; mín 65.24, máx 198.78 €/MWh</t>
        </is>
      </c>
    </row>
    <row r="1342">
      <c r="A1342" s="53" t="n">
        <v>45685</v>
      </c>
      <c r="B1342" t="inlineStr">
        <is>
          <t>2025-01-28</t>
        </is>
      </c>
      <c r="C1342" s="45" t="n">
        <v>104.1875</v>
      </c>
      <c r="D1342" t="inlineStr">
        <is>
          <t>€/MWh</t>
        </is>
      </c>
      <c r="E1342" s="54" t="n">
        <v>0.104188</v>
      </c>
      <c r="F1342" s="54" t="n">
        <v>0.132512</v>
      </c>
      <c r="G1342" t="inlineStr">
        <is>
          <t>calculado</t>
        </is>
      </c>
      <c r="H1342" t="inlineStr">
        <is>
          <t>IEE 5.1127 % con cuota mínima 1 €/MWh (Ley 38/1992 art. 99 (sin medidas vigentes)) + IVA 21 % (Ley 37/1992 art. 90 (sin medidas vigentes))</t>
        </is>
      </c>
      <c r="J1342" t="inlineStr">
        <is>
          <t>2025-01-27</t>
        </is>
      </c>
      <c r="K1342" t="inlineStr">
        <is>
          <t>ESIOS 1001 geo 8741</t>
        </is>
      </c>
      <c r="L1342" t="inlineStr">
        <is>
          <t>24 valores; mín 53.49, máx 219.39 €/MWh</t>
        </is>
      </c>
    </row>
    <row r="1343">
      <c r="A1343" s="53" t="n">
        <v>45686</v>
      </c>
      <c r="B1343" t="inlineStr">
        <is>
          <t>2025-01-29</t>
        </is>
      </c>
      <c r="C1343" s="45" t="n">
        <v>131.0496</v>
      </c>
      <c r="D1343" t="inlineStr">
        <is>
          <t>€/MWh</t>
        </is>
      </c>
      <c r="E1343" s="54" t="n">
        <v>0.13105</v>
      </c>
      <c r="F1343" s="54" t="n">
        <v>0.166677</v>
      </c>
      <c r="G1343" t="inlineStr">
        <is>
          <t>calculado</t>
        </is>
      </c>
      <c r="H1343" t="inlineStr">
        <is>
          <t>IEE 5.1127 % con cuota mínima 1 €/MWh (Ley 38/1992 art. 99 (sin medidas vigentes)) + IVA 21 % (Ley 37/1992 art. 90 (sin medidas vigentes))</t>
        </is>
      </c>
      <c r="J1343" t="inlineStr">
        <is>
          <t>2025-01-28</t>
        </is>
      </c>
      <c r="K1343" t="inlineStr">
        <is>
          <t>ESIOS 1001 geo 8741</t>
        </is>
      </c>
      <c r="L1343" t="inlineStr">
        <is>
          <t>24 valores; mín 45.32, máx 279.79 €/MWh</t>
        </is>
      </c>
    </row>
    <row r="1344">
      <c r="A1344" s="53" t="n">
        <v>45687</v>
      </c>
      <c r="B1344" t="inlineStr">
        <is>
          <t>2025-01-30</t>
        </is>
      </c>
      <c r="C1344" s="45" t="n">
        <v>126.5008</v>
      </c>
      <c r="D1344" t="inlineStr">
        <is>
          <t>€/MWh</t>
        </is>
      </c>
      <c r="E1344" s="54" t="n">
        <v>0.126501</v>
      </c>
      <c r="F1344" s="54" t="n">
        <v>0.160892</v>
      </c>
      <c r="G1344" t="inlineStr">
        <is>
          <t>calculado</t>
        </is>
      </c>
      <c r="H1344" t="inlineStr">
        <is>
          <t>IEE 5.1127 % con cuota mínima 1 €/MWh (Ley 38/1992 art. 99 (sin medidas vigentes)) + IVA 21 % (Ley 37/1992 art. 90 (sin medidas vigentes))</t>
        </is>
      </c>
      <c r="J1344" t="inlineStr">
        <is>
          <t>2025-01-29</t>
        </is>
      </c>
      <c r="K1344" t="inlineStr">
        <is>
          <t>ESIOS 1001 geo 8741</t>
        </is>
      </c>
      <c r="L1344" t="inlineStr">
        <is>
          <t>24 valores; mín 51.16, máx 259.50 €/MWh</t>
        </is>
      </c>
    </row>
    <row r="1345">
      <c r="A1345" s="53" t="n">
        <v>45688</v>
      </c>
      <c r="B1345" t="inlineStr">
        <is>
          <t>2025-01-31</t>
        </is>
      </c>
      <c r="C1345" s="45" t="n">
        <v>169.2058</v>
      </c>
      <c r="D1345" t="inlineStr">
        <is>
          <t>€/MWh</t>
        </is>
      </c>
      <c r="E1345" s="54" t="n">
        <v>0.169206</v>
      </c>
      <c r="F1345" s="54" t="n">
        <v>0.215207</v>
      </c>
      <c r="G1345" t="inlineStr">
        <is>
          <t>calculado</t>
        </is>
      </c>
      <c r="H1345" t="inlineStr">
        <is>
          <t>IEE 5.1127 % con cuota mínima 1 €/MWh (Ley 38/1992 art. 99 (sin medidas vigentes)) + IVA 21 % (Ley 37/1992 art. 90 (sin medidas vigentes))</t>
        </is>
      </c>
      <c r="J1345" t="inlineStr">
        <is>
          <t>2025-01-30</t>
        </is>
      </c>
      <c r="K1345" t="inlineStr">
        <is>
          <t>ESIOS 1001 geo 8741</t>
        </is>
      </c>
      <c r="L1345" t="inlineStr">
        <is>
          <t>24 valores; mín 83.04, máx 323.01 €/MWh</t>
        </is>
      </c>
    </row>
    <row r="1346">
      <c r="A1346" s="53" t="n">
        <v>45689</v>
      </c>
      <c r="B1346" t="inlineStr">
        <is>
          <t>2025-02-01</t>
        </is>
      </c>
      <c r="C1346" s="45" t="n">
        <v>134.2567</v>
      </c>
      <c r="D1346" t="inlineStr">
        <is>
          <t>€/MWh</t>
        </is>
      </c>
      <c r="E1346" s="54" t="n">
        <v>0.134257</v>
      </c>
      <c r="F1346" s="54" t="n">
        <v>0.170756</v>
      </c>
      <c r="G1346" t="inlineStr">
        <is>
          <t>calculado</t>
        </is>
      </c>
      <c r="H1346" t="inlineStr">
        <is>
          <t>IEE 5.1127 % con cuota mínima 1 €/MWh (Ley 38/1992 art. 99 (sin medidas vigentes)) + IVA 21 % (Ley 37/1992 art. 90 (sin medidas vigentes))</t>
        </is>
      </c>
      <c r="J1346" t="inlineStr">
        <is>
          <t>2025-01-31</t>
        </is>
      </c>
      <c r="K1346" t="inlineStr">
        <is>
          <t>ESIOS 1001 geo 8741</t>
        </is>
      </c>
      <c r="L1346" t="inlineStr">
        <is>
          <t>24 valores; mín 20.60, máx 205.08 €/MWh</t>
        </is>
      </c>
    </row>
    <row r="1347">
      <c r="A1347" s="53" t="n">
        <v>45690</v>
      </c>
      <c r="B1347" t="inlineStr">
        <is>
          <t>2025-02-02</t>
        </is>
      </c>
      <c r="C1347" s="45" t="n">
        <v>161.8417</v>
      </c>
      <c r="D1347" t="inlineStr">
        <is>
          <t>€/MWh</t>
        </is>
      </c>
      <c r="E1347" s="54" t="n">
        <v>0.161842</v>
      </c>
      <c r="F1347" s="54" t="n">
        <v>0.205841</v>
      </c>
      <c r="G1347" t="inlineStr">
        <is>
          <t>calculado</t>
        </is>
      </c>
      <c r="H1347" t="inlineStr">
        <is>
          <t>IEE 5.1127 % con cuota mínima 1 €/MWh (Ley 38/1992 art. 99 (sin medidas vigentes)) + IVA 21 % (Ley 37/1992 art. 90 (sin medidas vigentes))</t>
        </is>
      </c>
      <c r="J1347" t="inlineStr">
        <is>
          <t>2025-02-01</t>
        </is>
      </c>
      <c r="K1347" t="inlineStr">
        <is>
          <t>ESIOS 1001 geo 8741</t>
        </is>
      </c>
      <c r="L1347" t="inlineStr">
        <is>
          <t>24 valores; mín 114.67, máx 208.64 €/MWh</t>
        </is>
      </c>
    </row>
    <row r="1348">
      <c r="A1348" s="53" t="n">
        <v>45691</v>
      </c>
      <c r="B1348" t="inlineStr">
        <is>
          <t>2025-02-03</t>
        </is>
      </c>
      <c r="C1348" s="45" t="n">
        <v>199.8083</v>
      </c>
      <c r="D1348" t="inlineStr">
        <is>
          <t>€/MWh</t>
        </is>
      </c>
      <c r="E1348" s="54" t="n">
        <v>0.199808</v>
      </c>
      <c r="F1348" s="54" t="n">
        <v>0.254129</v>
      </c>
      <c r="G1348" t="inlineStr">
        <is>
          <t>calculado</t>
        </is>
      </c>
      <c r="H1348" t="inlineStr">
        <is>
          <t>IEE 5.1127 % con cuota mínima 1 €/MWh (Ley 38/1992 art. 99 (sin medidas vigentes)) + IVA 21 % (Ley 37/1992 art. 90 (sin medidas vigentes))</t>
        </is>
      </c>
      <c r="J1348" t="inlineStr">
        <is>
          <t>2025-02-02</t>
        </is>
      </c>
      <c r="K1348" t="inlineStr">
        <is>
          <t>ESIOS 1001 geo 8741</t>
        </is>
      </c>
      <c r="L1348" t="inlineStr">
        <is>
          <t>24 valores; mín 133.92, máx 360.70 €/MWh</t>
        </is>
      </c>
    </row>
    <row r="1349">
      <c r="A1349" s="53" t="n">
        <v>45692</v>
      </c>
      <c r="B1349" t="inlineStr">
        <is>
          <t>2025-02-04</t>
        </is>
      </c>
      <c r="C1349" s="45" t="n">
        <v>203.6496</v>
      </c>
      <c r="D1349" t="inlineStr">
        <is>
          <t>€/MWh</t>
        </is>
      </c>
      <c r="E1349" s="54" t="n">
        <v>0.20365</v>
      </c>
      <c r="F1349" s="54" t="n">
        <v>0.259015</v>
      </c>
      <c r="G1349" t="inlineStr">
        <is>
          <t>calculado</t>
        </is>
      </c>
      <c r="H1349" t="inlineStr">
        <is>
          <t>IEE 5.1127 % con cuota mínima 1 €/MWh (Ley 38/1992 art. 99 (sin medidas vigentes)) + IVA 21 % (Ley 37/1992 art. 90 (sin medidas vigentes))</t>
        </is>
      </c>
      <c r="J1349" t="inlineStr">
        <is>
          <t>2025-02-03</t>
        </is>
      </c>
      <c r="K1349" t="inlineStr">
        <is>
          <t>ESIOS 1001 geo 8741</t>
        </is>
      </c>
      <c r="L1349" t="inlineStr">
        <is>
          <t>24 valores; mín 133.14, máx 372.35 €/MWh</t>
        </is>
      </c>
    </row>
    <row r="1350">
      <c r="A1350" s="53" t="n">
        <v>45693</v>
      </c>
      <c r="B1350" t="inlineStr">
        <is>
          <t>2025-02-05</t>
        </is>
      </c>
      <c r="C1350" s="45" t="n">
        <v>185.6554</v>
      </c>
      <c r="D1350" t="inlineStr">
        <is>
          <t>€/MWh</t>
        </is>
      </c>
      <c r="E1350" s="54" t="n">
        <v>0.185655</v>
      </c>
      <c r="F1350" s="54" t="n">
        <v>0.236128</v>
      </c>
      <c r="G1350" t="inlineStr">
        <is>
          <t>calculado</t>
        </is>
      </c>
      <c r="H1350" t="inlineStr">
        <is>
          <t>IEE 5.1127 % con cuota mínima 1 €/MWh (Ley 38/1992 art. 99 (sin medidas vigentes)) + IVA 21 % (Ley 37/1992 art. 90 (sin medidas vigentes))</t>
        </is>
      </c>
      <c r="J1350" t="inlineStr">
        <is>
          <t>2025-02-04</t>
        </is>
      </c>
      <c r="K1350" t="inlineStr">
        <is>
          <t>ESIOS 1001 geo 8741</t>
        </is>
      </c>
      <c r="L1350" t="inlineStr">
        <is>
          <t>24 valores; mín 63.49, máx 319.82 €/MWh</t>
        </is>
      </c>
    </row>
    <row r="1351">
      <c r="A1351" s="53" t="n">
        <v>45694</v>
      </c>
      <c r="B1351" t="inlineStr">
        <is>
          <t>2025-02-06</t>
        </is>
      </c>
      <c r="C1351" s="45" t="n">
        <v>200.3671</v>
      </c>
      <c r="D1351" t="inlineStr">
        <is>
          <t>€/MWh</t>
        </is>
      </c>
      <c r="E1351" s="54" t="n">
        <v>0.200367</v>
      </c>
      <c r="F1351" s="54" t="n">
        <v>0.25484</v>
      </c>
      <c r="G1351" t="inlineStr">
        <is>
          <t>calculado</t>
        </is>
      </c>
      <c r="H1351" t="inlineStr">
        <is>
          <t>IEE 5.1127 % con cuota mínima 1 €/MWh (Ley 38/1992 art. 99 (sin medidas vigentes)) + IVA 21 % (Ley 37/1992 art. 90 (sin medidas vigentes))</t>
        </is>
      </c>
      <c r="J1351" t="inlineStr">
        <is>
          <t>2025-02-05</t>
        </is>
      </c>
      <c r="K1351" t="inlineStr">
        <is>
          <t>ESIOS 1001 geo 8741</t>
        </is>
      </c>
      <c r="L1351" t="inlineStr">
        <is>
          <t>24 valores; mín 119.81, máx 363.14 €/MWh</t>
        </is>
      </c>
    </row>
    <row r="1352">
      <c r="A1352" s="53" t="n">
        <v>45695</v>
      </c>
      <c r="B1352" t="inlineStr">
        <is>
          <t>2025-02-07</t>
        </is>
      </c>
      <c r="C1352" s="45" t="n">
        <v>185.9571</v>
      </c>
      <c r="D1352" t="inlineStr">
        <is>
          <t>€/MWh</t>
        </is>
      </c>
      <c r="E1352" s="54" t="n">
        <v>0.185957</v>
      </c>
      <c r="F1352" s="54" t="n">
        <v>0.236512</v>
      </c>
      <c r="G1352" t="inlineStr">
        <is>
          <t>calculado</t>
        </is>
      </c>
      <c r="H1352" t="inlineStr">
        <is>
          <t>IEE 5.1127 % con cuota mínima 1 €/MWh (Ley 38/1992 art. 99 (sin medidas vigentes)) + IVA 21 % (Ley 37/1992 art. 90 (sin medidas vigentes))</t>
        </is>
      </c>
      <c r="J1352" t="inlineStr">
        <is>
          <t>2025-02-06</t>
        </is>
      </c>
      <c r="K1352" t="inlineStr">
        <is>
          <t>ESIOS 1001 geo 8741</t>
        </is>
      </c>
      <c r="L1352" t="inlineStr">
        <is>
          <t>24 valores; mín 132.46, máx 271.13 €/MWh</t>
        </is>
      </c>
    </row>
    <row r="1353">
      <c r="A1353" s="53" t="n">
        <v>45696</v>
      </c>
      <c r="B1353" t="inlineStr">
        <is>
          <t>2025-02-08</t>
        </is>
      </c>
      <c r="C1353" s="45" t="n">
        <v>138.4721</v>
      </c>
      <c r="D1353" t="inlineStr">
        <is>
          <t>€/MWh</t>
        </is>
      </c>
      <c r="E1353" s="54" t="n">
        <v>0.138472</v>
      </c>
      <c r="F1353" s="54" t="n">
        <v>0.176118</v>
      </c>
      <c r="G1353" t="inlineStr">
        <is>
          <t>calculado</t>
        </is>
      </c>
      <c r="H1353" t="inlineStr">
        <is>
          <t>IEE 5.1127 % con cuota mínima 1 €/MWh (Ley 38/1992 art. 99 (sin medidas vigentes)) + IVA 21 % (Ley 37/1992 art. 90 (sin medidas vigentes))</t>
        </is>
      </c>
      <c r="J1353" t="inlineStr">
        <is>
          <t>2025-02-07</t>
        </is>
      </c>
      <c r="K1353" t="inlineStr">
        <is>
          <t>ESIOS 1001 geo 8741</t>
        </is>
      </c>
      <c r="L1353" t="inlineStr">
        <is>
          <t>24 valores; mín 62.86, máx 206.48 €/MWh</t>
        </is>
      </c>
    </row>
    <row r="1354">
      <c r="A1354" s="53" t="n">
        <v>45697</v>
      </c>
      <c r="B1354" t="inlineStr">
        <is>
          <t>2025-02-09</t>
        </is>
      </c>
      <c r="C1354" s="45" t="n">
        <v>147.7546</v>
      </c>
      <c r="D1354" t="inlineStr">
        <is>
          <t>€/MWh</t>
        </is>
      </c>
      <c r="E1354" s="54" t="n">
        <v>0.147755</v>
      </c>
      <c r="F1354" s="54" t="n">
        <v>0.187924</v>
      </c>
      <c r="G1354" t="inlineStr">
        <is>
          <t>calculado</t>
        </is>
      </c>
      <c r="H1354" t="inlineStr">
        <is>
          <t>IEE 5.1127 % con cuota mínima 1 €/MWh (Ley 38/1992 art. 99 (sin medidas vigentes)) + IVA 21 % (Ley 37/1992 art. 90 (sin medidas vigentes))</t>
        </is>
      </c>
      <c r="J1354" t="inlineStr">
        <is>
          <t>2025-02-08</t>
        </is>
      </c>
      <c r="K1354" t="inlineStr">
        <is>
          <t>ESIOS 1001 geo 8741</t>
        </is>
      </c>
      <c r="L1354" t="inlineStr">
        <is>
          <t>24 valores; mín 84.13, máx 232.23 €/MWh</t>
        </is>
      </c>
    </row>
    <row r="1355">
      <c r="A1355" s="53" t="n">
        <v>45698</v>
      </c>
      <c r="B1355" t="inlineStr">
        <is>
          <t>2025-02-10</t>
        </is>
      </c>
      <c r="C1355" s="45" t="n">
        <v>207.05</v>
      </c>
      <c r="D1355" t="inlineStr">
        <is>
          <t>€/MWh</t>
        </is>
      </c>
      <c r="E1355" s="54" t="n">
        <v>0.20705</v>
      </c>
      <c r="F1355" s="54" t="n">
        <v>0.263339</v>
      </c>
      <c r="G1355" t="inlineStr">
        <is>
          <t>calculado</t>
        </is>
      </c>
      <c r="H1355" t="inlineStr">
        <is>
          <t>IEE 5.1127 % con cuota mínima 1 €/MWh (Ley 38/1992 art. 99 (sin medidas vigentes)) + IVA 21 % (Ley 37/1992 art. 90 (sin medidas vigentes))</t>
        </is>
      </c>
      <c r="J1355" t="inlineStr">
        <is>
          <t>2025-02-09</t>
        </is>
      </c>
      <c r="K1355" t="inlineStr">
        <is>
          <t>ESIOS 1001 geo 8741</t>
        </is>
      </c>
      <c r="L1355" t="inlineStr">
        <is>
          <t>24 valores; mín 148.78, máx 323.05 €/MWh</t>
        </is>
      </c>
    </row>
    <row r="1356">
      <c r="A1356" s="53" t="n">
        <v>45699</v>
      </c>
      <c r="B1356" t="inlineStr">
        <is>
          <t>2025-02-11</t>
        </is>
      </c>
      <c r="C1356" s="45" t="n">
        <v>199.4262</v>
      </c>
      <c r="D1356" t="inlineStr">
        <is>
          <t>€/MWh</t>
        </is>
      </c>
      <c r="E1356" s="54" t="n">
        <v>0.199426</v>
      </c>
      <c r="F1356" s="54" t="n">
        <v>0.253643</v>
      </c>
      <c r="G1356" t="inlineStr">
        <is>
          <t>calculado</t>
        </is>
      </c>
      <c r="H1356" t="inlineStr">
        <is>
          <t>IEE 5.1127 % con cuota mínima 1 €/MWh (Ley 38/1992 art. 99 (sin medidas vigentes)) + IVA 21 % (Ley 37/1992 art. 90 (sin medidas vigentes))</t>
        </is>
      </c>
      <c r="J1356" t="inlineStr">
        <is>
          <t>2025-02-10</t>
        </is>
      </c>
      <c r="K1356" t="inlineStr">
        <is>
          <t>ESIOS 1001 geo 8741</t>
        </is>
      </c>
      <c r="L1356" t="inlineStr">
        <is>
          <t>24 valores; mín 137.72, máx 318.88 €/MWh</t>
        </is>
      </c>
    </row>
    <row r="1357">
      <c r="A1357" s="53" t="n">
        <v>45700</v>
      </c>
      <c r="B1357" t="inlineStr">
        <is>
          <t>2025-02-12</t>
        </is>
      </c>
      <c r="C1357" s="45" t="n">
        <v>189.1142</v>
      </c>
      <c r="D1357" t="inlineStr">
        <is>
          <t>€/MWh</t>
        </is>
      </c>
      <c r="E1357" s="54" t="n">
        <v>0.189114</v>
      </c>
      <c r="F1357" s="54" t="n">
        <v>0.240527</v>
      </c>
      <c r="G1357" t="inlineStr">
        <is>
          <t>calculado</t>
        </is>
      </c>
      <c r="H1357" t="inlineStr">
        <is>
          <t>IEE 5.1127 % con cuota mínima 1 €/MWh (Ley 38/1992 art. 99 (sin medidas vigentes)) + IVA 21 % (Ley 37/1992 art. 90 (sin medidas vigentes))</t>
        </is>
      </c>
      <c r="J1357" t="inlineStr">
        <is>
          <t>2025-02-11</t>
        </is>
      </c>
      <c r="K1357" t="inlineStr">
        <is>
          <t>ESIOS 1001 geo 8741</t>
        </is>
      </c>
      <c r="L1357" t="inlineStr">
        <is>
          <t>24 valores; mín 103.60, máx 323.44 €/MWh</t>
        </is>
      </c>
    </row>
    <row r="1358">
      <c r="A1358" s="53" t="n">
        <v>45701</v>
      </c>
      <c r="B1358" t="inlineStr">
        <is>
          <t>2025-02-13</t>
        </is>
      </c>
      <c r="C1358" s="45" t="n">
        <v>195.0762</v>
      </c>
      <c r="D1358" t="inlineStr">
        <is>
          <t>€/MWh</t>
        </is>
      </c>
      <c r="E1358" s="54" t="n">
        <v>0.195076</v>
      </c>
      <c r="F1358" s="54" t="n">
        <v>0.24811</v>
      </c>
      <c r="G1358" t="inlineStr">
        <is>
          <t>calculado</t>
        </is>
      </c>
      <c r="H1358" t="inlineStr">
        <is>
          <t>IEE 5.1127 % con cuota mínima 1 €/MWh (Ley 38/1992 art. 99 (sin medidas vigentes)) + IVA 21 % (Ley 37/1992 art. 90 (sin medidas vigentes))</t>
        </is>
      </c>
      <c r="J1358" t="inlineStr">
        <is>
          <t>2025-02-12</t>
        </is>
      </c>
      <c r="K1358" t="inlineStr">
        <is>
          <t>ESIOS 1001 geo 8741</t>
        </is>
      </c>
      <c r="L1358" t="inlineStr">
        <is>
          <t>24 valores; mín 117.74, máx 325.84 €/MWh</t>
        </is>
      </c>
    </row>
    <row r="1359">
      <c r="A1359" s="53" t="n">
        <v>45702</v>
      </c>
      <c r="B1359" t="inlineStr">
        <is>
          <t>2025-02-14</t>
        </is>
      </c>
      <c r="C1359" s="45" t="n">
        <v>185.2783</v>
      </c>
      <c r="D1359" t="inlineStr">
        <is>
          <t>€/MWh</t>
        </is>
      </c>
      <c r="E1359" s="54" t="n">
        <v>0.185278</v>
      </c>
      <c r="F1359" s="54" t="n">
        <v>0.235649</v>
      </c>
      <c r="G1359" t="inlineStr">
        <is>
          <t>calculado</t>
        </is>
      </c>
      <c r="H1359" t="inlineStr">
        <is>
          <t>IEE 5.1127 % con cuota mínima 1 €/MWh (Ley 38/1992 art. 99 (sin medidas vigentes)) + IVA 21 % (Ley 37/1992 art. 90 (sin medidas vigentes))</t>
        </is>
      </c>
      <c r="J1359" t="inlineStr">
        <is>
          <t>2025-02-13</t>
        </is>
      </c>
      <c r="K1359" t="inlineStr">
        <is>
          <t>ESIOS 1001 geo 8741</t>
        </is>
      </c>
      <c r="L1359" t="inlineStr">
        <is>
          <t>24 valores; mín 90.02, máx 331.11 €/MWh</t>
        </is>
      </c>
    </row>
    <row r="1360">
      <c r="A1360" s="53" t="n">
        <v>45703</v>
      </c>
      <c r="B1360" t="inlineStr">
        <is>
          <t>2025-02-15</t>
        </is>
      </c>
      <c r="C1360" s="45" t="n">
        <v>124.69</v>
      </c>
      <c r="D1360" t="inlineStr">
        <is>
          <t>€/MWh</t>
        </is>
      </c>
      <c r="E1360" s="54" t="n">
        <v>0.12469</v>
      </c>
      <c r="F1360" s="54" t="n">
        <v>0.158589</v>
      </c>
      <c r="G1360" t="inlineStr">
        <is>
          <t>calculado</t>
        </is>
      </c>
      <c r="H1360" t="inlineStr">
        <is>
          <t>IEE 5.1127 % con cuota mínima 1 €/MWh (Ley 38/1992 art. 99 (sin medidas vigentes)) + IVA 21 % (Ley 37/1992 art. 90 (sin medidas vigentes))</t>
        </is>
      </c>
      <c r="J1360" t="inlineStr">
        <is>
          <t>2025-02-14</t>
        </is>
      </c>
      <c r="K1360" t="inlineStr">
        <is>
          <t>ESIOS 1001 geo 8741</t>
        </is>
      </c>
      <c r="L1360" t="inlineStr">
        <is>
          <t>24 valores; mín 41.37, máx 167.16 €/MWh</t>
        </is>
      </c>
    </row>
    <row r="1361">
      <c r="A1361" s="53" t="n">
        <v>45704</v>
      </c>
      <c r="B1361" t="inlineStr">
        <is>
          <t>2025-02-16</t>
        </is>
      </c>
      <c r="C1361" s="45" t="n">
        <v>129.3883</v>
      </c>
      <c r="D1361" t="inlineStr">
        <is>
          <t>€/MWh</t>
        </is>
      </c>
      <c r="E1361" s="54" t="n">
        <v>0.129388</v>
      </c>
      <c r="F1361" s="54" t="n">
        <v>0.164564</v>
      </c>
      <c r="G1361" t="inlineStr">
        <is>
          <t>calculado</t>
        </is>
      </c>
      <c r="H1361" t="inlineStr">
        <is>
          <t>IEE 5.1127 % con cuota mínima 1 €/MWh (Ley 38/1992 art. 99 (sin medidas vigentes)) + IVA 21 % (Ley 37/1992 art. 90 (sin medidas vigentes))</t>
        </is>
      </c>
      <c r="J1361" t="inlineStr">
        <is>
          <t>2025-02-15</t>
        </is>
      </c>
      <c r="K1361" t="inlineStr">
        <is>
          <t>ESIOS 1001 geo 8741</t>
        </is>
      </c>
      <c r="L1361" t="inlineStr">
        <is>
          <t>24 valores; mín 31.85, máx 206.83 €/MWh</t>
        </is>
      </c>
    </row>
    <row r="1362">
      <c r="A1362" s="53" t="n">
        <v>45705</v>
      </c>
      <c r="B1362" t="inlineStr">
        <is>
          <t>2025-02-17</t>
        </is>
      </c>
      <c r="C1362" s="45" t="n">
        <v>196.8854</v>
      </c>
      <c r="D1362" t="inlineStr">
        <is>
          <t>€/MWh</t>
        </is>
      </c>
      <c r="E1362" s="54" t="n">
        <v>0.196885</v>
      </c>
      <c r="F1362" s="54" t="n">
        <v>0.250411</v>
      </c>
      <c r="G1362" t="inlineStr">
        <is>
          <t>calculado</t>
        </is>
      </c>
      <c r="H1362" t="inlineStr">
        <is>
          <t>IEE 5.1127 % con cuota mínima 1 €/MWh (Ley 38/1992 art. 99 (sin medidas vigentes)) + IVA 21 % (Ley 37/1992 art. 90 (sin medidas vigentes))</t>
        </is>
      </c>
      <c r="J1362" t="inlineStr">
        <is>
          <t>2025-02-16</t>
        </is>
      </c>
      <c r="K1362" t="inlineStr">
        <is>
          <t>ESIOS 1001 geo 8741</t>
        </is>
      </c>
      <c r="L1362" t="inlineStr">
        <is>
          <t>24 valores; mín 130.73, máx 337.99 €/MWh</t>
        </is>
      </c>
    </row>
    <row r="1363">
      <c r="A1363" s="53" t="n">
        <v>45706</v>
      </c>
      <c r="B1363" t="inlineStr">
        <is>
          <t>2025-02-18</t>
        </is>
      </c>
      <c r="C1363" s="45" t="n">
        <v>155.0263</v>
      </c>
      <c r="D1363" t="inlineStr">
        <is>
          <t>€/MWh</t>
        </is>
      </c>
      <c r="E1363" s="54" t="n">
        <v>0.155026</v>
      </c>
      <c r="F1363" s="54" t="n">
        <v>0.197172</v>
      </c>
      <c r="G1363" t="inlineStr">
        <is>
          <t>calculado</t>
        </is>
      </c>
      <c r="H1363" t="inlineStr">
        <is>
          <t>IEE 5.1127 % con cuota mínima 1 €/MWh (Ley 38/1992 art. 99 (sin medidas vigentes)) + IVA 21 % (Ley 37/1992 art. 90 (sin medidas vigentes))</t>
        </is>
      </c>
      <c r="J1363" t="inlineStr">
        <is>
          <t>2025-02-17</t>
        </is>
      </c>
      <c r="K1363" t="inlineStr">
        <is>
          <t>ESIOS 1001 geo 8741</t>
        </is>
      </c>
      <c r="L1363" t="inlineStr">
        <is>
          <t>24 valores; mín 51.62, máx 296.93 €/MWh</t>
        </is>
      </c>
    </row>
    <row r="1364">
      <c r="A1364" s="53" t="n">
        <v>45707</v>
      </c>
      <c r="B1364" t="inlineStr">
        <is>
          <t>2025-02-19</t>
        </is>
      </c>
      <c r="C1364" s="45" t="n">
        <v>187.2138</v>
      </c>
      <c r="D1364" t="inlineStr">
        <is>
          <t>€/MWh</t>
        </is>
      </c>
      <c r="E1364" s="54" t="n">
        <v>0.187214</v>
      </c>
      <c r="F1364" s="54" t="n">
        <v>0.23811</v>
      </c>
      <c r="G1364" t="inlineStr">
        <is>
          <t>calculado</t>
        </is>
      </c>
      <c r="H1364" t="inlineStr">
        <is>
          <t>IEE 5.1127 % con cuota mínima 1 €/MWh (Ley 38/1992 art. 99 (sin medidas vigentes)) + IVA 21 % (Ley 37/1992 art. 90 (sin medidas vigentes))</t>
        </is>
      </c>
      <c r="J1364" t="inlineStr">
        <is>
          <t>2025-02-18</t>
        </is>
      </c>
      <c r="K1364" t="inlineStr">
        <is>
          <t>ESIOS 1001 geo 8741</t>
        </is>
      </c>
      <c r="L1364" t="inlineStr">
        <is>
          <t>24 valores; mín 126.26, máx 332.49 €/MWh</t>
        </is>
      </c>
    </row>
    <row r="1365">
      <c r="A1365" s="53" t="n">
        <v>45708</v>
      </c>
      <c r="B1365" t="inlineStr">
        <is>
          <t>2025-02-20</t>
        </is>
      </c>
      <c r="C1365" s="45" t="n">
        <v>161.4213</v>
      </c>
      <c r="D1365" t="inlineStr">
        <is>
          <t>€/MWh</t>
        </is>
      </c>
      <c r="E1365" s="54" t="n">
        <v>0.161421</v>
      </c>
      <c r="F1365" s="54" t="n">
        <v>0.205306</v>
      </c>
      <c r="G1365" t="inlineStr">
        <is>
          <t>calculado</t>
        </is>
      </c>
      <c r="H1365" t="inlineStr">
        <is>
          <t>IEE 5.1127 % con cuota mínima 1 €/MWh (Ley 38/1992 art. 99 (sin medidas vigentes)) + IVA 21 % (Ley 37/1992 art. 90 (sin medidas vigentes))</t>
        </is>
      </c>
      <c r="J1365" t="inlineStr">
        <is>
          <t>2025-02-19</t>
        </is>
      </c>
      <c r="K1365" t="inlineStr">
        <is>
          <t>ESIOS 1001 geo 8741</t>
        </is>
      </c>
      <c r="L1365" t="inlineStr">
        <is>
          <t>24 valores; mín 62.73, máx 284.55 €/MWh</t>
        </is>
      </c>
    </row>
    <row r="1366">
      <c r="A1366" s="53" t="n">
        <v>45709</v>
      </c>
      <c r="B1366" t="inlineStr">
        <is>
          <t>2025-02-21</t>
        </is>
      </c>
      <c r="C1366" s="45" t="n">
        <v>133.4679</v>
      </c>
      <c r="D1366" t="inlineStr">
        <is>
          <t>€/MWh</t>
        </is>
      </c>
      <c r="E1366" s="54" t="n">
        <v>0.133468</v>
      </c>
      <c r="F1366" s="54" t="n">
        <v>0.169753</v>
      </c>
      <c r="G1366" t="inlineStr">
        <is>
          <t>calculado</t>
        </is>
      </c>
      <c r="H1366" t="inlineStr">
        <is>
          <t>IEE 5.1127 % con cuota mínima 1 €/MWh (Ley 38/1992 art. 99 (sin medidas vigentes)) + IVA 21 % (Ley 37/1992 art. 90 (sin medidas vigentes))</t>
        </is>
      </c>
      <c r="J1366" t="inlineStr">
        <is>
          <t>2025-02-20</t>
        </is>
      </c>
      <c r="K1366" t="inlineStr">
        <is>
          <t>ESIOS 1001 geo 8741</t>
        </is>
      </c>
      <c r="L1366" t="inlineStr">
        <is>
          <t>24 valores; mín 60.50, máx 236.92 €/MWh</t>
        </is>
      </c>
    </row>
    <row r="1367">
      <c r="A1367" s="53" t="n">
        <v>45710</v>
      </c>
      <c r="B1367" t="inlineStr">
        <is>
          <t>2025-02-22</t>
        </is>
      </c>
      <c r="C1367" s="45" t="n">
        <v>114.5158</v>
      </c>
      <c r="D1367" t="inlineStr">
        <is>
          <t>€/MWh</t>
        </is>
      </c>
      <c r="E1367" s="54" t="n">
        <v>0.114516</v>
      </c>
      <c r="F1367" s="54" t="n">
        <v>0.145648</v>
      </c>
      <c r="G1367" t="inlineStr">
        <is>
          <t>calculado</t>
        </is>
      </c>
      <c r="H1367" t="inlineStr">
        <is>
          <t>IEE 5.1127 % con cuota mínima 1 €/MWh (Ley 38/1992 art. 99 (sin medidas vigentes)) + IVA 21 % (Ley 37/1992 art. 90 (sin medidas vigentes))</t>
        </is>
      </c>
      <c r="J1367" t="inlineStr">
        <is>
          <t>2025-02-21</t>
        </is>
      </c>
      <c r="K1367" t="inlineStr">
        <is>
          <t>ESIOS 1001 geo 8741</t>
        </is>
      </c>
      <c r="L1367" t="inlineStr">
        <is>
          <t>24 valores; mín 73.79, máx 177.00 €/MWh</t>
        </is>
      </c>
    </row>
    <row r="1368">
      <c r="A1368" s="53" t="n">
        <v>45711</v>
      </c>
      <c r="B1368" t="inlineStr">
        <is>
          <t>2025-02-23</t>
        </is>
      </c>
      <c r="C1368" s="45" t="n">
        <v>112.4312</v>
      </c>
      <c r="D1368" t="inlineStr">
        <is>
          <t>€/MWh</t>
        </is>
      </c>
      <c r="E1368" s="54" t="n">
        <v>0.112431</v>
      </c>
      <c r="F1368" s="54" t="n">
        <v>0.142997</v>
      </c>
      <c r="G1368" t="inlineStr">
        <is>
          <t>calculado</t>
        </is>
      </c>
      <c r="H1368" t="inlineStr">
        <is>
          <t>IEE 5.1127 % con cuota mínima 1 €/MWh (Ley 38/1992 art. 99 (sin medidas vigentes)) + IVA 21 % (Ley 37/1992 art. 90 (sin medidas vigentes))</t>
        </is>
      </c>
      <c r="J1368" t="inlineStr">
        <is>
          <t>2025-02-22</t>
        </is>
      </c>
      <c r="K1368" t="inlineStr">
        <is>
          <t>ESIOS 1001 geo 8741</t>
        </is>
      </c>
      <c r="L1368" t="inlineStr">
        <is>
          <t>24 valores; mín 32.66, máx 185.33 €/MWh</t>
        </is>
      </c>
    </row>
    <row r="1369">
      <c r="A1369" s="53" t="n">
        <v>45712</v>
      </c>
      <c r="B1369" t="inlineStr">
        <is>
          <t>2025-02-24</t>
        </is>
      </c>
      <c r="C1369" s="45" t="n">
        <v>156.9858</v>
      </c>
      <c r="D1369" t="inlineStr">
        <is>
          <t>€/MWh</t>
        </is>
      </c>
      <c r="E1369" s="54" t="n">
        <v>0.156986</v>
      </c>
      <c r="F1369" s="54" t="n">
        <v>0.199665</v>
      </c>
      <c r="G1369" t="inlineStr">
        <is>
          <t>calculado</t>
        </is>
      </c>
      <c r="H1369" t="inlineStr">
        <is>
          <t>IEE 5.1127 % con cuota mínima 1 €/MWh (Ley 38/1992 art. 99 (sin medidas vigentes)) + IVA 21 % (Ley 37/1992 art. 90 (sin medidas vigentes))</t>
        </is>
      </c>
      <c r="J1369" t="inlineStr">
        <is>
          <t>2025-02-23</t>
        </is>
      </c>
      <c r="K1369" t="inlineStr">
        <is>
          <t>ESIOS 1001 geo 8741</t>
        </is>
      </c>
      <c r="L1369" t="inlineStr">
        <is>
          <t>24 valores; mín 85.18, máx 297.64 €/MWh</t>
        </is>
      </c>
    </row>
    <row r="1370">
      <c r="A1370" s="53" t="n">
        <v>45713</v>
      </c>
      <c r="B1370" t="inlineStr">
        <is>
          <t>2025-02-25</t>
        </is>
      </c>
      <c r="C1370" s="45" t="n">
        <v>166.8162</v>
      </c>
      <c r="D1370" t="inlineStr">
        <is>
          <t>€/MWh</t>
        </is>
      </c>
      <c r="E1370" s="54" t="n">
        <v>0.166816</v>
      </c>
      <c r="F1370" s="54" t="n">
        <v>0.212167</v>
      </c>
      <c r="G1370" t="inlineStr">
        <is>
          <t>calculado</t>
        </is>
      </c>
      <c r="H1370" t="inlineStr">
        <is>
          <t>IEE 5.1127 % con cuota mínima 1 €/MWh (Ley 38/1992 art. 99 (sin medidas vigentes)) + IVA 21 % (Ley 37/1992 art. 90 (sin medidas vigentes))</t>
        </is>
      </c>
      <c r="J1370" t="inlineStr">
        <is>
          <t>2025-02-24</t>
        </is>
      </c>
      <c r="K1370" t="inlineStr">
        <is>
          <t>ESIOS 1001 geo 8741</t>
        </is>
      </c>
      <c r="L1370" t="inlineStr">
        <is>
          <t>24 valores; mín 105.14, máx 267.81 €/MWh</t>
        </is>
      </c>
    </row>
    <row r="1371">
      <c r="A1371" s="53" t="n">
        <v>45714</v>
      </c>
      <c r="B1371" t="inlineStr">
        <is>
          <t>2025-02-26</t>
        </is>
      </c>
      <c r="C1371" s="45" t="n">
        <v>173.6092</v>
      </c>
      <c r="D1371" t="inlineStr">
        <is>
          <t>€/MWh</t>
        </is>
      </c>
      <c r="E1371" s="54" t="n">
        <v>0.173609</v>
      </c>
      <c r="F1371" s="54" t="n">
        <v>0.220807</v>
      </c>
      <c r="G1371" t="inlineStr">
        <is>
          <t>calculado</t>
        </is>
      </c>
      <c r="H1371" t="inlineStr">
        <is>
          <t>IEE 5.1127 % con cuota mínima 1 €/MWh (Ley 38/1992 art. 99 (sin medidas vigentes)) + IVA 21 % (Ley 37/1992 art. 90 (sin medidas vigentes))</t>
        </is>
      </c>
      <c r="J1371" t="inlineStr">
        <is>
          <t>2025-02-25</t>
        </is>
      </c>
      <c r="K1371" t="inlineStr">
        <is>
          <t>ESIOS 1001 geo 8741</t>
        </is>
      </c>
      <c r="L1371" t="inlineStr">
        <is>
          <t>24 valores; mín 96.29, máx 367.94 €/MWh</t>
        </is>
      </c>
    </row>
    <row r="1372">
      <c r="A1372" s="53" t="n">
        <v>45715</v>
      </c>
      <c r="B1372" t="inlineStr">
        <is>
          <t>2025-02-27</t>
        </is>
      </c>
      <c r="C1372" s="45" t="n">
        <v>183.8233</v>
      </c>
      <c r="D1372" t="inlineStr">
        <is>
          <t>€/MWh</t>
        </is>
      </c>
      <c r="E1372" s="54" t="n">
        <v>0.183823</v>
      </c>
      <c r="F1372" s="54" t="n">
        <v>0.233798</v>
      </c>
      <c r="G1372" t="inlineStr">
        <is>
          <t>calculado</t>
        </is>
      </c>
      <c r="H1372" t="inlineStr">
        <is>
          <t>IEE 5.1127 % con cuota mínima 1 €/MWh (Ley 38/1992 art. 99 (sin medidas vigentes)) + IVA 21 % (Ley 37/1992 art. 90 (sin medidas vigentes))</t>
        </is>
      </c>
      <c r="J1372" t="inlineStr">
        <is>
          <t>2025-02-26</t>
        </is>
      </c>
      <c r="K1372" t="inlineStr">
        <is>
          <t>ESIOS 1001 geo 8741</t>
        </is>
      </c>
      <c r="L1372" t="inlineStr">
        <is>
          <t>24 valores; mín 125.42, máx 353.08 €/MWh</t>
        </is>
      </c>
    </row>
    <row r="1373">
      <c r="A1373" s="53" t="n">
        <v>45716</v>
      </c>
      <c r="B1373" t="inlineStr">
        <is>
          <t>2025-02-28</t>
        </is>
      </c>
      <c r="C1373" s="45" t="n">
        <v>175.7479</v>
      </c>
      <c r="D1373" t="inlineStr">
        <is>
          <t>€/MWh</t>
        </is>
      </c>
      <c r="E1373" s="54" t="n">
        <v>0.175748</v>
      </c>
      <c r="F1373" s="54" t="n">
        <v>0.223527</v>
      </c>
      <c r="G1373" t="inlineStr">
        <is>
          <t>calculado</t>
        </is>
      </c>
      <c r="H1373" t="inlineStr">
        <is>
          <t>IEE 5.1127 % con cuota mínima 1 €/MWh (Ley 38/1992 art. 99 (sin medidas vigentes)) + IVA 21 % (Ley 37/1992 art. 90 (sin medidas vigentes))</t>
        </is>
      </c>
      <c r="J1373" t="inlineStr">
        <is>
          <t>2025-02-27</t>
        </is>
      </c>
      <c r="K1373" t="inlineStr">
        <is>
          <t>ESIOS 1001 geo 8741</t>
        </is>
      </c>
      <c r="L1373" t="inlineStr">
        <is>
          <t>24 valores; mín 128.52, máx 274.08 €/MWh</t>
        </is>
      </c>
    </row>
    <row r="1374">
      <c r="A1374" s="53" t="n">
        <v>45717</v>
      </c>
      <c r="B1374" t="inlineStr">
        <is>
          <t>2025-03-01</t>
        </is>
      </c>
      <c r="C1374" s="45" t="n">
        <v>104.4983</v>
      </c>
      <c r="D1374" t="inlineStr">
        <is>
          <t>€/MWh</t>
        </is>
      </c>
      <c r="E1374" s="54" t="n">
        <v>0.104498</v>
      </c>
      <c r="F1374" s="54" t="n">
        <v>0.132908</v>
      </c>
      <c r="G1374" t="inlineStr">
        <is>
          <t>calculado</t>
        </is>
      </c>
      <c r="H1374" t="inlineStr">
        <is>
          <t>IEE 5.1127 % con cuota mínima 1 €/MWh (Ley 38/1992 art. 99 (sin medidas vigentes)) + IVA 21 % (Ley 37/1992 art. 90 (sin medidas vigentes))</t>
        </is>
      </c>
      <c r="J1374" t="inlineStr">
        <is>
          <t>2025-02-28</t>
        </is>
      </c>
      <c r="K1374" t="inlineStr">
        <is>
          <t>ESIOS 1001 geo 8741</t>
        </is>
      </c>
      <c r="L1374" t="inlineStr">
        <is>
          <t>24 valores; mín 60.21, máx 154.17 €/MWh</t>
        </is>
      </c>
    </row>
    <row r="1375">
      <c r="A1375" s="53" t="n">
        <v>45718</v>
      </c>
      <c r="B1375" t="inlineStr">
        <is>
          <t>2025-03-02</t>
        </is>
      </c>
      <c r="C1375" s="45" t="n">
        <v>106.8146</v>
      </c>
      <c r="D1375" t="inlineStr">
        <is>
          <t>€/MWh</t>
        </is>
      </c>
      <c r="E1375" s="54" t="n">
        <v>0.106815</v>
      </c>
      <c r="F1375" s="54" t="n">
        <v>0.135854</v>
      </c>
      <c r="G1375" t="inlineStr">
        <is>
          <t>calculado</t>
        </is>
      </c>
      <c r="H1375" t="inlineStr">
        <is>
          <t>IEE 5.1127 % con cuota mínima 1 €/MWh (Ley 38/1992 art. 99 (sin medidas vigentes)) + IVA 21 % (Ley 37/1992 art. 90 (sin medidas vigentes))</t>
        </is>
      </c>
      <c r="J1375" t="inlineStr">
        <is>
          <t>2025-03-01</t>
        </is>
      </c>
      <c r="K1375" t="inlineStr">
        <is>
          <t>ESIOS 1001 geo 8741</t>
        </is>
      </c>
      <c r="L1375" t="inlineStr">
        <is>
          <t>24 valores; mín 53.89, máx 167.88 €/MWh</t>
        </is>
      </c>
    </row>
    <row r="1376">
      <c r="A1376" s="53" t="n">
        <v>45719</v>
      </c>
      <c r="B1376" t="inlineStr">
        <is>
          <t>2025-03-03</t>
        </is>
      </c>
      <c r="C1376" s="45" t="n">
        <v>164.6442</v>
      </c>
      <c r="D1376" t="inlineStr">
        <is>
          <t>€/MWh</t>
        </is>
      </c>
      <c r="E1376" s="54" t="n">
        <v>0.164644</v>
      </c>
      <c r="F1376" s="54" t="n">
        <v>0.209405</v>
      </c>
      <c r="G1376" t="inlineStr">
        <is>
          <t>calculado</t>
        </is>
      </c>
      <c r="H1376" t="inlineStr">
        <is>
          <t>IEE 5.1127 % con cuota mínima 1 €/MWh (Ley 38/1992 art. 99 (sin medidas vigentes)) + IVA 21 % (Ley 37/1992 art. 90 (sin medidas vigentes))</t>
        </is>
      </c>
      <c r="J1376" t="inlineStr">
        <is>
          <t>2025-03-02</t>
        </is>
      </c>
      <c r="K1376" t="inlineStr">
        <is>
          <t>ESIOS 1001 geo 8741</t>
        </is>
      </c>
      <c r="L1376" t="inlineStr">
        <is>
          <t>24 valores; mín 102.05, máx 274.00 €/MWh</t>
        </is>
      </c>
    </row>
    <row r="1377">
      <c r="A1377" s="53" t="n">
        <v>45720</v>
      </c>
      <c r="B1377" t="inlineStr">
        <is>
          <t>2025-03-04</t>
        </is>
      </c>
      <c r="C1377" s="45" t="n">
        <v>163.1929</v>
      </c>
      <c r="D1377" t="inlineStr">
        <is>
          <t>€/MWh</t>
        </is>
      </c>
      <c r="E1377" s="54" t="n">
        <v>0.163193</v>
      </c>
      <c r="F1377" s="54" t="n">
        <v>0.207559</v>
      </c>
      <c r="G1377" t="inlineStr">
        <is>
          <t>calculado</t>
        </is>
      </c>
      <c r="H1377" t="inlineStr">
        <is>
          <t>IEE 5.1127 % con cuota mínima 1 €/MWh (Ley 38/1992 art. 99 (sin medidas vigentes)) + IVA 21 % (Ley 37/1992 art. 90 (sin medidas vigentes))</t>
        </is>
      </c>
      <c r="J1377" t="inlineStr">
        <is>
          <t>2025-03-03</t>
        </is>
      </c>
      <c r="K1377" t="inlineStr">
        <is>
          <t>ESIOS 1001 geo 8741</t>
        </is>
      </c>
      <c r="L1377" t="inlineStr">
        <is>
          <t>24 valores; mín 98.91, máx 269.44 €/MWh</t>
        </is>
      </c>
    </row>
    <row r="1378">
      <c r="A1378" s="53" t="n">
        <v>45721</v>
      </c>
      <c r="B1378" t="inlineStr">
        <is>
          <t>2025-03-05</t>
        </is>
      </c>
      <c r="C1378" s="45" t="n">
        <v>150.8404</v>
      </c>
      <c r="D1378" t="inlineStr">
        <is>
          <t>€/MWh</t>
        </is>
      </c>
      <c r="E1378" s="54" t="n">
        <v>0.15084</v>
      </c>
      <c r="F1378" s="54" t="n">
        <v>0.191848</v>
      </c>
      <c r="G1378" t="inlineStr">
        <is>
          <t>calculado</t>
        </is>
      </c>
      <c r="H1378" t="inlineStr">
        <is>
          <t>IEE 5.1127 % con cuota mínima 1 €/MWh (Ley 38/1992 art. 99 (sin medidas vigentes)) + IVA 21 % (Ley 37/1992 art. 90 (sin medidas vigentes))</t>
        </is>
      </c>
      <c r="J1378" t="inlineStr">
        <is>
          <t>2025-03-04</t>
        </is>
      </c>
      <c r="K1378" t="inlineStr">
        <is>
          <t>ESIOS 1001 geo 8741</t>
        </is>
      </c>
      <c r="L1378" t="inlineStr">
        <is>
          <t>24 valores; mín 81.33, máx 239.81 €/MWh</t>
        </is>
      </c>
    </row>
    <row r="1379">
      <c r="A1379" s="53" t="n">
        <v>45722</v>
      </c>
      <c r="B1379" t="inlineStr">
        <is>
          <t>2025-03-06</t>
        </is>
      </c>
      <c r="C1379" s="45" t="n">
        <v>151.5238</v>
      </c>
      <c r="D1379" t="inlineStr">
        <is>
          <t>€/MWh</t>
        </is>
      </c>
      <c r="E1379" s="54" t="n">
        <v>0.151524</v>
      </c>
      <c r="F1379" s="54" t="n">
        <v>0.192718</v>
      </c>
      <c r="G1379" t="inlineStr">
        <is>
          <t>calculado</t>
        </is>
      </c>
      <c r="H1379" t="inlineStr">
        <is>
          <t>IEE 5.1127 % con cuota mínima 1 €/MWh (Ley 38/1992 art. 99 (sin medidas vigentes)) + IVA 21 % (Ley 37/1992 art. 90 (sin medidas vigentes))</t>
        </is>
      </c>
      <c r="J1379" t="inlineStr">
        <is>
          <t>2025-03-05</t>
        </is>
      </c>
      <c r="K1379" t="inlineStr">
        <is>
          <t>ESIOS 1001 geo 8741</t>
        </is>
      </c>
      <c r="L1379" t="inlineStr">
        <is>
          <t>24 valores; mín 91.10, máx 259.24 €/MWh</t>
        </is>
      </c>
    </row>
    <row r="1380">
      <c r="A1380" s="53" t="n">
        <v>45723</v>
      </c>
      <c r="B1380" t="inlineStr">
        <is>
          <t>2025-03-07</t>
        </is>
      </c>
      <c r="C1380" s="45" t="n">
        <v>130.0296</v>
      </c>
      <c r="D1380" t="inlineStr">
        <is>
          <t>€/MWh</t>
        </is>
      </c>
      <c r="E1380" s="54" t="n">
        <v>0.13003</v>
      </c>
      <c r="F1380" s="54" t="n">
        <v>0.16538</v>
      </c>
      <c r="G1380" t="inlineStr">
        <is>
          <t>calculado</t>
        </is>
      </c>
      <c r="H1380" t="inlineStr">
        <is>
          <t>IEE 5.1127 % con cuota mínima 1 €/MWh (Ley 38/1992 art. 99 (sin medidas vigentes)) + IVA 21 % (Ley 37/1992 art. 90 (sin medidas vigentes))</t>
        </is>
      </c>
      <c r="J1380" t="inlineStr">
        <is>
          <t>2025-03-06</t>
        </is>
      </c>
      <c r="K1380" t="inlineStr">
        <is>
          <t>ESIOS 1001 geo 8741</t>
        </is>
      </c>
      <c r="L1380" t="inlineStr">
        <is>
          <t>24 valores; mín 71.60, máx 193.03 €/MWh</t>
        </is>
      </c>
    </row>
    <row r="1381">
      <c r="A1381" s="53" t="n">
        <v>45724</v>
      </c>
      <c r="B1381" t="inlineStr">
        <is>
          <t>2025-03-08</t>
        </is>
      </c>
      <c r="C1381" s="45" t="n">
        <v>66.58620000000001</v>
      </c>
      <c r="D1381" t="inlineStr">
        <is>
          <t>€/MWh</t>
        </is>
      </c>
      <c r="E1381" s="54" t="n">
        <v>0.06658600000000001</v>
      </c>
      <c r="F1381" s="54" t="n">
        <v>0.084689</v>
      </c>
      <c r="G1381" t="inlineStr">
        <is>
          <t>calculado</t>
        </is>
      </c>
      <c r="H1381" t="inlineStr">
        <is>
          <t>IEE 5.1127 % con cuota mínima 1 €/MWh (Ley 38/1992 art. 99 (sin medidas vigentes)) + IVA 21 % (Ley 37/1992 art. 90 (sin medidas vigentes))</t>
        </is>
      </c>
      <c r="J1381" t="inlineStr">
        <is>
          <t>2025-03-07</t>
        </is>
      </c>
      <c r="K1381" t="inlineStr">
        <is>
          <t>ESIOS 1001 geo 8741</t>
        </is>
      </c>
      <c r="L1381" t="inlineStr">
        <is>
          <t>24 valores; mín 43.47, máx 95.83 €/MWh</t>
        </is>
      </c>
    </row>
    <row r="1382">
      <c r="A1382" s="53" t="n">
        <v>45725</v>
      </c>
      <c r="B1382" t="inlineStr">
        <is>
          <t>2025-03-09</t>
        </is>
      </c>
      <c r="C1382" s="45" t="n">
        <v>98.2325</v>
      </c>
      <c r="D1382" t="inlineStr">
        <is>
          <t>€/MWh</t>
        </is>
      </c>
      <c r="E1382" s="54" t="n">
        <v>0.098233</v>
      </c>
      <c r="F1382" s="54" t="n">
        <v>0.124938</v>
      </c>
      <c r="G1382" t="inlineStr">
        <is>
          <t>calculado</t>
        </is>
      </c>
      <c r="H1382" t="inlineStr">
        <is>
          <t>IEE 5.1127 % con cuota mínima 1 €/MWh (Ley 38/1992 art. 99 (sin medidas vigentes)) + IVA 21 % (Ley 37/1992 art. 90 (sin medidas vigentes))</t>
        </is>
      </c>
      <c r="J1382" t="inlineStr">
        <is>
          <t>2025-03-08</t>
        </is>
      </c>
      <c r="K1382" t="inlineStr">
        <is>
          <t>ESIOS 1001 geo 8741</t>
        </is>
      </c>
      <c r="L1382" t="inlineStr">
        <is>
          <t>24 valores; mín 37.23, máx 180.90 €/MWh</t>
        </is>
      </c>
    </row>
    <row r="1383">
      <c r="A1383" s="53" t="n">
        <v>45726</v>
      </c>
      <c r="B1383" t="inlineStr">
        <is>
          <t>2025-03-10</t>
        </is>
      </c>
      <c r="C1383" s="45" t="n">
        <v>163.0796</v>
      </c>
      <c r="D1383" t="inlineStr">
        <is>
          <t>€/MWh</t>
        </is>
      </c>
      <c r="E1383" s="54" t="n">
        <v>0.16308</v>
      </c>
      <c r="F1383" s="54" t="n">
        <v>0.207415</v>
      </c>
      <c r="G1383" t="inlineStr">
        <is>
          <t>calculado</t>
        </is>
      </c>
      <c r="H1383" t="inlineStr">
        <is>
          <t>IEE 5.1127 % con cuota mínima 1 €/MWh (Ley 38/1992 art. 99 (sin medidas vigentes)) + IVA 21 % (Ley 37/1992 art. 90 (sin medidas vigentes))</t>
        </is>
      </c>
      <c r="J1383" t="inlineStr">
        <is>
          <t>2025-03-09</t>
        </is>
      </c>
      <c r="K1383" t="inlineStr">
        <is>
          <t>ESIOS 1001 geo 8741</t>
        </is>
      </c>
      <c r="L1383" t="inlineStr">
        <is>
          <t>24 valores; mín 103.58, máx 281.04 €/MWh</t>
        </is>
      </c>
    </row>
    <row r="1384">
      <c r="A1384" s="53" t="n">
        <v>45727</v>
      </c>
      <c r="B1384" t="inlineStr">
        <is>
          <t>2025-03-11</t>
        </is>
      </c>
      <c r="C1384" s="45" t="n">
        <v>163.9654</v>
      </c>
      <c r="D1384" t="inlineStr">
        <is>
          <t>€/MWh</t>
        </is>
      </c>
      <c r="E1384" s="54" t="n">
        <v>0.163965</v>
      </c>
      <c r="F1384" s="54" t="n">
        <v>0.208542</v>
      </c>
      <c r="G1384" t="inlineStr">
        <is>
          <t>calculado</t>
        </is>
      </c>
      <c r="H1384" t="inlineStr">
        <is>
          <t>IEE 5.1127 % con cuota mínima 1 €/MWh (Ley 38/1992 art. 99 (sin medidas vigentes)) + IVA 21 % (Ley 37/1992 art. 90 (sin medidas vigentes))</t>
        </is>
      </c>
      <c r="J1384" t="inlineStr">
        <is>
          <t>2025-03-10</t>
        </is>
      </c>
      <c r="K1384" t="inlineStr">
        <is>
          <t>ESIOS 1001 geo 8741</t>
        </is>
      </c>
      <c r="L1384" t="inlineStr">
        <is>
          <t>24 valores; mín 111.81, máx 285.68 €/MWh</t>
        </is>
      </c>
    </row>
    <row r="1385">
      <c r="A1385" s="53" t="n">
        <v>45728</v>
      </c>
      <c r="B1385" t="inlineStr">
        <is>
          <t>2025-03-12</t>
        </is>
      </c>
      <c r="C1385" s="45" t="n">
        <v>161.5725</v>
      </c>
      <c r="D1385" t="inlineStr">
        <is>
          <t>€/MWh</t>
        </is>
      </c>
      <c r="E1385" s="54" t="n">
        <v>0.161573</v>
      </c>
      <c r="F1385" s="54" t="n">
        <v>0.205498</v>
      </c>
      <c r="G1385" t="inlineStr">
        <is>
          <t>calculado</t>
        </is>
      </c>
      <c r="H1385" t="inlineStr">
        <is>
          <t>IEE 5.1127 % con cuota mínima 1 €/MWh (Ley 38/1992 art. 99 (sin medidas vigentes)) + IVA 21 % (Ley 37/1992 art. 90 (sin medidas vigentes))</t>
        </is>
      </c>
      <c r="J1385" t="inlineStr">
        <is>
          <t>2025-03-11</t>
        </is>
      </c>
      <c r="K1385" t="inlineStr">
        <is>
          <t>ESIOS 1001 geo 8741</t>
        </is>
      </c>
      <c r="L1385" t="inlineStr">
        <is>
          <t>24 valores; mín 98.67, máx 310.56 €/MWh</t>
        </is>
      </c>
    </row>
    <row r="1386">
      <c r="A1386" s="53" t="n">
        <v>45729</v>
      </c>
      <c r="B1386" t="inlineStr">
        <is>
          <t>2025-03-13</t>
        </is>
      </c>
      <c r="C1386" s="45" t="n">
        <v>176.3804</v>
      </c>
      <c r="D1386" t="inlineStr">
        <is>
          <t>€/MWh</t>
        </is>
      </c>
      <c r="E1386" s="54" t="n">
        <v>0.17638</v>
      </c>
      <c r="F1386" s="54" t="n">
        <v>0.224332</v>
      </c>
      <c r="G1386" t="inlineStr">
        <is>
          <t>calculado</t>
        </is>
      </c>
      <c r="H1386" t="inlineStr">
        <is>
          <t>IEE 5.1127 % con cuota mínima 1 €/MWh (Ley 38/1992 art. 99 (sin medidas vigentes)) + IVA 21 % (Ley 37/1992 art. 90 (sin medidas vigentes))</t>
        </is>
      </c>
      <c r="J1386" t="inlineStr">
        <is>
          <t>2025-03-12</t>
        </is>
      </c>
      <c r="K1386" t="inlineStr">
        <is>
          <t>ESIOS 1001 geo 8741</t>
        </is>
      </c>
      <c r="L1386" t="inlineStr">
        <is>
          <t>24 valores; mín 118.84, máx 285.14 €/MWh</t>
        </is>
      </c>
    </row>
    <row r="1387">
      <c r="A1387" s="53" t="n">
        <v>45730</v>
      </c>
      <c r="B1387" t="inlineStr">
        <is>
          <t>2025-03-14</t>
        </is>
      </c>
      <c r="C1387" s="45" t="n">
        <v>135.7742</v>
      </c>
      <c r="D1387" t="inlineStr">
        <is>
          <t>€/MWh</t>
        </is>
      </c>
      <c r="E1387" s="54" t="n">
        <v>0.135774</v>
      </c>
      <c r="F1387" s="54" t="n">
        <v>0.172686</v>
      </c>
      <c r="G1387" t="inlineStr">
        <is>
          <t>calculado</t>
        </is>
      </c>
      <c r="H1387" t="inlineStr">
        <is>
          <t>IEE 5.1127 % con cuota mínima 1 €/MWh (Ley 38/1992 art. 99 (sin medidas vigentes)) + IVA 21 % (Ley 37/1992 art. 90 (sin medidas vigentes))</t>
        </is>
      </c>
      <c r="J1387" t="inlineStr">
        <is>
          <t>2025-03-13</t>
        </is>
      </c>
      <c r="K1387" t="inlineStr">
        <is>
          <t>ESIOS 1001 geo 8741</t>
        </is>
      </c>
      <c r="L1387" t="inlineStr">
        <is>
          <t>24 valores; mín 57.21, máx 276.44 €/MWh</t>
        </is>
      </c>
    </row>
    <row r="1388">
      <c r="A1388" s="53" t="n">
        <v>45731</v>
      </c>
      <c r="B1388" t="inlineStr">
        <is>
          <t>2025-03-15</t>
        </is>
      </c>
      <c r="C1388" s="45" t="n">
        <v>90.6383</v>
      </c>
      <c r="D1388" t="inlineStr">
        <is>
          <t>€/MWh</t>
        </is>
      </c>
      <c r="E1388" s="54" t="n">
        <v>0.090638</v>
      </c>
      <c r="F1388" s="54" t="n">
        <v>0.11528</v>
      </c>
      <c r="G1388" t="inlineStr">
        <is>
          <t>calculado</t>
        </is>
      </c>
      <c r="H1388" t="inlineStr">
        <is>
          <t>IEE 5.1127 % con cuota mínima 1 €/MWh (Ley 38/1992 art. 99 (sin medidas vigentes)) + IVA 21 % (Ley 37/1992 art. 90 (sin medidas vigentes))</t>
        </is>
      </c>
      <c r="J1388" t="inlineStr">
        <is>
          <t>2025-03-14</t>
        </is>
      </c>
      <c r="K1388" t="inlineStr">
        <is>
          <t>ESIOS 1001 geo 8741</t>
        </is>
      </c>
      <c r="L1388" t="inlineStr">
        <is>
          <t>24 valores; mín 26.54, máx 186.88 €/MWh</t>
        </is>
      </c>
    </row>
    <row r="1389">
      <c r="A1389" s="53" t="n">
        <v>45732</v>
      </c>
      <c r="B1389" t="inlineStr">
        <is>
          <t>2025-03-16</t>
        </is>
      </c>
      <c r="C1389" s="45" t="n">
        <v>105.4087</v>
      </c>
      <c r="D1389" t="inlineStr">
        <is>
          <t>€/MWh</t>
        </is>
      </c>
      <c r="E1389" s="54" t="n">
        <v>0.105409</v>
      </c>
      <c r="F1389" s="54" t="n">
        <v>0.134065</v>
      </c>
      <c r="G1389" t="inlineStr">
        <is>
          <t>calculado</t>
        </is>
      </c>
      <c r="H1389" t="inlineStr">
        <is>
          <t>IEE 5.1127 % con cuota mínima 1 €/MWh (Ley 38/1992 art. 99 (sin medidas vigentes)) + IVA 21 % (Ley 37/1992 art. 90 (sin medidas vigentes))</t>
        </is>
      </c>
      <c r="J1389" t="inlineStr">
        <is>
          <t>2025-03-15</t>
        </is>
      </c>
      <c r="K1389" t="inlineStr">
        <is>
          <t>ESIOS 1001 geo 8741</t>
        </is>
      </c>
      <c r="L1389" t="inlineStr">
        <is>
          <t>24 valores; mín 33.69, máx 190.69 €/MWh</t>
        </is>
      </c>
    </row>
    <row r="1390">
      <c r="A1390" s="53" t="n">
        <v>45733</v>
      </c>
      <c r="B1390" t="inlineStr">
        <is>
          <t>2025-03-17</t>
        </is>
      </c>
      <c r="C1390" s="45" t="n">
        <v>161.6312</v>
      </c>
      <c r="D1390" t="inlineStr">
        <is>
          <t>€/MWh</t>
        </is>
      </c>
      <c r="E1390" s="54" t="n">
        <v>0.161631</v>
      </c>
      <c r="F1390" s="54" t="n">
        <v>0.205573</v>
      </c>
      <c r="G1390" t="inlineStr">
        <is>
          <t>calculado</t>
        </is>
      </c>
      <c r="H1390" t="inlineStr">
        <is>
          <t>IEE 5.1127 % con cuota mínima 1 €/MWh (Ley 38/1992 art. 99 (sin medidas vigentes)) + IVA 21 % (Ley 37/1992 art. 90 (sin medidas vigentes))</t>
        </is>
      </c>
      <c r="J1390" t="inlineStr">
        <is>
          <t>2025-03-16</t>
        </is>
      </c>
      <c r="K1390" t="inlineStr">
        <is>
          <t>ESIOS 1001 geo 8741</t>
        </is>
      </c>
      <c r="L1390" t="inlineStr">
        <is>
          <t>24 valores; mín 96.54, máx 303.53 €/MWh</t>
        </is>
      </c>
    </row>
    <row r="1391">
      <c r="A1391" s="53" t="n">
        <v>45734</v>
      </c>
      <c r="B1391" t="inlineStr">
        <is>
          <t>2025-03-18</t>
        </is>
      </c>
      <c r="C1391" s="45" t="n">
        <v>136.3817</v>
      </c>
      <c r="D1391" t="inlineStr">
        <is>
          <t>€/MWh</t>
        </is>
      </c>
      <c r="E1391" s="54" t="n">
        <v>0.136382</v>
      </c>
      <c r="F1391" s="54" t="n">
        <v>0.173459</v>
      </c>
      <c r="G1391" t="inlineStr">
        <is>
          <t>calculado</t>
        </is>
      </c>
      <c r="H1391" t="inlineStr">
        <is>
          <t>IEE 5.1127 % con cuota mínima 1 €/MWh (Ley 38/1992 art. 99 (sin medidas vigentes)) + IVA 21 % (Ley 37/1992 art. 90 (sin medidas vigentes))</t>
        </is>
      </c>
      <c r="J1391" t="inlineStr">
        <is>
          <t>2025-03-17</t>
        </is>
      </c>
      <c r="K1391" t="inlineStr">
        <is>
          <t>ESIOS 1001 geo 8741</t>
        </is>
      </c>
      <c r="L1391" t="inlineStr">
        <is>
          <t>24 valores; mín 55.85, máx 295.62 €/MWh</t>
        </is>
      </c>
    </row>
    <row r="1392">
      <c r="A1392" s="53" t="n">
        <v>45735</v>
      </c>
      <c r="B1392" t="inlineStr">
        <is>
          <t>2025-03-19</t>
        </is>
      </c>
      <c r="C1392" s="45" t="n">
        <v>117.4329</v>
      </c>
      <c r="D1392" t="inlineStr">
        <is>
          <t>€/MWh</t>
        </is>
      </c>
      <c r="E1392" s="54" t="n">
        <v>0.117433</v>
      </c>
      <c r="F1392" s="54" t="n">
        <v>0.149359</v>
      </c>
      <c r="G1392" t="inlineStr">
        <is>
          <t>calculado</t>
        </is>
      </c>
      <c r="H1392" t="inlineStr">
        <is>
          <t>IEE 5.1127 % con cuota mínima 1 €/MWh (Ley 38/1992 art. 99 (sin medidas vigentes)) + IVA 21 % (Ley 37/1992 art. 90 (sin medidas vigentes))</t>
        </is>
      </c>
      <c r="J1392" t="inlineStr">
        <is>
          <t>2025-03-18</t>
        </is>
      </c>
      <c r="K1392" t="inlineStr">
        <is>
          <t>ESIOS 1001 geo 8741</t>
        </is>
      </c>
      <c r="L1392" t="inlineStr">
        <is>
          <t>24 valores; mín 69.74, máx 192.29 €/MWh</t>
        </is>
      </c>
    </row>
    <row r="1393">
      <c r="A1393" s="53" t="n">
        <v>45736</v>
      </c>
      <c r="B1393" t="inlineStr">
        <is>
          <t>2025-03-20</t>
        </is>
      </c>
      <c r="C1393" s="45" t="n">
        <v>110.1862</v>
      </c>
      <c r="D1393" t="inlineStr">
        <is>
          <t>€/MWh</t>
        </is>
      </c>
      <c r="E1393" s="54" t="n">
        <v>0.110186</v>
      </c>
      <c r="F1393" s="54" t="n">
        <v>0.140142</v>
      </c>
      <c r="G1393" t="inlineStr">
        <is>
          <t>calculado</t>
        </is>
      </c>
      <c r="H1393" t="inlineStr">
        <is>
          <t>IEE 5.1127 % con cuota mínima 1 €/MWh (Ley 38/1992 art. 99 (sin medidas vigentes)) + IVA 21 % (Ley 37/1992 art. 90 (sin medidas vigentes))</t>
        </is>
      </c>
      <c r="J1393" t="inlineStr">
        <is>
          <t>2025-03-19</t>
        </is>
      </c>
      <c r="K1393" t="inlineStr">
        <is>
          <t>ESIOS 1001 geo 8741</t>
        </is>
      </c>
      <c r="L1393" t="inlineStr">
        <is>
          <t>24 valores; mín 49.48, máx 253.24 €/MWh</t>
        </is>
      </c>
    </row>
    <row r="1394">
      <c r="A1394" s="53" t="n">
        <v>45737</v>
      </c>
      <c r="B1394" t="inlineStr">
        <is>
          <t>2025-03-21</t>
        </is>
      </c>
      <c r="C1394" s="45" t="n">
        <v>105.25</v>
      </c>
      <c r="D1394" t="inlineStr">
        <is>
          <t>€/MWh</t>
        </is>
      </c>
      <c r="E1394" s="54" t="n">
        <v>0.10525</v>
      </c>
      <c r="F1394" s="54" t="n">
        <v>0.133864</v>
      </c>
      <c r="G1394" t="inlineStr">
        <is>
          <t>calculado</t>
        </is>
      </c>
      <c r="H1394" t="inlineStr">
        <is>
          <t>IEE 5.1127 % con cuota mínima 1 €/MWh (Ley 38/1992 art. 99 (sin medidas vigentes)) + IVA 21 % (Ley 37/1992 art. 90 (sin medidas vigentes))</t>
        </is>
      </c>
      <c r="J1394" t="inlineStr">
        <is>
          <t>2025-03-20</t>
        </is>
      </c>
      <c r="K1394" t="inlineStr">
        <is>
          <t>ESIOS 1001 geo 8741</t>
        </is>
      </c>
      <c r="L1394" t="inlineStr">
        <is>
          <t>24 valores; mín 62.61, máx 185.97 €/MWh</t>
        </is>
      </c>
    </row>
    <row r="1395">
      <c r="A1395" s="53" t="n">
        <v>45738</v>
      </c>
      <c r="B1395" t="inlineStr">
        <is>
          <t>2025-03-22</t>
        </is>
      </c>
      <c r="C1395" s="45" t="n">
        <v>66.255</v>
      </c>
      <c r="D1395" t="inlineStr">
        <is>
          <t>€/MWh</t>
        </is>
      </c>
      <c r="E1395" s="54" t="n">
        <v>0.06625499999999999</v>
      </c>
      <c r="F1395" s="54" t="n">
        <v>0.08426699999999999</v>
      </c>
      <c r="G1395" t="inlineStr">
        <is>
          <t>calculado</t>
        </is>
      </c>
      <c r="H1395" t="inlineStr">
        <is>
          <t>IEE 5.1127 % con cuota mínima 1 €/MWh (Ley 38/1992 art. 99 (sin medidas vigentes)) + IVA 21 % (Ley 37/1992 art. 90 (sin medidas vigentes))</t>
        </is>
      </c>
      <c r="J1395" t="inlineStr">
        <is>
          <t>2025-03-21</t>
        </is>
      </c>
      <c r="K1395" t="inlineStr">
        <is>
          <t>ESIOS 1001 geo 8741</t>
        </is>
      </c>
      <c r="L1395" t="inlineStr">
        <is>
          <t>24 valores; mín 50.38, máx 134.63 €/MWh</t>
        </is>
      </c>
    </row>
    <row r="1396">
      <c r="A1396" s="53" t="n">
        <v>45739</v>
      </c>
      <c r="B1396" t="inlineStr">
        <is>
          <t>2025-03-23</t>
        </is>
      </c>
      <c r="C1396" s="45" t="n">
        <v>87.11</v>
      </c>
      <c r="D1396" t="inlineStr">
        <is>
          <t>€/MWh</t>
        </is>
      </c>
      <c r="E1396" s="54" t="n">
        <v>0.08711000000000001</v>
      </c>
      <c r="F1396" s="54" t="n">
        <v>0.110792</v>
      </c>
      <c r="G1396" t="inlineStr">
        <is>
          <t>calculado</t>
        </is>
      </c>
      <c r="H1396" t="inlineStr">
        <is>
          <t>IEE 5.1127 % con cuota mínima 1 €/MWh (Ley 38/1992 art. 99 (sin medidas vigentes)) + IVA 21 % (Ley 37/1992 art. 90 (sin medidas vigentes))</t>
        </is>
      </c>
      <c r="J1396" t="inlineStr">
        <is>
          <t>2025-03-22</t>
        </is>
      </c>
      <c r="K1396" t="inlineStr">
        <is>
          <t>ESIOS 1001 geo 8741</t>
        </is>
      </c>
      <c r="L1396" t="inlineStr">
        <is>
          <t>24 valores; mín 41.21, máx 186.69 €/MWh</t>
        </is>
      </c>
    </row>
    <row r="1397">
      <c r="A1397" s="53" t="n">
        <v>45740</v>
      </c>
      <c r="B1397" t="inlineStr">
        <is>
          <t>2025-03-24</t>
        </is>
      </c>
      <c r="C1397" s="45" t="n">
        <v>136.0233</v>
      </c>
      <c r="D1397" t="inlineStr">
        <is>
          <t>€/MWh</t>
        </is>
      </c>
      <c r="E1397" s="54" t="n">
        <v>0.136023</v>
      </c>
      <c r="F1397" s="54" t="n">
        <v>0.173003</v>
      </c>
      <c r="G1397" t="inlineStr">
        <is>
          <t>calculado</t>
        </is>
      </c>
      <c r="H1397" t="inlineStr">
        <is>
          <t>IEE 5.1127 % con cuota mínima 1 €/MWh (Ley 38/1992 art. 99 (sin medidas vigentes)) + IVA 21 % (Ley 37/1992 art. 90 (sin medidas vigentes))</t>
        </is>
      </c>
      <c r="J1397" t="inlineStr">
        <is>
          <t>2025-03-23</t>
        </is>
      </c>
      <c r="K1397" t="inlineStr">
        <is>
          <t>ESIOS 1001 geo 8741</t>
        </is>
      </c>
      <c r="L1397" t="inlineStr">
        <is>
          <t>24 valores; mín 59.87, máx 336.86 €/MWh</t>
        </is>
      </c>
    </row>
    <row r="1398">
      <c r="A1398" s="53" t="n">
        <v>45741</v>
      </c>
      <c r="B1398" t="inlineStr">
        <is>
          <t>2025-03-25</t>
        </is>
      </c>
      <c r="C1398" s="45" t="n">
        <v>130.5321</v>
      </c>
      <c r="D1398" t="inlineStr">
        <is>
          <t>€/MWh</t>
        </is>
      </c>
      <c r="E1398" s="54" t="n">
        <v>0.130532</v>
      </c>
      <c r="F1398" s="54" t="n">
        <v>0.166019</v>
      </c>
      <c r="G1398" t="inlineStr">
        <is>
          <t>calculado</t>
        </is>
      </c>
      <c r="H1398" t="inlineStr">
        <is>
          <t>IEE 5.1127 % con cuota mínima 1 €/MWh (Ley 38/1992 art. 99 (sin medidas vigentes)) + IVA 21 % (Ley 37/1992 art. 90 (sin medidas vigentes))</t>
        </is>
      </c>
      <c r="J1398" t="inlineStr">
        <is>
          <t>2025-03-24</t>
        </is>
      </c>
      <c r="K1398" t="inlineStr">
        <is>
          <t>ESIOS 1001 geo 8741</t>
        </is>
      </c>
      <c r="L1398" t="inlineStr">
        <is>
          <t>24 valores; mín 60.18, máx 312.65 €/MWh</t>
        </is>
      </c>
    </row>
    <row r="1399">
      <c r="A1399" s="53" t="n">
        <v>45742</v>
      </c>
      <c r="B1399" t="inlineStr">
        <is>
          <t>2025-03-26</t>
        </is>
      </c>
      <c r="C1399" s="45" t="n">
        <v>123.9671</v>
      </c>
      <c r="D1399" t="inlineStr">
        <is>
          <t>€/MWh</t>
        </is>
      </c>
      <c r="E1399" s="54" t="n">
        <v>0.123967</v>
      </c>
      <c r="F1399" s="54" t="n">
        <v>0.157669</v>
      </c>
      <c r="G1399" t="inlineStr">
        <is>
          <t>calculado</t>
        </is>
      </c>
      <c r="H1399" t="inlineStr">
        <is>
          <t>IEE 5.1127 % con cuota mínima 1 €/MWh (Ley 38/1992 art. 99 (sin medidas vigentes)) + IVA 21 % (Ley 37/1992 art. 90 (sin medidas vigentes))</t>
        </is>
      </c>
      <c r="J1399" t="inlineStr">
        <is>
          <t>2025-03-25</t>
        </is>
      </c>
      <c r="K1399" t="inlineStr">
        <is>
          <t>ESIOS 1001 geo 8741</t>
        </is>
      </c>
      <c r="L1399" t="inlineStr">
        <is>
          <t>24 valores; mín 61.72, máx 275.65 €/MWh</t>
        </is>
      </c>
    </row>
    <row r="1400">
      <c r="A1400" s="53" t="n">
        <v>45743</v>
      </c>
      <c r="B1400" t="inlineStr">
        <is>
          <t>2025-03-27</t>
        </is>
      </c>
      <c r="C1400" s="45" t="n">
        <v>135.6517</v>
      </c>
      <c r="D1400" t="inlineStr">
        <is>
          <t>€/MWh</t>
        </is>
      </c>
      <c r="E1400" s="54" t="n">
        <v>0.135652</v>
      </c>
      <c r="F1400" s="54" t="n">
        <v>0.17253</v>
      </c>
      <c r="G1400" t="inlineStr">
        <is>
          <t>calculado</t>
        </is>
      </c>
      <c r="H1400" t="inlineStr">
        <is>
          <t>IEE 5.1127 % con cuota mínima 1 €/MWh (Ley 38/1992 art. 99 (sin medidas vigentes)) + IVA 21 % (Ley 37/1992 art. 90 (sin medidas vigentes))</t>
        </is>
      </c>
      <c r="J1400" t="inlineStr">
        <is>
          <t>2025-03-26</t>
        </is>
      </c>
      <c r="K1400" t="inlineStr">
        <is>
          <t>ESIOS 1001 geo 8741</t>
        </is>
      </c>
      <c r="L1400" t="inlineStr">
        <is>
          <t>24 valores; mín 57.11, máx 298.44 €/MWh</t>
        </is>
      </c>
    </row>
    <row r="1401">
      <c r="A1401" s="53" t="n">
        <v>45744</v>
      </c>
      <c r="B1401" t="inlineStr">
        <is>
          <t>2025-03-28</t>
        </is>
      </c>
      <c r="C1401" s="45" t="n">
        <v>117.6963</v>
      </c>
      <c r="D1401" t="inlineStr">
        <is>
          <t>€/MWh</t>
        </is>
      </c>
      <c r="E1401" s="54" t="n">
        <v>0.117696</v>
      </c>
      <c r="F1401" s="54" t="n">
        <v>0.149694</v>
      </c>
      <c r="G1401" t="inlineStr">
        <is>
          <t>calculado</t>
        </is>
      </c>
      <c r="H1401" t="inlineStr">
        <is>
          <t>IEE 5.1127 % con cuota mínima 1 €/MWh (Ley 38/1992 art. 99 (sin medidas vigentes)) + IVA 21 % (Ley 37/1992 art. 90 (sin medidas vigentes))</t>
        </is>
      </c>
      <c r="J1401" t="inlineStr">
        <is>
          <t>2025-03-27</t>
        </is>
      </c>
      <c r="K1401" t="inlineStr">
        <is>
          <t>ESIOS 1001 geo 8741</t>
        </is>
      </c>
      <c r="L1401" t="inlineStr">
        <is>
          <t>24 valores; mín 66.77, máx 232.87 €/MWh</t>
        </is>
      </c>
    </row>
    <row r="1402">
      <c r="A1402" s="53" t="n">
        <v>45745</v>
      </c>
      <c r="B1402" t="inlineStr">
        <is>
          <t>2025-03-29</t>
        </is>
      </c>
      <c r="C1402" s="45" t="n">
        <v>67.2392</v>
      </c>
      <c r="D1402" t="inlineStr">
        <is>
          <t>€/MWh</t>
        </is>
      </c>
      <c r="E1402" s="54" t="n">
        <v>0.06723899999999999</v>
      </c>
      <c r="F1402" s="54" t="n">
        <v>0.085519</v>
      </c>
      <c r="G1402" t="inlineStr">
        <is>
          <t>calculado</t>
        </is>
      </c>
      <c r="H1402" t="inlineStr">
        <is>
          <t>IEE 5.1127 % con cuota mínima 1 €/MWh (Ley 38/1992 art. 99 (sin medidas vigentes)) + IVA 21 % (Ley 37/1992 art. 90 (sin medidas vigentes))</t>
        </is>
      </c>
      <c r="J1402" t="inlineStr">
        <is>
          <t>2025-03-28</t>
        </is>
      </c>
      <c r="K1402" t="inlineStr">
        <is>
          <t>ESIOS 1001 geo 8741</t>
        </is>
      </c>
      <c r="L1402" t="inlineStr">
        <is>
          <t>24 valores; mín 57.35, máx 77.41 €/MWh</t>
        </is>
      </c>
    </row>
    <row r="1403">
      <c r="A1403" s="53" t="n">
        <v>45746</v>
      </c>
      <c r="B1403" t="inlineStr">
        <is>
          <t>2025-03-30</t>
        </is>
      </c>
      <c r="C1403" s="45" t="n">
        <v>68.3604</v>
      </c>
      <c r="D1403" t="inlineStr">
        <is>
          <t>€/MWh</t>
        </is>
      </c>
      <c r="E1403" s="54" t="n">
        <v>0.06836</v>
      </c>
      <c r="F1403" s="54" t="n">
        <v>0.08694499999999999</v>
      </c>
      <c r="G1403" t="inlineStr">
        <is>
          <t>calculado</t>
        </is>
      </c>
      <c r="H1403" t="inlineStr">
        <is>
          <t>IEE 5.1127 % con cuota mínima 1 €/MWh (Ley 38/1992 art. 99 (sin medidas vigentes)) + IVA 21 % (Ley 37/1992 art. 90 (sin medidas vigentes))</t>
        </is>
      </c>
      <c r="J1403" t="inlineStr">
        <is>
          <t>2025-03-29</t>
        </is>
      </c>
      <c r="K1403" t="inlineStr">
        <is>
          <t>ESIOS 1001 geo 8741</t>
        </is>
      </c>
      <c r="L1403" t="inlineStr">
        <is>
          <t>23 valores; mín 55.99, máx 95.62 €/MWh</t>
        </is>
      </c>
    </row>
    <row r="1404">
      <c r="A1404" s="53" t="n">
        <v>45747</v>
      </c>
      <c r="B1404" t="inlineStr">
        <is>
          <t>2025-03-31</t>
        </is>
      </c>
      <c r="C1404" s="45" t="n">
        <v>123.575</v>
      </c>
      <c r="D1404" t="inlineStr">
        <is>
          <t>€/MWh</t>
        </is>
      </c>
      <c r="E1404" s="54" t="n">
        <v>0.123575</v>
      </c>
      <c r="F1404" s="54" t="n">
        <v>0.157171</v>
      </c>
      <c r="G1404" t="inlineStr">
        <is>
          <t>calculado</t>
        </is>
      </c>
      <c r="H1404" t="inlineStr">
        <is>
          <t>IEE 5.1127 % con cuota mínima 1 €/MWh (Ley 38/1992 art. 99 (sin medidas vigentes)) + IVA 21 % (Ley 37/1992 art. 90 (sin medidas vigentes))</t>
        </is>
      </c>
      <c r="J1404" t="inlineStr">
        <is>
          <t>2025-03-30</t>
        </is>
      </c>
      <c r="K1404" t="inlineStr">
        <is>
          <t>ESIOS 1001 geo 8741</t>
        </is>
      </c>
      <c r="L1404" t="inlineStr">
        <is>
          <t>24 valores; mín 60.90, máx 364.82 €/MWh</t>
        </is>
      </c>
    </row>
    <row r="1405">
      <c r="A1405" s="53" t="n">
        <v>45748</v>
      </c>
      <c r="B1405" t="inlineStr">
        <is>
          <t>2025-04-01</t>
        </is>
      </c>
      <c r="C1405" s="45" t="n">
        <v>133.9688</v>
      </c>
      <c r="D1405" t="inlineStr">
        <is>
          <t>€/MWh</t>
        </is>
      </c>
      <c r="E1405" s="54" t="n">
        <v>0.133969</v>
      </c>
      <c r="F1405" s="54" t="n">
        <v>0.17039</v>
      </c>
      <c r="G1405" t="inlineStr">
        <is>
          <t>calculado</t>
        </is>
      </c>
      <c r="H1405" t="inlineStr">
        <is>
          <t>IEE 5.1127 % con cuota mínima 1 €/MWh (Ley 38/1992 art. 99 (sin medidas vigentes)) + IVA 21 % (Ley 37/1992 art. 90 (sin medidas vigentes))</t>
        </is>
      </c>
      <c r="J1405" t="inlineStr">
        <is>
          <t>2025-03-31</t>
        </is>
      </c>
      <c r="K1405" t="inlineStr">
        <is>
          <t>ESIOS 1001 geo 8741</t>
        </is>
      </c>
      <c r="L1405" t="inlineStr">
        <is>
          <t>24 valores; mín 48.50, máx 255.51 €/MWh</t>
        </is>
      </c>
    </row>
    <row r="1406">
      <c r="A1406" s="53" t="n">
        <v>45749</v>
      </c>
      <c r="B1406" t="inlineStr">
        <is>
          <t>2025-04-02</t>
        </is>
      </c>
      <c r="C1406" s="45" t="n">
        <v>114.9475</v>
      </c>
      <c r="D1406" t="inlineStr">
        <is>
          <t>€/MWh</t>
        </is>
      </c>
      <c r="E1406" s="54" t="n">
        <v>0.114948</v>
      </c>
      <c r="F1406" s="54" t="n">
        <v>0.146198</v>
      </c>
      <c r="G1406" t="inlineStr">
        <is>
          <t>calculado</t>
        </is>
      </c>
      <c r="H1406" t="inlineStr">
        <is>
          <t>IEE 5.1127 % con cuota mínima 1 €/MWh (Ley 38/1992 art. 99 (sin medidas vigentes)) + IVA 21 % (Ley 37/1992 art. 90 (sin medidas vigentes))</t>
        </is>
      </c>
      <c r="J1406" t="inlineStr">
        <is>
          <t>2025-04-01</t>
        </is>
      </c>
      <c r="K1406" t="inlineStr">
        <is>
          <t>ESIOS 1001 geo 8741</t>
        </is>
      </c>
      <c r="L1406" t="inlineStr">
        <is>
          <t>24 valores; mín 60.40, máx 191.28 €/MWh</t>
        </is>
      </c>
    </row>
    <row r="1407">
      <c r="A1407" s="53" t="n">
        <v>45750</v>
      </c>
      <c r="B1407" t="inlineStr">
        <is>
          <t>2025-04-03</t>
        </is>
      </c>
      <c r="C1407" s="45" t="n">
        <v>106.6321</v>
      </c>
      <c r="D1407" t="inlineStr">
        <is>
          <t>€/MWh</t>
        </is>
      </c>
      <c r="E1407" s="54" t="n">
        <v>0.106632</v>
      </c>
      <c r="F1407" s="54" t="n">
        <v>0.135621</v>
      </c>
      <c r="G1407" t="inlineStr">
        <is>
          <t>calculado</t>
        </is>
      </c>
      <c r="H1407" t="inlineStr">
        <is>
          <t>IEE 5.1127 % con cuota mínima 1 €/MWh (Ley 38/1992 art. 99 (sin medidas vigentes)) + IVA 21 % (Ley 37/1992 art. 90 (sin medidas vigentes))</t>
        </is>
      </c>
      <c r="J1407" t="inlineStr">
        <is>
          <t>2025-04-02</t>
        </is>
      </c>
      <c r="K1407" t="inlineStr">
        <is>
          <t>ESIOS 1001 geo 8741</t>
        </is>
      </c>
      <c r="L1407" t="inlineStr">
        <is>
          <t>24 valores; mín 62.28, máx 222.01 €/MWh</t>
        </is>
      </c>
    </row>
    <row r="1408">
      <c r="A1408" s="53" t="n">
        <v>45751</v>
      </c>
      <c r="B1408" t="inlineStr">
        <is>
          <t>2025-04-04</t>
        </is>
      </c>
      <c r="C1408" s="45" t="n">
        <v>101.145</v>
      </c>
      <c r="D1408" t="inlineStr">
        <is>
          <t>€/MWh</t>
        </is>
      </c>
      <c r="E1408" s="54" t="n">
        <v>0.101145</v>
      </c>
      <c r="F1408" s="54" t="n">
        <v>0.128643</v>
      </c>
      <c r="G1408" t="inlineStr">
        <is>
          <t>calculado</t>
        </is>
      </c>
      <c r="H1408" t="inlineStr">
        <is>
          <t>IEE 5.1127 % con cuota mínima 1 €/MWh (Ley 38/1992 art. 99 (sin medidas vigentes)) + IVA 21 % (Ley 37/1992 art. 90 (sin medidas vigentes))</t>
        </is>
      </c>
      <c r="J1408" t="inlineStr">
        <is>
          <t>2025-04-03</t>
        </is>
      </c>
      <c r="K1408" t="inlineStr">
        <is>
          <t>ESIOS 1001 geo 8741</t>
        </is>
      </c>
      <c r="L1408" t="inlineStr">
        <is>
          <t>24 valores; mín 56.33, máx 192.86 €/MWh</t>
        </is>
      </c>
    </row>
    <row r="1409">
      <c r="A1409" s="53" t="n">
        <v>45752</v>
      </c>
      <c r="B1409" t="inlineStr">
        <is>
          <t>2025-04-05</t>
        </is>
      </c>
      <c r="C1409" s="45" t="n">
        <v>71.98</v>
      </c>
      <c r="D1409" t="inlineStr">
        <is>
          <t>€/MWh</t>
        </is>
      </c>
      <c r="E1409" s="54" t="n">
        <v>0.07198</v>
      </c>
      <c r="F1409" s="54" t="n">
        <v>0.09154900000000001</v>
      </c>
      <c r="G1409" t="inlineStr">
        <is>
          <t>calculado</t>
        </is>
      </c>
      <c r="H1409" t="inlineStr">
        <is>
          <t>IEE 5.1127 % con cuota mínima 1 €/MWh (Ley 38/1992 art. 99 (sin medidas vigentes)) + IVA 21 % (Ley 37/1992 art. 90 (sin medidas vigentes))</t>
        </is>
      </c>
      <c r="J1409" t="inlineStr">
        <is>
          <t>2025-04-04</t>
        </is>
      </c>
      <c r="K1409" t="inlineStr">
        <is>
          <t>ESIOS 1001 geo 8741</t>
        </is>
      </c>
      <c r="L1409" t="inlineStr">
        <is>
          <t>24 valores; mín 36.37, máx 150.68 €/MWh</t>
        </is>
      </c>
    </row>
    <row r="1410">
      <c r="A1410" s="53" t="n">
        <v>45753</v>
      </c>
      <c r="B1410" t="inlineStr">
        <is>
          <t>2025-04-06</t>
        </is>
      </c>
      <c r="C1410" s="45" t="n">
        <v>78.1863</v>
      </c>
      <c r="D1410" t="inlineStr">
        <is>
          <t>€/MWh</t>
        </is>
      </c>
      <c r="E1410" s="54" t="n">
        <v>0.07818600000000001</v>
      </c>
      <c r="F1410" s="54" t="n">
        <v>0.099442</v>
      </c>
      <c r="G1410" t="inlineStr">
        <is>
          <t>calculado</t>
        </is>
      </c>
      <c r="H1410" t="inlineStr">
        <is>
          <t>IEE 5.1127 % con cuota mínima 1 €/MWh (Ley 38/1992 art. 99 (sin medidas vigentes)) + IVA 21 % (Ley 37/1992 art. 90 (sin medidas vigentes))</t>
        </is>
      </c>
      <c r="J1410" t="inlineStr">
        <is>
          <t>2025-04-05</t>
        </is>
      </c>
      <c r="K1410" t="inlineStr">
        <is>
          <t>ESIOS 1001 geo 8741</t>
        </is>
      </c>
      <c r="L1410" t="inlineStr">
        <is>
          <t>24 valores; mín 37.47, máx 130.32 €/MWh</t>
        </is>
      </c>
    </row>
    <row r="1411">
      <c r="A1411" s="53" t="n">
        <v>45754</v>
      </c>
      <c r="B1411" t="inlineStr">
        <is>
          <t>2025-04-07</t>
        </is>
      </c>
      <c r="C1411" s="45" t="n">
        <v>136.6525</v>
      </c>
      <c r="D1411" t="inlineStr">
        <is>
          <t>€/MWh</t>
        </is>
      </c>
      <c r="E1411" s="54" t="n">
        <v>0.136653</v>
      </c>
      <c r="F1411" s="54" t="n">
        <v>0.173803</v>
      </c>
      <c r="G1411" t="inlineStr">
        <is>
          <t>calculado</t>
        </is>
      </c>
      <c r="H1411" t="inlineStr">
        <is>
          <t>IEE 5.1127 % con cuota mínima 1 €/MWh (Ley 38/1992 art. 99 (sin medidas vigentes)) + IVA 21 % (Ley 37/1992 art. 90 (sin medidas vigentes))</t>
        </is>
      </c>
      <c r="J1411" t="inlineStr">
        <is>
          <t>2025-04-06</t>
        </is>
      </c>
      <c r="K1411" t="inlineStr">
        <is>
          <t>ESIOS 1001 geo 8741</t>
        </is>
      </c>
      <c r="L1411" t="inlineStr">
        <is>
          <t>24 valores; mín 50.60, máx 319.10 €/MWh</t>
        </is>
      </c>
    </row>
    <row r="1412">
      <c r="A1412" s="53" t="n">
        <v>45755</v>
      </c>
      <c r="B1412" t="inlineStr">
        <is>
          <t>2025-04-08</t>
        </is>
      </c>
      <c r="C1412" s="45" t="n">
        <v>126.7208</v>
      </c>
      <c r="D1412" t="inlineStr">
        <is>
          <t>€/MWh</t>
        </is>
      </c>
      <c r="E1412" s="54" t="n">
        <v>0.126721</v>
      </c>
      <c r="F1412" s="54" t="n">
        <v>0.161172</v>
      </c>
      <c r="G1412" t="inlineStr">
        <is>
          <t>calculado</t>
        </is>
      </c>
      <c r="H1412" t="inlineStr">
        <is>
          <t>IEE 5.1127 % con cuota mínima 1 €/MWh (Ley 38/1992 art. 99 (sin medidas vigentes)) + IVA 21 % (Ley 37/1992 art. 90 (sin medidas vigentes))</t>
        </is>
      </c>
      <c r="J1412" t="inlineStr">
        <is>
          <t>2025-04-07</t>
        </is>
      </c>
      <c r="K1412" t="inlineStr">
        <is>
          <t>ESIOS 1001 geo 8741</t>
        </is>
      </c>
      <c r="L1412" t="inlineStr">
        <is>
          <t>24 valores; mín 54.37, máx 261.98 €/MWh</t>
        </is>
      </c>
    </row>
    <row r="1413">
      <c r="A1413" s="53" t="n">
        <v>45756</v>
      </c>
      <c r="B1413" t="inlineStr">
        <is>
          <t>2025-04-09</t>
        </is>
      </c>
      <c r="C1413" s="45" t="n">
        <v>118.6758</v>
      </c>
      <c r="D1413" t="inlineStr">
        <is>
          <t>€/MWh</t>
        </is>
      </c>
      <c r="E1413" s="54" t="n">
        <v>0.118676</v>
      </c>
      <c r="F1413" s="54" t="n">
        <v>0.150939</v>
      </c>
      <c r="G1413" t="inlineStr">
        <is>
          <t>calculado</t>
        </is>
      </c>
      <c r="H1413" t="inlineStr">
        <is>
          <t>IEE 5.1127 % con cuota mínima 1 €/MWh (Ley 38/1992 art. 99 (sin medidas vigentes)) + IVA 21 % (Ley 37/1992 art. 90 (sin medidas vigentes))</t>
        </is>
      </c>
      <c r="J1413" t="inlineStr">
        <is>
          <t>2025-04-08</t>
        </is>
      </c>
      <c r="K1413" t="inlineStr">
        <is>
          <t>ESIOS 1001 geo 8741</t>
        </is>
      </c>
      <c r="L1413" t="inlineStr">
        <is>
          <t>24 valores; mín 62.22, máx 230.22 €/MWh</t>
        </is>
      </c>
    </row>
    <row r="1414">
      <c r="A1414" s="53" t="n">
        <v>45757</v>
      </c>
      <c r="B1414" t="inlineStr">
        <is>
          <t>2025-04-10</t>
        </is>
      </c>
      <c r="C1414" s="45" t="n">
        <v>109.8596</v>
      </c>
      <c r="D1414" t="inlineStr">
        <is>
          <t>€/MWh</t>
        </is>
      </c>
      <c r="E1414" s="54" t="n">
        <v>0.10986</v>
      </c>
      <c r="F1414" s="54" t="n">
        <v>0.139726</v>
      </c>
      <c r="G1414" t="inlineStr">
        <is>
          <t>calculado</t>
        </is>
      </c>
      <c r="H1414" t="inlineStr">
        <is>
          <t>IEE 5.1127 % con cuota mínima 1 €/MWh (Ley 38/1992 art. 99 (sin medidas vigentes)) + IVA 21 % (Ley 37/1992 art. 90 (sin medidas vigentes))</t>
        </is>
      </c>
      <c r="J1414" t="inlineStr">
        <is>
          <t>2025-04-09</t>
        </is>
      </c>
      <c r="K1414" t="inlineStr">
        <is>
          <t>ESIOS 1001 geo 8741</t>
        </is>
      </c>
      <c r="L1414" t="inlineStr">
        <is>
          <t>24 valores; mín 67.76, máx 191.85 €/MWh</t>
        </is>
      </c>
    </row>
    <row r="1415">
      <c r="A1415" s="53" t="n">
        <v>45758</v>
      </c>
      <c r="B1415" t="inlineStr">
        <is>
          <t>2025-04-11</t>
        </is>
      </c>
      <c r="C1415" s="45" t="n">
        <v>107.9021</v>
      </c>
      <c r="D1415" t="inlineStr">
        <is>
          <t>€/MWh</t>
        </is>
      </c>
      <c r="E1415" s="54" t="n">
        <v>0.107902</v>
      </c>
      <c r="F1415" s="54" t="n">
        <v>0.137237</v>
      </c>
      <c r="G1415" t="inlineStr">
        <is>
          <t>calculado</t>
        </is>
      </c>
      <c r="H1415" t="inlineStr">
        <is>
          <t>IEE 5.1127 % con cuota mínima 1 €/MWh (Ley 38/1992 art. 99 (sin medidas vigentes)) + IVA 21 % (Ley 37/1992 art. 90 (sin medidas vigentes))</t>
        </is>
      </c>
      <c r="J1415" t="inlineStr">
        <is>
          <t>2025-04-10</t>
        </is>
      </c>
      <c r="K1415" t="inlineStr">
        <is>
          <t>ESIOS 1001 geo 8741</t>
        </is>
      </c>
      <c r="L1415" t="inlineStr">
        <is>
          <t>24 valores; mín 65.88, máx 200.31 €/MWh</t>
        </is>
      </c>
    </row>
    <row r="1416">
      <c r="A1416" s="53" t="n">
        <v>45759</v>
      </c>
      <c r="B1416" t="inlineStr">
        <is>
          <t>2025-04-12</t>
        </is>
      </c>
      <c r="C1416" s="45" t="n">
        <v>82.3813</v>
      </c>
      <c r="D1416" t="inlineStr">
        <is>
          <t>€/MWh</t>
        </is>
      </c>
      <c r="E1416" s="54" t="n">
        <v>0.082381</v>
      </c>
      <c r="F1416" s="54" t="n">
        <v>0.104778</v>
      </c>
      <c r="G1416" t="inlineStr">
        <is>
          <t>calculado</t>
        </is>
      </c>
      <c r="H1416" t="inlineStr">
        <is>
          <t>IEE 5.1127 % con cuota mínima 1 €/MWh (Ley 38/1992 art. 99 (sin medidas vigentes)) + IVA 21 % (Ley 37/1992 art. 90 (sin medidas vigentes))</t>
        </is>
      </c>
      <c r="J1416" t="inlineStr">
        <is>
          <t>2025-04-11</t>
        </is>
      </c>
      <c r="K1416" t="inlineStr">
        <is>
          <t>ESIOS 1001 geo 8741</t>
        </is>
      </c>
      <c r="L1416" t="inlineStr">
        <is>
          <t>24 valores; mín 46.33, máx 134.37 €/MWh</t>
        </is>
      </c>
    </row>
    <row r="1417">
      <c r="A1417" s="53" t="n">
        <v>45760</v>
      </c>
      <c r="B1417" t="inlineStr">
        <is>
          <t>2025-04-13</t>
        </is>
      </c>
      <c r="C1417" s="45" t="n">
        <v>78.3596</v>
      </c>
      <c r="D1417" t="inlineStr">
        <is>
          <t>€/MWh</t>
        </is>
      </c>
      <c r="E1417" s="54" t="n">
        <v>0.07836</v>
      </c>
      <c r="F1417" s="54" t="n">
        <v>0.099663</v>
      </c>
      <c r="G1417" t="inlineStr">
        <is>
          <t>calculado</t>
        </is>
      </c>
      <c r="H1417" t="inlineStr">
        <is>
          <t>IEE 5.1127 % con cuota mínima 1 €/MWh (Ley 38/1992 art. 99 (sin medidas vigentes)) + IVA 21 % (Ley 37/1992 art. 90 (sin medidas vigentes))</t>
        </is>
      </c>
      <c r="J1417" t="inlineStr">
        <is>
          <t>2025-04-12</t>
        </is>
      </c>
      <c r="K1417" t="inlineStr">
        <is>
          <t>ESIOS 1001 geo 8741</t>
        </is>
      </c>
      <c r="L1417" t="inlineStr">
        <is>
          <t>24 valores; mín 46.42, máx 113.64 €/MWh</t>
        </is>
      </c>
    </row>
    <row r="1418">
      <c r="A1418" s="53" t="n">
        <v>45761</v>
      </c>
      <c r="B1418" t="inlineStr">
        <is>
          <t>2025-04-14</t>
        </is>
      </c>
      <c r="C1418" s="45" t="n">
        <v>117.5233</v>
      </c>
      <c r="D1418" t="inlineStr">
        <is>
          <t>€/MWh</t>
        </is>
      </c>
      <c r="E1418" s="54" t="n">
        <v>0.117523</v>
      </c>
      <c r="F1418" s="54" t="n">
        <v>0.149474</v>
      </c>
      <c r="G1418" t="inlineStr">
        <is>
          <t>calculado</t>
        </is>
      </c>
      <c r="H1418" t="inlineStr">
        <is>
          <t>IEE 5.1127 % con cuota mínima 1 €/MWh (Ley 38/1992 art. 99 (sin medidas vigentes)) + IVA 21 % (Ley 37/1992 art. 90 (sin medidas vigentes))</t>
        </is>
      </c>
      <c r="J1418" t="inlineStr">
        <is>
          <t>2025-04-13</t>
        </is>
      </c>
      <c r="K1418" t="inlineStr">
        <is>
          <t>ESIOS 1001 geo 8741</t>
        </is>
      </c>
      <c r="L1418" t="inlineStr">
        <is>
          <t>24 valores; mín 68.57, máx 172.89 €/MWh</t>
        </is>
      </c>
    </row>
    <row r="1419">
      <c r="A1419" s="53" t="n">
        <v>45762</v>
      </c>
      <c r="B1419" t="inlineStr">
        <is>
          <t>2025-04-15</t>
        </is>
      </c>
      <c r="C1419" s="45" t="n">
        <v>104.4783</v>
      </c>
      <c r="D1419" t="inlineStr">
        <is>
          <t>€/MWh</t>
        </is>
      </c>
      <c r="E1419" s="54" t="n">
        <v>0.104478</v>
      </c>
      <c r="F1419" s="54" t="n">
        <v>0.132882</v>
      </c>
      <c r="G1419" t="inlineStr">
        <is>
          <t>calculado</t>
        </is>
      </c>
      <c r="H1419" t="inlineStr">
        <is>
          <t>IEE 5.1127 % con cuota mínima 1 €/MWh (Ley 38/1992 art. 99 (sin medidas vigentes)) + IVA 21 % (Ley 37/1992 art. 90 (sin medidas vigentes))</t>
        </is>
      </c>
      <c r="J1419" t="inlineStr">
        <is>
          <t>2025-04-14</t>
        </is>
      </c>
      <c r="K1419" t="inlineStr">
        <is>
          <t>ESIOS 1001 geo 8741</t>
        </is>
      </c>
      <c r="L1419" t="inlineStr">
        <is>
          <t>24 valores; mín 66.12, máx 176.24 €/MWh</t>
        </is>
      </c>
    </row>
    <row r="1420">
      <c r="A1420" s="53" t="n">
        <v>45763</v>
      </c>
      <c r="B1420" t="inlineStr">
        <is>
          <t>2025-04-16</t>
        </is>
      </c>
      <c r="C1420" s="45" t="n">
        <v>105.4779</v>
      </c>
      <c r="D1420" t="inlineStr">
        <is>
          <t>€/MWh</t>
        </is>
      </c>
      <c r="E1420" s="54" t="n">
        <v>0.105478</v>
      </c>
      <c r="F1420" s="54" t="n">
        <v>0.134154</v>
      </c>
      <c r="G1420" t="inlineStr">
        <is>
          <t>calculado</t>
        </is>
      </c>
      <c r="H1420" t="inlineStr">
        <is>
          <t>IEE 5.1127 % con cuota mínima 1 €/MWh (Ley 38/1992 art. 99 (sin medidas vigentes)) + IVA 21 % (Ley 37/1992 art. 90 (sin medidas vigentes))</t>
        </is>
      </c>
      <c r="J1420" t="inlineStr">
        <is>
          <t>2025-04-15</t>
        </is>
      </c>
      <c r="K1420" t="inlineStr">
        <is>
          <t>ESIOS 1001 geo 8741</t>
        </is>
      </c>
      <c r="L1420" t="inlineStr">
        <is>
          <t>24 valores; mín 68.52, máx 217.44 €/MWh</t>
        </is>
      </c>
    </row>
    <row r="1421">
      <c r="A1421" s="53" t="n">
        <v>45764</v>
      </c>
      <c r="B1421" t="inlineStr">
        <is>
          <t>2025-04-17</t>
        </is>
      </c>
      <c r="C1421" s="45" t="n">
        <v>116.4154</v>
      </c>
      <c r="D1421" t="inlineStr">
        <is>
          <t>€/MWh</t>
        </is>
      </c>
      <c r="E1421" s="54" t="n">
        <v>0.116415</v>
      </c>
      <c r="F1421" s="54" t="n">
        <v>0.148065</v>
      </c>
      <c r="G1421" t="inlineStr">
        <is>
          <t>calculado</t>
        </is>
      </c>
      <c r="H1421" t="inlineStr">
        <is>
          <t>IEE 5.1127 % con cuota mínima 1 €/MWh (Ley 38/1992 art. 99 (sin medidas vigentes)) + IVA 21 % (Ley 37/1992 art. 90 (sin medidas vigentes))</t>
        </is>
      </c>
      <c r="J1421" t="inlineStr">
        <is>
          <t>2025-04-16</t>
        </is>
      </c>
      <c r="K1421" t="inlineStr">
        <is>
          <t>ESIOS 1001 geo 8741</t>
        </is>
      </c>
      <c r="L1421" t="inlineStr">
        <is>
          <t>24 valores; mín 72.14, máx 256.07 €/MWh</t>
        </is>
      </c>
    </row>
    <row r="1422">
      <c r="A1422" s="53" t="n">
        <v>45765</v>
      </c>
      <c r="B1422" t="inlineStr">
        <is>
          <t>2025-04-18</t>
        </is>
      </c>
      <c r="C1422" s="45" t="n">
        <v>119.0213</v>
      </c>
      <c r="D1422" t="inlineStr">
        <is>
          <t>€/MWh</t>
        </is>
      </c>
      <c r="E1422" s="54" t="n">
        <v>0.119021</v>
      </c>
      <c r="F1422" s="54" t="n">
        <v>0.151379</v>
      </c>
      <c r="G1422" t="inlineStr">
        <is>
          <t>calculado</t>
        </is>
      </c>
      <c r="H1422" t="inlineStr">
        <is>
          <t>IEE 5.1127 % con cuota mínima 1 €/MWh (Ley 38/1992 art. 99 (sin medidas vigentes)) + IVA 21 % (Ley 37/1992 art. 90 (sin medidas vigentes))</t>
        </is>
      </c>
      <c r="J1422" t="inlineStr">
        <is>
          <t>2025-04-17</t>
        </is>
      </c>
      <c r="K1422" t="inlineStr">
        <is>
          <t>ESIOS 1001 geo 8741</t>
        </is>
      </c>
      <c r="L1422" t="inlineStr">
        <is>
          <t>24 valores; mín 82.73, máx 178.96 €/MWh</t>
        </is>
      </c>
    </row>
    <row r="1423">
      <c r="A1423" s="53" t="n">
        <v>45766</v>
      </c>
      <c r="B1423" t="inlineStr">
        <is>
          <t>2025-04-19</t>
        </is>
      </c>
      <c r="C1423" s="45" t="n">
        <v>72.5783</v>
      </c>
      <c r="D1423" t="inlineStr">
        <is>
          <t>€/MWh</t>
        </is>
      </c>
      <c r="E1423" s="54" t="n">
        <v>0.072578</v>
      </c>
      <c r="F1423" s="54" t="n">
        <v>0.09231</v>
      </c>
      <c r="G1423" t="inlineStr">
        <is>
          <t>calculado</t>
        </is>
      </c>
      <c r="H1423" t="inlineStr">
        <is>
          <t>IEE 5.1127 % con cuota mínima 1 €/MWh (Ley 38/1992 art. 99 (sin medidas vigentes)) + IVA 21 % (Ley 37/1992 art. 90 (sin medidas vigentes))</t>
        </is>
      </c>
      <c r="J1423" t="inlineStr">
        <is>
          <t>2025-04-18</t>
        </is>
      </c>
      <c r="K1423" t="inlineStr">
        <is>
          <t>ESIOS 1001 geo 8741</t>
        </is>
      </c>
      <c r="L1423" t="inlineStr">
        <is>
          <t>24 valores; mín 49.75, máx 95.18 €/MWh</t>
        </is>
      </c>
    </row>
    <row r="1424">
      <c r="A1424" s="53" t="n">
        <v>45767</v>
      </c>
      <c r="B1424" t="inlineStr">
        <is>
          <t>2025-04-20</t>
        </is>
      </c>
      <c r="C1424" s="45" t="n">
        <v>81.3075</v>
      </c>
      <c r="D1424" t="inlineStr">
        <is>
          <t>€/MWh</t>
        </is>
      </c>
      <c r="E1424" s="54" t="n">
        <v>0.08130800000000001</v>
      </c>
      <c r="F1424" s="54" t="n">
        <v>0.103412</v>
      </c>
      <c r="G1424" t="inlineStr">
        <is>
          <t>calculado</t>
        </is>
      </c>
      <c r="H1424" t="inlineStr">
        <is>
          <t>IEE 5.1127 % con cuota mínima 1 €/MWh (Ley 38/1992 art. 99 (sin medidas vigentes)) + IVA 21 % (Ley 37/1992 art. 90 (sin medidas vigentes))</t>
        </is>
      </c>
      <c r="J1424" t="inlineStr">
        <is>
          <t>2025-04-19</t>
        </is>
      </c>
      <c r="K1424" t="inlineStr">
        <is>
          <t>ESIOS 1001 geo 8741</t>
        </is>
      </c>
      <c r="L1424" t="inlineStr">
        <is>
          <t>24 valores; mín 54.21, máx 143.25 €/MWh</t>
        </is>
      </c>
    </row>
    <row r="1425">
      <c r="A1425" s="53" t="n">
        <v>45768</v>
      </c>
      <c r="B1425" t="inlineStr">
        <is>
          <t>2025-04-21</t>
        </is>
      </c>
      <c r="C1425" s="45" t="n">
        <v>138.1125</v>
      </c>
      <c r="D1425" t="inlineStr">
        <is>
          <t>€/MWh</t>
        </is>
      </c>
      <c r="E1425" s="54" t="n">
        <v>0.138112</v>
      </c>
      <c r="F1425" s="54" t="n">
        <v>0.17566</v>
      </c>
      <c r="G1425" t="inlineStr">
        <is>
          <t>calculado</t>
        </is>
      </c>
      <c r="H1425" t="inlineStr">
        <is>
          <t>IEE 5.1127 % con cuota mínima 1 €/MWh (Ley 38/1992 art. 99 (sin medidas vigentes)) + IVA 21 % (Ley 37/1992 art. 90 (sin medidas vigentes))</t>
        </is>
      </c>
      <c r="J1425" t="inlineStr">
        <is>
          <t>2025-04-20</t>
        </is>
      </c>
      <c r="K1425" t="inlineStr">
        <is>
          <t>ESIOS 1001 geo 8741</t>
        </is>
      </c>
      <c r="L1425" t="inlineStr">
        <is>
          <t>24 valores; mín 64.50, máx 307.45 €/MWh</t>
        </is>
      </c>
    </row>
    <row r="1426">
      <c r="A1426" s="53" t="n">
        <v>45769</v>
      </c>
      <c r="B1426" t="inlineStr">
        <is>
          <t>2025-04-22</t>
        </is>
      </c>
      <c r="C1426" s="45" t="n">
        <v>140.9313</v>
      </c>
      <c r="D1426" t="inlineStr">
        <is>
          <t>€/MWh</t>
        </is>
      </c>
      <c r="E1426" s="54" t="n">
        <v>0.140931</v>
      </c>
      <c r="F1426" s="54" t="n">
        <v>0.179245</v>
      </c>
      <c r="G1426" t="inlineStr">
        <is>
          <t>calculado</t>
        </is>
      </c>
      <c r="H1426" t="inlineStr">
        <is>
          <t>IEE 5.1127 % con cuota mínima 1 €/MWh (Ley 38/1992 art. 99 (sin medidas vigentes)) + IVA 21 % (Ley 37/1992 art. 90 (sin medidas vigentes))</t>
        </is>
      </c>
      <c r="J1426" t="inlineStr">
        <is>
          <t>2025-04-21</t>
        </is>
      </c>
      <c r="K1426" t="inlineStr">
        <is>
          <t>ESIOS 1001 geo 8741</t>
        </is>
      </c>
      <c r="L1426" t="inlineStr">
        <is>
          <t>24 valores; mín 50.58, máx 261.40 €/MWh</t>
        </is>
      </c>
    </row>
    <row r="1427">
      <c r="A1427" s="53" t="n">
        <v>45770</v>
      </c>
      <c r="B1427" t="inlineStr">
        <is>
          <t>2025-04-23</t>
        </is>
      </c>
      <c r="C1427" s="45" t="n">
        <v>126.1046</v>
      </c>
      <c r="D1427" t="inlineStr">
        <is>
          <t>€/MWh</t>
        </is>
      </c>
      <c r="E1427" s="54" t="n">
        <v>0.126105</v>
      </c>
      <c r="F1427" s="54" t="n">
        <v>0.160388</v>
      </c>
      <c r="G1427" t="inlineStr">
        <is>
          <t>calculado</t>
        </is>
      </c>
      <c r="H1427" t="inlineStr">
        <is>
          <t>IEE 5.1127 % con cuota mínima 1 €/MWh (Ley 38/1992 art. 99 (sin medidas vigentes)) + IVA 21 % (Ley 37/1992 art. 90 (sin medidas vigentes))</t>
        </is>
      </c>
      <c r="J1427" t="inlineStr">
        <is>
          <t>2025-04-22</t>
        </is>
      </c>
      <c r="K1427" t="inlineStr">
        <is>
          <t>ESIOS 1001 geo 8741</t>
        </is>
      </c>
      <c r="L1427" t="inlineStr">
        <is>
          <t>24 valores; mín 53.49, máx 257.79 €/MWh</t>
        </is>
      </c>
    </row>
    <row r="1428">
      <c r="A1428" s="53" t="n">
        <v>45771</v>
      </c>
      <c r="B1428" t="inlineStr">
        <is>
          <t>2025-04-24</t>
        </is>
      </c>
      <c r="C1428" s="45" t="n">
        <v>123.8775</v>
      </c>
      <c r="D1428" t="inlineStr">
        <is>
          <t>€/MWh</t>
        </is>
      </c>
      <c r="E1428" s="54" t="n">
        <v>0.123878</v>
      </c>
      <c r="F1428" s="54" t="n">
        <v>0.157555</v>
      </c>
      <c r="G1428" t="inlineStr">
        <is>
          <t>calculado</t>
        </is>
      </c>
      <c r="H1428" t="inlineStr">
        <is>
          <t>IEE 5.1127 % con cuota mínima 1 €/MWh (Ley 38/1992 art. 99 (sin medidas vigentes)) + IVA 21 % (Ley 37/1992 art. 90 (sin medidas vigentes))</t>
        </is>
      </c>
      <c r="J1428" t="inlineStr">
        <is>
          <t>2025-04-23</t>
        </is>
      </c>
      <c r="K1428" t="inlineStr">
        <is>
          <t>ESIOS 1001 geo 8741</t>
        </is>
      </c>
      <c r="L1428" t="inlineStr">
        <is>
          <t>24 valores; mín 52.79, máx 253.48 €/MWh</t>
        </is>
      </c>
    </row>
    <row r="1429">
      <c r="A1429" s="53" t="n">
        <v>45772</v>
      </c>
      <c r="B1429" t="inlineStr">
        <is>
          <t>2025-04-25</t>
        </is>
      </c>
      <c r="C1429" s="45" t="n">
        <v>126.3475</v>
      </c>
      <c r="D1429" t="inlineStr">
        <is>
          <t>€/MWh</t>
        </is>
      </c>
      <c r="E1429" s="54" t="n">
        <v>0.126348</v>
      </c>
      <c r="F1429" s="54" t="n">
        <v>0.160697</v>
      </c>
      <c r="G1429" t="inlineStr">
        <is>
          <t>calculado</t>
        </is>
      </c>
      <c r="H1429" t="inlineStr">
        <is>
          <t>IEE 5.1127 % con cuota mínima 1 €/MWh (Ley 38/1992 art. 99 (sin medidas vigentes)) + IVA 21 % (Ley 37/1992 art. 90 (sin medidas vigentes))</t>
        </is>
      </c>
      <c r="J1429" t="inlineStr">
        <is>
          <t>2025-04-24</t>
        </is>
      </c>
      <c r="K1429" t="inlineStr">
        <is>
          <t>ESIOS 1001 geo 8741</t>
        </is>
      </c>
      <c r="L1429" t="inlineStr">
        <is>
          <t>24 valores; mín 52.50, máx 247.01 €/MWh</t>
        </is>
      </c>
    </row>
    <row r="1430">
      <c r="A1430" s="53" t="n">
        <v>45773</v>
      </c>
      <c r="B1430" t="inlineStr">
        <is>
          <t>2025-04-26</t>
        </is>
      </c>
      <c r="C1430" s="45" t="n">
        <v>66.0517</v>
      </c>
      <c r="D1430" t="inlineStr">
        <is>
          <t>€/MWh</t>
        </is>
      </c>
      <c r="E1430" s="54" t="n">
        <v>0.066052</v>
      </c>
      <c r="F1430" s="54" t="n">
        <v>0.084009</v>
      </c>
      <c r="G1430" t="inlineStr">
        <is>
          <t>calculado</t>
        </is>
      </c>
      <c r="H1430" t="inlineStr">
        <is>
          <t>IEE 5.1127 % con cuota mínima 1 €/MWh (Ley 38/1992 art. 99 (sin medidas vigentes)) + IVA 21 % (Ley 37/1992 art. 90 (sin medidas vigentes))</t>
        </is>
      </c>
      <c r="J1430" t="inlineStr">
        <is>
          <t>2025-04-25</t>
        </is>
      </c>
      <c r="K1430" t="inlineStr">
        <is>
          <t>ESIOS 1001 geo 8741</t>
        </is>
      </c>
      <c r="L1430" t="inlineStr">
        <is>
          <t>24 valores; mín 49.43, máx 87.68 €/MWh</t>
        </is>
      </c>
    </row>
    <row r="1431">
      <c r="A1431" s="53" t="n">
        <v>45774</v>
      </c>
      <c r="B1431" t="inlineStr">
        <is>
          <t>2025-04-27</t>
        </is>
      </c>
      <c r="C1431" s="45" t="n">
        <v>78.2608</v>
      </c>
      <c r="D1431" t="inlineStr">
        <is>
          <t>€/MWh</t>
        </is>
      </c>
      <c r="E1431" s="54" t="n">
        <v>0.078261</v>
      </c>
      <c r="F1431" s="54" t="n">
        <v>0.099537</v>
      </c>
      <c r="G1431" t="inlineStr">
        <is>
          <t>calculado</t>
        </is>
      </c>
      <c r="H1431" t="inlineStr">
        <is>
          <t>IEE 5.1127 % con cuota mínima 1 €/MWh (Ley 38/1992 art. 99 (sin medidas vigentes)) + IVA 21 % (Ley 37/1992 art. 90 (sin medidas vigentes))</t>
        </is>
      </c>
      <c r="J1431" t="inlineStr">
        <is>
          <t>2025-04-26</t>
        </is>
      </c>
      <c r="K1431" t="inlineStr">
        <is>
          <t>ESIOS 1001 geo 8741</t>
        </is>
      </c>
      <c r="L1431" t="inlineStr">
        <is>
          <t>24 valores; mín 52.24, máx 164.72 €/MWh</t>
        </is>
      </c>
    </row>
    <row r="1432">
      <c r="A1432" s="53" t="n">
        <v>45775</v>
      </c>
      <c r="B1432" t="inlineStr">
        <is>
          <t>2025-04-28</t>
        </is>
      </c>
      <c r="C1432" s="45" t="n">
        <v>114.54</v>
      </c>
      <c r="D1432" t="inlineStr">
        <is>
          <t>€/MWh</t>
        </is>
      </c>
      <c r="E1432" s="54" t="n">
        <v>0.11454</v>
      </c>
      <c r="F1432" s="54" t="n">
        <v>0.145679</v>
      </c>
      <c r="G1432" t="inlineStr">
        <is>
          <t>calculado</t>
        </is>
      </c>
      <c r="H1432" t="inlineStr">
        <is>
          <t>IEE 5.1127 % con cuota mínima 1 €/MWh (Ley 38/1992 art. 99 (sin medidas vigentes)) + IVA 21 % (Ley 37/1992 art. 90 (sin medidas vigentes))</t>
        </is>
      </c>
      <c r="J1432" t="inlineStr">
        <is>
          <t>2025-04-27</t>
        </is>
      </c>
      <c r="K1432" t="inlineStr">
        <is>
          <t>ESIOS 1001 geo 8741</t>
        </is>
      </c>
      <c r="L1432" t="inlineStr">
        <is>
          <t>24 valores; mín 65.38, máx 229.42 €/MWh</t>
        </is>
      </c>
    </row>
    <row r="1433">
      <c r="A1433" s="53" t="n">
        <v>45776</v>
      </c>
      <c r="B1433" t="inlineStr">
        <is>
          <t>2025-04-29</t>
        </is>
      </c>
      <c r="C1433" s="45" t="n">
        <v>122.405</v>
      </c>
      <c r="D1433" t="inlineStr">
        <is>
          <t>€/MWh</t>
        </is>
      </c>
      <c r="E1433" s="54" t="n">
        <v>0.122405</v>
      </c>
      <c r="F1433" s="54" t="n">
        <v>0.155682</v>
      </c>
      <c r="G1433" t="inlineStr">
        <is>
          <t>calculado</t>
        </is>
      </c>
      <c r="H1433" t="inlineStr">
        <is>
          <t>IEE 5.1127 % con cuota mínima 1 €/MWh (Ley 38/1992 art. 99 (sin medidas vigentes)) + IVA 21 % (Ley 37/1992 art. 90 (sin medidas vigentes))</t>
        </is>
      </c>
      <c r="J1433" t="inlineStr">
        <is>
          <t>2025-04-28</t>
        </is>
      </c>
      <c r="K1433" t="inlineStr">
        <is>
          <t>ESIOS 1001 geo 8741</t>
        </is>
      </c>
      <c r="L1433" t="inlineStr">
        <is>
          <t>24 valores; mín 88.80, máx 198.62 €/MWh</t>
        </is>
      </c>
    </row>
    <row r="1434">
      <c r="A1434" s="53" t="n">
        <v>45777</v>
      </c>
      <c r="B1434" t="inlineStr">
        <is>
          <t>2025-04-30</t>
        </is>
      </c>
      <c r="C1434" s="45" t="n">
        <v>133.1125</v>
      </c>
      <c r="D1434" t="inlineStr">
        <is>
          <t>€/MWh</t>
        </is>
      </c>
      <c r="E1434" s="54" t="n">
        <v>0.133112</v>
      </c>
      <c r="F1434" s="54" t="n">
        <v>0.169301</v>
      </c>
      <c r="G1434" t="inlineStr">
        <is>
          <t>calculado</t>
        </is>
      </c>
      <c r="H1434" t="inlineStr">
        <is>
          <t>IEE 5.1127 % con cuota mínima 1 €/MWh (Ley 38/1992 art. 99 (sin medidas vigentes)) + IVA 21 % (Ley 37/1992 art. 90 (sin medidas vigentes))</t>
        </is>
      </c>
      <c r="J1434" t="inlineStr">
        <is>
          <t>2025-04-29</t>
        </is>
      </c>
      <c r="K1434" t="inlineStr">
        <is>
          <t>ESIOS 1001 geo 8741</t>
        </is>
      </c>
      <c r="L1434" t="inlineStr">
        <is>
          <t>24 valores; mín 81.37, máx 258.10 €/MWh</t>
        </is>
      </c>
    </row>
    <row r="1435">
      <c r="A1435" s="53" t="n">
        <v>45778</v>
      </c>
      <c r="B1435" t="inlineStr">
        <is>
          <t>2025-05-01</t>
        </is>
      </c>
      <c r="C1435" s="45" t="n">
        <v>97.4233</v>
      </c>
      <c r="D1435" t="inlineStr">
        <is>
          <t>€/MWh</t>
        </is>
      </c>
      <c r="E1435" s="54" t="n">
        <v>0.097423</v>
      </c>
      <c r="F1435" s="54" t="n">
        <v>0.123909</v>
      </c>
      <c r="G1435" t="inlineStr">
        <is>
          <t>calculado</t>
        </is>
      </c>
      <c r="H1435" t="inlineStr">
        <is>
          <t>IEE 5.1127 % con cuota mínima 1 €/MWh (Ley 38/1992 art. 99 (sin medidas vigentes)) + IVA 21 % (Ley 37/1992 art. 90 (sin medidas vigentes))</t>
        </is>
      </c>
      <c r="J1435" t="inlineStr">
        <is>
          <t>2025-04-30</t>
        </is>
      </c>
      <c r="K1435" t="inlineStr">
        <is>
          <t>ESIOS 1001 geo 8741</t>
        </is>
      </c>
      <c r="L1435" t="inlineStr">
        <is>
          <t>24 valores; mín 69.47, máx 129.36 €/MWh</t>
        </is>
      </c>
    </row>
    <row r="1436">
      <c r="A1436" s="53" t="n">
        <v>45779</v>
      </c>
      <c r="B1436" t="inlineStr">
        <is>
          <t>2025-05-02</t>
        </is>
      </c>
      <c r="C1436" s="45" t="n">
        <v>134.9217</v>
      </c>
      <c r="D1436" t="inlineStr">
        <is>
          <t>€/MWh</t>
        </is>
      </c>
      <c r="E1436" s="54" t="n">
        <v>0.134922</v>
      </c>
      <c r="F1436" s="54" t="n">
        <v>0.171602</v>
      </c>
      <c r="G1436" t="inlineStr">
        <is>
          <t>calculado</t>
        </is>
      </c>
      <c r="H1436" t="inlineStr">
        <is>
          <t>IEE 5.1127 % con cuota mínima 1 €/MWh (Ley 38/1992 art. 99 (sin medidas vigentes)) + IVA 21 % (Ley 37/1992 art. 90 (sin medidas vigentes))</t>
        </is>
      </c>
      <c r="J1436" t="inlineStr">
        <is>
          <t>2025-05-01</t>
        </is>
      </c>
      <c r="K1436" t="inlineStr">
        <is>
          <t>ESIOS 1001 geo 8741</t>
        </is>
      </c>
      <c r="L1436" t="inlineStr">
        <is>
          <t>24 valores; mín 97.52, máx 232.09 €/MWh</t>
        </is>
      </c>
    </row>
    <row r="1437">
      <c r="A1437" s="53" t="n">
        <v>45780</v>
      </c>
      <c r="B1437" t="inlineStr">
        <is>
          <t>2025-05-03</t>
        </is>
      </c>
      <c r="C1437" s="45" t="n">
        <v>95.4679</v>
      </c>
      <c r="D1437" t="inlineStr">
        <is>
          <t>€/MWh</t>
        </is>
      </c>
      <c r="E1437" s="54" t="n">
        <v>0.095468</v>
      </c>
      <c r="F1437" s="54" t="n">
        <v>0.121422</v>
      </c>
      <c r="G1437" t="inlineStr">
        <is>
          <t>calculado</t>
        </is>
      </c>
      <c r="H1437" t="inlineStr">
        <is>
          <t>IEE 5.1127 % con cuota mínima 1 €/MWh (Ley 38/1992 art. 99 (sin medidas vigentes)) + IVA 21 % (Ley 37/1992 art. 90 (sin medidas vigentes))</t>
        </is>
      </c>
      <c r="J1437" t="inlineStr">
        <is>
          <t>2025-05-02</t>
        </is>
      </c>
      <c r="K1437" t="inlineStr">
        <is>
          <t>ESIOS 1001 geo 8741</t>
        </is>
      </c>
      <c r="L1437" t="inlineStr">
        <is>
          <t>24 valores; mín 66.67, máx 137.41 €/MWh</t>
        </is>
      </c>
    </row>
    <row r="1438">
      <c r="A1438" s="53" t="n">
        <v>45781</v>
      </c>
      <c r="B1438" t="inlineStr">
        <is>
          <t>2025-05-04</t>
        </is>
      </c>
      <c r="C1438" s="45" t="n">
        <v>95.6313</v>
      </c>
      <c r="D1438" t="inlineStr">
        <is>
          <t>€/MWh</t>
        </is>
      </c>
      <c r="E1438" s="54" t="n">
        <v>0.09563099999999999</v>
      </c>
      <c r="F1438" s="54" t="n">
        <v>0.12163</v>
      </c>
      <c r="G1438" t="inlineStr">
        <is>
          <t>calculado</t>
        </is>
      </c>
      <c r="H1438" t="inlineStr">
        <is>
          <t>IEE 5.1127 % con cuota mínima 1 €/MWh (Ley 38/1992 art. 99 (sin medidas vigentes)) + IVA 21 % (Ley 37/1992 art. 90 (sin medidas vigentes))</t>
        </is>
      </c>
      <c r="J1438" t="inlineStr">
        <is>
          <t>2025-05-03</t>
        </is>
      </c>
      <c r="K1438" t="inlineStr">
        <is>
          <t>ESIOS 1001 geo 8741</t>
        </is>
      </c>
      <c r="L1438" t="inlineStr">
        <is>
          <t>24 valores; mín 72.85, máx 121.68 €/MWh</t>
        </is>
      </c>
    </row>
    <row r="1439">
      <c r="A1439" s="53" t="n">
        <v>45782</v>
      </c>
      <c r="B1439" t="inlineStr">
        <is>
          <t>2025-05-05</t>
        </is>
      </c>
      <c r="C1439" s="45" t="n">
        <v>127.3196</v>
      </c>
      <c r="D1439" t="inlineStr">
        <is>
          <t>€/MWh</t>
        </is>
      </c>
      <c r="E1439" s="54" t="n">
        <v>0.12732</v>
      </c>
      <c r="F1439" s="54" t="n">
        <v>0.161933</v>
      </c>
      <c r="G1439" t="inlineStr">
        <is>
          <t>calculado</t>
        </is>
      </c>
      <c r="H1439" t="inlineStr">
        <is>
          <t>IEE 5.1127 % con cuota mínima 1 €/MWh (Ley 38/1992 art. 99 (sin medidas vigentes)) + IVA 21 % (Ley 37/1992 art. 90 (sin medidas vigentes))</t>
        </is>
      </c>
      <c r="J1439" t="inlineStr">
        <is>
          <t>2025-05-04</t>
        </is>
      </c>
      <c r="K1439" t="inlineStr">
        <is>
          <t>ESIOS 1001 geo 8741</t>
        </is>
      </c>
      <c r="L1439" t="inlineStr">
        <is>
          <t>24 valores; mín 88.67, máx 186.30 €/MWh</t>
        </is>
      </c>
    </row>
    <row r="1440">
      <c r="A1440" s="53" t="n">
        <v>45783</v>
      </c>
      <c r="B1440" t="inlineStr">
        <is>
          <t>2025-05-06</t>
        </is>
      </c>
      <c r="C1440" s="45" t="n">
        <v>117.8583</v>
      </c>
      <c r="D1440" t="inlineStr">
        <is>
          <t>€/MWh</t>
        </is>
      </c>
      <c r="E1440" s="54" t="n">
        <v>0.117858</v>
      </c>
      <c r="F1440" s="54" t="n">
        <v>0.1499</v>
      </c>
      <c r="G1440" t="inlineStr">
        <is>
          <t>calculado</t>
        </is>
      </c>
      <c r="H1440" t="inlineStr">
        <is>
          <t>IEE 5.1127 % con cuota mínima 1 €/MWh (Ley 38/1992 art. 99 (sin medidas vigentes)) + IVA 21 % (Ley 37/1992 art. 90 (sin medidas vigentes))</t>
        </is>
      </c>
      <c r="J1440" t="inlineStr">
        <is>
          <t>2025-05-05</t>
        </is>
      </c>
      <c r="K1440" t="inlineStr">
        <is>
          <t>ESIOS 1001 geo 8741</t>
        </is>
      </c>
      <c r="L1440" t="inlineStr">
        <is>
          <t>24 valores; mín 80.97, máx 220.86 €/MWh</t>
        </is>
      </c>
    </row>
    <row r="1441">
      <c r="A1441" s="53" t="n">
        <v>45784</v>
      </c>
      <c r="B1441" t="inlineStr">
        <is>
          <t>2025-05-07</t>
        </is>
      </c>
      <c r="C1441" s="45" t="n">
        <v>119.2983</v>
      </c>
      <c r="D1441" t="inlineStr">
        <is>
          <t>€/MWh</t>
        </is>
      </c>
      <c r="E1441" s="54" t="n">
        <v>0.119298</v>
      </c>
      <c r="F1441" s="54" t="n">
        <v>0.151731</v>
      </c>
      <c r="G1441" t="inlineStr">
        <is>
          <t>calculado</t>
        </is>
      </c>
      <c r="H1441" t="inlineStr">
        <is>
          <t>IEE 5.1127 % con cuota mínima 1 €/MWh (Ley 38/1992 art. 99 (sin medidas vigentes)) + IVA 21 % (Ley 37/1992 art. 90 (sin medidas vigentes))</t>
        </is>
      </c>
      <c r="J1441" t="inlineStr">
        <is>
          <t>2025-05-06</t>
        </is>
      </c>
      <c r="K1441" t="inlineStr">
        <is>
          <t>ESIOS 1001 geo 8741</t>
        </is>
      </c>
      <c r="L1441" t="inlineStr">
        <is>
          <t>24 valores; mín 73.33, máx 233.49 €/MWh</t>
        </is>
      </c>
    </row>
    <row r="1442">
      <c r="A1442" s="53" t="n">
        <v>45785</v>
      </c>
      <c r="B1442" t="inlineStr">
        <is>
          <t>2025-05-08</t>
        </is>
      </c>
      <c r="C1442" s="45" t="n">
        <v>115.8596</v>
      </c>
      <c r="D1442" t="inlineStr">
        <is>
          <t>€/MWh</t>
        </is>
      </c>
      <c r="E1442" s="54" t="n">
        <v>0.11586</v>
      </c>
      <c r="F1442" s="54" t="n">
        <v>0.147358</v>
      </c>
      <c r="G1442" t="inlineStr">
        <is>
          <t>calculado</t>
        </is>
      </c>
      <c r="H1442" t="inlineStr">
        <is>
          <t>IEE 5.1127 % con cuota mínima 1 €/MWh (Ley 38/1992 art. 99 (sin medidas vigentes)) + IVA 21 % (Ley 37/1992 art. 90 (sin medidas vigentes))</t>
        </is>
      </c>
      <c r="J1442" t="inlineStr">
        <is>
          <t>2025-05-07</t>
        </is>
      </c>
      <c r="K1442" t="inlineStr">
        <is>
          <t>ESIOS 1001 geo 8741</t>
        </is>
      </c>
      <c r="L1442" t="inlineStr">
        <is>
          <t>24 valores; mín 70.87, máx 233.41 €/MWh</t>
        </is>
      </c>
    </row>
    <row r="1443">
      <c r="A1443" s="53" t="n">
        <v>45786</v>
      </c>
      <c r="B1443" t="inlineStr">
        <is>
          <t>2025-05-09</t>
        </is>
      </c>
      <c r="C1443" s="45" t="n">
        <v>118.8046</v>
      </c>
      <c r="D1443" t="inlineStr">
        <is>
          <t>€/MWh</t>
        </is>
      </c>
      <c r="E1443" s="54" t="n">
        <v>0.118805</v>
      </c>
      <c r="F1443" s="54" t="n">
        <v>0.151103</v>
      </c>
      <c r="G1443" t="inlineStr">
        <is>
          <t>calculado</t>
        </is>
      </c>
      <c r="H1443" t="inlineStr">
        <is>
          <t>IEE 5.1127 % con cuota mínima 1 €/MWh (Ley 38/1992 art. 99 (sin medidas vigentes)) + IVA 21 % (Ley 37/1992 art. 90 (sin medidas vigentes))</t>
        </is>
      </c>
      <c r="J1443" t="inlineStr">
        <is>
          <t>2025-05-08</t>
        </is>
      </c>
      <c r="K1443" t="inlineStr">
        <is>
          <t>ESIOS 1001 geo 8741</t>
        </is>
      </c>
      <c r="L1443" t="inlineStr">
        <is>
          <t>24 valores; mín 77.19, máx 234.40 €/MWh</t>
        </is>
      </c>
    </row>
    <row r="1444">
      <c r="A1444" s="53" t="n">
        <v>45787</v>
      </c>
      <c r="B1444" t="inlineStr">
        <is>
          <t>2025-05-10</t>
        </is>
      </c>
      <c r="C1444" s="45" t="n">
        <v>80.1833</v>
      </c>
      <c r="D1444" t="inlineStr">
        <is>
          <t>€/MWh</t>
        </is>
      </c>
      <c r="E1444" s="54" t="n">
        <v>0.080183</v>
      </c>
      <c r="F1444" s="54" t="n">
        <v>0.101982</v>
      </c>
      <c r="G1444" t="inlineStr">
        <is>
          <t>calculado</t>
        </is>
      </c>
      <c r="H1444" t="inlineStr">
        <is>
          <t>IEE 5.1127 % con cuota mínima 1 €/MWh (Ley 38/1992 art. 99 (sin medidas vigentes)) + IVA 21 % (Ley 37/1992 art. 90 (sin medidas vigentes))</t>
        </is>
      </c>
      <c r="J1444" t="inlineStr">
        <is>
          <t>2025-05-09</t>
        </is>
      </c>
      <c r="K1444" t="inlineStr">
        <is>
          <t>ESIOS 1001 geo 8741</t>
        </is>
      </c>
      <c r="L1444" t="inlineStr">
        <is>
          <t>24 valores; mín 56.84, máx 105.18 €/MWh</t>
        </is>
      </c>
    </row>
    <row r="1445">
      <c r="A1445" s="53" t="n">
        <v>45788</v>
      </c>
      <c r="B1445" t="inlineStr">
        <is>
          <t>2025-05-11</t>
        </is>
      </c>
      <c r="C1445" s="45" t="n">
        <v>84.91249999999999</v>
      </c>
      <c r="D1445" t="inlineStr">
        <is>
          <t>€/MWh</t>
        </is>
      </c>
      <c r="E1445" s="54" t="n">
        <v>0.084913</v>
      </c>
      <c r="F1445" s="54" t="n">
        <v>0.107997</v>
      </c>
      <c r="G1445" t="inlineStr">
        <is>
          <t>calculado</t>
        </is>
      </c>
      <c r="H1445" t="inlineStr">
        <is>
          <t>IEE 5.1127 % con cuota mínima 1 €/MWh (Ley 38/1992 art. 99 (sin medidas vigentes)) + IVA 21 % (Ley 37/1992 art. 90 (sin medidas vigentes))</t>
        </is>
      </c>
      <c r="J1445" t="inlineStr">
        <is>
          <t>2025-05-10</t>
        </is>
      </c>
      <c r="K1445" t="inlineStr">
        <is>
          <t>ESIOS 1001 geo 8741</t>
        </is>
      </c>
      <c r="L1445" t="inlineStr">
        <is>
          <t>24 valores; mín 63.11, máx 107.30 €/MWh</t>
        </is>
      </c>
    </row>
    <row r="1446">
      <c r="A1446" s="53" t="n">
        <v>45789</v>
      </c>
      <c r="B1446" t="inlineStr">
        <is>
          <t>2025-05-12</t>
        </is>
      </c>
      <c r="C1446" s="45" t="n">
        <v>125.7742</v>
      </c>
      <c r="D1446" t="inlineStr">
        <is>
          <t>€/MWh</t>
        </is>
      </c>
      <c r="E1446" s="54" t="n">
        <v>0.125774</v>
      </c>
      <c r="F1446" s="54" t="n">
        <v>0.159968</v>
      </c>
      <c r="G1446" t="inlineStr">
        <is>
          <t>calculado</t>
        </is>
      </c>
      <c r="H1446" t="inlineStr">
        <is>
          <t>IEE 5.1127 % con cuota mínima 1 €/MWh (Ley 38/1992 art. 99 (sin medidas vigentes)) + IVA 21 % (Ley 37/1992 art. 90 (sin medidas vigentes))</t>
        </is>
      </c>
      <c r="J1446" t="inlineStr">
        <is>
          <t>2025-05-11</t>
        </is>
      </c>
      <c r="K1446" t="inlineStr">
        <is>
          <t>ESIOS 1001 geo 8741</t>
        </is>
      </c>
      <c r="L1446" t="inlineStr">
        <is>
          <t>24 valores; mín 77.42, máx 276.83 €/MWh</t>
        </is>
      </c>
    </row>
    <row r="1447">
      <c r="A1447" s="53" t="n">
        <v>45790</v>
      </c>
      <c r="B1447" t="inlineStr">
        <is>
          <t>2025-05-13</t>
        </is>
      </c>
      <c r="C1447" s="45" t="n">
        <v>133.7254</v>
      </c>
      <c r="D1447" t="inlineStr">
        <is>
          <t>€/MWh</t>
        </is>
      </c>
      <c r="E1447" s="54" t="n">
        <v>0.133725</v>
      </c>
      <c r="F1447" s="54" t="n">
        <v>0.17008</v>
      </c>
      <c r="G1447" t="inlineStr">
        <is>
          <t>calculado</t>
        </is>
      </c>
      <c r="H1447" t="inlineStr">
        <is>
          <t>IEE 5.1127 % con cuota mínima 1 €/MWh (Ley 38/1992 art. 99 (sin medidas vigentes)) + IVA 21 % (Ley 37/1992 art. 90 (sin medidas vigentes))</t>
        </is>
      </c>
      <c r="J1447" t="inlineStr">
        <is>
          <t>2025-05-12</t>
        </is>
      </c>
      <c r="K1447" t="inlineStr">
        <is>
          <t>ESIOS 1001 geo 8741</t>
        </is>
      </c>
      <c r="L1447" t="inlineStr">
        <is>
          <t>24 valores; mín 66.66, máx 273.39 €/MWh</t>
        </is>
      </c>
    </row>
    <row r="1448">
      <c r="A1448" s="53" t="n">
        <v>45791</v>
      </c>
      <c r="B1448" t="inlineStr">
        <is>
          <t>2025-05-14</t>
        </is>
      </c>
      <c r="C1448" s="45" t="n">
        <v>126.8829</v>
      </c>
      <c r="D1448" t="inlineStr">
        <is>
          <t>€/MWh</t>
        </is>
      </c>
      <c r="E1448" s="54" t="n">
        <v>0.126883</v>
      </c>
      <c r="F1448" s="54" t="n">
        <v>0.161378</v>
      </c>
      <c r="G1448" t="inlineStr">
        <is>
          <t>calculado</t>
        </is>
      </c>
      <c r="H1448" t="inlineStr">
        <is>
          <t>IEE 5.1127 % con cuota mínima 1 €/MWh (Ley 38/1992 art. 99 (sin medidas vigentes)) + IVA 21 % (Ley 37/1992 art. 90 (sin medidas vigentes))</t>
        </is>
      </c>
      <c r="J1448" t="inlineStr">
        <is>
          <t>2025-05-13</t>
        </is>
      </c>
      <c r="K1448" t="inlineStr">
        <is>
          <t>ESIOS 1001 geo 8741</t>
        </is>
      </c>
      <c r="L1448" t="inlineStr">
        <is>
          <t>24 valores; mín 69.87, máx 210.01 €/MWh</t>
        </is>
      </c>
    </row>
    <row r="1449">
      <c r="A1449" s="53" t="n">
        <v>45792</v>
      </c>
      <c r="B1449" t="inlineStr">
        <is>
          <t>2025-05-15</t>
        </is>
      </c>
      <c r="C1449" s="45" t="n">
        <v>119.1117</v>
      </c>
      <c r="D1449" t="inlineStr">
        <is>
          <t>€/MWh</t>
        </is>
      </c>
      <c r="E1449" s="54" t="n">
        <v>0.119112</v>
      </c>
      <c r="F1449" s="54" t="n">
        <v>0.151494</v>
      </c>
      <c r="G1449" t="inlineStr">
        <is>
          <t>calculado</t>
        </is>
      </c>
      <c r="H1449" t="inlineStr">
        <is>
          <t>IEE 5.1127 % con cuota mínima 1 €/MWh (Ley 38/1992 art. 99 (sin medidas vigentes)) + IVA 21 % (Ley 37/1992 art. 90 (sin medidas vigentes))</t>
        </is>
      </c>
      <c r="J1449" t="inlineStr">
        <is>
          <t>2025-05-14</t>
        </is>
      </c>
      <c r="K1449" t="inlineStr">
        <is>
          <t>ESIOS 1001 geo 8741</t>
        </is>
      </c>
      <c r="L1449" t="inlineStr">
        <is>
          <t>24 valores; mín 80.98, máx 188.03 €/MWh</t>
        </is>
      </c>
    </row>
    <row r="1450">
      <c r="A1450" s="53" t="n">
        <v>45793</v>
      </c>
      <c r="B1450" t="inlineStr">
        <is>
          <t>2025-05-16</t>
        </is>
      </c>
      <c r="C1450" s="45" t="n">
        <v>116.8271</v>
      </c>
      <c r="D1450" t="inlineStr">
        <is>
          <t>€/MWh</t>
        </is>
      </c>
      <c r="E1450" s="54" t="n">
        <v>0.116827</v>
      </c>
      <c r="F1450" s="54" t="n">
        <v>0.148588</v>
      </c>
      <c r="G1450" t="inlineStr">
        <is>
          <t>calculado</t>
        </is>
      </c>
      <c r="H1450" t="inlineStr">
        <is>
          <t>IEE 5.1127 % con cuota mínima 1 €/MWh (Ley 38/1992 art. 99 (sin medidas vigentes)) + IVA 21 % (Ley 37/1992 art. 90 (sin medidas vigentes))</t>
        </is>
      </c>
      <c r="J1450" t="inlineStr">
        <is>
          <t>2025-05-15</t>
        </is>
      </c>
      <c r="K1450" t="inlineStr">
        <is>
          <t>ESIOS 1001 geo 8741</t>
        </is>
      </c>
      <c r="L1450" t="inlineStr">
        <is>
          <t>24 valores; mín 81.72, máx 196.04 €/MWh</t>
        </is>
      </c>
    </row>
    <row r="1451">
      <c r="A1451" s="53" t="n">
        <v>45794</v>
      </c>
      <c r="B1451" t="inlineStr">
        <is>
          <t>2025-05-17</t>
        </is>
      </c>
      <c r="C1451" s="45" t="n">
        <v>87.1221</v>
      </c>
      <c r="D1451" t="inlineStr">
        <is>
          <t>€/MWh</t>
        </is>
      </c>
      <c r="E1451" s="54" t="n">
        <v>0.087122</v>
      </c>
      <c r="F1451" s="54" t="n">
        <v>0.110807</v>
      </c>
      <c r="G1451" t="inlineStr">
        <is>
          <t>calculado</t>
        </is>
      </c>
      <c r="H1451" t="inlineStr">
        <is>
          <t>IEE 5.1127 % con cuota mínima 1 €/MWh (Ley 38/1992 art. 99 (sin medidas vigentes)) + IVA 21 % (Ley 37/1992 art. 90 (sin medidas vigentes))</t>
        </is>
      </c>
      <c r="J1451" t="inlineStr">
        <is>
          <t>2025-05-16</t>
        </is>
      </c>
      <c r="K1451" t="inlineStr">
        <is>
          <t>ESIOS 1001 geo 8741</t>
        </is>
      </c>
      <c r="L1451" t="inlineStr">
        <is>
          <t>24 valores; mín 59.13, máx 130.83 €/MWh</t>
        </is>
      </c>
    </row>
    <row r="1452">
      <c r="A1452" s="53" t="n">
        <v>45795</v>
      </c>
      <c r="B1452" t="inlineStr">
        <is>
          <t>2025-05-18</t>
        </is>
      </c>
      <c r="C1452" s="45" t="n">
        <v>90.33710000000001</v>
      </c>
      <c r="D1452" t="inlineStr">
        <is>
          <t>€/MWh</t>
        </is>
      </c>
      <c r="E1452" s="54" t="n">
        <v>0.090337</v>
      </c>
      <c r="F1452" s="54" t="n">
        <v>0.114896</v>
      </c>
      <c r="G1452" t="inlineStr">
        <is>
          <t>calculado</t>
        </is>
      </c>
      <c r="H1452" t="inlineStr">
        <is>
          <t>IEE 5.1127 % con cuota mínima 1 €/MWh (Ley 38/1992 art. 99 (sin medidas vigentes)) + IVA 21 % (Ley 37/1992 art. 90 (sin medidas vigentes))</t>
        </is>
      </c>
      <c r="J1452" t="inlineStr">
        <is>
          <t>2025-05-17</t>
        </is>
      </c>
      <c r="K1452" t="inlineStr">
        <is>
          <t>ESIOS 1001 geo 8741</t>
        </is>
      </c>
      <c r="L1452" t="inlineStr">
        <is>
          <t>24 valores; mín 63.96, máx 121.10 €/MWh</t>
        </is>
      </c>
    </row>
    <row r="1453">
      <c r="A1453" s="53" t="n">
        <v>45796</v>
      </c>
      <c r="B1453" t="inlineStr">
        <is>
          <t>2025-05-19</t>
        </is>
      </c>
      <c r="C1453" s="45" t="n">
        <v>125.2446</v>
      </c>
      <c r="D1453" t="inlineStr">
        <is>
          <t>€/MWh</t>
        </is>
      </c>
      <c r="E1453" s="54" t="n">
        <v>0.125245</v>
      </c>
      <c r="F1453" s="54" t="n">
        <v>0.159294</v>
      </c>
      <c r="G1453" t="inlineStr">
        <is>
          <t>calculado</t>
        </is>
      </c>
      <c r="H1453" t="inlineStr">
        <is>
          <t>IEE 5.1127 % con cuota mínima 1 €/MWh (Ley 38/1992 art. 99 (sin medidas vigentes)) + IVA 21 % (Ley 37/1992 art. 90 (sin medidas vigentes))</t>
        </is>
      </c>
      <c r="J1453" t="inlineStr">
        <is>
          <t>2025-05-18</t>
        </is>
      </c>
      <c r="K1453" t="inlineStr">
        <is>
          <t>ESIOS 1001 geo 8741</t>
        </is>
      </c>
      <c r="L1453" t="inlineStr">
        <is>
          <t>24 valores; mín 90.28, máx 193.08 €/MWh</t>
        </is>
      </c>
    </row>
    <row r="1454">
      <c r="A1454" s="53" t="n">
        <v>45797</v>
      </c>
      <c r="B1454" t="inlineStr">
        <is>
          <t>2025-05-20</t>
        </is>
      </c>
      <c r="C1454" s="45" t="n">
        <v>124.2738</v>
      </c>
      <c r="D1454" t="inlineStr">
        <is>
          <t>€/MWh</t>
        </is>
      </c>
      <c r="E1454" s="54" t="n">
        <v>0.124274</v>
      </c>
      <c r="F1454" s="54" t="n">
        <v>0.158059</v>
      </c>
      <c r="G1454" t="inlineStr">
        <is>
          <t>calculado</t>
        </is>
      </c>
      <c r="H1454" t="inlineStr">
        <is>
          <t>IEE 5.1127 % con cuota mínima 1 €/MWh (Ley 38/1992 art. 99 (sin medidas vigentes)) + IVA 21 % (Ley 37/1992 art. 90 (sin medidas vigentes))</t>
        </is>
      </c>
      <c r="J1454" t="inlineStr">
        <is>
          <t>2025-05-19</t>
        </is>
      </c>
      <c r="K1454" t="inlineStr">
        <is>
          <t>ESIOS 1001 geo 8741</t>
        </is>
      </c>
      <c r="L1454" t="inlineStr">
        <is>
          <t>24 valores; mín 87.83, máx 211.02 €/MWh</t>
        </is>
      </c>
    </row>
    <row r="1455">
      <c r="A1455" s="53" t="n">
        <v>45798</v>
      </c>
      <c r="B1455" t="inlineStr">
        <is>
          <t>2025-05-21</t>
        </is>
      </c>
      <c r="C1455" s="45" t="n">
        <v>126.1983</v>
      </c>
      <c r="D1455" t="inlineStr">
        <is>
          <t>€/MWh</t>
        </is>
      </c>
      <c r="E1455" s="54" t="n">
        <v>0.126198</v>
      </c>
      <c r="F1455" s="54" t="n">
        <v>0.160507</v>
      </c>
      <c r="G1455" t="inlineStr">
        <is>
          <t>calculado</t>
        </is>
      </c>
      <c r="H1455" t="inlineStr">
        <is>
          <t>IEE 5.1127 % con cuota mínima 1 €/MWh (Ley 38/1992 art. 99 (sin medidas vigentes)) + IVA 21 % (Ley 37/1992 art. 90 (sin medidas vigentes))</t>
        </is>
      </c>
      <c r="J1455" t="inlineStr">
        <is>
          <t>2025-05-20</t>
        </is>
      </c>
      <c r="K1455" t="inlineStr">
        <is>
          <t>ESIOS 1001 geo 8741</t>
        </is>
      </c>
      <c r="L1455" t="inlineStr">
        <is>
          <t>24 valores; mín 87.17, máx 221.96 €/MWh</t>
        </is>
      </c>
    </row>
    <row r="1456">
      <c r="A1456" s="53" t="n">
        <v>45799</v>
      </c>
      <c r="B1456" t="inlineStr">
        <is>
          <t>2025-05-22</t>
        </is>
      </c>
      <c r="C1456" s="45" t="n">
        <v>118.515</v>
      </c>
      <c r="D1456" t="inlineStr">
        <is>
          <t>€/MWh</t>
        </is>
      </c>
      <c r="E1456" s="54" t="n">
        <v>0.118515</v>
      </c>
      <c r="F1456" s="54" t="n">
        <v>0.150735</v>
      </c>
      <c r="G1456" t="inlineStr">
        <is>
          <t>calculado</t>
        </is>
      </c>
      <c r="H1456" t="inlineStr">
        <is>
          <t>IEE 5.1127 % con cuota mínima 1 €/MWh (Ley 38/1992 art. 99 (sin medidas vigentes)) + IVA 21 % (Ley 37/1992 art. 90 (sin medidas vigentes))</t>
        </is>
      </c>
      <c r="J1456" t="inlineStr">
        <is>
          <t>2025-05-21</t>
        </is>
      </c>
      <c r="K1456" t="inlineStr">
        <is>
          <t>ESIOS 1001 geo 8741</t>
        </is>
      </c>
      <c r="L1456" t="inlineStr">
        <is>
          <t>24 valores; mín 85.67, máx 186.44 €/MWh</t>
        </is>
      </c>
    </row>
    <row r="1457">
      <c r="A1457" s="53" t="n">
        <v>45800</v>
      </c>
      <c r="B1457" t="inlineStr">
        <is>
          <t>2025-05-23</t>
        </is>
      </c>
      <c r="C1457" s="45" t="n">
        <v>118.8129</v>
      </c>
      <c r="D1457" t="inlineStr">
        <is>
          <t>€/MWh</t>
        </is>
      </c>
      <c r="E1457" s="54" t="n">
        <v>0.118813</v>
      </c>
      <c r="F1457" s="54" t="n">
        <v>0.151114</v>
      </c>
      <c r="G1457" t="inlineStr">
        <is>
          <t>calculado</t>
        </is>
      </c>
      <c r="H1457" t="inlineStr">
        <is>
          <t>IEE 5.1127 % con cuota mínima 1 €/MWh (Ley 38/1992 art. 99 (sin medidas vigentes)) + IVA 21 % (Ley 37/1992 art. 90 (sin medidas vigentes))</t>
        </is>
      </c>
      <c r="J1457" t="inlineStr">
        <is>
          <t>2025-05-22</t>
        </is>
      </c>
      <c r="K1457" t="inlineStr">
        <is>
          <t>ESIOS 1001 geo 8741</t>
        </is>
      </c>
      <c r="L1457" t="inlineStr">
        <is>
          <t>24 valores; mín 84.68, máx 193.06 €/MWh</t>
        </is>
      </c>
    </row>
    <row r="1458">
      <c r="A1458" s="53" t="n">
        <v>45801</v>
      </c>
      <c r="B1458" t="inlineStr">
        <is>
          <t>2025-05-24</t>
        </is>
      </c>
      <c r="C1458" s="45" t="n">
        <v>82.98</v>
      </c>
      <c r="D1458" t="inlineStr">
        <is>
          <t>€/MWh</t>
        </is>
      </c>
      <c r="E1458" s="54" t="n">
        <v>0.08298</v>
      </c>
      <c r="F1458" s="54" t="n">
        <v>0.105539</v>
      </c>
      <c r="G1458" t="inlineStr">
        <is>
          <t>calculado</t>
        </is>
      </c>
      <c r="H1458" t="inlineStr">
        <is>
          <t>IEE 5.1127 % con cuota mínima 1 €/MWh (Ley 38/1992 art. 99 (sin medidas vigentes)) + IVA 21 % (Ley 37/1992 art. 90 (sin medidas vigentes))</t>
        </is>
      </c>
      <c r="J1458" t="inlineStr">
        <is>
          <t>2025-05-23</t>
        </is>
      </c>
      <c r="K1458" t="inlineStr">
        <is>
          <t>ESIOS 1001 geo 8741</t>
        </is>
      </c>
      <c r="L1458" t="inlineStr">
        <is>
          <t>24 valores; mín 65.93, máx 125.28 €/MWh</t>
        </is>
      </c>
    </row>
    <row r="1459">
      <c r="A1459" s="53" t="n">
        <v>45802</v>
      </c>
      <c r="B1459" t="inlineStr">
        <is>
          <t>2025-05-25</t>
        </is>
      </c>
      <c r="C1459" s="45" t="n">
        <v>89.51130000000001</v>
      </c>
      <c r="D1459" t="inlineStr">
        <is>
          <t>€/MWh</t>
        </is>
      </c>
      <c r="E1459" s="54" t="n">
        <v>0.08951099999999999</v>
      </c>
      <c r="F1459" s="54" t="n">
        <v>0.113846</v>
      </c>
      <c r="G1459" t="inlineStr">
        <is>
          <t>calculado</t>
        </is>
      </c>
      <c r="H1459" t="inlineStr">
        <is>
          <t>IEE 5.1127 % con cuota mínima 1 €/MWh (Ley 38/1992 art. 99 (sin medidas vigentes)) + IVA 21 % (Ley 37/1992 art. 90 (sin medidas vigentes))</t>
        </is>
      </c>
      <c r="J1459" t="inlineStr">
        <is>
          <t>2025-05-24</t>
        </is>
      </c>
      <c r="K1459" t="inlineStr">
        <is>
          <t>ESIOS 1001 geo 8741</t>
        </is>
      </c>
      <c r="L1459" t="inlineStr">
        <is>
          <t>24 valores; mín 66.03, máx 110.60 €/MWh</t>
        </is>
      </c>
    </row>
    <row r="1460">
      <c r="A1460" s="53" t="n">
        <v>45803</v>
      </c>
      <c r="B1460" t="inlineStr">
        <is>
          <t>2025-05-26</t>
        </is>
      </c>
      <c r="C1460" s="45" t="n">
        <v>125.7442</v>
      </c>
      <c r="D1460" t="inlineStr">
        <is>
          <t>€/MWh</t>
        </is>
      </c>
      <c r="E1460" s="54" t="n">
        <v>0.125744</v>
      </c>
      <c r="F1460" s="54" t="n">
        <v>0.159929</v>
      </c>
      <c r="G1460" t="inlineStr">
        <is>
          <t>calculado</t>
        </is>
      </c>
      <c r="H1460" t="inlineStr">
        <is>
          <t>IEE 5.1127 % con cuota mínima 1 €/MWh (Ley 38/1992 art. 99 (sin medidas vigentes)) + IVA 21 % (Ley 37/1992 art. 90 (sin medidas vigentes))</t>
        </is>
      </c>
      <c r="J1460" t="inlineStr">
        <is>
          <t>2025-05-25</t>
        </is>
      </c>
      <c r="K1460" t="inlineStr">
        <is>
          <t>ESIOS 1001 geo 8741</t>
        </is>
      </c>
      <c r="L1460" t="inlineStr">
        <is>
          <t>24 valores; mín 88.06, máx 231.79 €/MWh</t>
        </is>
      </c>
    </row>
    <row r="1461">
      <c r="A1461" s="53" t="n">
        <v>45804</v>
      </c>
      <c r="B1461" t="inlineStr">
        <is>
          <t>2025-05-27</t>
        </is>
      </c>
      <c r="C1461" s="45" t="n">
        <v>125.5663</v>
      </c>
      <c r="D1461" t="inlineStr">
        <is>
          <t>€/MWh</t>
        </is>
      </c>
      <c r="E1461" s="54" t="n">
        <v>0.125566</v>
      </c>
      <c r="F1461" s="54" t="n">
        <v>0.159703</v>
      </c>
      <c r="G1461" t="inlineStr">
        <is>
          <t>calculado</t>
        </is>
      </c>
      <c r="H1461" t="inlineStr">
        <is>
          <t>IEE 5.1127 % con cuota mínima 1 €/MWh (Ley 38/1992 art. 99 (sin medidas vigentes)) + IVA 21 % (Ley 37/1992 art. 90 (sin medidas vigentes))</t>
        </is>
      </c>
      <c r="J1461" t="inlineStr">
        <is>
          <t>2025-05-26</t>
        </is>
      </c>
      <c r="K1461" t="inlineStr">
        <is>
          <t>ESIOS 1001 geo 8741</t>
        </is>
      </c>
      <c r="L1461" t="inlineStr">
        <is>
          <t>24 valores; mín 79.87, máx 262.87 €/MWh</t>
        </is>
      </c>
    </row>
    <row r="1462">
      <c r="A1462" s="53" t="n">
        <v>45805</v>
      </c>
      <c r="B1462" t="inlineStr">
        <is>
          <t>2025-05-28</t>
        </is>
      </c>
      <c r="C1462" s="45" t="n">
        <v>126.0692</v>
      </c>
      <c r="D1462" t="inlineStr">
        <is>
          <t>€/MWh</t>
        </is>
      </c>
      <c r="E1462" s="54" t="n">
        <v>0.126069</v>
      </c>
      <c r="F1462" s="54" t="n">
        <v>0.160343</v>
      </c>
      <c r="G1462" t="inlineStr">
        <is>
          <t>calculado</t>
        </is>
      </c>
      <c r="H1462" t="inlineStr">
        <is>
          <t>IEE 5.1127 % con cuota mínima 1 €/MWh (Ley 38/1992 art. 99 (sin medidas vigentes)) + IVA 21 % (Ley 37/1992 art. 90 (sin medidas vigentes))</t>
        </is>
      </c>
      <c r="J1462" t="inlineStr">
        <is>
          <t>2025-05-27</t>
        </is>
      </c>
      <c r="K1462" t="inlineStr">
        <is>
          <t>ESIOS 1001 geo 8741</t>
        </is>
      </c>
      <c r="L1462" t="inlineStr">
        <is>
          <t>24 valores; mín 78.00, máx 246.14 €/MWh</t>
        </is>
      </c>
    </row>
    <row r="1463">
      <c r="A1463" s="53" t="n">
        <v>45806</v>
      </c>
      <c r="B1463" t="inlineStr">
        <is>
          <t>2025-05-29</t>
        </is>
      </c>
      <c r="C1463" s="45" t="n">
        <v>128.68</v>
      </c>
      <c r="D1463" t="inlineStr">
        <is>
          <t>€/MWh</t>
        </is>
      </c>
      <c r="E1463" s="54" t="n">
        <v>0.12868</v>
      </c>
      <c r="F1463" s="54" t="n">
        <v>0.163663</v>
      </c>
      <c r="G1463" t="inlineStr">
        <is>
          <t>calculado</t>
        </is>
      </c>
      <c r="H1463" t="inlineStr">
        <is>
          <t>IEE 5.1127 % con cuota mínima 1 €/MWh (Ley 38/1992 art. 99 (sin medidas vigentes)) + IVA 21 % (Ley 37/1992 art. 90 (sin medidas vigentes))</t>
        </is>
      </c>
      <c r="J1463" t="inlineStr">
        <is>
          <t>2025-05-28</t>
        </is>
      </c>
      <c r="K1463" t="inlineStr">
        <is>
          <t>ESIOS 1001 geo 8741</t>
        </is>
      </c>
      <c r="L1463" t="inlineStr">
        <is>
          <t>24 valores; mín 70.46, máx 285.73 €/MWh</t>
        </is>
      </c>
    </row>
    <row r="1464">
      <c r="A1464" s="53" t="n">
        <v>45807</v>
      </c>
      <c r="B1464" t="inlineStr">
        <is>
          <t>2025-05-30</t>
        </is>
      </c>
      <c r="C1464" s="45" t="n">
        <v>131.7821</v>
      </c>
      <c r="D1464" t="inlineStr">
        <is>
          <t>€/MWh</t>
        </is>
      </c>
      <c r="E1464" s="54" t="n">
        <v>0.131782</v>
      </c>
      <c r="F1464" s="54" t="n">
        <v>0.167609</v>
      </c>
      <c r="G1464" t="inlineStr">
        <is>
          <t>calculado</t>
        </is>
      </c>
      <c r="H1464" t="inlineStr">
        <is>
          <t>IEE 5.1127 % con cuota mínima 1 €/MWh (Ley 38/1992 art. 99 (sin medidas vigentes)) + IVA 21 % (Ley 37/1992 art. 90 (sin medidas vigentes))</t>
        </is>
      </c>
      <c r="J1464" t="inlineStr">
        <is>
          <t>2025-05-29</t>
        </is>
      </c>
      <c r="K1464" t="inlineStr">
        <is>
          <t>ESIOS 1001 geo 8741</t>
        </is>
      </c>
      <c r="L1464" t="inlineStr">
        <is>
          <t>24 valores; mín 64.58, máx 263.32 €/MWh</t>
        </is>
      </c>
    </row>
    <row r="1465">
      <c r="A1465" s="53" t="n">
        <v>45808</v>
      </c>
      <c r="B1465" t="inlineStr">
        <is>
          <t>2025-05-31</t>
        </is>
      </c>
      <c r="C1465" s="45" t="n">
        <v>91.4237</v>
      </c>
      <c r="D1465" t="inlineStr">
        <is>
          <t>€/MWh</t>
        </is>
      </c>
      <c r="E1465" s="54" t="n">
        <v>0.09142400000000001</v>
      </c>
      <c r="F1465" s="54" t="n">
        <v>0.116278</v>
      </c>
      <c r="G1465" t="inlineStr">
        <is>
          <t>calculado</t>
        </is>
      </c>
      <c r="H1465" t="inlineStr">
        <is>
          <t>IEE 5.1127 % con cuota mínima 1 €/MWh (Ley 38/1992 art. 99 (sin medidas vigentes)) + IVA 21 % (Ley 37/1992 art. 90 (sin medidas vigentes))</t>
        </is>
      </c>
      <c r="J1465" t="inlineStr">
        <is>
          <t>2025-05-30</t>
        </is>
      </c>
      <c r="K1465" t="inlineStr">
        <is>
          <t>ESIOS 1001 geo 8741</t>
        </is>
      </c>
      <c r="L1465" t="inlineStr">
        <is>
          <t>24 valores; mín 38.31, máx 163.10 €/MWh</t>
        </is>
      </c>
    </row>
    <row r="1466">
      <c r="A1466" s="53" t="n">
        <v>45809</v>
      </c>
      <c r="B1466" t="inlineStr">
        <is>
          <t>2025-06-01</t>
        </is>
      </c>
      <c r="C1466" s="45" t="n">
        <v>88.46380000000001</v>
      </c>
      <c r="D1466" t="inlineStr">
        <is>
          <t>€/MWh</t>
        </is>
      </c>
      <c r="E1466" s="54" t="n">
        <v>0.088464</v>
      </c>
      <c r="F1466" s="54" t="n">
        <v>0.112514</v>
      </c>
      <c r="G1466" t="inlineStr">
        <is>
          <t>calculado</t>
        </is>
      </c>
      <c r="H1466" t="inlineStr">
        <is>
          <t>IEE 5.1127 % con cuota mínima 1 €/MWh (Ley 38/1992 art. 99 (sin medidas vigentes)) + IVA 21 % (Ley 37/1992 art. 90 (sin medidas vigentes))</t>
        </is>
      </c>
      <c r="J1466" t="inlineStr">
        <is>
          <t>2025-05-31</t>
        </is>
      </c>
      <c r="K1466" t="inlineStr">
        <is>
          <t>ESIOS 1001 geo 8741</t>
        </is>
      </c>
      <c r="L1466" t="inlineStr">
        <is>
          <t>24 valores; mín 58.02, máx 156.83 €/MWh</t>
        </is>
      </c>
    </row>
    <row r="1467">
      <c r="A1467" s="53" t="n">
        <v>45810</v>
      </c>
      <c r="B1467" t="inlineStr">
        <is>
          <t>2025-06-02</t>
        </is>
      </c>
      <c r="C1467" s="45" t="n">
        <v>127.0892</v>
      </c>
      <c r="D1467" t="inlineStr">
        <is>
          <t>€/MWh</t>
        </is>
      </c>
      <c r="E1467" s="54" t="n">
        <v>0.127089</v>
      </c>
      <c r="F1467" s="54" t="n">
        <v>0.16164</v>
      </c>
      <c r="G1467" t="inlineStr">
        <is>
          <t>calculado</t>
        </is>
      </c>
      <c r="H1467" t="inlineStr">
        <is>
          <t>IEE 5.1127 % con cuota mínima 1 €/MWh (Ley 38/1992 art. 99 (sin medidas vigentes)) + IVA 21 % (Ley 37/1992 art. 90 (sin medidas vigentes))</t>
        </is>
      </c>
      <c r="J1467" t="inlineStr">
        <is>
          <t>2025-06-01</t>
        </is>
      </c>
      <c r="K1467" t="inlineStr">
        <is>
          <t>ESIOS 1001 geo 8741</t>
        </is>
      </c>
      <c r="L1467" t="inlineStr">
        <is>
          <t>24 valores; mín 75.02, máx 245.79 €/MWh</t>
        </is>
      </c>
    </row>
    <row r="1468">
      <c r="A1468" s="53" t="n">
        <v>45811</v>
      </c>
      <c r="B1468" t="inlineStr">
        <is>
          <t>2025-06-03</t>
        </is>
      </c>
      <c r="C1468" s="45" t="n">
        <v>133.9654</v>
      </c>
      <c r="D1468" t="inlineStr">
        <is>
          <t>€/MWh</t>
        </is>
      </c>
      <c r="E1468" s="54" t="n">
        <v>0.133965</v>
      </c>
      <c r="F1468" s="54" t="n">
        <v>0.170386</v>
      </c>
      <c r="G1468" t="inlineStr">
        <is>
          <t>calculado</t>
        </is>
      </c>
      <c r="H1468" t="inlineStr">
        <is>
          <t>IEE 5.1127 % con cuota mínima 1 €/MWh (Ley 38/1992 art. 99 (sin medidas vigentes)) + IVA 21 % (Ley 37/1992 art. 90 (sin medidas vigentes))</t>
        </is>
      </c>
      <c r="J1468" t="inlineStr">
        <is>
          <t>2025-06-02</t>
        </is>
      </c>
      <c r="K1468" t="inlineStr">
        <is>
          <t>ESIOS 1001 geo 8741</t>
        </is>
      </c>
      <c r="L1468" t="inlineStr">
        <is>
          <t>24 valores; mín 60.16, máx 244.18 €/MWh</t>
        </is>
      </c>
    </row>
    <row r="1469">
      <c r="A1469" s="53" t="n">
        <v>45812</v>
      </c>
      <c r="B1469" t="inlineStr">
        <is>
          <t>2025-06-04</t>
        </is>
      </c>
      <c r="C1469" s="45" t="n">
        <v>137.8817</v>
      </c>
      <c r="D1469" t="inlineStr">
        <is>
          <t>€/MWh</t>
        </is>
      </c>
      <c r="E1469" s="54" t="n">
        <v>0.137882</v>
      </c>
      <c r="F1469" s="54" t="n">
        <v>0.175367</v>
      </c>
      <c r="G1469" t="inlineStr">
        <is>
          <t>calculado</t>
        </is>
      </c>
      <c r="H1469" t="inlineStr">
        <is>
          <t>IEE 5.1127 % con cuota mínima 1 €/MWh (Ley 38/1992 art. 99 (sin medidas vigentes)) + IVA 21 % (Ley 37/1992 art. 90 (sin medidas vigentes))</t>
        </is>
      </c>
      <c r="J1469" t="inlineStr">
        <is>
          <t>2025-06-03</t>
        </is>
      </c>
      <c r="K1469" t="inlineStr">
        <is>
          <t>ESIOS 1001 geo 8741</t>
        </is>
      </c>
      <c r="L1469" t="inlineStr">
        <is>
          <t>24 valores; mín 57.30, máx 260.04 €/MWh</t>
        </is>
      </c>
    </row>
    <row r="1470">
      <c r="A1470" s="53" t="n">
        <v>45813</v>
      </c>
      <c r="B1470" t="inlineStr">
        <is>
          <t>2025-06-05</t>
        </is>
      </c>
      <c r="C1470" s="45" t="n">
        <v>137.3837</v>
      </c>
      <c r="D1470" t="inlineStr">
        <is>
          <t>€/MWh</t>
        </is>
      </c>
      <c r="E1470" s="54" t="n">
        <v>0.137384</v>
      </c>
      <c r="F1470" s="54" t="n">
        <v>0.174733</v>
      </c>
      <c r="G1470" t="inlineStr">
        <is>
          <t>calculado</t>
        </is>
      </c>
      <c r="H1470" t="inlineStr">
        <is>
          <t>IEE 5.1127 % con cuota mínima 1 €/MWh (Ley 38/1992 art. 99 (sin medidas vigentes)) + IVA 21 % (Ley 37/1992 art. 90 (sin medidas vigentes))</t>
        </is>
      </c>
      <c r="J1470" t="inlineStr">
        <is>
          <t>2025-06-04</t>
        </is>
      </c>
      <c r="K1470" t="inlineStr">
        <is>
          <t>ESIOS 1001 geo 8741</t>
        </is>
      </c>
      <c r="L1470" t="inlineStr">
        <is>
          <t>24 valores; mín 56.00, máx 274.17 €/MWh</t>
        </is>
      </c>
    </row>
    <row r="1471">
      <c r="A1471" s="53" t="n">
        <v>45814</v>
      </c>
      <c r="B1471" t="inlineStr">
        <is>
          <t>2025-06-06</t>
        </is>
      </c>
      <c r="C1471" s="45" t="n">
        <v>142.7317</v>
      </c>
      <c r="D1471" t="inlineStr">
        <is>
          <t>€/MWh</t>
        </is>
      </c>
      <c r="E1471" s="54" t="n">
        <v>0.142732</v>
      </c>
      <c r="F1471" s="54" t="n">
        <v>0.181535</v>
      </c>
      <c r="G1471" t="inlineStr">
        <is>
          <t>calculado</t>
        </is>
      </c>
      <c r="H1471" t="inlineStr">
        <is>
          <t>IEE 5.1127 % con cuota mínima 1 €/MWh (Ley 38/1992 art. 99 (sin medidas vigentes)) + IVA 21 % (Ley 37/1992 art. 90 (sin medidas vigentes))</t>
        </is>
      </c>
      <c r="J1471" t="inlineStr">
        <is>
          <t>2025-06-05</t>
        </is>
      </c>
      <c r="K1471" t="inlineStr">
        <is>
          <t>ESIOS 1001 geo 8741</t>
        </is>
      </c>
      <c r="L1471" t="inlineStr">
        <is>
          <t>24 valores; mín 49.76, máx 261.69 €/MWh</t>
        </is>
      </c>
    </row>
    <row r="1472">
      <c r="A1472" s="53" t="n">
        <v>45815</v>
      </c>
      <c r="B1472" t="inlineStr">
        <is>
          <t>2025-06-07</t>
        </is>
      </c>
      <c r="C1472" s="45" t="n">
        <v>98.58629999999999</v>
      </c>
      <c r="D1472" t="inlineStr">
        <is>
          <t>€/MWh</t>
        </is>
      </c>
      <c r="E1472" s="54" t="n">
        <v>0.09858599999999999</v>
      </c>
      <c r="F1472" s="54" t="n">
        <v>0.125388</v>
      </c>
      <c r="G1472" t="inlineStr">
        <is>
          <t>calculado</t>
        </is>
      </c>
      <c r="H1472" t="inlineStr">
        <is>
          <t>IEE 5.1127 % con cuota mínima 1 €/MWh (Ley 38/1992 art. 99 (sin medidas vigentes)) + IVA 21 % (Ley 37/1992 art. 90 (sin medidas vigentes))</t>
        </is>
      </c>
      <c r="J1472" t="inlineStr">
        <is>
          <t>2025-06-06</t>
        </is>
      </c>
      <c r="K1472" t="inlineStr">
        <is>
          <t>ESIOS 1001 geo 8741</t>
        </is>
      </c>
      <c r="L1472" t="inlineStr">
        <is>
          <t>24 valores; mín 43.49, máx 163.53 €/MWh</t>
        </is>
      </c>
    </row>
    <row r="1473">
      <c r="A1473" s="53" t="n">
        <v>45816</v>
      </c>
      <c r="B1473" t="inlineStr">
        <is>
          <t>2025-06-08</t>
        </is>
      </c>
      <c r="C1473" s="45" t="n">
        <v>95.19289999999999</v>
      </c>
      <c r="D1473" t="inlineStr">
        <is>
          <t>€/MWh</t>
        </is>
      </c>
      <c r="E1473" s="54" t="n">
        <v>0.095193</v>
      </c>
      <c r="F1473" s="54" t="n">
        <v>0.121072</v>
      </c>
      <c r="G1473" t="inlineStr">
        <is>
          <t>calculado</t>
        </is>
      </c>
      <c r="H1473" t="inlineStr">
        <is>
          <t>IEE 5.1127 % con cuota mínima 1 €/MWh (Ley 38/1992 art. 99 (sin medidas vigentes)) + IVA 21 % (Ley 37/1992 art. 90 (sin medidas vigentes))</t>
        </is>
      </c>
      <c r="J1473" t="inlineStr">
        <is>
          <t>2025-06-07</t>
        </is>
      </c>
      <c r="K1473" t="inlineStr">
        <is>
          <t>ESIOS 1001 geo 8741</t>
        </is>
      </c>
      <c r="L1473" t="inlineStr">
        <is>
          <t>24 valores; mín 48.82, máx 162.63 €/MWh</t>
        </is>
      </c>
    </row>
    <row r="1474">
      <c r="A1474" s="53" t="n">
        <v>45817</v>
      </c>
      <c r="B1474" t="inlineStr">
        <is>
          <t>2025-06-09</t>
        </is>
      </c>
      <c r="C1474" s="45" t="n">
        <v>139.5104</v>
      </c>
      <c r="D1474" t="inlineStr">
        <is>
          <t>€/MWh</t>
        </is>
      </c>
      <c r="E1474" s="54" t="n">
        <v>0.13951</v>
      </c>
      <c r="F1474" s="54" t="n">
        <v>0.177438</v>
      </c>
      <c r="G1474" t="inlineStr">
        <is>
          <t>calculado</t>
        </is>
      </c>
      <c r="H1474" t="inlineStr">
        <is>
          <t>IEE 5.1127 % con cuota mínima 1 €/MWh (Ley 38/1992 art. 99 (sin medidas vigentes)) + IVA 21 % (Ley 37/1992 art. 90 (sin medidas vigentes))</t>
        </is>
      </c>
      <c r="J1474" t="inlineStr">
        <is>
          <t>2025-06-08</t>
        </is>
      </c>
      <c r="K1474" t="inlineStr">
        <is>
          <t>ESIOS 1001 geo 8741</t>
        </is>
      </c>
      <c r="L1474" t="inlineStr">
        <is>
          <t>24 valores; mín 58.94, máx 267.18 €/MWh</t>
        </is>
      </c>
    </row>
    <row r="1475">
      <c r="A1475" s="53" t="n">
        <v>45818</v>
      </c>
      <c r="B1475" t="inlineStr">
        <is>
          <t>2025-06-10</t>
        </is>
      </c>
      <c r="C1475" s="45" t="n">
        <v>156.1383</v>
      </c>
      <c r="D1475" t="inlineStr">
        <is>
          <t>€/MWh</t>
        </is>
      </c>
      <c r="E1475" s="54" t="n">
        <v>0.156138</v>
      </c>
      <c r="F1475" s="54" t="n">
        <v>0.198587</v>
      </c>
      <c r="G1475" t="inlineStr">
        <is>
          <t>calculado</t>
        </is>
      </c>
      <c r="H1475" t="inlineStr">
        <is>
          <t>IEE 5.1127 % con cuota mínima 1 €/MWh (Ley 38/1992 art. 99 (sin medidas vigentes)) + IVA 21 % (Ley 37/1992 art. 90 (sin medidas vigentes))</t>
        </is>
      </c>
      <c r="J1475" t="inlineStr">
        <is>
          <t>2025-06-09</t>
        </is>
      </c>
      <c r="K1475" t="inlineStr">
        <is>
          <t>ESIOS 1001 geo 8741</t>
        </is>
      </c>
      <c r="L1475" t="inlineStr">
        <is>
          <t>24 valores; mín 92.28, máx 233.27 €/MWh</t>
        </is>
      </c>
    </row>
    <row r="1476">
      <c r="A1476" s="53" t="n">
        <v>45819</v>
      </c>
      <c r="B1476" t="inlineStr">
        <is>
          <t>2025-06-11</t>
        </is>
      </c>
      <c r="C1476" s="45" t="n">
        <v>142.285</v>
      </c>
      <c r="D1476" t="inlineStr">
        <is>
          <t>€/MWh</t>
        </is>
      </c>
      <c r="E1476" s="54" t="n">
        <v>0.142285</v>
      </c>
      <c r="F1476" s="54" t="n">
        <v>0.180967</v>
      </c>
      <c r="G1476" t="inlineStr">
        <is>
          <t>calculado</t>
        </is>
      </c>
      <c r="H1476" t="inlineStr">
        <is>
          <t>IEE 5.1127 % con cuota mínima 1 €/MWh (Ley 38/1992 art. 99 (sin medidas vigentes)) + IVA 21 % (Ley 37/1992 art. 90 (sin medidas vigentes))</t>
        </is>
      </c>
      <c r="J1476" t="inlineStr">
        <is>
          <t>2025-06-10</t>
        </is>
      </c>
      <c r="K1476" t="inlineStr">
        <is>
          <t>ESIOS 1001 geo 8741</t>
        </is>
      </c>
      <c r="L1476" t="inlineStr">
        <is>
          <t>24 valores; mín 48.78, máx 239.90 €/MWh</t>
        </is>
      </c>
    </row>
    <row r="1477">
      <c r="A1477" s="53" t="n">
        <v>45820</v>
      </c>
      <c r="B1477" t="inlineStr">
        <is>
          <t>2025-06-12</t>
        </is>
      </c>
      <c r="C1477" s="45" t="n">
        <v>137.5325</v>
      </c>
      <c r="D1477" t="inlineStr">
        <is>
          <t>€/MWh</t>
        </is>
      </c>
      <c r="E1477" s="54" t="n">
        <v>0.137533</v>
      </c>
      <c r="F1477" s="54" t="n">
        <v>0.174923</v>
      </c>
      <c r="G1477" t="inlineStr">
        <is>
          <t>calculado</t>
        </is>
      </c>
      <c r="H1477" t="inlineStr">
        <is>
          <t>IEE 5.1127 % con cuota mínima 1 €/MWh (Ley 38/1992 art. 99 (sin medidas vigentes)) + IVA 21 % (Ley 37/1992 art. 90 (sin medidas vigentes))</t>
        </is>
      </c>
      <c r="J1477" t="inlineStr">
        <is>
          <t>2025-06-11</t>
        </is>
      </c>
      <c r="K1477" t="inlineStr">
        <is>
          <t>ESIOS 1001 geo 8741</t>
        </is>
      </c>
      <c r="L1477" t="inlineStr">
        <is>
          <t>24 valores; mín 54.55, máx 262.98 €/MWh</t>
        </is>
      </c>
    </row>
    <row r="1478">
      <c r="A1478" s="53" t="n">
        <v>45821</v>
      </c>
      <c r="B1478" t="inlineStr">
        <is>
          <t>2025-06-13</t>
        </is>
      </c>
      <c r="C1478" s="45" t="n">
        <v>142.4412</v>
      </c>
      <c r="D1478" t="inlineStr">
        <is>
          <t>€/MWh</t>
        </is>
      </c>
      <c r="E1478" s="54" t="n">
        <v>0.142441</v>
      </c>
      <c r="F1478" s="54" t="n">
        <v>0.181166</v>
      </c>
      <c r="G1478" t="inlineStr">
        <is>
          <t>calculado</t>
        </is>
      </c>
      <c r="H1478" t="inlineStr">
        <is>
          <t>IEE 5.1127 % con cuota mínima 1 €/MWh (Ley 38/1992 art. 99 (sin medidas vigentes)) + IVA 21 % (Ley 37/1992 art. 90 (sin medidas vigentes))</t>
        </is>
      </c>
      <c r="J1478" t="inlineStr">
        <is>
          <t>2025-06-12</t>
        </is>
      </c>
      <c r="K1478" t="inlineStr">
        <is>
          <t>ESIOS 1001 geo 8741</t>
        </is>
      </c>
      <c r="L1478" t="inlineStr">
        <is>
          <t>24 valores; mín 52.93, máx 247.14 €/MWh</t>
        </is>
      </c>
    </row>
    <row r="1479">
      <c r="A1479" s="53" t="n">
        <v>45822</v>
      </c>
      <c r="B1479" t="inlineStr">
        <is>
          <t>2025-06-14</t>
        </is>
      </c>
      <c r="C1479" s="45" t="n">
        <v>100.6317</v>
      </c>
      <c r="D1479" t="inlineStr">
        <is>
          <t>€/MWh</t>
        </is>
      </c>
      <c r="E1479" s="54" t="n">
        <v>0.100632</v>
      </c>
      <c r="F1479" s="54" t="n">
        <v>0.12799</v>
      </c>
      <c r="G1479" t="inlineStr">
        <is>
          <t>calculado</t>
        </is>
      </c>
      <c r="H1479" t="inlineStr">
        <is>
          <t>IEE 5.1127 % con cuota mínima 1 €/MWh (Ley 38/1992 art. 99 (sin medidas vigentes)) + IVA 21 % (Ley 37/1992 art. 90 (sin medidas vigentes))</t>
        </is>
      </c>
      <c r="J1479" t="inlineStr">
        <is>
          <t>2025-06-13</t>
        </is>
      </c>
      <c r="K1479" t="inlineStr">
        <is>
          <t>ESIOS 1001 geo 8741</t>
        </is>
      </c>
      <c r="L1479" t="inlineStr">
        <is>
          <t>24 valores; mín 38.02, máx 159.69 €/MWh</t>
        </is>
      </c>
    </row>
    <row r="1480">
      <c r="A1480" s="53" t="n">
        <v>45823</v>
      </c>
      <c r="B1480" t="inlineStr">
        <is>
          <t>2025-06-15</t>
        </is>
      </c>
      <c r="C1480" s="45" t="n">
        <v>84.8783</v>
      </c>
      <c r="D1480" t="inlineStr">
        <is>
          <t>€/MWh</t>
        </is>
      </c>
      <c r="E1480" s="54" t="n">
        <v>0.084878</v>
      </c>
      <c r="F1480" s="54" t="n">
        <v>0.107954</v>
      </c>
      <c r="G1480" t="inlineStr">
        <is>
          <t>calculado</t>
        </is>
      </c>
      <c r="H1480" t="inlineStr">
        <is>
          <t>IEE 5.1127 % con cuota mínima 1 €/MWh (Ley 38/1992 art. 99 (sin medidas vigentes)) + IVA 21 % (Ley 37/1992 art. 90 (sin medidas vigentes))</t>
        </is>
      </c>
      <c r="J1480" t="inlineStr">
        <is>
          <t>2025-06-14</t>
        </is>
      </c>
      <c r="K1480" t="inlineStr">
        <is>
          <t>ESIOS 1001 geo 8741</t>
        </is>
      </c>
      <c r="L1480" t="inlineStr">
        <is>
          <t>24 valores; mín 54.09, máx 151.71 €/MWh</t>
        </is>
      </c>
    </row>
    <row r="1481">
      <c r="A1481" s="53" t="n">
        <v>45824</v>
      </c>
      <c r="B1481" t="inlineStr">
        <is>
          <t>2025-06-16</t>
        </is>
      </c>
      <c r="C1481" s="45" t="n">
        <v>134.48</v>
      </c>
      <c r="D1481" t="inlineStr">
        <is>
          <t>€/MWh</t>
        </is>
      </c>
      <c r="E1481" s="54" t="n">
        <v>0.13448</v>
      </c>
      <c r="F1481" s="54" t="n">
        <v>0.17104</v>
      </c>
      <c r="G1481" t="inlineStr">
        <is>
          <t>calculado</t>
        </is>
      </c>
      <c r="H1481" t="inlineStr">
        <is>
          <t>IEE 5.1127 % con cuota mínima 1 €/MWh (Ley 38/1992 art. 99 (sin medidas vigentes)) + IVA 21 % (Ley 37/1992 art. 90 (sin medidas vigentes))</t>
        </is>
      </c>
      <c r="J1481" t="inlineStr">
        <is>
          <t>2025-06-15</t>
        </is>
      </c>
      <c r="K1481" t="inlineStr">
        <is>
          <t>ESIOS 1001 geo 8741</t>
        </is>
      </c>
      <c r="L1481" t="inlineStr">
        <is>
          <t>24 valores; mín 59.54, máx 355.65 €/MWh</t>
        </is>
      </c>
    </row>
    <row r="1482">
      <c r="A1482" s="53" t="n">
        <v>45825</v>
      </c>
      <c r="B1482" t="inlineStr">
        <is>
          <t>2025-06-17</t>
        </is>
      </c>
      <c r="C1482" s="45" t="n">
        <v>154.9971</v>
      </c>
      <c r="D1482" t="inlineStr">
        <is>
          <t>€/MWh</t>
        </is>
      </c>
      <c r="E1482" s="54" t="n">
        <v>0.154997</v>
      </c>
      <c r="F1482" s="54" t="n">
        <v>0.197135</v>
      </c>
      <c r="G1482" t="inlineStr">
        <is>
          <t>calculado</t>
        </is>
      </c>
      <c r="H1482" t="inlineStr">
        <is>
          <t>IEE 5.1127 % con cuota mínima 1 €/MWh (Ley 38/1992 art. 99 (sin medidas vigentes)) + IVA 21 % (Ley 37/1992 art. 90 (sin medidas vigentes))</t>
        </is>
      </c>
      <c r="J1482" t="inlineStr">
        <is>
          <t>2025-06-16</t>
        </is>
      </c>
      <c r="K1482" t="inlineStr">
        <is>
          <t>ESIOS 1001 geo 8741</t>
        </is>
      </c>
      <c r="L1482" t="inlineStr">
        <is>
          <t>24 valores; mín 50.56, máx 273.33 €/MWh</t>
        </is>
      </c>
    </row>
    <row r="1483">
      <c r="A1483" s="53" t="n">
        <v>45826</v>
      </c>
      <c r="B1483" t="inlineStr">
        <is>
          <t>2025-06-18</t>
        </is>
      </c>
      <c r="C1483" s="45" t="n">
        <v>162.7542</v>
      </c>
      <c r="D1483" t="inlineStr">
        <is>
          <t>€/MWh</t>
        </is>
      </c>
      <c r="E1483" s="54" t="n">
        <v>0.162754</v>
      </c>
      <c r="F1483" s="54" t="n">
        <v>0.207001</v>
      </c>
      <c r="G1483" t="inlineStr">
        <is>
          <t>calculado</t>
        </is>
      </c>
      <c r="H1483" t="inlineStr">
        <is>
          <t>IEE 5.1127 % con cuota mínima 1 €/MWh (Ley 38/1992 art. 99 (sin medidas vigentes)) + IVA 21 % (Ley 37/1992 art. 90 (sin medidas vigentes))</t>
        </is>
      </c>
      <c r="J1483" t="inlineStr">
        <is>
          <t>2025-06-17</t>
        </is>
      </c>
      <c r="K1483" t="inlineStr">
        <is>
          <t>ESIOS 1001 geo 8741</t>
        </is>
      </c>
      <c r="L1483" t="inlineStr">
        <is>
          <t>24 valores; mín 76.62, máx 314.41 €/MWh</t>
        </is>
      </c>
    </row>
    <row r="1484">
      <c r="A1484" s="53" t="n">
        <v>45827</v>
      </c>
      <c r="B1484" t="inlineStr">
        <is>
          <t>2025-06-19</t>
        </is>
      </c>
      <c r="C1484" s="45" t="n">
        <v>170.5263</v>
      </c>
      <c r="D1484" t="inlineStr">
        <is>
          <t>€/MWh</t>
        </is>
      </c>
      <c r="E1484" s="54" t="n">
        <v>0.170526</v>
      </c>
      <c r="F1484" s="54" t="n">
        <v>0.216886</v>
      </c>
      <c r="G1484" t="inlineStr">
        <is>
          <t>calculado</t>
        </is>
      </c>
      <c r="H1484" t="inlineStr">
        <is>
          <t>IEE 5.1127 % con cuota mínima 1 €/MWh (Ley 38/1992 art. 99 (sin medidas vigentes)) + IVA 21 % (Ley 37/1992 art. 90 (sin medidas vigentes))</t>
        </is>
      </c>
      <c r="J1484" t="inlineStr">
        <is>
          <t>2025-06-18</t>
        </is>
      </c>
      <c r="K1484" t="inlineStr">
        <is>
          <t>ESIOS 1001 geo 8741</t>
        </is>
      </c>
      <c r="L1484" t="inlineStr">
        <is>
          <t>24 valores; mín 101.06, máx 279.81 €/MWh</t>
        </is>
      </c>
    </row>
    <row r="1485">
      <c r="A1485" s="53" t="n">
        <v>45828</v>
      </c>
      <c r="B1485" t="inlineStr">
        <is>
          <t>2025-06-20</t>
        </is>
      </c>
      <c r="C1485" s="45" t="n">
        <v>167.5946</v>
      </c>
      <c r="D1485" t="inlineStr">
        <is>
          <t>€/MWh</t>
        </is>
      </c>
      <c r="E1485" s="54" t="n">
        <v>0.167595</v>
      </c>
      <c r="F1485" s="54" t="n">
        <v>0.213157</v>
      </c>
      <c r="G1485" t="inlineStr">
        <is>
          <t>calculado</t>
        </is>
      </c>
      <c r="H1485" t="inlineStr">
        <is>
          <t>IEE 5.1127 % con cuota mínima 1 €/MWh (Ley 38/1992 art. 99 (sin medidas vigentes)) + IVA 21 % (Ley 37/1992 art. 90 (sin medidas vigentes))</t>
        </is>
      </c>
      <c r="J1485" t="inlineStr">
        <is>
          <t>2025-06-19</t>
        </is>
      </c>
      <c r="K1485" t="inlineStr">
        <is>
          <t>ESIOS 1001 geo 8741</t>
        </is>
      </c>
      <c r="L1485" t="inlineStr">
        <is>
          <t>24 valores; mín 106.72, máx 274.98 €/MWh</t>
        </is>
      </c>
    </row>
    <row r="1486">
      <c r="A1486" s="53" t="n">
        <v>45829</v>
      </c>
      <c r="B1486" t="inlineStr">
        <is>
          <t>2025-06-21</t>
        </is>
      </c>
      <c r="C1486" s="45" t="n">
        <v>108.0796</v>
      </c>
      <c r="D1486" t="inlineStr">
        <is>
          <t>€/MWh</t>
        </is>
      </c>
      <c r="E1486" s="54" t="n">
        <v>0.10808</v>
      </c>
      <c r="F1486" s="54" t="n">
        <v>0.137463</v>
      </c>
      <c r="G1486" t="inlineStr">
        <is>
          <t>calculado</t>
        </is>
      </c>
      <c r="H1486" t="inlineStr">
        <is>
          <t>IEE 5.1127 % con cuota mínima 1 €/MWh (Ley 38/1992 art. 99 (sin medidas vigentes)) + IVA 21 % (Ley 37/1992 art. 90 (sin medidas vigentes))</t>
        </is>
      </c>
      <c r="J1486" t="inlineStr">
        <is>
          <t>2025-06-20</t>
        </is>
      </c>
      <c r="K1486" t="inlineStr">
        <is>
          <t>ESIOS 1001 geo 8741</t>
        </is>
      </c>
      <c r="L1486" t="inlineStr">
        <is>
          <t>24 valores; mín 22.98, máx 173.94 €/MWh</t>
        </is>
      </c>
    </row>
    <row r="1487">
      <c r="A1487" s="53" t="n">
        <v>45830</v>
      </c>
      <c r="B1487" t="inlineStr">
        <is>
          <t>2025-06-22</t>
        </is>
      </c>
      <c r="C1487" s="45" t="n">
        <v>104.3929</v>
      </c>
      <c r="D1487" t="inlineStr">
        <is>
          <t>€/MWh</t>
        </is>
      </c>
      <c r="E1487" s="54" t="n">
        <v>0.104393</v>
      </c>
      <c r="F1487" s="54" t="n">
        <v>0.132774</v>
      </c>
      <c r="G1487" t="inlineStr">
        <is>
          <t>calculado</t>
        </is>
      </c>
      <c r="H1487" t="inlineStr">
        <is>
          <t>IEE 5.1127 % con cuota mínima 1 €/MWh (Ley 38/1992 art. 99 (sin medidas vigentes)) + IVA 21 % (Ley 37/1992 art. 90 (sin medidas vigentes))</t>
        </is>
      </c>
      <c r="J1487" t="inlineStr">
        <is>
          <t>2025-06-21</t>
        </is>
      </c>
      <c r="K1487" t="inlineStr">
        <is>
          <t>ESIOS 1001 geo 8741</t>
        </is>
      </c>
      <c r="L1487" t="inlineStr">
        <is>
          <t>24 valores; mín 28.14, máx 170.36 €/MWh</t>
        </is>
      </c>
    </row>
    <row r="1488">
      <c r="A1488" s="53" t="n">
        <v>45831</v>
      </c>
      <c r="B1488" t="inlineStr">
        <is>
          <t>2025-06-23</t>
        </is>
      </c>
      <c r="C1488" s="45" t="n">
        <v>168.155</v>
      </c>
      <c r="D1488" t="inlineStr">
        <is>
          <t>€/MWh</t>
        </is>
      </c>
      <c r="E1488" s="54" t="n">
        <v>0.168155</v>
      </c>
      <c r="F1488" s="54" t="n">
        <v>0.21387</v>
      </c>
      <c r="G1488" t="inlineStr">
        <is>
          <t>calculado</t>
        </is>
      </c>
      <c r="H1488" t="inlineStr">
        <is>
          <t>IEE 5.1127 % con cuota mínima 1 €/MWh (Ley 38/1992 art. 99 (sin medidas vigentes)) + IVA 21 % (Ley 37/1992 art. 90 (sin medidas vigentes))</t>
        </is>
      </c>
      <c r="J1488" t="inlineStr">
        <is>
          <t>2025-06-22</t>
        </is>
      </c>
      <c r="K1488" t="inlineStr">
        <is>
          <t>ESIOS 1001 geo 8741</t>
        </is>
      </c>
      <c r="L1488" t="inlineStr">
        <is>
          <t>24 valores; mín 92.97, máx 313.33 €/MWh</t>
        </is>
      </c>
    </row>
    <row r="1489">
      <c r="A1489" s="53" t="n">
        <v>45832</v>
      </c>
      <c r="B1489" t="inlineStr">
        <is>
          <t>2025-06-24</t>
        </is>
      </c>
      <c r="C1489" s="45" t="n">
        <v>157.4708</v>
      </c>
      <c r="D1489" t="inlineStr">
        <is>
          <t>€/MWh</t>
        </is>
      </c>
      <c r="E1489" s="54" t="n">
        <v>0.157471</v>
      </c>
      <c r="F1489" s="54" t="n">
        <v>0.200281</v>
      </c>
      <c r="G1489" t="inlineStr">
        <is>
          <t>calculado</t>
        </is>
      </c>
      <c r="H1489" t="inlineStr">
        <is>
          <t>IEE 5.1127 % con cuota mínima 1 €/MWh (Ley 38/1992 art. 99 (sin medidas vigentes)) + IVA 21 % (Ley 37/1992 art. 90 (sin medidas vigentes))</t>
        </is>
      </c>
      <c r="J1489" t="inlineStr">
        <is>
          <t>2025-06-23</t>
        </is>
      </c>
      <c r="K1489" t="inlineStr">
        <is>
          <t>ESIOS 1001 geo 8741</t>
        </is>
      </c>
      <c r="L1489" t="inlineStr">
        <is>
          <t>24 valores; mín 42.28, máx 262.54 €/MWh</t>
        </is>
      </c>
    </row>
    <row r="1490">
      <c r="A1490" s="53" t="n">
        <v>45833</v>
      </c>
      <c r="B1490" t="inlineStr">
        <is>
          <t>2025-06-25</t>
        </is>
      </c>
      <c r="C1490" s="45" t="n">
        <v>145.6508</v>
      </c>
      <c r="D1490" t="inlineStr">
        <is>
          <t>€/MWh</t>
        </is>
      </c>
      <c r="E1490" s="54" t="n">
        <v>0.145651</v>
      </c>
      <c r="F1490" s="54" t="n">
        <v>0.185248</v>
      </c>
      <c r="G1490" t="inlineStr">
        <is>
          <t>calculado</t>
        </is>
      </c>
      <c r="H1490" t="inlineStr">
        <is>
          <t>IEE 5.1127 % con cuota mínima 1 €/MWh (Ley 38/1992 art. 99 (sin medidas vigentes)) + IVA 21 % (Ley 37/1992 art. 90 (sin medidas vigentes))</t>
        </is>
      </c>
      <c r="J1490" t="inlineStr">
        <is>
          <t>2025-06-24</t>
        </is>
      </c>
      <c r="K1490" t="inlineStr">
        <is>
          <t>ESIOS 1001 geo 8741</t>
        </is>
      </c>
      <c r="L1490" t="inlineStr">
        <is>
          <t>24 valores; mín 44.38, máx 272.95 €/MWh</t>
        </is>
      </c>
    </row>
    <row r="1491">
      <c r="A1491" s="53" t="n">
        <v>45834</v>
      </c>
      <c r="B1491" t="inlineStr">
        <is>
          <t>2025-06-26</t>
        </is>
      </c>
      <c r="C1491" s="45" t="n">
        <v>152.0871</v>
      </c>
      <c r="D1491" t="inlineStr">
        <is>
          <t>€/MWh</t>
        </is>
      </c>
      <c r="E1491" s="54" t="n">
        <v>0.152087</v>
      </c>
      <c r="F1491" s="54" t="n">
        <v>0.193434</v>
      </c>
      <c r="G1491" t="inlineStr">
        <is>
          <t>calculado</t>
        </is>
      </c>
      <c r="H1491" t="inlineStr">
        <is>
          <t>IEE 5.1127 % con cuota mínima 1 €/MWh (Ley 38/1992 art. 99 (sin medidas vigentes)) + IVA 21 % (Ley 37/1992 art. 90 (sin medidas vigentes))</t>
        </is>
      </c>
      <c r="J1491" t="inlineStr">
        <is>
          <t>2025-06-25</t>
        </is>
      </c>
      <c r="K1491" t="inlineStr">
        <is>
          <t>ESIOS 1001 geo 8741</t>
        </is>
      </c>
      <c r="L1491" t="inlineStr">
        <is>
          <t>24 valores; mín 74.83, máx 279.08 €/MWh</t>
        </is>
      </c>
    </row>
    <row r="1492">
      <c r="A1492" s="53" t="n">
        <v>45835</v>
      </c>
      <c r="B1492" t="inlineStr">
        <is>
          <t>2025-06-27</t>
        </is>
      </c>
      <c r="C1492" s="45" t="n">
        <v>153.4675</v>
      </c>
      <c r="D1492" t="inlineStr">
        <is>
          <t>€/MWh</t>
        </is>
      </c>
      <c r="E1492" s="54" t="n">
        <v>0.153468</v>
      </c>
      <c r="F1492" s="54" t="n">
        <v>0.19519</v>
      </c>
      <c r="G1492" t="inlineStr">
        <is>
          <t>calculado</t>
        </is>
      </c>
      <c r="H1492" t="inlineStr">
        <is>
          <t>IEE 5.1127 % con cuota mínima 1 €/MWh (Ley 38/1992 art. 99 (sin medidas vigentes)) + IVA 21 % (Ley 37/1992 art. 90 (sin medidas vigentes))</t>
        </is>
      </c>
      <c r="J1492" t="inlineStr">
        <is>
          <t>2025-06-26</t>
        </is>
      </c>
      <c r="K1492" t="inlineStr">
        <is>
          <t>ESIOS 1001 geo 8741</t>
        </is>
      </c>
      <c r="L1492" t="inlineStr">
        <is>
          <t>24 valores; mín 75.54, máx 258.91 €/MWh</t>
        </is>
      </c>
    </row>
    <row r="1493">
      <c r="A1493" s="53" t="n">
        <v>45836</v>
      </c>
      <c r="B1493" t="inlineStr">
        <is>
          <t>2025-06-28</t>
        </is>
      </c>
      <c r="C1493" s="45" t="n">
        <v>98.75920000000001</v>
      </c>
      <c r="D1493" t="inlineStr">
        <is>
          <t>€/MWh</t>
        </is>
      </c>
      <c r="E1493" s="54" t="n">
        <v>0.098759</v>
      </c>
      <c r="F1493" s="54" t="n">
        <v>0.125608</v>
      </c>
      <c r="G1493" t="inlineStr">
        <is>
          <t>calculado</t>
        </is>
      </c>
      <c r="H1493" t="inlineStr">
        <is>
          <t>IEE 5.1127 % con cuota mínima 1 €/MWh (Ley 38/1992 art. 99 (sin medidas vigentes)) + IVA 21 % (Ley 37/1992 art. 90 (sin medidas vigentes))</t>
        </is>
      </c>
      <c r="J1493" t="inlineStr">
        <is>
          <t>2025-06-27</t>
        </is>
      </c>
      <c r="K1493" t="inlineStr">
        <is>
          <t>ESIOS 1001 geo 8741</t>
        </is>
      </c>
      <c r="L1493" t="inlineStr">
        <is>
          <t>24 valores; mín 21.53, máx 169.80 €/MWh</t>
        </is>
      </c>
    </row>
    <row r="1494">
      <c r="A1494" s="53" t="n">
        <v>45837</v>
      </c>
      <c r="B1494" t="inlineStr">
        <is>
          <t>2025-06-29</t>
        </is>
      </c>
      <c r="C1494" s="45" t="n">
        <v>103.7533</v>
      </c>
      <c r="D1494" t="inlineStr">
        <is>
          <t>€/MWh</t>
        </is>
      </c>
      <c r="E1494" s="54" t="n">
        <v>0.103753</v>
      </c>
      <c r="F1494" s="54" t="n">
        <v>0.13196</v>
      </c>
      <c r="G1494" t="inlineStr">
        <is>
          <t>calculado</t>
        </is>
      </c>
      <c r="H1494" t="inlineStr">
        <is>
          <t>IEE 5.1127 % con cuota mínima 1 €/MWh (Ley 38/1992 art. 99 (sin medidas vigentes)) + IVA 21 % (Ley 37/1992 art. 90 (sin medidas vigentes))</t>
        </is>
      </c>
      <c r="J1494" t="inlineStr">
        <is>
          <t>2025-06-28</t>
        </is>
      </c>
      <c r="K1494" t="inlineStr">
        <is>
          <t>ESIOS 1001 geo 8741</t>
        </is>
      </c>
      <c r="L1494" t="inlineStr">
        <is>
          <t>24 valores; mín 28.63, máx 195.15 €/MWh</t>
        </is>
      </c>
    </row>
    <row r="1495">
      <c r="A1495" s="53" t="n">
        <v>45838</v>
      </c>
      <c r="B1495" t="inlineStr">
        <is>
          <t>2025-06-30</t>
        </is>
      </c>
      <c r="C1495" s="45" t="n">
        <v>167.1217</v>
      </c>
      <c r="D1495" t="inlineStr">
        <is>
          <t>€/MWh</t>
        </is>
      </c>
      <c r="E1495" s="54" t="n">
        <v>0.167122</v>
      </c>
      <c r="F1495" s="54" t="n">
        <v>0.212556</v>
      </c>
      <c r="G1495" t="inlineStr">
        <is>
          <t>calculado</t>
        </is>
      </c>
      <c r="H1495" t="inlineStr">
        <is>
          <t>IEE 5.1127 % con cuota mínima 1 €/MWh (Ley 38/1992 art. 99 (sin medidas vigentes)) + IVA 21 % (Ley 37/1992 art. 90 (sin medidas vigentes))</t>
        </is>
      </c>
      <c r="J1495" t="inlineStr">
        <is>
          <t>2025-06-29</t>
        </is>
      </c>
      <c r="K1495" t="inlineStr">
        <is>
          <t>ESIOS 1001 geo 8741</t>
        </is>
      </c>
      <c r="L1495" t="inlineStr">
        <is>
          <t>24 valores; mín 115.01, máx 294.30 €/MWh</t>
        </is>
      </c>
    </row>
    <row r="1496">
      <c r="A1496" s="53" t="n">
        <v>45839</v>
      </c>
      <c r="B1496" t="inlineStr">
        <is>
          <t>2025-07-01</t>
        </is>
      </c>
      <c r="C1496" s="45" t="n">
        <v>170.24</v>
      </c>
      <c r="D1496" t="inlineStr">
        <is>
          <t>€/MWh</t>
        </is>
      </c>
      <c r="E1496" s="54" t="n">
        <v>0.17024</v>
      </c>
      <c r="F1496" s="54" t="n">
        <v>0.216522</v>
      </c>
      <c r="G1496" t="inlineStr">
        <is>
          <t>calculado</t>
        </is>
      </c>
      <c r="H1496" t="inlineStr">
        <is>
          <t>IEE 5.1127 % con cuota mínima 1 €/MWh (Ley 38/1992 art. 99 (sin medidas vigentes)) + IVA 21 % (Ley 37/1992 art. 90 (sin medidas vigentes))</t>
        </is>
      </c>
      <c r="J1496" t="inlineStr">
        <is>
          <t>2025-06-30</t>
        </is>
      </c>
      <c r="K1496" t="inlineStr">
        <is>
          <t>ESIOS 1001 geo 8741</t>
        </is>
      </c>
      <c r="L1496" t="inlineStr">
        <is>
          <t>24 valores; mín 121.30, máx 284.79 €/MWh</t>
        </is>
      </c>
    </row>
    <row r="1497">
      <c r="A1497" s="53" t="n">
        <v>45840</v>
      </c>
      <c r="B1497" t="inlineStr">
        <is>
          <t>2025-07-02</t>
        </is>
      </c>
      <c r="C1497" s="45" t="n">
        <v>163.9608</v>
      </c>
      <c r="D1497" t="inlineStr">
        <is>
          <t>€/MWh</t>
        </is>
      </c>
      <c r="E1497" s="54" t="n">
        <v>0.163961</v>
      </c>
      <c r="F1497" s="54" t="n">
        <v>0.208536</v>
      </c>
      <c r="G1497" t="inlineStr">
        <is>
          <t>calculado</t>
        </is>
      </c>
      <c r="H1497" t="inlineStr">
        <is>
          <t>IEE 5.1127 % con cuota mínima 1 €/MWh (Ley 38/1992 art. 99 (sin medidas vigentes)) + IVA 21 % (Ley 37/1992 art. 90 (sin medidas vigentes))</t>
        </is>
      </c>
      <c r="J1497" t="inlineStr">
        <is>
          <t>2025-07-01</t>
        </is>
      </c>
      <c r="K1497" t="inlineStr">
        <is>
          <t>ESIOS 1001 geo 8741</t>
        </is>
      </c>
      <c r="L1497" t="inlineStr">
        <is>
          <t>24 valores; mín 115.47, máx 245.31 €/MWh</t>
        </is>
      </c>
    </row>
    <row r="1498">
      <c r="A1498" s="53" t="n">
        <v>45841</v>
      </c>
      <c r="B1498" t="inlineStr">
        <is>
          <t>2025-07-03</t>
        </is>
      </c>
      <c r="C1498" s="45" t="n">
        <v>160.1175</v>
      </c>
      <c r="D1498" t="inlineStr">
        <is>
          <t>€/MWh</t>
        </is>
      </c>
      <c r="E1498" s="54" t="n">
        <v>0.160117</v>
      </c>
      <c r="F1498" s="54" t="n">
        <v>0.203648</v>
      </c>
      <c r="G1498" t="inlineStr">
        <is>
          <t>calculado</t>
        </is>
      </c>
      <c r="H1498" t="inlineStr">
        <is>
          <t>IEE 5.1127 % con cuota mínima 1 €/MWh (Ley 38/1992 art. 99 (sin medidas vigentes)) + IVA 21 % (Ley 37/1992 art. 90 (sin medidas vigentes))</t>
        </is>
      </c>
      <c r="J1498" t="inlineStr">
        <is>
          <t>2025-07-02</t>
        </is>
      </c>
      <c r="K1498" t="inlineStr">
        <is>
          <t>ESIOS 1001 geo 8741</t>
        </is>
      </c>
      <c r="L1498" t="inlineStr">
        <is>
          <t>24 valores; mín 88.93, máx 266.88 €/MWh</t>
        </is>
      </c>
    </row>
    <row r="1499">
      <c r="A1499" s="53" t="n">
        <v>45842</v>
      </c>
      <c r="B1499" t="inlineStr">
        <is>
          <t>2025-07-04</t>
        </is>
      </c>
      <c r="C1499" s="45" t="n">
        <v>163.6592</v>
      </c>
      <c r="D1499" t="inlineStr">
        <is>
          <t>€/MWh</t>
        </is>
      </c>
      <c r="E1499" s="54" t="n">
        <v>0.163659</v>
      </c>
      <c r="F1499" s="54" t="n">
        <v>0.208152</v>
      </c>
      <c r="G1499" t="inlineStr">
        <is>
          <t>calculado</t>
        </is>
      </c>
      <c r="H1499" t="inlineStr">
        <is>
          <t>IEE 5.1127 % con cuota mínima 1 €/MWh (Ley 38/1992 art. 99 (sin medidas vigentes)) + IVA 21 % (Ley 37/1992 art. 90 (sin medidas vigentes))</t>
        </is>
      </c>
      <c r="J1499" t="inlineStr">
        <is>
          <t>2025-07-03</t>
        </is>
      </c>
      <c r="K1499" t="inlineStr">
        <is>
          <t>ESIOS 1001 geo 8741</t>
        </is>
      </c>
      <c r="L1499" t="inlineStr">
        <is>
          <t>24 valores; mín 123.69, máx 260.44 €/MWh</t>
        </is>
      </c>
    </row>
    <row r="1500">
      <c r="A1500" s="53" t="n">
        <v>45843</v>
      </c>
      <c r="B1500" t="inlineStr">
        <is>
          <t>2025-07-05</t>
        </is>
      </c>
      <c r="C1500" s="45" t="n">
        <v>106.5688</v>
      </c>
      <c r="D1500" t="inlineStr">
        <is>
          <t>€/MWh</t>
        </is>
      </c>
      <c r="E1500" s="54" t="n">
        <v>0.106569</v>
      </c>
      <c r="F1500" s="54" t="n">
        <v>0.135541</v>
      </c>
      <c r="G1500" t="inlineStr">
        <is>
          <t>calculado</t>
        </is>
      </c>
      <c r="H1500" t="inlineStr">
        <is>
          <t>IEE 5.1127 % con cuota mínima 1 €/MWh (Ley 38/1992 art. 99 (sin medidas vigentes)) + IVA 21 % (Ley 37/1992 art. 90 (sin medidas vigentes))</t>
        </is>
      </c>
      <c r="J1500" t="inlineStr">
        <is>
          <t>2025-07-04</t>
        </is>
      </c>
      <c r="K1500" t="inlineStr">
        <is>
          <t>ESIOS 1001 geo 8741</t>
        </is>
      </c>
      <c r="L1500" t="inlineStr">
        <is>
          <t>24 valores; mín 31.41, máx 174.27 €/MWh</t>
        </is>
      </c>
    </row>
    <row r="1501">
      <c r="A1501" s="53" t="n">
        <v>45844</v>
      </c>
      <c r="B1501" t="inlineStr">
        <is>
          <t>2025-07-06</t>
        </is>
      </c>
      <c r="C1501" s="45" t="n">
        <v>98.9496</v>
      </c>
      <c r="D1501" t="inlineStr">
        <is>
          <t>€/MWh</t>
        </is>
      </c>
      <c r="E1501" s="54" t="n">
        <v>0.09895</v>
      </c>
      <c r="F1501" s="54" t="n">
        <v>0.12585</v>
      </c>
      <c r="G1501" t="inlineStr">
        <is>
          <t>calculado</t>
        </is>
      </c>
      <c r="H1501" t="inlineStr">
        <is>
          <t>IEE 5.1127 % con cuota mínima 1 €/MWh (Ley 38/1992 art. 99 (sin medidas vigentes)) + IVA 21 % (Ley 37/1992 art. 90 (sin medidas vigentes))</t>
        </is>
      </c>
      <c r="J1501" t="inlineStr">
        <is>
          <t>2025-07-05</t>
        </is>
      </c>
      <c r="K1501" t="inlineStr">
        <is>
          <t>ESIOS 1001 geo 8741</t>
        </is>
      </c>
      <c r="L1501" t="inlineStr">
        <is>
          <t>24 valores; mín 39.11, máx 156.00 €/MWh</t>
        </is>
      </c>
    </row>
    <row r="1502">
      <c r="A1502" s="53" t="n">
        <v>45845</v>
      </c>
      <c r="B1502" t="inlineStr">
        <is>
          <t>2025-07-07</t>
        </is>
      </c>
      <c r="C1502" s="45" t="n">
        <v>140.1579</v>
      </c>
      <c r="D1502" t="inlineStr">
        <is>
          <t>€/MWh</t>
        </is>
      </c>
      <c r="E1502" s="54" t="n">
        <v>0.140158</v>
      </c>
      <c r="F1502" s="54" t="n">
        <v>0.178262</v>
      </c>
      <c r="G1502" t="inlineStr">
        <is>
          <t>calculado</t>
        </is>
      </c>
      <c r="H1502" t="inlineStr">
        <is>
          <t>IEE 5.1127 % con cuota mínima 1 €/MWh (Ley 38/1992 art. 99 (sin medidas vigentes)) + IVA 21 % (Ley 37/1992 art. 90 (sin medidas vigentes))</t>
        </is>
      </c>
      <c r="J1502" t="inlineStr">
        <is>
          <t>2025-07-06</t>
        </is>
      </c>
      <c r="K1502" t="inlineStr">
        <is>
          <t>ESIOS 1001 geo 8741</t>
        </is>
      </c>
      <c r="L1502" t="inlineStr">
        <is>
          <t>24 valores; mín 61.07, máx 246.88 €/MWh</t>
        </is>
      </c>
    </row>
    <row r="1503">
      <c r="A1503" s="53" t="n">
        <v>45846</v>
      </c>
      <c r="B1503" t="inlineStr">
        <is>
          <t>2025-07-08</t>
        </is>
      </c>
      <c r="C1503" s="45" t="n">
        <v>130.0542</v>
      </c>
      <c r="D1503" t="inlineStr">
        <is>
          <t>€/MWh</t>
        </is>
      </c>
      <c r="E1503" s="54" t="n">
        <v>0.130054</v>
      </c>
      <c r="F1503" s="54" t="n">
        <v>0.165411</v>
      </c>
      <c r="G1503" t="inlineStr">
        <is>
          <t>calculado</t>
        </is>
      </c>
      <c r="H1503" t="inlineStr">
        <is>
          <t>IEE 5.1127 % con cuota mínima 1 €/MWh (Ley 38/1992 art. 99 (sin medidas vigentes)) + IVA 21 % (Ley 37/1992 art. 90 (sin medidas vigentes))</t>
        </is>
      </c>
      <c r="J1503" t="inlineStr">
        <is>
          <t>2025-07-07</t>
        </is>
      </c>
      <c r="K1503" t="inlineStr">
        <is>
          <t>ESIOS 1001 geo 8741</t>
        </is>
      </c>
      <c r="L1503" t="inlineStr">
        <is>
          <t>24 valores; mín 65.53, máx 252.56 €/MWh</t>
        </is>
      </c>
    </row>
    <row r="1504">
      <c r="A1504" s="53" t="n">
        <v>45847</v>
      </c>
      <c r="B1504" t="inlineStr">
        <is>
          <t>2025-07-09</t>
        </is>
      </c>
      <c r="C1504" s="45" t="n">
        <v>158.0204</v>
      </c>
      <c r="D1504" t="inlineStr">
        <is>
          <t>€/MWh</t>
        </is>
      </c>
      <c r="E1504" s="54" t="n">
        <v>0.15802</v>
      </c>
      <c r="F1504" s="54" t="n">
        <v>0.20098</v>
      </c>
      <c r="G1504" t="inlineStr">
        <is>
          <t>calculado</t>
        </is>
      </c>
      <c r="H1504" t="inlineStr">
        <is>
          <t>IEE 5.1127 % con cuota mínima 1 €/MWh (Ley 38/1992 art. 99 (sin medidas vigentes)) + IVA 21 % (Ley 37/1992 art. 90 (sin medidas vigentes))</t>
        </is>
      </c>
      <c r="J1504" t="inlineStr">
        <is>
          <t>2025-07-08</t>
        </is>
      </c>
      <c r="K1504" t="inlineStr">
        <is>
          <t>ESIOS 1001 geo 8741</t>
        </is>
      </c>
      <c r="L1504" t="inlineStr">
        <is>
          <t>24 valores; mín 87.51, máx 284.92 €/MWh</t>
        </is>
      </c>
    </row>
    <row r="1505">
      <c r="A1505" s="53" t="n">
        <v>45848</v>
      </c>
      <c r="B1505" t="inlineStr">
        <is>
          <t>2025-07-10</t>
        </is>
      </c>
      <c r="C1505" s="45" t="n">
        <v>168.3492</v>
      </c>
      <c r="D1505" t="inlineStr">
        <is>
          <t>€/MWh</t>
        </is>
      </c>
      <c r="E1505" s="54" t="n">
        <v>0.168349</v>
      </c>
      <c r="F1505" s="54" t="n">
        <v>0.214117</v>
      </c>
      <c r="G1505" t="inlineStr">
        <is>
          <t>calculado</t>
        </is>
      </c>
      <c r="H1505" t="inlineStr">
        <is>
          <t>IEE 5.1127 % con cuota mínima 1 €/MWh (Ley 38/1992 art. 99 (sin medidas vigentes)) + IVA 21 % (Ley 37/1992 art. 90 (sin medidas vigentes))</t>
        </is>
      </c>
      <c r="J1505" t="inlineStr">
        <is>
          <t>2025-07-09</t>
        </is>
      </c>
      <c r="K1505" t="inlineStr">
        <is>
          <t>ESIOS 1001 geo 8741</t>
        </is>
      </c>
      <c r="L1505" t="inlineStr">
        <is>
          <t>24 valores; mín 118.83, máx 272.94 €/MWh</t>
        </is>
      </c>
    </row>
    <row r="1506">
      <c r="A1506" s="53" t="n">
        <v>45849</v>
      </c>
      <c r="B1506" t="inlineStr">
        <is>
          <t>2025-07-11</t>
        </is>
      </c>
      <c r="C1506" s="45" t="n">
        <v>160.9029</v>
      </c>
      <c r="D1506" t="inlineStr">
        <is>
          <t>€/MWh</t>
        </is>
      </c>
      <c r="E1506" s="54" t="n">
        <v>0.160903</v>
      </c>
      <c r="F1506" s="54" t="n">
        <v>0.204647</v>
      </c>
      <c r="G1506" t="inlineStr">
        <is>
          <t>calculado</t>
        </is>
      </c>
      <c r="H1506" t="inlineStr">
        <is>
          <t>IEE 5.1127 % con cuota mínima 1 €/MWh (Ley 38/1992 art. 99 (sin medidas vigentes)) + IVA 21 % (Ley 37/1992 art. 90 (sin medidas vigentes))</t>
        </is>
      </c>
      <c r="J1506" t="inlineStr">
        <is>
          <t>2025-07-10</t>
        </is>
      </c>
      <c r="K1506" t="inlineStr">
        <is>
          <t>ESIOS 1001 geo 8741</t>
        </is>
      </c>
      <c r="L1506" t="inlineStr">
        <is>
          <t>24 valores; mín 101.64, máx 242.90 €/MWh</t>
        </is>
      </c>
    </row>
    <row r="1507">
      <c r="A1507" s="53" t="n">
        <v>45850</v>
      </c>
      <c r="B1507" t="inlineStr">
        <is>
          <t>2025-07-12</t>
        </is>
      </c>
      <c r="C1507" s="45" t="n">
        <v>110.8467</v>
      </c>
      <c r="D1507" t="inlineStr">
        <is>
          <t>€/MWh</t>
        </is>
      </c>
      <c r="E1507" s="54" t="n">
        <v>0.110847</v>
      </c>
      <c r="F1507" s="54" t="n">
        <v>0.140982</v>
      </c>
      <c r="G1507" t="inlineStr">
        <is>
          <t>calculado</t>
        </is>
      </c>
      <c r="H1507" t="inlineStr">
        <is>
          <t>IEE 5.1127 % con cuota mínima 1 €/MWh (Ley 38/1992 art. 99 (sin medidas vigentes)) + IVA 21 % (Ley 37/1992 art. 90 (sin medidas vigentes))</t>
        </is>
      </c>
      <c r="J1507" t="inlineStr">
        <is>
          <t>2025-07-11</t>
        </is>
      </c>
      <c r="K1507" t="inlineStr">
        <is>
          <t>ESIOS 1001 geo 8741</t>
        </is>
      </c>
      <c r="L1507" t="inlineStr">
        <is>
          <t>24 valores; mín 26.26, máx 172.44 €/MWh</t>
        </is>
      </c>
    </row>
    <row r="1508">
      <c r="A1508" s="53" t="n">
        <v>45851</v>
      </c>
      <c r="B1508" t="inlineStr">
        <is>
          <t>2025-07-13</t>
        </is>
      </c>
      <c r="C1508" s="45" t="n">
        <v>106.0496</v>
      </c>
      <c r="D1508" t="inlineStr">
        <is>
          <t>€/MWh</t>
        </is>
      </c>
      <c r="E1508" s="54" t="n">
        <v>0.10605</v>
      </c>
      <c r="F1508" s="54" t="n">
        <v>0.134881</v>
      </c>
      <c r="G1508" t="inlineStr">
        <is>
          <t>calculado</t>
        </is>
      </c>
      <c r="H1508" t="inlineStr">
        <is>
          <t>IEE 5.1127 % con cuota mínima 1 €/MWh (Ley 38/1992 art. 99 (sin medidas vigentes)) + IVA 21 % (Ley 37/1992 art. 90 (sin medidas vigentes))</t>
        </is>
      </c>
      <c r="J1508" t="inlineStr">
        <is>
          <t>2025-07-12</t>
        </is>
      </c>
      <c r="K1508" t="inlineStr">
        <is>
          <t>ESIOS 1001 geo 8741</t>
        </is>
      </c>
      <c r="L1508" t="inlineStr">
        <is>
          <t>24 valores; mín 33.56, máx 178.91 €/MWh</t>
        </is>
      </c>
    </row>
    <row r="1509">
      <c r="A1509" s="53" t="n">
        <v>45852</v>
      </c>
      <c r="B1509" t="inlineStr">
        <is>
          <t>2025-07-14</t>
        </is>
      </c>
      <c r="C1509" s="45" t="n">
        <v>151.2879</v>
      </c>
      <c r="D1509" t="inlineStr">
        <is>
          <t>€/MWh</t>
        </is>
      </c>
      <c r="E1509" s="54" t="n">
        <v>0.151288</v>
      </c>
      <c r="F1509" s="54" t="n">
        <v>0.192418</v>
      </c>
      <c r="G1509" t="inlineStr">
        <is>
          <t>calculado</t>
        </is>
      </c>
      <c r="H1509" t="inlineStr">
        <is>
          <t>IEE 5.1127 % con cuota mínima 1 €/MWh (Ley 38/1992 art. 99 (sin medidas vigentes)) + IVA 21 % (Ley 37/1992 art. 90 (sin medidas vigentes))</t>
        </is>
      </c>
      <c r="J1509" t="inlineStr">
        <is>
          <t>2025-07-13</t>
        </is>
      </c>
      <c r="K1509" t="inlineStr">
        <is>
          <t>ESIOS 1001 geo 8741</t>
        </is>
      </c>
      <c r="L1509" t="inlineStr">
        <is>
          <t>24 valores; mín 61.07, máx 253.15 €/MWh</t>
        </is>
      </c>
    </row>
    <row r="1510">
      <c r="A1510" s="53" t="n">
        <v>45853</v>
      </c>
      <c r="B1510" t="inlineStr">
        <is>
          <t>2025-07-15</t>
        </is>
      </c>
      <c r="C1510" s="45" t="n">
        <v>154.3054</v>
      </c>
      <c r="D1510" t="inlineStr">
        <is>
          <t>€/MWh</t>
        </is>
      </c>
      <c r="E1510" s="54" t="n">
        <v>0.154305</v>
      </c>
      <c r="F1510" s="54" t="n">
        <v>0.196255</v>
      </c>
      <c r="G1510" t="inlineStr">
        <is>
          <t>calculado</t>
        </is>
      </c>
      <c r="H1510" t="inlineStr">
        <is>
          <t>IEE 5.1127 % con cuota mínima 1 €/MWh (Ley 38/1992 art. 99 (sin medidas vigentes)) + IVA 21 % (Ley 37/1992 art. 90 (sin medidas vigentes))</t>
        </is>
      </c>
      <c r="J1510" t="inlineStr">
        <is>
          <t>2025-07-14</t>
        </is>
      </c>
      <c r="K1510" t="inlineStr">
        <is>
          <t>ESIOS 1001 geo 8741</t>
        </is>
      </c>
      <c r="L1510" t="inlineStr">
        <is>
          <t>24 valores; mín 78.23, máx 268.34 €/MWh</t>
        </is>
      </c>
    </row>
    <row r="1511">
      <c r="A1511" s="53" t="n">
        <v>45854</v>
      </c>
      <c r="B1511" t="inlineStr">
        <is>
          <t>2025-07-16</t>
        </is>
      </c>
      <c r="C1511" s="45" t="n">
        <v>164.0692</v>
      </c>
      <c r="D1511" t="inlineStr">
        <is>
          <t>€/MWh</t>
        </is>
      </c>
      <c r="E1511" s="54" t="n">
        <v>0.164069</v>
      </c>
      <c r="F1511" s="54" t="n">
        <v>0.208674</v>
      </c>
      <c r="G1511" t="inlineStr">
        <is>
          <t>calculado</t>
        </is>
      </c>
      <c r="H1511" t="inlineStr">
        <is>
          <t>IEE 5.1127 % con cuota mínima 1 €/MWh (Ley 38/1992 art. 99 (sin medidas vigentes)) + IVA 21 % (Ley 37/1992 art. 90 (sin medidas vigentes))</t>
        </is>
      </c>
      <c r="J1511" t="inlineStr">
        <is>
          <t>2025-07-15</t>
        </is>
      </c>
      <c r="K1511" t="inlineStr">
        <is>
          <t>ESIOS 1001 geo 8741</t>
        </is>
      </c>
      <c r="L1511" t="inlineStr">
        <is>
          <t>24 valores; mín 112.41, máx 305.10 €/MWh</t>
        </is>
      </c>
    </row>
    <row r="1512">
      <c r="A1512" s="53" t="n">
        <v>45855</v>
      </c>
      <c r="B1512" t="inlineStr">
        <is>
          <t>2025-07-17</t>
        </is>
      </c>
      <c r="C1512" s="45" t="n">
        <v>165.0625</v>
      </c>
      <c r="D1512" t="inlineStr">
        <is>
          <t>€/MWh</t>
        </is>
      </c>
      <c r="E1512" s="54" t="n">
        <v>0.165063</v>
      </c>
      <c r="F1512" s="54" t="n">
        <v>0.209937</v>
      </c>
      <c r="G1512" t="inlineStr">
        <is>
          <t>calculado</t>
        </is>
      </c>
      <c r="H1512" t="inlineStr">
        <is>
          <t>IEE 5.1127 % con cuota mínima 1 €/MWh (Ley 38/1992 art. 99 (sin medidas vigentes)) + IVA 21 % (Ley 37/1992 art. 90 (sin medidas vigentes))</t>
        </is>
      </c>
      <c r="J1512" t="inlineStr">
        <is>
          <t>2025-07-16</t>
        </is>
      </c>
      <c r="K1512" t="inlineStr">
        <is>
          <t>ESIOS 1001 geo 8741</t>
        </is>
      </c>
      <c r="L1512" t="inlineStr">
        <is>
          <t>24 valores; mín 118.78, máx 246.68 €/MWh</t>
        </is>
      </c>
    </row>
    <row r="1513">
      <c r="A1513" s="53" t="n">
        <v>45856</v>
      </c>
      <c r="B1513" t="inlineStr">
        <is>
          <t>2025-07-18</t>
        </is>
      </c>
      <c r="C1513" s="45" t="n">
        <v>160.0533</v>
      </c>
      <c r="D1513" t="inlineStr">
        <is>
          <t>€/MWh</t>
        </is>
      </c>
      <c r="E1513" s="54" t="n">
        <v>0.160053</v>
      </c>
      <c r="F1513" s="54" t="n">
        <v>0.203566</v>
      </c>
      <c r="G1513" t="inlineStr">
        <is>
          <t>calculado</t>
        </is>
      </c>
      <c r="H1513" t="inlineStr">
        <is>
          <t>IEE 5.1127 % con cuota mínima 1 €/MWh (Ley 38/1992 art. 99 (sin medidas vigentes)) + IVA 21 % (Ley 37/1992 art. 90 (sin medidas vigentes))</t>
        </is>
      </c>
      <c r="J1513" t="inlineStr">
        <is>
          <t>2025-07-17</t>
        </is>
      </c>
      <c r="K1513" t="inlineStr">
        <is>
          <t>ESIOS 1001 geo 8741</t>
        </is>
      </c>
      <c r="L1513" t="inlineStr">
        <is>
          <t>24 valores; mín 119.93, máx 239.58 €/MWh</t>
        </is>
      </c>
    </row>
    <row r="1514">
      <c r="A1514" s="53" t="n">
        <v>45857</v>
      </c>
      <c r="B1514" t="inlineStr">
        <is>
          <t>2025-07-19</t>
        </is>
      </c>
      <c r="C1514" s="45" t="n">
        <v>96.7175</v>
      </c>
      <c r="D1514" t="inlineStr">
        <is>
          <t>€/MWh</t>
        </is>
      </c>
      <c r="E1514" s="54" t="n">
        <v>0.096717</v>
      </c>
      <c r="F1514" s="54" t="n">
        <v>0.123011</v>
      </c>
      <c r="G1514" t="inlineStr">
        <is>
          <t>calculado</t>
        </is>
      </c>
      <c r="H1514" t="inlineStr">
        <is>
          <t>IEE 5.1127 % con cuota mínima 1 €/MWh (Ley 38/1992 art. 99 (sin medidas vigentes)) + IVA 21 % (Ley 37/1992 art. 90 (sin medidas vigentes))</t>
        </is>
      </c>
      <c r="J1514" t="inlineStr">
        <is>
          <t>2025-07-18</t>
        </is>
      </c>
      <c r="K1514" t="inlineStr">
        <is>
          <t>ESIOS 1001 geo 8741</t>
        </is>
      </c>
      <c r="L1514" t="inlineStr">
        <is>
          <t>24 valores; mín 40.56, máx 159.08 €/MWh</t>
        </is>
      </c>
    </row>
    <row r="1515">
      <c r="A1515" s="53" t="n">
        <v>45858</v>
      </c>
      <c r="B1515" t="inlineStr">
        <is>
          <t>2025-07-20</t>
        </is>
      </c>
      <c r="C1515" s="45" t="n">
        <v>88.34869999999999</v>
      </c>
      <c r="D1515" t="inlineStr">
        <is>
          <t>€/MWh</t>
        </is>
      </c>
      <c r="E1515" s="54" t="n">
        <v>0.088349</v>
      </c>
      <c r="F1515" s="54" t="n">
        <v>0.112367</v>
      </c>
      <c r="G1515" t="inlineStr">
        <is>
          <t>calculado</t>
        </is>
      </c>
      <c r="H1515" t="inlineStr">
        <is>
          <t>IEE 5.1127 % con cuota mínima 1 €/MWh (Ley 38/1992 art. 99 (sin medidas vigentes)) + IVA 21 % (Ley 37/1992 art. 90 (sin medidas vigentes))</t>
        </is>
      </c>
      <c r="J1515" t="inlineStr">
        <is>
          <t>2025-07-19</t>
        </is>
      </c>
      <c r="K1515" t="inlineStr">
        <is>
          <t>ESIOS 1001 geo 8741</t>
        </is>
      </c>
      <c r="L1515" t="inlineStr">
        <is>
          <t>24 valores; mín 54.85, máx 155.67 €/MWh</t>
        </is>
      </c>
    </row>
    <row r="1516">
      <c r="A1516" s="53" t="n">
        <v>45859</v>
      </c>
      <c r="B1516" t="inlineStr">
        <is>
          <t>2025-07-21</t>
        </is>
      </c>
      <c r="C1516" s="45" t="n">
        <v>137.6117</v>
      </c>
      <c r="D1516" t="inlineStr">
        <is>
          <t>€/MWh</t>
        </is>
      </c>
      <c r="E1516" s="54" t="n">
        <v>0.137612</v>
      </c>
      <c r="F1516" s="54" t="n">
        <v>0.175023</v>
      </c>
      <c r="G1516" t="inlineStr">
        <is>
          <t>calculado</t>
        </is>
      </c>
      <c r="H1516" t="inlineStr">
        <is>
          <t>IEE 5.1127 % con cuota mínima 1 €/MWh (Ley 38/1992 art. 99 (sin medidas vigentes)) + IVA 21 % (Ley 37/1992 art. 90 (sin medidas vigentes))</t>
        </is>
      </c>
      <c r="J1516" t="inlineStr">
        <is>
          <t>2025-07-20</t>
        </is>
      </c>
      <c r="K1516" t="inlineStr">
        <is>
          <t>ESIOS 1001 geo 8741</t>
        </is>
      </c>
      <c r="L1516" t="inlineStr">
        <is>
          <t>24 valores; mín 60.76, máx 312.62 €/MWh</t>
        </is>
      </c>
    </row>
    <row r="1517">
      <c r="A1517" s="53" t="n">
        <v>45860</v>
      </c>
      <c r="B1517" t="inlineStr">
        <is>
          <t>2025-07-22</t>
        </is>
      </c>
      <c r="C1517" s="45" t="n">
        <v>151.8312</v>
      </c>
      <c r="D1517" t="inlineStr">
        <is>
          <t>€/MWh</t>
        </is>
      </c>
      <c r="E1517" s="54" t="n">
        <v>0.151831</v>
      </c>
      <c r="F1517" s="54" t="n">
        <v>0.193109</v>
      </c>
      <c r="G1517" t="inlineStr">
        <is>
          <t>calculado</t>
        </is>
      </c>
      <c r="H1517" t="inlineStr">
        <is>
          <t>IEE 5.1127 % con cuota mínima 1 €/MWh (Ley 38/1992 art. 99 (sin medidas vigentes)) + IVA 21 % (Ley 37/1992 art. 90 (sin medidas vigentes))</t>
        </is>
      </c>
      <c r="J1517" t="inlineStr">
        <is>
          <t>2025-07-21</t>
        </is>
      </c>
      <c r="K1517" t="inlineStr">
        <is>
          <t>ESIOS 1001 geo 8741</t>
        </is>
      </c>
      <c r="L1517" t="inlineStr">
        <is>
          <t>24 valores; mín 83.38, máx 266.29 €/MWh</t>
        </is>
      </c>
    </row>
    <row r="1518">
      <c r="A1518" s="53" t="n">
        <v>45861</v>
      </c>
      <c r="B1518" t="inlineStr">
        <is>
          <t>2025-07-23</t>
        </is>
      </c>
      <c r="C1518" s="45" t="n">
        <v>153.4242</v>
      </c>
      <c r="D1518" t="inlineStr">
        <is>
          <t>€/MWh</t>
        </is>
      </c>
      <c r="E1518" s="54" t="n">
        <v>0.153424</v>
      </c>
      <c r="F1518" s="54" t="n">
        <v>0.195135</v>
      </c>
      <c r="G1518" t="inlineStr">
        <is>
          <t>calculado</t>
        </is>
      </c>
      <c r="H1518" t="inlineStr">
        <is>
          <t>IEE 5.1127 % con cuota mínima 1 €/MWh (Ley 38/1992 art. 99 (sin medidas vigentes)) + IVA 21 % (Ley 37/1992 art. 90 (sin medidas vigentes))</t>
        </is>
      </c>
      <c r="J1518" t="inlineStr">
        <is>
          <t>2025-07-22</t>
        </is>
      </c>
      <c r="K1518" t="inlineStr">
        <is>
          <t>ESIOS 1001 geo 8741</t>
        </is>
      </c>
      <c r="L1518" t="inlineStr">
        <is>
          <t>24 valores; mín 94.52, máx 237.72 €/MWh</t>
        </is>
      </c>
    </row>
    <row r="1519">
      <c r="A1519" s="53" t="n">
        <v>45862</v>
      </c>
      <c r="B1519" t="inlineStr">
        <is>
          <t>2025-07-24</t>
        </is>
      </c>
      <c r="C1519" s="45" t="n">
        <v>131.9746</v>
      </c>
      <c r="D1519" t="inlineStr">
        <is>
          <t>€/MWh</t>
        </is>
      </c>
      <c r="E1519" s="54" t="n">
        <v>0.131975</v>
      </c>
      <c r="F1519" s="54" t="n">
        <v>0.167854</v>
      </c>
      <c r="G1519" t="inlineStr">
        <is>
          <t>calculado</t>
        </is>
      </c>
      <c r="H1519" t="inlineStr">
        <is>
          <t>IEE 5.1127 % con cuota mínima 1 €/MWh (Ley 38/1992 art. 99 (sin medidas vigentes)) + IVA 21 % (Ley 37/1992 art. 90 (sin medidas vigentes))</t>
        </is>
      </c>
      <c r="J1519" t="inlineStr">
        <is>
          <t>2025-07-23</t>
        </is>
      </c>
      <c r="K1519" t="inlineStr">
        <is>
          <t>ESIOS 1001 geo 8741</t>
        </is>
      </c>
      <c r="L1519" t="inlineStr">
        <is>
          <t>24 valores; mín 65.38, máx 234.36 €/MWh</t>
        </is>
      </c>
    </row>
    <row r="1520">
      <c r="A1520" s="53" t="n">
        <v>45863</v>
      </c>
      <c r="B1520" t="inlineStr">
        <is>
          <t>2025-07-25</t>
        </is>
      </c>
      <c r="C1520" s="45" t="n">
        <v>130.5921</v>
      </c>
      <c r="D1520" t="inlineStr">
        <is>
          <t>€/MWh</t>
        </is>
      </c>
      <c r="E1520" s="54" t="n">
        <v>0.130592</v>
      </c>
      <c r="F1520" s="54" t="n">
        <v>0.166095</v>
      </c>
      <c r="G1520" t="inlineStr">
        <is>
          <t>calculado</t>
        </is>
      </c>
      <c r="H1520" t="inlineStr">
        <is>
          <t>IEE 5.1127 % con cuota mínima 1 €/MWh (Ley 38/1992 art. 99 (sin medidas vigentes)) + IVA 21 % (Ley 37/1992 art. 90 (sin medidas vigentes))</t>
        </is>
      </c>
      <c r="J1520" t="inlineStr">
        <is>
          <t>2025-07-24</t>
        </is>
      </c>
      <c r="K1520" t="inlineStr">
        <is>
          <t>ESIOS 1001 geo 8741</t>
        </is>
      </c>
      <c r="L1520" t="inlineStr">
        <is>
          <t>24 valores; mín 68.97, máx 257.17 €/MWh</t>
        </is>
      </c>
    </row>
    <row r="1521">
      <c r="A1521" s="53" t="n">
        <v>45864</v>
      </c>
      <c r="B1521" t="inlineStr">
        <is>
          <t>2025-07-26</t>
        </is>
      </c>
      <c r="C1521" s="45" t="n">
        <v>92.4204</v>
      </c>
      <c r="D1521" t="inlineStr">
        <is>
          <t>€/MWh</t>
        </is>
      </c>
      <c r="E1521" s="54" t="n">
        <v>0.09242</v>
      </c>
      <c r="F1521" s="54" t="n">
        <v>0.117546</v>
      </c>
      <c r="G1521" t="inlineStr">
        <is>
          <t>calculado</t>
        </is>
      </c>
      <c r="H1521" t="inlineStr">
        <is>
          <t>IEE 5.1127 % con cuota mínima 1 €/MWh (Ley 38/1992 art. 99 (sin medidas vigentes)) + IVA 21 % (Ley 37/1992 art. 90 (sin medidas vigentes))</t>
        </is>
      </c>
      <c r="J1521" t="inlineStr">
        <is>
          <t>2025-07-25</t>
        </is>
      </c>
      <c r="K1521" t="inlineStr">
        <is>
          <t>ESIOS 1001 geo 8741</t>
        </is>
      </c>
      <c r="L1521" t="inlineStr">
        <is>
          <t>24 valores; mín 51.68, máx 159.38 €/MWh</t>
        </is>
      </c>
    </row>
    <row r="1522">
      <c r="A1522" s="53" t="n">
        <v>45865</v>
      </c>
      <c r="B1522" t="inlineStr">
        <is>
          <t>2025-07-27</t>
        </is>
      </c>
      <c r="C1522" s="45" t="n">
        <v>92.5813</v>
      </c>
      <c r="D1522" t="inlineStr">
        <is>
          <t>€/MWh</t>
        </is>
      </c>
      <c r="E1522" s="54" t="n">
        <v>0.092581</v>
      </c>
      <c r="F1522" s="54" t="n">
        <v>0.117751</v>
      </c>
      <c r="G1522" t="inlineStr">
        <is>
          <t>calculado</t>
        </is>
      </c>
      <c r="H1522" t="inlineStr">
        <is>
          <t>IEE 5.1127 % con cuota mínima 1 €/MWh (Ley 38/1992 art. 99 (sin medidas vigentes)) + IVA 21 % (Ley 37/1992 art. 90 (sin medidas vigentes))</t>
        </is>
      </c>
      <c r="J1522" t="inlineStr">
        <is>
          <t>2025-07-26</t>
        </is>
      </c>
      <c r="K1522" t="inlineStr">
        <is>
          <t>ESIOS 1001 geo 8741</t>
        </is>
      </c>
      <c r="L1522" t="inlineStr">
        <is>
          <t>24 valores; mín 56.14, máx 151.93 €/MWh</t>
        </is>
      </c>
    </row>
    <row r="1523">
      <c r="A1523" s="53" t="n">
        <v>45866</v>
      </c>
      <c r="B1523" t="inlineStr">
        <is>
          <t>2025-07-28</t>
        </is>
      </c>
      <c r="C1523" s="45" t="n">
        <v>131.9917</v>
      </c>
      <c r="D1523" t="inlineStr">
        <is>
          <t>€/MWh</t>
        </is>
      </c>
      <c r="E1523" s="54" t="n">
        <v>0.131992</v>
      </c>
      <c r="F1523" s="54" t="n">
        <v>0.167875</v>
      </c>
      <c r="G1523" t="inlineStr">
        <is>
          <t>calculado</t>
        </is>
      </c>
      <c r="H1523" t="inlineStr">
        <is>
          <t>IEE 5.1127 % con cuota mínima 1 €/MWh (Ley 38/1992 art. 99 (sin medidas vigentes)) + IVA 21 % (Ley 37/1992 art. 90 (sin medidas vigentes))</t>
        </is>
      </c>
      <c r="J1523" t="inlineStr">
        <is>
          <t>2025-07-27</t>
        </is>
      </c>
      <c r="K1523" t="inlineStr">
        <is>
          <t>ESIOS 1001 geo 8741</t>
        </is>
      </c>
      <c r="L1523" t="inlineStr">
        <is>
          <t>24 valores; mín 80.67, máx 226.00 €/MWh</t>
        </is>
      </c>
    </row>
    <row r="1524">
      <c r="A1524" s="53" t="n">
        <v>45867</v>
      </c>
      <c r="B1524" t="inlineStr">
        <is>
          <t>2025-07-29</t>
        </is>
      </c>
      <c r="C1524" s="45" t="n">
        <v>128.5546</v>
      </c>
      <c r="D1524" t="inlineStr">
        <is>
          <t>€/MWh</t>
        </is>
      </c>
      <c r="E1524" s="54" t="n">
        <v>0.128555</v>
      </c>
      <c r="F1524" s="54" t="n">
        <v>0.163504</v>
      </c>
      <c r="G1524" t="inlineStr">
        <is>
          <t>calculado</t>
        </is>
      </c>
      <c r="H1524" t="inlineStr">
        <is>
          <t>IEE 5.1127 % con cuota mínima 1 €/MWh (Ley 38/1992 art. 99 (sin medidas vigentes)) + IVA 21 % (Ley 37/1992 art. 90 (sin medidas vigentes))</t>
        </is>
      </c>
      <c r="J1524" t="inlineStr">
        <is>
          <t>2025-07-28</t>
        </is>
      </c>
      <c r="K1524" t="inlineStr">
        <is>
          <t>ESIOS 1001 geo 8741</t>
        </is>
      </c>
      <c r="L1524" t="inlineStr">
        <is>
          <t>24 valores; mín 79.56, máx 252.37 €/MWh</t>
        </is>
      </c>
    </row>
    <row r="1525">
      <c r="A1525" s="53" t="n">
        <v>45868</v>
      </c>
      <c r="B1525" t="inlineStr">
        <is>
          <t>2025-07-30</t>
        </is>
      </c>
      <c r="C1525" s="45" t="n">
        <v>134.2521</v>
      </c>
      <c r="D1525" t="inlineStr">
        <is>
          <t>€/MWh</t>
        </is>
      </c>
      <c r="E1525" s="54" t="n">
        <v>0.134252</v>
      </c>
      <c r="F1525" s="54" t="n">
        <v>0.17075</v>
      </c>
      <c r="G1525" t="inlineStr">
        <is>
          <t>calculado</t>
        </is>
      </c>
      <c r="H1525" t="inlineStr">
        <is>
          <t>IEE 5.1127 % con cuota mínima 1 €/MWh (Ley 38/1992 art. 99 (sin medidas vigentes)) + IVA 21 % (Ley 37/1992 art. 90 (sin medidas vigentes))</t>
        </is>
      </c>
      <c r="J1525" t="inlineStr">
        <is>
          <t>2025-07-29</t>
        </is>
      </c>
      <c r="K1525" t="inlineStr">
        <is>
          <t>ESIOS 1001 geo 8741</t>
        </is>
      </c>
      <c r="L1525" t="inlineStr">
        <is>
          <t>24 valores; mín 82.28, máx 251.62 €/MWh</t>
        </is>
      </c>
    </row>
    <row r="1526">
      <c r="A1526" s="53" t="n">
        <v>45869</v>
      </c>
      <c r="B1526" t="inlineStr">
        <is>
          <t>2025-07-31</t>
        </is>
      </c>
      <c r="C1526" s="45" t="n">
        <v>144.55</v>
      </c>
      <c r="D1526" t="inlineStr">
        <is>
          <t>€/MWh</t>
        </is>
      </c>
      <c r="E1526" s="54" t="n">
        <v>0.14455</v>
      </c>
      <c r="F1526" s="54" t="n">
        <v>0.183848</v>
      </c>
      <c r="G1526" t="inlineStr">
        <is>
          <t>calculado</t>
        </is>
      </c>
      <c r="H1526" t="inlineStr">
        <is>
          <t>IEE 5.1127 % con cuota mínima 1 €/MWh (Ley 38/1992 art. 99 (sin medidas vigentes)) + IVA 21 % (Ley 37/1992 art. 90 (sin medidas vigentes))</t>
        </is>
      </c>
      <c r="J1526" t="inlineStr">
        <is>
          <t>2025-07-30</t>
        </is>
      </c>
      <c r="K1526" t="inlineStr">
        <is>
          <t>ESIOS 1001 geo 8741</t>
        </is>
      </c>
      <c r="L1526" t="inlineStr">
        <is>
          <t>24 valores; mín 90.95, máx 251.19 €/MWh</t>
        </is>
      </c>
    </row>
    <row r="1527">
      <c r="A1527" s="53" t="n">
        <v>45870</v>
      </c>
      <c r="B1527" t="inlineStr">
        <is>
          <t>2025-08-01</t>
        </is>
      </c>
      <c r="C1527" s="45" t="n">
        <v>145.1354</v>
      </c>
      <c r="D1527" t="inlineStr">
        <is>
          <t>€/MWh</t>
        </is>
      </c>
      <c r="E1527" s="54" t="n">
        <v>0.145135</v>
      </c>
      <c r="F1527" s="54" t="n">
        <v>0.184592</v>
      </c>
      <c r="G1527" t="inlineStr">
        <is>
          <t>calculado</t>
        </is>
      </c>
      <c r="H1527" t="inlineStr">
        <is>
          <t>IEE 5.1127 % con cuota mínima 1 €/MWh (Ley 38/1992 art. 99 (sin medidas vigentes)) + IVA 21 % (Ley 37/1992 art. 90 (sin medidas vigentes))</t>
        </is>
      </c>
      <c r="J1527" t="inlineStr">
        <is>
          <t>2025-07-31</t>
        </is>
      </c>
      <c r="K1527" t="inlineStr">
        <is>
          <t>ESIOS 1001 geo 8741</t>
        </is>
      </c>
      <c r="L1527" t="inlineStr">
        <is>
          <t>24 valores; mín 75.86, máx 238.04 €/MWh</t>
        </is>
      </c>
    </row>
    <row r="1528">
      <c r="A1528" s="53" t="n">
        <v>45871</v>
      </c>
      <c r="B1528" t="inlineStr">
        <is>
          <t>2025-08-02</t>
        </is>
      </c>
      <c r="C1528" s="45" t="n">
        <v>94.0162</v>
      </c>
      <c r="D1528" t="inlineStr">
        <is>
          <t>€/MWh</t>
        </is>
      </c>
      <c r="E1528" s="54" t="n">
        <v>0.094016</v>
      </c>
      <c r="F1528" s="54" t="n">
        <v>0.119576</v>
      </c>
      <c r="G1528" t="inlineStr">
        <is>
          <t>calculado</t>
        </is>
      </c>
      <c r="H1528" t="inlineStr">
        <is>
          <t>IEE 5.1127 % con cuota mínima 1 €/MWh (Ley 38/1992 art. 99 (sin medidas vigentes)) + IVA 21 % (Ley 37/1992 art. 90 (sin medidas vigentes))</t>
        </is>
      </c>
      <c r="J1528" t="inlineStr">
        <is>
          <t>2025-08-01</t>
        </is>
      </c>
      <c r="K1528" t="inlineStr">
        <is>
          <t>ESIOS 1001 geo 8741</t>
        </is>
      </c>
      <c r="L1528" t="inlineStr">
        <is>
          <t>24 valores; mín 55.37, máx 160.79 €/MWh</t>
        </is>
      </c>
    </row>
    <row r="1529">
      <c r="A1529" s="53" t="n">
        <v>45872</v>
      </c>
      <c r="B1529" t="inlineStr">
        <is>
          <t>2025-08-03</t>
        </is>
      </c>
      <c r="C1529" s="45" t="n">
        <v>87.3146</v>
      </c>
      <c r="D1529" t="inlineStr">
        <is>
          <t>€/MWh</t>
        </is>
      </c>
      <c r="E1529" s="54" t="n">
        <v>0.087315</v>
      </c>
      <c r="F1529" s="54" t="n">
        <v>0.111052</v>
      </c>
      <c r="G1529" t="inlineStr">
        <is>
          <t>calculado</t>
        </is>
      </c>
      <c r="H1529" t="inlineStr">
        <is>
          <t>IEE 5.1127 % con cuota mínima 1 €/MWh (Ley 38/1992 art. 99 (sin medidas vigentes)) + IVA 21 % (Ley 37/1992 art. 90 (sin medidas vigentes))</t>
        </is>
      </c>
      <c r="J1529" t="inlineStr">
        <is>
          <t>2025-08-02</t>
        </is>
      </c>
      <c r="K1529" t="inlineStr">
        <is>
          <t>ESIOS 1001 geo 8741</t>
        </is>
      </c>
      <c r="L1529" t="inlineStr">
        <is>
          <t>24 valores; mín 48.15, máx 158.65 €/MWh</t>
        </is>
      </c>
    </row>
    <row r="1530">
      <c r="A1530" s="53" t="n">
        <v>45873</v>
      </c>
      <c r="B1530" t="inlineStr">
        <is>
          <t>2025-08-04</t>
        </is>
      </c>
      <c r="C1530" s="45" t="n">
        <v>145.7562</v>
      </c>
      <c r="D1530" t="inlineStr">
        <is>
          <t>€/MWh</t>
        </is>
      </c>
      <c r="E1530" s="54" t="n">
        <v>0.145756</v>
      </c>
      <c r="F1530" s="54" t="n">
        <v>0.185382</v>
      </c>
      <c r="G1530" t="inlineStr">
        <is>
          <t>calculado</t>
        </is>
      </c>
      <c r="H1530" t="inlineStr">
        <is>
          <t>IEE 5.1127 % con cuota mínima 1 €/MWh (Ley 38/1992 art. 99 (sin medidas vigentes)) + IVA 21 % (Ley 37/1992 art. 90 (sin medidas vigentes))</t>
        </is>
      </c>
      <c r="J1530" t="inlineStr">
        <is>
          <t>2025-08-03</t>
        </is>
      </c>
      <c r="K1530" t="inlineStr">
        <is>
          <t>ESIOS 1001 geo 8741</t>
        </is>
      </c>
      <c r="L1530" t="inlineStr">
        <is>
          <t>24 valores; mín 61.06, máx 315.71 €/MWh</t>
        </is>
      </c>
    </row>
    <row r="1531">
      <c r="A1531" s="53" t="n">
        <v>45874</v>
      </c>
      <c r="B1531" t="inlineStr">
        <is>
          <t>2025-08-05</t>
        </is>
      </c>
      <c r="C1531" s="45" t="n">
        <v>135.3725</v>
      </c>
      <c r="D1531" t="inlineStr">
        <is>
          <t>€/MWh</t>
        </is>
      </c>
      <c r="E1531" s="54" t="n">
        <v>0.135373</v>
      </c>
      <c r="F1531" s="54" t="n">
        <v>0.172175</v>
      </c>
      <c r="G1531" t="inlineStr">
        <is>
          <t>calculado</t>
        </is>
      </c>
      <c r="H1531" t="inlineStr">
        <is>
          <t>IEE 5.1127 % con cuota mínima 1 €/MWh (Ley 38/1992 art. 99 (sin medidas vigentes)) + IVA 21 % (Ley 37/1992 art. 90 (sin medidas vigentes))</t>
        </is>
      </c>
      <c r="J1531" t="inlineStr">
        <is>
          <t>2025-08-04</t>
        </is>
      </c>
      <c r="K1531" t="inlineStr">
        <is>
          <t>ESIOS 1001 geo 8741</t>
        </is>
      </c>
      <c r="L1531" t="inlineStr">
        <is>
          <t>24 valores; mín 53.60, máx 241.59 €/MWh</t>
        </is>
      </c>
    </row>
    <row r="1532">
      <c r="A1532" s="53" t="n">
        <v>45875</v>
      </c>
      <c r="B1532" t="inlineStr">
        <is>
          <t>2025-08-06</t>
        </is>
      </c>
      <c r="C1532" s="45" t="n">
        <v>150.3871</v>
      </c>
      <c r="D1532" t="inlineStr">
        <is>
          <t>€/MWh</t>
        </is>
      </c>
      <c r="E1532" s="54" t="n">
        <v>0.150387</v>
      </c>
      <c r="F1532" s="54" t="n">
        <v>0.191272</v>
      </c>
      <c r="G1532" t="inlineStr">
        <is>
          <t>calculado</t>
        </is>
      </c>
      <c r="H1532" t="inlineStr">
        <is>
          <t>IEE 5.1127 % con cuota mínima 1 €/MWh (Ley 38/1992 art. 99 (sin medidas vigentes)) + IVA 21 % (Ley 37/1992 art. 90 (sin medidas vigentes))</t>
        </is>
      </c>
      <c r="J1532" t="inlineStr">
        <is>
          <t>2025-08-05</t>
        </is>
      </c>
      <c r="K1532" t="inlineStr">
        <is>
          <t>ESIOS 1001 geo 8741</t>
        </is>
      </c>
      <c r="L1532" t="inlineStr">
        <is>
          <t>24 valores; mín 74.18, máx 310.16 €/MWh</t>
        </is>
      </c>
    </row>
    <row r="1533">
      <c r="A1533" s="53" t="n">
        <v>45876</v>
      </c>
      <c r="B1533" t="inlineStr">
        <is>
          <t>2025-08-07</t>
        </is>
      </c>
      <c r="C1533" s="45" t="n">
        <v>153.2688</v>
      </c>
      <c r="D1533" t="inlineStr">
        <is>
          <t>€/MWh</t>
        </is>
      </c>
      <c r="E1533" s="54" t="n">
        <v>0.153269</v>
      </c>
      <c r="F1533" s="54" t="n">
        <v>0.194937</v>
      </c>
      <c r="G1533" t="inlineStr">
        <is>
          <t>calculado</t>
        </is>
      </c>
      <c r="H1533" t="inlineStr">
        <is>
          <t>IEE 5.1127 % con cuota mínima 1 €/MWh (Ley 38/1992 art. 99 (sin medidas vigentes)) + IVA 21 % (Ley 37/1992 art. 90 (sin medidas vigentes))</t>
        </is>
      </c>
      <c r="J1533" t="inlineStr">
        <is>
          <t>2025-08-06</t>
        </is>
      </c>
      <c r="K1533" t="inlineStr">
        <is>
          <t>ESIOS 1001 geo 8741</t>
        </is>
      </c>
      <c r="L1533" t="inlineStr">
        <is>
          <t>24 valores; mín 72.17, máx 276.48 €/MWh</t>
        </is>
      </c>
    </row>
    <row r="1534">
      <c r="A1534" s="53" t="n">
        <v>45877</v>
      </c>
      <c r="B1534" t="inlineStr">
        <is>
          <t>2025-08-08</t>
        </is>
      </c>
      <c r="C1534" s="45" t="n">
        <v>147.5842</v>
      </c>
      <c r="D1534" t="inlineStr">
        <is>
          <t>€/MWh</t>
        </is>
      </c>
      <c r="E1534" s="54" t="n">
        <v>0.147584</v>
      </c>
      <c r="F1534" s="54" t="n">
        <v>0.187707</v>
      </c>
      <c r="G1534" t="inlineStr">
        <is>
          <t>calculado</t>
        </is>
      </c>
      <c r="H1534" t="inlineStr">
        <is>
          <t>IEE 5.1127 % con cuota mínima 1 €/MWh (Ley 38/1992 art. 99 (sin medidas vigentes)) + IVA 21 % (Ley 37/1992 art. 90 (sin medidas vigentes))</t>
        </is>
      </c>
      <c r="J1534" t="inlineStr">
        <is>
          <t>2025-08-07</t>
        </is>
      </c>
      <c r="K1534" t="inlineStr">
        <is>
          <t>ESIOS 1001 geo 8741</t>
        </is>
      </c>
      <c r="L1534" t="inlineStr">
        <is>
          <t>24 valores; mín 49.46, máx 271.11 €/MWh</t>
        </is>
      </c>
    </row>
    <row r="1535">
      <c r="A1535" s="53" t="n">
        <v>45878</v>
      </c>
      <c r="B1535" t="inlineStr">
        <is>
          <t>2025-08-09</t>
        </is>
      </c>
      <c r="C1535" s="45" t="n">
        <v>101.585</v>
      </c>
      <c r="D1535" t="inlineStr">
        <is>
          <t>€/MWh</t>
        </is>
      </c>
      <c r="E1535" s="54" t="n">
        <v>0.101585</v>
      </c>
      <c r="F1535" s="54" t="n">
        <v>0.129202</v>
      </c>
      <c r="G1535" t="inlineStr">
        <is>
          <t>calculado</t>
        </is>
      </c>
      <c r="H1535" t="inlineStr">
        <is>
          <t>IEE 5.1127 % con cuota mínima 1 €/MWh (Ley 38/1992 art. 99 (sin medidas vigentes)) + IVA 21 % (Ley 37/1992 art. 90 (sin medidas vigentes))</t>
        </is>
      </c>
      <c r="J1535" t="inlineStr">
        <is>
          <t>2025-08-08</t>
        </is>
      </c>
      <c r="K1535" t="inlineStr">
        <is>
          <t>ESIOS 1001 geo 8741</t>
        </is>
      </c>
      <c r="L1535" t="inlineStr">
        <is>
          <t>24 valores; mín 32.86, máx 158.13 €/MWh</t>
        </is>
      </c>
    </row>
    <row r="1536">
      <c r="A1536" s="53" t="n">
        <v>45879</v>
      </c>
      <c r="B1536" t="inlineStr">
        <is>
          <t>2025-08-10</t>
        </is>
      </c>
      <c r="C1536" s="45" t="n">
        <v>99.69</v>
      </c>
      <c r="D1536" t="inlineStr">
        <is>
          <t>€/MWh</t>
        </is>
      </c>
      <c r="E1536" s="54" t="n">
        <v>0.09969</v>
      </c>
      <c r="F1536" s="54" t="n">
        <v>0.126792</v>
      </c>
      <c r="G1536" t="inlineStr">
        <is>
          <t>calculado</t>
        </is>
      </c>
      <c r="H1536" t="inlineStr">
        <is>
          <t>IEE 5.1127 % con cuota mínima 1 €/MWh (Ley 38/1992 art. 99 (sin medidas vigentes)) + IVA 21 % (Ley 37/1992 art. 90 (sin medidas vigentes))</t>
        </is>
      </c>
      <c r="J1536" t="inlineStr">
        <is>
          <t>2025-08-09</t>
        </is>
      </c>
      <c r="K1536" t="inlineStr">
        <is>
          <t>ESIOS 1001 geo 8741</t>
        </is>
      </c>
      <c r="L1536" t="inlineStr">
        <is>
          <t>24 valores; mín 35.70, máx 187.03 €/MWh</t>
        </is>
      </c>
    </row>
    <row r="1537">
      <c r="A1537" s="53" t="n">
        <v>45880</v>
      </c>
      <c r="B1537" t="inlineStr">
        <is>
          <t>2025-08-11</t>
        </is>
      </c>
      <c r="C1537" s="45" t="n">
        <v>151.2029</v>
      </c>
      <c r="D1537" t="inlineStr">
        <is>
          <t>€/MWh</t>
        </is>
      </c>
      <c r="E1537" s="54" t="n">
        <v>0.151203</v>
      </c>
      <c r="F1537" s="54" t="n">
        <v>0.192309</v>
      </c>
      <c r="G1537" t="inlineStr">
        <is>
          <t>calculado</t>
        </is>
      </c>
      <c r="H1537" t="inlineStr">
        <is>
          <t>IEE 5.1127 % con cuota mínima 1 €/MWh (Ley 38/1992 art. 99 (sin medidas vigentes)) + IVA 21 % (Ley 37/1992 art. 90 (sin medidas vigentes))</t>
        </is>
      </c>
      <c r="J1537" t="inlineStr">
        <is>
          <t>2025-08-10</t>
        </is>
      </c>
      <c r="K1537" t="inlineStr">
        <is>
          <t>ESIOS 1001 geo 8741</t>
        </is>
      </c>
      <c r="L1537" t="inlineStr">
        <is>
          <t>24 valores; mín 56.54, máx 278.82 €/MWh</t>
        </is>
      </c>
    </row>
    <row r="1538">
      <c r="A1538" s="53" t="n">
        <v>45881</v>
      </c>
      <c r="B1538" t="inlineStr">
        <is>
          <t>2025-08-12</t>
        </is>
      </c>
      <c r="C1538" s="45" t="n">
        <v>157.6554</v>
      </c>
      <c r="D1538" t="inlineStr">
        <is>
          <t>€/MWh</t>
        </is>
      </c>
      <c r="E1538" s="54" t="n">
        <v>0.157655</v>
      </c>
      <c r="F1538" s="54" t="n">
        <v>0.200516</v>
      </c>
      <c r="G1538" t="inlineStr">
        <is>
          <t>calculado</t>
        </is>
      </c>
      <c r="H1538" t="inlineStr">
        <is>
          <t>IEE 5.1127 % con cuota mínima 1 €/MWh (Ley 38/1992 art. 99 (sin medidas vigentes)) + IVA 21 % (Ley 37/1992 art. 90 (sin medidas vigentes))</t>
        </is>
      </c>
      <c r="J1538" t="inlineStr">
        <is>
          <t>2025-08-11</t>
        </is>
      </c>
      <c r="K1538" t="inlineStr">
        <is>
          <t>ESIOS 1001 geo 8741</t>
        </is>
      </c>
      <c r="L1538" t="inlineStr">
        <is>
          <t>24 valores; mín 71.57, máx 289.50 €/MWh</t>
        </is>
      </c>
    </row>
    <row r="1539">
      <c r="A1539" s="53" t="n">
        <v>45882</v>
      </c>
      <c r="B1539" t="inlineStr">
        <is>
          <t>2025-08-13</t>
        </is>
      </c>
      <c r="C1539" s="45" t="n">
        <v>165.5796</v>
      </c>
      <c r="D1539" t="inlineStr">
        <is>
          <t>€/MWh</t>
        </is>
      </c>
      <c r="E1539" s="54" t="n">
        <v>0.16558</v>
      </c>
      <c r="F1539" s="54" t="n">
        <v>0.210595</v>
      </c>
      <c r="G1539" t="inlineStr">
        <is>
          <t>calculado</t>
        </is>
      </c>
      <c r="H1539" t="inlineStr">
        <is>
          <t>IEE 5.1127 % con cuota mínima 1 €/MWh (Ley 38/1992 art. 99 (sin medidas vigentes)) + IVA 21 % (Ley 37/1992 art. 90 (sin medidas vigentes))</t>
        </is>
      </c>
      <c r="J1539" t="inlineStr">
        <is>
          <t>2025-08-12</t>
        </is>
      </c>
      <c r="K1539" t="inlineStr">
        <is>
          <t>ESIOS 1001 geo 8741</t>
        </is>
      </c>
      <c r="L1539" t="inlineStr">
        <is>
          <t>24 valores; mín 110.19, máx 280.20 €/MWh</t>
        </is>
      </c>
    </row>
    <row r="1540">
      <c r="A1540" s="53" t="n">
        <v>45883</v>
      </c>
      <c r="B1540" t="inlineStr">
        <is>
          <t>2025-08-14</t>
        </is>
      </c>
      <c r="C1540" s="45" t="n">
        <v>163.1496</v>
      </c>
      <c r="D1540" t="inlineStr">
        <is>
          <t>€/MWh</t>
        </is>
      </c>
      <c r="E1540" s="54" t="n">
        <v>0.16315</v>
      </c>
      <c r="F1540" s="54" t="n">
        <v>0.207504</v>
      </c>
      <c r="G1540" t="inlineStr">
        <is>
          <t>calculado</t>
        </is>
      </c>
      <c r="H1540" t="inlineStr">
        <is>
          <t>IEE 5.1127 % con cuota mínima 1 €/MWh (Ley 38/1992 art. 99 (sin medidas vigentes)) + IVA 21 % (Ley 37/1992 art. 90 (sin medidas vigentes))</t>
        </is>
      </c>
      <c r="J1540" t="inlineStr">
        <is>
          <t>2025-08-13</t>
        </is>
      </c>
      <c r="K1540" t="inlineStr">
        <is>
          <t>ESIOS 1001 geo 8741</t>
        </is>
      </c>
      <c r="L1540" t="inlineStr">
        <is>
          <t>24 valores; mín 104.65, máx 273.43 €/MWh</t>
        </is>
      </c>
    </row>
    <row r="1541">
      <c r="A1541" s="53" t="n">
        <v>45884</v>
      </c>
      <c r="B1541" t="inlineStr">
        <is>
          <t>2025-08-15</t>
        </is>
      </c>
      <c r="C1541" s="45" t="n">
        <v>107.8883</v>
      </c>
      <c r="D1541" t="inlineStr">
        <is>
          <t>€/MWh</t>
        </is>
      </c>
      <c r="E1541" s="54" t="n">
        <v>0.107888</v>
      </c>
      <c r="F1541" s="54" t="n">
        <v>0.137219</v>
      </c>
      <c r="G1541" t="inlineStr">
        <is>
          <t>calculado</t>
        </is>
      </c>
      <c r="H1541" t="inlineStr">
        <is>
          <t>IEE 5.1127 % con cuota mínima 1 €/MWh (Ley 38/1992 art. 99 (sin medidas vigentes)) + IVA 21 % (Ley 37/1992 art. 90 (sin medidas vigentes))</t>
        </is>
      </c>
      <c r="J1541" t="inlineStr">
        <is>
          <t>2025-08-14</t>
        </is>
      </c>
      <c r="K1541" t="inlineStr">
        <is>
          <t>ESIOS 1001 geo 8741</t>
        </is>
      </c>
      <c r="L1541" t="inlineStr">
        <is>
          <t>24 valores; mín 27.60, máx 192.09 €/MWh</t>
        </is>
      </c>
    </row>
    <row r="1542">
      <c r="A1542" s="53" t="n">
        <v>45885</v>
      </c>
      <c r="B1542" t="inlineStr">
        <is>
          <t>2025-08-16</t>
        </is>
      </c>
      <c r="C1542" s="45" t="n">
        <v>107.6921</v>
      </c>
      <c r="D1542" t="inlineStr">
        <is>
          <t>€/MWh</t>
        </is>
      </c>
      <c r="E1542" s="54" t="n">
        <v>0.107692</v>
      </c>
      <c r="F1542" s="54" t="n">
        <v>0.13697</v>
      </c>
      <c r="G1542" t="inlineStr">
        <is>
          <t>calculado</t>
        </is>
      </c>
      <c r="H1542" t="inlineStr">
        <is>
          <t>IEE 5.1127 % con cuota mínima 1 €/MWh (Ley 38/1992 art. 99 (sin medidas vigentes)) + IVA 21 % (Ley 37/1992 art. 90 (sin medidas vigentes))</t>
        </is>
      </c>
      <c r="J1542" t="inlineStr">
        <is>
          <t>2025-08-15</t>
        </is>
      </c>
      <c r="K1542" t="inlineStr">
        <is>
          <t>ESIOS 1001 geo 8741</t>
        </is>
      </c>
      <c r="L1542" t="inlineStr">
        <is>
          <t>24 valores; mín 22.79, máx 187.76 €/MWh</t>
        </is>
      </c>
    </row>
    <row r="1543">
      <c r="A1543" s="53" t="n">
        <v>45886</v>
      </c>
      <c r="B1543" t="inlineStr">
        <is>
          <t>2025-08-17</t>
        </is>
      </c>
      <c r="C1543" s="45" t="n">
        <v>106.4388</v>
      </c>
      <c r="D1543" t="inlineStr">
        <is>
          <t>€/MWh</t>
        </is>
      </c>
      <c r="E1543" s="54" t="n">
        <v>0.106439</v>
      </c>
      <c r="F1543" s="54" t="n">
        <v>0.135376</v>
      </c>
      <c r="G1543" t="inlineStr">
        <is>
          <t>calculado</t>
        </is>
      </c>
      <c r="H1543" t="inlineStr">
        <is>
          <t>IEE 5.1127 % con cuota mínima 1 €/MWh (Ley 38/1992 art. 99 (sin medidas vigentes)) + IVA 21 % (Ley 37/1992 art. 90 (sin medidas vigentes))</t>
        </is>
      </c>
      <c r="J1543" t="inlineStr">
        <is>
          <t>2025-08-16</t>
        </is>
      </c>
      <c r="K1543" t="inlineStr">
        <is>
          <t>ESIOS 1001 geo 8741</t>
        </is>
      </c>
      <c r="L1543" t="inlineStr">
        <is>
          <t>24 valores; mín 29.99, máx 174.30 €/MWh</t>
        </is>
      </c>
    </row>
    <row r="1544">
      <c r="A1544" s="53" t="n">
        <v>45887</v>
      </c>
      <c r="B1544" t="inlineStr">
        <is>
          <t>2025-08-18</t>
        </is>
      </c>
      <c r="C1544" s="45" t="n">
        <v>161.88</v>
      </c>
      <c r="D1544" t="inlineStr">
        <is>
          <t>€/MWh</t>
        </is>
      </c>
      <c r="E1544" s="54" t="n">
        <v>0.16188</v>
      </c>
      <c r="F1544" s="54" t="n">
        <v>0.205889</v>
      </c>
      <c r="G1544" t="inlineStr">
        <is>
          <t>calculado</t>
        </is>
      </c>
      <c r="H1544" t="inlineStr">
        <is>
          <t>IEE 5.1127 % con cuota mínima 1 €/MWh (Ley 38/1992 art. 99 (sin medidas vigentes)) + IVA 21 % (Ley 37/1992 art. 90 (sin medidas vigentes))</t>
        </is>
      </c>
      <c r="J1544" t="inlineStr">
        <is>
          <t>2025-08-17</t>
        </is>
      </c>
      <c r="K1544" t="inlineStr">
        <is>
          <t>ESIOS 1001 geo 8741</t>
        </is>
      </c>
      <c r="L1544" t="inlineStr">
        <is>
          <t>24 valores; mín 106.15, máx 242.16 €/MWh</t>
        </is>
      </c>
    </row>
    <row r="1545">
      <c r="A1545" s="53" t="n">
        <v>45888</v>
      </c>
      <c r="B1545" t="inlineStr">
        <is>
          <t>2025-08-19</t>
        </is>
      </c>
      <c r="C1545" s="45" t="n">
        <v>150.8471</v>
      </c>
      <c r="D1545" t="inlineStr">
        <is>
          <t>€/MWh</t>
        </is>
      </c>
      <c r="E1545" s="54" t="n">
        <v>0.150847</v>
      </c>
      <c r="F1545" s="54" t="n">
        <v>0.191857</v>
      </c>
      <c r="G1545" t="inlineStr">
        <is>
          <t>calculado</t>
        </is>
      </c>
      <c r="H1545" t="inlineStr">
        <is>
          <t>IEE 5.1127 % con cuota mínima 1 €/MWh (Ley 38/1992 art. 99 (sin medidas vigentes)) + IVA 21 % (Ley 37/1992 art. 90 (sin medidas vigentes))</t>
        </is>
      </c>
      <c r="J1545" t="inlineStr">
        <is>
          <t>2025-08-18</t>
        </is>
      </c>
      <c r="K1545" t="inlineStr">
        <is>
          <t>ESIOS 1001 geo 8741</t>
        </is>
      </c>
      <c r="L1545" t="inlineStr">
        <is>
          <t>24 valores; mín 83.07, máx 236.07 €/MWh</t>
        </is>
      </c>
    </row>
    <row r="1546">
      <c r="A1546" s="53" t="n">
        <v>45889</v>
      </c>
      <c r="B1546" t="inlineStr">
        <is>
          <t>2025-08-20</t>
        </is>
      </c>
      <c r="C1546" s="45" t="n">
        <v>146.9254</v>
      </c>
      <c r="D1546" t="inlineStr">
        <is>
          <t>€/MWh</t>
        </is>
      </c>
      <c r="E1546" s="54" t="n">
        <v>0.146925</v>
      </c>
      <c r="F1546" s="54" t="n">
        <v>0.186869</v>
      </c>
      <c r="G1546" t="inlineStr">
        <is>
          <t>calculado</t>
        </is>
      </c>
      <c r="H1546" t="inlineStr">
        <is>
          <t>IEE 5.1127 % con cuota mínima 1 €/MWh (Ley 38/1992 art. 99 (sin medidas vigentes)) + IVA 21 % (Ley 37/1992 art. 90 (sin medidas vigentes))</t>
        </is>
      </c>
      <c r="J1546" t="inlineStr">
        <is>
          <t>2025-08-19</t>
        </is>
      </c>
      <c r="K1546" t="inlineStr">
        <is>
          <t>ESIOS 1001 geo 8741</t>
        </is>
      </c>
      <c r="L1546" t="inlineStr">
        <is>
          <t>24 valores; mín 85.24, máx 232.35 €/MWh</t>
        </is>
      </c>
    </row>
    <row r="1547">
      <c r="A1547" s="53" t="n">
        <v>45890</v>
      </c>
      <c r="B1547" t="inlineStr">
        <is>
          <t>2025-08-21</t>
        </is>
      </c>
      <c r="C1547" s="45" t="n">
        <v>138.7229</v>
      </c>
      <c r="D1547" t="inlineStr">
        <is>
          <t>€/MWh</t>
        </is>
      </c>
      <c r="E1547" s="54" t="n">
        <v>0.138723</v>
      </c>
      <c r="F1547" s="54" t="n">
        <v>0.176437</v>
      </c>
      <c r="G1547" t="inlineStr">
        <is>
          <t>calculado</t>
        </is>
      </c>
      <c r="H1547" t="inlineStr">
        <is>
          <t>IEE 5.1127 % con cuota mínima 1 €/MWh (Ley 38/1992 art. 99 (sin medidas vigentes)) + IVA 21 % (Ley 37/1992 art. 90 (sin medidas vigentes))</t>
        </is>
      </c>
      <c r="J1547" t="inlineStr">
        <is>
          <t>2025-08-20</t>
        </is>
      </c>
      <c r="K1547" t="inlineStr">
        <is>
          <t>ESIOS 1001 geo 8741</t>
        </is>
      </c>
      <c r="L1547" t="inlineStr">
        <is>
          <t>24 valores; mín 67.97, máx 226.70 €/MWh</t>
        </is>
      </c>
    </row>
    <row r="1548">
      <c r="A1548" s="53" t="n">
        <v>45891</v>
      </c>
      <c r="B1548" t="inlineStr">
        <is>
          <t>2025-08-22</t>
        </is>
      </c>
      <c r="C1548" s="45" t="n">
        <v>141.2858</v>
      </c>
      <c r="D1548" t="inlineStr">
        <is>
          <t>€/MWh</t>
        </is>
      </c>
      <c r="E1548" s="54" t="n">
        <v>0.141286</v>
      </c>
      <c r="F1548" s="54" t="n">
        <v>0.179696</v>
      </c>
      <c r="G1548" t="inlineStr">
        <is>
          <t>calculado</t>
        </is>
      </c>
      <c r="H1548" t="inlineStr">
        <is>
          <t>IEE 5.1127 % con cuota mínima 1 €/MWh (Ley 38/1992 art. 99 (sin medidas vigentes)) + IVA 21 % (Ley 37/1992 art. 90 (sin medidas vigentes))</t>
        </is>
      </c>
      <c r="J1548" t="inlineStr">
        <is>
          <t>2025-08-21</t>
        </is>
      </c>
      <c r="K1548" t="inlineStr">
        <is>
          <t>ESIOS 1001 geo 8741</t>
        </is>
      </c>
      <c r="L1548" t="inlineStr">
        <is>
          <t>24 valores; mín 73.69, máx 246.25 €/MWh</t>
        </is>
      </c>
    </row>
    <row r="1549">
      <c r="A1549" s="53" t="n">
        <v>45892</v>
      </c>
      <c r="B1549" t="inlineStr">
        <is>
          <t>2025-08-23</t>
        </is>
      </c>
      <c r="C1549" s="45" t="n">
        <v>109.2475</v>
      </c>
      <c r="D1549" t="inlineStr">
        <is>
          <t>€/MWh</t>
        </is>
      </c>
      <c r="E1549" s="54" t="n">
        <v>0.109247</v>
      </c>
      <c r="F1549" s="54" t="n">
        <v>0.138948</v>
      </c>
      <c r="G1549" t="inlineStr">
        <is>
          <t>calculado</t>
        </is>
      </c>
      <c r="H1549" t="inlineStr">
        <is>
          <t>IEE 5.1127 % con cuota mínima 1 €/MWh (Ley 38/1992 art. 99 (sin medidas vigentes)) + IVA 21 % (Ley 37/1992 art. 90 (sin medidas vigentes))</t>
        </is>
      </c>
      <c r="J1549" t="inlineStr">
        <is>
          <t>2025-08-22</t>
        </is>
      </c>
      <c r="K1549" t="inlineStr">
        <is>
          <t>ESIOS 1001 geo 8741</t>
        </is>
      </c>
      <c r="L1549" t="inlineStr">
        <is>
          <t>24 valores; mín 38.73, máx 179.11 €/MWh</t>
        </is>
      </c>
    </row>
    <row r="1550">
      <c r="A1550" s="53" t="n">
        <v>45893</v>
      </c>
      <c r="B1550" t="inlineStr">
        <is>
          <t>2025-08-24</t>
        </is>
      </c>
      <c r="C1550" s="45" t="n">
        <v>109.3363</v>
      </c>
      <c r="D1550" t="inlineStr">
        <is>
          <t>€/MWh</t>
        </is>
      </c>
      <c r="E1550" s="54" t="n">
        <v>0.109336</v>
      </c>
      <c r="F1550" s="54" t="n">
        <v>0.139061</v>
      </c>
      <c r="G1550" t="inlineStr">
        <is>
          <t>calculado</t>
        </is>
      </c>
      <c r="H1550" t="inlineStr">
        <is>
          <t>IEE 5.1127 % con cuota mínima 1 €/MWh (Ley 38/1992 art. 99 (sin medidas vigentes)) + IVA 21 % (Ley 37/1992 art. 90 (sin medidas vigentes))</t>
        </is>
      </c>
      <c r="J1550" t="inlineStr">
        <is>
          <t>2025-08-23</t>
        </is>
      </c>
      <c r="K1550" t="inlineStr">
        <is>
          <t>ESIOS 1001 geo 8741</t>
        </is>
      </c>
      <c r="L1550" t="inlineStr">
        <is>
          <t>24 valores; mín 36.80, máx 163.24 €/MWh</t>
        </is>
      </c>
    </row>
    <row r="1551">
      <c r="A1551" s="53" t="n">
        <v>45894</v>
      </c>
      <c r="B1551" t="inlineStr">
        <is>
          <t>2025-08-25</t>
        </is>
      </c>
      <c r="C1551" s="45" t="n">
        <v>159.1412</v>
      </c>
      <c r="D1551" t="inlineStr">
        <is>
          <t>€/MWh</t>
        </is>
      </c>
      <c r="E1551" s="54" t="n">
        <v>0.159141</v>
      </c>
      <c r="F1551" s="54" t="n">
        <v>0.202406</v>
      </c>
      <c r="G1551" t="inlineStr">
        <is>
          <t>calculado</t>
        </is>
      </c>
      <c r="H1551" t="inlineStr">
        <is>
          <t>IEE 5.1127 % con cuota mínima 1 €/MWh (Ley 38/1992 art. 99 (sin medidas vigentes)) + IVA 21 % (Ley 37/1992 art. 90 (sin medidas vigentes))</t>
        </is>
      </c>
      <c r="J1551" t="inlineStr">
        <is>
          <t>2025-08-24</t>
        </is>
      </c>
      <c r="K1551" t="inlineStr">
        <is>
          <t>ESIOS 1001 geo 8741</t>
        </is>
      </c>
      <c r="L1551" t="inlineStr">
        <is>
          <t>24 valores; mín 68.21, máx 265.88 €/MWh</t>
        </is>
      </c>
    </row>
    <row r="1552">
      <c r="A1552" s="53" t="n">
        <v>45895</v>
      </c>
      <c r="B1552" t="inlineStr">
        <is>
          <t>2025-08-26</t>
        </is>
      </c>
      <c r="C1552" s="45" t="n">
        <v>157.9708</v>
      </c>
      <c r="D1552" t="inlineStr">
        <is>
          <t>€/MWh</t>
        </is>
      </c>
      <c r="E1552" s="54" t="n">
        <v>0.157971</v>
      </c>
      <c r="F1552" s="54" t="n">
        <v>0.200917</v>
      </c>
      <c r="G1552" t="inlineStr">
        <is>
          <t>calculado</t>
        </is>
      </c>
      <c r="H1552" t="inlineStr">
        <is>
          <t>IEE 5.1127 % con cuota mínima 1 €/MWh (Ley 38/1992 art. 99 (sin medidas vigentes)) + IVA 21 % (Ley 37/1992 art. 90 (sin medidas vigentes))</t>
        </is>
      </c>
      <c r="J1552" t="inlineStr">
        <is>
          <t>2025-08-25</t>
        </is>
      </c>
      <c r="K1552" t="inlineStr">
        <is>
          <t>ESIOS 1001 geo 8741</t>
        </is>
      </c>
      <c r="L1552" t="inlineStr">
        <is>
          <t>24 valores; mín 85.03, máx 247.93 €/MWh</t>
        </is>
      </c>
    </row>
    <row r="1553">
      <c r="A1553" s="53" t="n">
        <v>45896</v>
      </c>
      <c r="B1553" t="inlineStr">
        <is>
          <t>2025-08-27</t>
        </is>
      </c>
      <c r="C1553" s="45" t="n">
        <v>158.4083</v>
      </c>
      <c r="D1553" t="inlineStr">
        <is>
          <t>€/MWh</t>
        </is>
      </c>
      <c r="E1553" s="54" t="n">
        <v>0.158408</v>
      </c>
      <c r="F1553" s="54" t="n">
        <v>0.201474</v>
      </c>
      <c r="G1553" t="inlineStr">
        <is>
          <t>calculado</t>
        </is>
      </c>
      <c r="H1553" t="inlineStr">
        <is>
          <t>IEE 5.1127 % con cuota mínima 1 €/MWh (Ley 38/1992 art. 99 (sin medidas vigentes)) + IVA 21 % (Ley 37/1992 art. 90 (sin medidas vigentes))</t>
        </is>
      </c>
      <c r="J1553" t="inlineStr">
        <is>
          <t>2025-08-26</t>
        </is>
      </c>
      <c r="K1553" t="inlineStr">
        <is>
          <t>ESIOS 1001 geo 8741</t>
        </is>
      </c>
      <c r="L1553" t="inlineStr">
        <is>
          <t>24 valores; mín 101.98, máx 236.27 €/MWh</t>
        </is>
      </c>
    </row>
    <row r="1554">
      <c r="A1554" s="53" t="n">
        <v>45897</v>
      </c>
      <c r="B1554" t="inlineStr">
        <is>
          <t>2025-08-28</t>
        </is>
      </c>
      <c r="C1554" s="45" t="n">
        <v>139.2025</v>
      </c>
      <c r="D1554" t="inlineStr">
        <is>
          <t>€/MWh</t>
        </is>
      </c>
      <c r="E1554" s="54" t="n">
        <v>0.139203</v>
      </c>
      <c r="F1554" s="54" t="n">
        <v>0.177047</v>
      </c>
      <c r="G1554" t="inlineStr">
        <is>
          <t>calculado</t>
        </is>
      </c>
      <c r="H1554" t="inlineStr">
        <is>
          <t>IEE 5.1127 % con cuota mínima 1 €/MWh (Ley 38/1992 art. 99 (sin medidas vigentes)) + IVA 21 % (Ley 37/1992 art. 90 (sin medidas vigentes))</t>
        </is>
      </c>
      <c r="J1554" t="inlineStr">
        <is>
          <t>2025-08-27</t>
        </is>
      </c>
      <c r="K1554" t="inlineStr">
        <is>
          <t>ESIOS 1001 geo 8741</t>
        </is>
      </c>
      <c r="L1554" t="inlineStr">
        <is>
          <t>24 valores; mín 63.67, máx 235.56 €/MWh</t>
        </is>
      </c>
    </row>
    <row r="1555">
      <c r="A1555" s="53" t="n">
        <v>45898</v>
      </c>
      <c r="B1555" t="inlineStr">
        <is>
          <t>2025-08-29</t>
        </is>
      </c>
      <c r="C1555" s="45" t="n">
        <v>136.6896</v>
      </c>
      <c r="D1555" t="inlineStr">
        <is>
          <t>€/MWh</t>
        </is>
      </c>
      <c r="E1555" s="54" t="n">
        <v>0.13669</v>
      </c>
      <c r="F1555" s="54" t="n">
        <v>0.173851</v>
      </c>
      <c r="G1555" t="inlineStr">
        <is>
          <t>calculado</t>
        </is>
      </c>
      <c r="H1555" t="inlineStr">
        <is>
          <t>IEE 5.1127 % con cuota mínima 1 €/MWh (Ley 38/1992 art. 99 (sin medidas vigentes)) + IVA 21 % (Ley 37/1992 art. 90 (sin medidas vigentes))</t>
        </is>
      </c>
      <c r="J1555" t="inlineStr">
        <is>
          <t>2025-08-28</t>
        </is>
      </c>
      <c r="K1555" t="inlineStr">
        <is>
          <t>ESIOS 1001 geo 8741</t>
        </is>
      </c>
      <c r="L1555" t="inlineStr">
        <is>
          <t>24 valores; mín 70.94, máx 242.07 €/MWh</t>
        </is>
      </c>
    </row>
    <row r="1556">
      <c r="A1556" s="53" t="n">
        <v>45899</v>
      </c>
      <c r="B1556" t="inlineStr">
        <is>
          <t>2025-08-30</t>
        </is>
      </c>
      <c r="C1556" s="45" t="n">
        <v>103.9458</v>
      </c>
      <c r="D1556" t="inlineStr">
        <is>
          <t>€/MWh</t>
        </is>
      </c>
      <c r="E1556" s="54" t="n">
        <v>0.103946</v>
      </c>
      <c r="F1556" s="54" t="n">
        <v>0.132205</v>
      </c>
      <c r="G1556" t="inlineStr">
        <is>
          <t>calculado</t>
        </is>
      </c>
      <c r="H1556" t="inlineStr">
        <is>
          <t>IEE 5.1127 % con cuota mínima 1 €/MWh (Ley 38/1992 art. 99 (sin medidas vigentes)) + IVA 21 % (Ley 37/1992 art. 90 (sin medidas vigentes))</t>
        </is>
      </c>
      <c r="J1556" t="inlineStr">
        <is>
          <t>2025-08-29</t>
        </is>
      </c>
      <c r="K1556" t="inlineStr">
        <is>
          <t>ESIOS 1001 geo 8741</t>
        </is>
      </c>
      <c r="L1556" t="inlineStr">
        <is>
          <t>24 valores; mín 42.22, máx 182.18 €/MWh</t>
        </is>
      </c>
    </row>
    <row r="1557">
      <c r="A1557" s="53" t="n">
        <v>45900</v>
      </c>
      <c r="B1557" t="inlineStr">
        <is>
          <t>2025-08-31</t>
        </is>
      </c>
      <c r="C1557" s="45" t="n">
        <v>98.2963</v>
      </c>
      <c r="D1557" t="inlineStr">
        <is>
          <t>€/MWh</t>
        </is>
      </c>
      <c r="E1557" s="54" t="n">
        <v>0.09829599999999999</v>
      </c>
      <c r="F1557" s="54" t="n">
        <v>0.125019</v>
      </c>
      <c r="G1557" t="inlineStr">
        <is>
          <t>calculado</t>
        </is>
      </c>
      <c r="H1557" t="inlineStr">
        <is>
          <t>IEE 5.1127 % con cuota mínima 1 €/MWh (Ley 38/1992 art. 99 (sin medidas vigentes)) + IVA 21 % (Ley 37/1992 art. 90 (sin medidas vigentes))</t>
        </is>
      </c>
      <c r="J1557" t="inlineStr">
        <is>
          <t>2025-08-30</t>
        </is>
      </c>
      <c r="K1557" t="inlineStr">
        <is>
          <t>ESIOS 1001 geo 8741</t>
        </is>
      </c>
      <c r="L1557" t="inlineStr">
        <is>
          <t>24 valores; mín 57.07, máx 151.62 €/MWh</t>
        </is>
      </c>
    </row>
    <row r="1558">
      <c r="A1558" s="53" t="n">
        <v>45901</v>
      </c>
      <c r="B1558" t="inlineStr">
        <is>
          <t>2025-09-01</t>
        </is>
      </c>
      <c r="C1558" s="45" t="n">
        <v>131.59</v>
      </c>
      <c r="D1558" t="inlineStr">
        <is>
          <t>€/MWh</t>
        </is>
      </c>
      <c r="E1558" s="54" t="n">
        <v>0.13159</v>
      </c>
      <c r="F1558" s="54" t="n">
        <v>0.167365</v>
      </c>
      <c r="G1558" t="inlineStr">
        <is>
          <t>calculado</t>
        </is>
      </c>
      <c r="H1558" t="inlineStr">
        <is>
          <t>IEE 5.1127 % con cuota mínima 1 €/MWh (Ley 38/1992 art. 99 (sin medidas vigentes)) + IVA 21 % (Ley 37/1992 art. 90 (sin medidas vigentes))</t>
        </is>
      </c>
      <c r="J1558" t="inlineStr">
        <is>
          <t>2025-08-31</t>
        </is>
      </c>
      <c r="K1558" t="inlineStr">
        <is>
          <t>ESIOS 1001 geo 8741</t>
        </is>
      </c>
      <c r="L1558" t="inlineStr">
        <is>
          <t>24 valores; mín 81.83, máx 251.83 €/MWh</t>
        </is>
      </c>
    </row>
    <row r="1559">
      <c r="A1559" s="53" t="n">
        <v>45902</v>
      </c>
      <c r="B1559" t="inlineStr">
        <is>
          <t>2025-09-02</t>
        </is>
      </c>
      <c r="C1559" s="45" t="n">
        <v>144.4896</v>
      </c>
      <c r="D1559" t="inlineStr">
        <is>
          <t>€/MWh</t>
        </is>
      </c>
      <c r="E1559" s="54" t="n">
        <v>0.14449</v>
      </c>
      <c r="F1559" s="54" t="n">
        <v>0.183771</v>
      </c>
      <c r="G1559" t="inlineStr">
        <is>
          <t>calculado</t>
        </is>
      </c>
      <c r="H1559" t="inlineStr">
        <is>
          <t>IEE 5.1127 % con cuota mínima 1 €/MWh (Ley 38/1992 art. 99 (sin medidas vigentes)) + IVA 21 % (Ley 37/1992 art. 90 (sin medidas vigentes))</t>
        </is>
      </c>
      <c r="J1559" t="inlineStr">
        <is>
          <t>2025-09-01</t>
        </is>
      </c>
      <c r="K1559" t="inlineStr">
        <is>
          <t>ESIOS 1001 geo 8741</t>
        </is>
      </c>
      <c r="L1559" t="inlineStr">
        <is>
          <t>24 valores; mín 59.86, máx 300.63 €/MWh</t>
        </is>
      </c>
    </row>
    <row r="1560">
      <c r="A1560" s="53" t="n">
        <v>45903</v>
      </c>
      <c r="B1560" t="inlineStr">
        <is>
          <t>2025-09-03</t>
        </is>
      </c>
      <c r="C1560" s="45" t="n">
        <v>136.9371</v>
      </c>
      <c r="D1560" t="inlineStr">
        <is>
          <t>€/MWh</t>
        </is>
      </c>
      <c r="E1560" s="54" t="n">
        <v>0.136937</v>
      </c>
      <c r="F1560" s="54" t="n">
        <v>0.174165</v>
      </c>
      <c r="G1560" t="inlineStr">
        <is>
          <t>calculado</t>
        </is>
      </c>
      <c r="H1560" t="inlineStr">
        <is>
          <t>IEE 5.1127 % con cuota mínima 1 €/MWh (Ley 38/1992 art. 99 (sin medidas vigentes)) + IVA 21 % (Ley 37/1992 art. 90 (sin medidas vigentes))</t>
        </is>
      </c>
      <c r="J1560" t="inlineStr">
        <is>
          <t>2025-09-02</t>
        </is>
      </c>
      <c r="K1560" t="inlineStr">
        <is>
          <t>ESIOS 1001 geo 8741</t>
        </is>
      </c>
      <c r="L1560" t="inlineStr">
        <is>
          <t>24 valores; mín 59.51, máx 273.50 €/MWh</t>
        </is>
      </c>
    </row>
    <row r="1561">
      <c r="A1561" s="53" t="n">
        <v>45904</v>
      </c>
      <c r="B1561" t="inlineStr">
        <is>
          <t>2025-09-04</t>
        </is>
      </c>
      <c r="C1561" s="45" t="n">
        <v>141.2763</v>
      </c>
      <c r="D1561" t="inlineStr">
        <is>
          <t>€/MWh</t>
        </is>
      </c>
      <c r="E1561" s="54" t="n">
        <v>0.141276</v>
      </c>
      <c r="F1561" s="54" t="n">
        <v>0.179684</v>
      </c>
      <c r="G1561" t="inlineStr">
        <is>
          <t>calculado</t>
        </is>
      </c>
      <c r="H1561" t="inlineStr">
        <is>
          <t>IEE 5.1127 % con cuota mínima 1 €/MWh (Ley 38/1992 art. 99 (sin medidas vigentes)) + IVA 21 % (Ley 37/1992 art. 90 (sin medidas vigentes))</t>
        </is>
      </c>
      <c r="J1561" t="inlineStr">
        <is>
          <t>2025-09-03</t>
        </is>
      </c>
      <c r="K1561" t="inlineStr">
        <is>
          <t>ESIOS 1001 geo 8741</t>
        </is>
      </c>
      <c r="L1561" t="inlineStr">
        <is>
          <t>24 valores; mín 68.25, máx 250.57 €/MWh</t>
        </is>
      </c>
    </row>
    <row r="1562">
      <c r="A1562" s="53" t="n">
        <v>45905</v>
      </c>
      <c r="B1562" t="inlineStr">
        <is>
          <t>2025-09-05</t>
        </is>
      </c>
      <c r="C1562" s="45" t="n">
        <v>139.8925</v>
      </c>
      <c r="D1562" t="inlineStr">
        <is>
          <t>€/MWh</t>
        </is>
      </c>
      <c r="E1562" s="54" t="n">
        <v>0.139893</v>
      </c>
      <c r="F1562" s="54" t="n">
        <v>0.177924</v>
      </c>
      <c r="G1562" t="inlineStr">
        <is>
          <t>calculado</t>
        </is>
      </c>
      <c r="H1562" t="inlineStr">
        <is>
          <t>IEE 5.1127 % con cuota mínima 1 €/MWh (Ley 38/1992 art. 99 (sin medidas vigentes)) + IVA 21 % (Ley 37/1992 art. 90 (sin medidas vigentes))</t>
        </is>
      </c>
      <c r="J1562" t="inlineStr">
        <is>
          <t>2025-09-04</t>
        </is>
      </c>
      <c r="K1562" t="inlineStr">
        <is>
          <t>ESIOS 1001 geo 8741</t>
        </is>
      </c>
      <c r="L1562" t="inlineStr">
        <is>
          <t>24 valores; mín 65.74, máx 247.91 €/MWh</t>
        </is>
      </c>
    </row>
    <row r="1563">
      <c r="A1563" s="53" t="n">
        <v>45906</v>
      </c>
      <c r="B1563" t="inlineStr">
        <is>
          <t>2025-09-06</t>
        </is>
      </c>
      <c r="C1563" s="45" t="n">
        <v>88.10169999999999</v>
      </c>
      <c r="D1563" t="inlineStr">
        <is>
          <t>€/MWh</t>
        </is>
      </c>
      <c r="E1563" s="54" t="n">
        <v>0.088102</v>
      </c>
      <c r="F1563" s="54" t="n">
        <v>0.112053</v>
      </c>
      <c r="G1563" t="inlineStr">
        <is>
          <t>calculado</t>
        </is>
      </c>
      <c r="H1563" t="inlineStr">
        <is>
          <t>IEE 5.1127 % con cuota mínima 1 €/MWh (Ley 38/1992 art. 99 (sin medidas vigentes)) + IVA 21 % (Ley 37/1992 art. 90 (sin medidas vigentes))</t>
        </is>
      </c>
      <c r="J1563" t="inlineStr">
        <is>
          <t>2025-09-05</t>
        </is>
      </c>
      <c r="K1563" t="inlineStr">
        <is>
          <t>ESIOS 1001 geo 8741</t>
        </is>
      </c>
      <c r="L1563" t="inlineStr">
        <is>
          <t>24 valores; mín 60.88, máx 135.60 €/MWh</t>
        </is>
      </c>
    </row>
    <row r="1564">
      <c r="A1564" s="53" t="n">
        <v>45907</v>
      </c>
      <c r="B1564" t="inlineStr">
        <is>
          <t>2025-09-07</t>
        </is>
      </c>
      <c r="C1564" s="45" t="n">
        <v>97.91119999999999</v>
      </c>
      <c r="D1564" t="inlineStr">
        <is>
          <t>€/MWh</t>
        </is>
      </c>
      <c r="E1564" s="54" t="n">
        <v>0.097911</v>
      </c>
      <c r="F1564" s="54" t="n">
        <v>0.12453</v>
      </c>
      <c r="G1564" t="inlineStr">
        <is>
          <t>calculado</t>
        </is>
      </c>
      <c r="H1564" t="inlineStr">
        <is>
          <t>IEE 5.1127 % con cuota mínima 1 €/MWh (Ley 38/1992 art. 99 (sin medidas vigentes)) + IVA 21 % (Ley 37/1992 art. 90 (sin medidas vigentes))</t>
        </is>
      </c>
      <c r="J1564" t="inlineStr">
        <is>
          <t>2025-09-06</t>
        </is>
      </c>
      <c r="K1564" t="inlineStr">
        <is>
          <t>ESIOS 1001 geo 8741</t>
        </is>
      </c>
      <c r="L1564" t="inlineStr">
        <is>
          <t>24 valores; mín 54.60, máx 238.01 €/MWh</t>
        </is>
      </c>
    </row>
    <row r="1565">
      <c r="A1565" s="53" t="n">
        <v>45908</v>
      </c>
      <c r="B1565" t="inlineStr">
        <is>
          <t>2025-09-08</t>
        </is>
      </c>
      <c r="C1565" s="45" t="n">
        <v>152.3025</v>
      </c>
      <c r="D1565" t="inlineStr">
        <is>
          <t>€/MWh</t>
        </is>
      </c>
      <c r="E1565" s="54" t="n">
        <v>0.152303</v>
      </c>
      <c r="F1565" s="54" t="n">
        <v>0.193708</v>
      </c>
      <c r="G1565" t="inlineStr">
        <is>
          <t>calculado</t>
        </is>
      </c>
      <c r="H1565" t="inlineStr">
        <is>
          <t>IEE 5.1127 % con cuota mínima 1 €/MWh (Ley 38/1992 art. 99 (sin medidas vigentes)) + IVA 21 % (Ley 37/1992 art. 90 (sin medidas vigentes))</t>
        </is>
      </c>
      <c r="J1565" t="inlineStr">
        <is>
          <t>2025-09-07</t>
        </is>
      </c>
      <c r="K1565" t="inlineStr">
        <is>
          <t>ESIOS 1001 geo 8741</t>
        </is>
      </c>
      <c r="L1565" t="inlineStr">
        <is>
          <t>24 valores; mín 86.00, máx 228.86 €/MWh</t>
        </is>
      </c>
    </row>
    <row r="1566">
      <c r="A1566" s="53" t="n">
        <v>45909</v>
      </c>
      <c r="B1566" t="inlineStr">
        <is>
          <t>2025-09-09</t>
        </is>
      </c>
      <c r="C1566" s="45" t="n">
        <v>143.2958</v>
      </c>
      <c r="D1566" t="inlineStr">
        <is>
          <t>€/MWh</t>
        </is>
      </c>
      <c r="E1566" s="54" t="n">
        <v>0.143296</v>
      </c>
      <c r="F1566" s="54" t="n">
        <v>0.182253</v>
      </c>
      <c r="G1566" t="inlineStr">
        <is>
          <t>calculado</t>
        </is>
      </c>
      <c r="H1566" t="inlineStr">
        <is>
          <t>IEE 5.1127 % con cuota mínima 1 €/MWh (Ley 38/1992 art. 99 (sin medidas vigentes)) + IVA 21 % (Ley 37/1992 art. 90 (sin medidas vigentes))</t>
        </is>
      </c>
      <c r="J1566" t="inlineStr">
        <is>
          <t>2025-09-08</t>
        </is>
      </c>
      <c r="K1566" t="inlineStr">
        <is>
          <t>ESIOS 1001 geo 8741</t>
        </is>
      </c>
      <c r="L1566" t="inlineStr">
        <is>
          <t>24 valores; mín 70.50, máx 253.58 €/MWh</t>
        </is>
      </c>
    </row>
    <row r="1567">
      <c r="A1567" s="53" t="n">
        <v>45910</v>
      </c>
      <c r="B1567" t="inlineStr">
        <is>
          <t>2025-09-10</t>
        </is>
      </c>
      <c r="C1567" s="45" t="n">
        <v>138.7033</v>
      </c>
      <c r="D1567" t="inlineStr">
        <is>
          <t>€/MWh</t>
        </is>
      </c>
      <c r="E1567" s="54" t="n">
        <v>0.138703</v>
      </c>
      <c r="F1567" s="54" t="n">
        <v>0.176412</v>
      </c>
      <c r="G1567" t="inlineStr">
        <is>
          <t>calculado</t>
        </is>
      </c>
      <c r="H1567" t="inlineStr">
        <is>
          <t>IEE 5.1127 % con cuota mínima 1 €/MWh (Ley 38/1992 art. 99 (sin medidas vigentes)) + IVA 21 % (Ley 37/1992 art. 90 (sin medidas vigentes))</t>
        </is>
      </c>
      <c r="J1567" t="inlineStr">
        <is>
          <t>2025-09-09</t>
        </is>
      </c>
      <c r="K1567" t="inlineStr">
        <is>
          <t>ESIOS 1001 geo 8741</t>
        </is>
      </c>
      <c r="L1567" t="inlineStr">
        <is>
          <t>24 valores; mín 65.12, máx 248.12 €/MWh</t>
        </is>
      </c>
    </row>
    <row r="1568">
      <c r="A1568" s="53" t="n">
        <v>45911</v>
      </c>
      <c r="B1568" t="inlineStr">
        <is>
          <t>2025-09-11</t>
        </is>
      </c>
      <c r="C1568" s="45" t="n">
        <v>136.8317</v>
      </c>
      <c r="D1568" t="inlineStr">
        <is>
          <t>€/MWh</t>
        </is>
      </c>
      <c r="E1568" s="54" t="n">
        <v>0.136832</v>
      </c>
      <c r="F1568" s="54" t="n">
        <v>0.174031</v>
      </c>
      <c r="G1568" t="inlineStr">
        <is>
          <t>calculado</t>
        </is>
      </c>
      <c r="H1568" t="inlineStr">
        <is>
          <t>IEE 5.1127 % con cuota mínima 1 €/MWh (Ley 38/1992 art. 99 (sin medidas vigentes)) + IVA 21 % (Ley 37/1992 art. 90 (sin medidas vigentes))</t>
        </is>
      </c>
      <c r="J1568" t="inlineStr">
        <is>
          <t>2025-09-10</t>
        </is>
      </c>
      <c r="K1568" t="inlineStr">
        <is>
          <t>ESIOS 1001 geo 8741</t>
        </is>
      </c>
      <c r="L1568" t="inlineStr">
        <is>
          <t>24 valores; mín 59.01, máx 283.24 €/MWh</t>
        </is>
      </c>
    </row>
    <row r="1569">
      <c r="A1569" s="53" t="n">
        <v>45912</v>
      </c>
      <c r="B1569" t="inlineStr">
        <is>
          <t>2025-09-12</t>
        </is>
      </c>
      <c r="C1569" s="45" t="n">
        <v>148.6004</v>
      </c>
      <c r="D1569" t="inlineStr">
        <is>
          <t>€/MWh</t>
        </is>
      </c>
      <c r="E1569" s="54" t="n">
        <v>0.1486</v>
      </c>
      <c r="F1569" s="54" t="n">
        <v>0.188999</v>
      </c>
      <c r="G1569" t="inlineStr">
        <is>
          <t>calculado</t>
        </is>
      </c>
      <c r="H1569" t="inlineStr">
        <is>
          <t>IEE 5.1127 % con cuota mínima 1 €/MWh (Ley 38/1992 art. 99 (sin medidas vigentes)) + IVA 21 % (Ley 37/1992 art. 90 (sin medidas vigentes))</t>
        </is>
      </c>
      <c r="J1569" t="inlineStr">
        <is>
          <t>2025-09-11</t>
        </is>
      </c>
      <c r="K1569" t="inlineStr">
        <is>
          <t>ESIOS 1001 geo 8741</t>
        </is>
      </c>
      <c r="L1569" t="inlineStr">
        <is>
          <t>24 valores; mín 49.19, máx 275.96 €/MWh</t>
        </is>
      </c>
    </row>
    <row r="1570">
      <c r="A1570" s="53" t="n">
        <v>45913</v>
      </c>
      <c r="B1570" t="inlineStr">
        <is>
          <t>2025-09-13</t>
        </is>
      </c>
      <c r="C1570" s="45" t="n">
        <v>104.3371</v>
      </c>
      <c r="D1570" t="inlineStr">
        <is>
          <t>€/MWh</t>
        </is>
      </c>
      <c r="E1570" s="54" t="n">
        <v>0.104337</v>
      </c>
      <c r="F1570" s="54" t="n">
        <v>0.132703</v>
      </c>
      <c r="G1570" t="inlineStr">
        <is>
          <t>calculado</t>
        </is>
      </c>
      <c r="H1570" t="inlineStr">
        <is>
          <t>IEE 5.1127 % con cuota mínima 1 €/MWh (Ley 38/1992 art. 99 (sin medidas vigentes)) + IVA 21 % (Ley 37/1992 art. 90 (sin medidas vigentes))</t>
        </is>
      </c>
      <c r="J1570" t="inlineStr">
        <is>
          <t>2025-09-12</t>
        </is>
      </c>
      <c r="K1570" t="inlineStr">
        <is>
          <t>ESIOS 1001 geo 8741</t>
        </is>
      </c>
      <c r="L1570" t="inlineStr">
        <is>
          <t>24 valores; mín 34.73, máx 151.41 €/MWh</t>
        </is>
      </c>
    </row>
    <row r="1571">
      <c r="A1571" s="53" t="n">
        <v>45914</v>
      </c>
      <c r="B1571" t="inlineStr">
        <is>
          <t>2025-09-14</t>
        </is>
      </c>
      <c r="C1571" s="45" t="n">
        <v>104.4033</v>
      </c>
      <c r="D1571" t="inlineStr">
        <is>
          <t>€/MWh</t>
        </is>
      </c>
      <c r="E1571" s="54" t="n">
        <v>0.104403</v>
      </c>
      <c r="F1571" s="54" t="n">
        <v>0.132787</v>
      </c>
      <c r="G1571" t="inlineStr">
        <is>
          <t>calculado</t>
        </is>
      </c>
      <c r="H1571" t="inlineStr">
        <is>
          <t>IEE 5.1127 % con cuota mínima 1 €/MWh (Ley 38/1992 art. 99 (sin medidas vigentes)) + IVA 21 % (Ley 37/1992 art. 90 (sin medidas vigentes))</t>
        </is>
      </c>
      <c r="J1571" t="inlineStr">
        <is>
          <t>2025-09-13</t>
        </is>
      </c>
      <c r="K1571" t="inlineStr">
        <is>
          <t>ESIOS 1001 geo 8741</t>
        </is>
      </c>
      <c r="L1571" t="inlineStr">
        <is>
          <t>24 valores; mín 49.79, máx 178.66 €/MWh</t>
        </is>
      </c>
    </row>
    <row r="1572">
      <c r="A1572" s="53" t="n">
        <v>45915</v>
      </c>
      <c r="B1572" t="inlineStr">
        <is>
          <t>2025-09-15</t>
        </is>
      </c>
      <c r="C1572" s="45" t="n">
        <v>146.1079</v>
      </c>
      <c r="D1572" t="inlineStr">
        <is>
          <t>€/MWh</t>
        </is>
      </c>
      <c r="E1572" s="54" t="n">
        <v>0.146108</v>
      </c>
      <c r="F1572" s="54" t="n">
        <v>0.185829</v>
      </c>
      <c r="G1572" t="inlineStr">
        <is>
          <t>calculado</t>
        </is>
      </c>
      <c r="H1572" t="inlineStr">
        <is>
          <t>IEE 5.1127 % con cuota mínima 1 €/MWh (Ley 38/1992 art. 99 (sin medidas vigentes)) + IVA 21 % (Ley 37/1992 art. 90 (sin medidas vigentes))</t>
        </is>
      </c>
      <c r="J1572" t="inlineStr">
        <is>
          <t>2025-09-14</t>
        </is>
      </c>
      <c r="K1572" t="inlineStr">
        <is>
          <t>ESIOS 1001 geo 8741</t>
        </is>
      </c>
      <c r="L1572" t="inlineStr">
        <is>
          <t>24 valores; mín 56.09, máx 247.89 €/MWh</t>
        </is>
      </c>
    </row>
    <row r="1573">
      <c r="A1573" s="53" t="n">
        <v>45916</v>
      </c>
      <c r="B1573" t="inlineStr">
        <is>
          <t>2025-09-16</t>
        </is>
      </c>
      <c r="C1573" s="45" t="n">
        <v>147.2433</v>
      </c>
      <c r="D1573" t="inlineStr">
        <is>
          <t>€/MWh</t>
        </is>
      </c>
      <c r="E1573" s="54" t="n">
        <v>0.147243</v>
      </c>
      <c r="F1573" s="54" t="n">
        <v>0.187273</v>
      </c>
      <c r="G1573" t="inlineStr">
        <is>
          <t>calculado</t>
        </is>
      </c>
      <c r="H1573" t="inlineStr">
        <is>
          <t>IEE 5.1127 % con cuota mínima 1 €/MWh (Ley 38/1992 art. 99 (sin medidas vigentes)) + IVA 21 % (Ley 37/1992 art. 90 (sin medidas vigentes))</t>
        </is>
      </c>
      <c r="J1573" t="inlineStr">
        <is>
          <t>2025-09-15</t>
        </is>
      </c>
      <c r="K1573" t="inlineStr">
        <is>
          <t>ESIOS 1001 geo 8741</t>
        </is>
      </c>
      <c r="L1573" t="inlineStr">
        <is>
          <t>24 valores; mín 54.48, máx 340.09 €/MWh</t>
        </is>
      </c>
    </row>
    <row r="1574">
      <c r="A1574" s="53" t="n">
        <v>45917</v>
      </c>
      <c r="B1574" t="inlineStr">
        <is>
          <t>2025-09-17</t>
        </is>
      </c>
      <c r="C1574" s="45" t="n">
        <v>154.7829</v>
      </c>
      <c r="D1574" t="inlineStr">
        <is>
          <t>€/MWh</t>
        </is>
      </c>
      <c r="E1574" s="54" t="n">
        <v>0.154783</v>
      </c>
      <c r="F1574" s="54" t="n">
        <v>0.196863</v>
      </c>
      <c r="G1574" t="inlineStr">
        <is>
          <t>calculado</t>
        </is>
      </c>
      <c r="H1574" t="inlineStr">
        <is>
          <t>IEE 5.1127 % con cuota mínima 1 €/MWh (Ley 38/1992 art. 99 (sin medidas vigentes)) + IVA 21 % (Ley 37/1992 art. 90 (sin medidas vigentes))</t>
        </is>
      </c>
      <c r="J1574" t="inlineStr">
        <is>
          <t>2025-09-16</t>
        </is>
      </c>
      <c r="K1574" t="inlineStr">
        <is>
          <t>ESIOS 1001 geo 8741</t>
        </is>
      </c>
      <c r="L1574" t="inlineStr">
        <is>
          <t>24 valores; mín 60.59, máx 354.29 €/MWh</t>
        </is>
      </c>
    </row>
    <row r="1575">
      <c r="A1575" s="53" t="n">
        <v>45918</v>
      </c>
      <c r="B1575" t="inlineStr">
        <is>
          <t>2025-09-18</t>
        </is>
      </c>
      <c r="C1575" s="45" t="n">
        <v>159.3521</v>
      </c>
      <c r="D1575" t="inlineStr">
        <is>
          <t>€/MWh</t>
        </is>
      </c>
      <c r="E1575" s="54" t="n">
        <v>0.159352</v>
      </c>
      <c r="F1575" s="54" t="n">
        <v>0.202674</v>
      </c>
      <c r="G1575" t="inlineStr">
        <is>
          <t>calculado</t>
        </is>
      </c>
      <c r="H1575" t="inlineStr">
        <is>
          <t>IEE 5.1127 % con cuota mínima 1 €/MWh (Ley 38/1992 art. 99 (sin medidas vigentes)) + IVA 21 % (Ley 37/1992 art. 90 (sin medidas vigentes))</t>
        </is>
      </c>
      <c r="J1575" t="inlineStr">
        <is>
          <t>2025-09-17</t>
        </is>
      </c>
      <c r="K1575" t="inlineStr">
        <is>
          <t>ESIOS 1001 geo 8741</t>
        </is>
      </c>
      <c r="L1575" t="inlineStr">
        <is>
          <t>24 valores; mín 85.02, máx 328.85 €/MWh</t>
        </is>
      </c>
    </row>
    <row r="1576">
      <c r="A1576" s="53" t="n">
        <v>45919</v>
      </c>
      <c r="B1576" t="inlineStr">
        <is>
          <t>2025-09-19</t>
        </is>
      </c>
      <c r="C1576" s="45" t="n">
        <v>155.7117</v>
      </c>
      <c r="D1576" t="inlineStr">
        <is>
          <t>€/MWh</t>
        </is>
      </c>
      <c r="E1576" s="54" t="n">
        <v>0.155712</v>
      </c>
      <c r="F1576" s="54" t="n">
        <v>0.198044</v>
      </c>
      <c r="G1576" t="inlineStr">
        <is>
          <t>calculado</t>
        </is>
      </c>
      <c r="H1576" t="inlineStr">
        <is>
          <t>IEE 5.1127 % con cuota mínima 1 €/MWh (Ley 38/1992 art. 99 (sin medidas vigentes)) + IVA 21 % (Ley 37/1992 art. 90 (sin medidas vigentes))</t>
        </is>
      </c>
      <c r="J1576" t="inlineStr">
        <is>
          <t>2025-09-18</t>
        </is>
      </c>
      <c r="K1576" t="inlineStr">
        <is>
          <t>ESIOS 1001 geo 8741</t>
        </is>
      </c>
      <c r="L1576" t="inlineStr">
        <is>
          <t>24 valores; mín 74.62, máx 248.04 €/MWh</t>
        </is>
      </c>
    </row>
    <row r="1577">
      <c r="A1577" s="53" t="n">
        <v>45920</v>
      </c>
      <c r="B1577" t="inlineStr">
        <is>
          <t>2025-09-20</t>
        </is>
      </c>
      <c r="C1577" s="45" t="n">
        <v>108.1229</v>
      </c>
      <c r="D1577" t="inlineStr">
        <is>
          <t>€/MWh</t>
        </is>
      </c>
      <c r="E1577" s="54" t="n">
        <v>0.108123</v>
      </c>
      <c r="F1577" s="54" t="n">
        <v>0.137518</v>
      </c>
      <c r="G1577" t="inlineStr">
        <is>
          <t>calculado</t>
        </is>
      </c>
      <c r="H1577" t="inlineStr">
        <is>
          <t>IEE 5.1127 % con cuota mínima 1 €/MWh (Ley 38/1992 art. 99 (sin medidas vigentes)) + IVA 21 % (Ley 37/1992 art. 90 (sin medidas vigentes))</t>
        </is>
      </c>
      <c r="J1577" t="inlineStr">
        <is>
          <t>2025-09-19</t>
        </is>
      </c>
      <c r="K1577" t="inlineStr">
        <is>
          <t>ESIOS 1001 geo 8741</t>
        </is>
      </c>
      <c r="L1577" t="inlineStr">
        <is>
          <t>24 valores; mín 33.13, máx 155.40 €/MWh</t>
        </is>
      </c>
    </row>
    <row r="1578">
      <c r="A1578" s="53" t="n">
        <v>45921</v>
      </c>
      <c r="B1578" t="inlineStr">
        <is>
          <t>2025-09-21</t>
        </is>
      </c>
      <c r="C1578" s="45" t="n">
        <v>103.0208</v>
      </c>
      <c r="D1578" t="inlineStr">
        <is>
          <t>€/MWh</t>
        </is>
      </c>
      <c r="E1578" s="54" t="n">
        <v>0.103021</v>
      </c>
      <c r="F1578" s="54" t="n">
        <v>0.131028</v>
      </c>
      <c r="G1578" t="inlineStr">
        <is>
          <t>calculado</t>
        </is>
      </c>
      <c r="H1578" t="inlineStr">
        <is>
          <t>IEE 5.1127 % con cuota mínima 1 €/MWh (Ley 38/1992 art. 99 (sin medidas vigentes)) + IVA 21 % (Ley 37/1992 art. 90 (sin medidas vigentes))</t>
        </is>
      </c>
      <c r="J1578" t="inlineStr">
        <is>
          <t>2025-09-20</t>
        </is>
      </c>
      <c r="K1578" t="inlineStr">
        <is>
          <t>ESIOS 1001 geo 8741</t>
        </is>
      </c>
      <c r="L1578" t="inlineStr">
        <is>
          <t>24 valores; mín 57.51, máx 149.08 €/MWh</t>
        </is>
      </c>
    </row>
    <row r="1579">
      <c r="A1579" s="53" t="n">
        <v>45922</v>
      </c>
      <c r="B1579" t="inlineStr">
        <is>
          <t>2025-09-22</t>
        </is>
      </c>
      <c r="C1579" s="45" t="n">
        <v>136.1763</v>
      </c>
      <c r="D1579" t="inlineStr">
        <is>
          <t>€/MWh</t>
        </is>
      </c>
      <c r="E1579" s="54" t="n">
        <v>0.136176</v>
      </c>
      <c r="F1579" s="54" t="n">
        <v>0.173198</v>
      </c>
      <c r="G1579" t="inlineStr">
        <is>
          <t>calculado</t>
        </is>
      </c>
      <c r="H1579" t="inlineStr">
        <is>
          <t>IEE 5.1127 % con cuota mínima 1 €/MWh (Ley 38/1992 art. 99 (sin medidas vigentes)) + IVA 21 % (Ley 37/1992 art. 90 (sin medidas vigentes))</t>
        </is>
      </c>
      <c r="J1579" t="inlineStr">
        <is>
          <t>2025-09-21</t>
        </is>
      </c>
      <c r="K1579" t="inlineStr">
        <is>
          <t>ESIOS 1001 geo 8741</t>
        </is>
      </c>
      <c r="L1579" t="inlineStr">
        <is>
          <t>24 valores; mín 77.58, máx 273.31 €/MWh</t>
        </is>
      </c>
    </row>
    <row r="1580">
      <c r="A1580" s="53" t="n">
        <v>45923</v>
      </c>
      <c r="B1580" t="inlineStr">
        <is>
          <t>2025-09-23</t>
        </is>
      </c>
      <c r="C1580" s="45" t="n">
        <v>141.2517</v>
      </c>
      <c r="D1580" t="inlineStr">
        <is>
          <t>€/MWh</t>
        </is>
      </c>
      <c r="E1580" s="54" t="n">
        <v>0.141252</v>
      </c>
      <c r="F1580" s="54" t="n">
        <v>0.179653</v>
      </c>
      <c r="G1580" t="inlineStr">
        <is>
          <t>calculado</t>
        </is>
      </c>
      <c r="H1580" t="inlineStr">
        <is>
          <t>IEE 5.1127 % con cuota mínima 1 €/MWh (Ley 38/1992 art. 99 (sin medidas vigentes)) + IVA 21 % (Ley 37/1992 art. 90 (sin medidas vigentes))</t>
        </is>
      </c>
      <c r="J1580" t="inlineStr">
        <is>
          <t>2025-09-22</t>
        </is>
      </c>
      <c r="K1580" t="inlineStr">
        <is>
          <t>ESIOS 1001 geo 8741</t>
        </is>
      </c>
      <c r="L1580" t="inlineStr">
        <is>
          <t>24 valores; mín 67.46, máx 248.06 €/MWh</t>
        </is>
      </c>
    </row>
    <row r="1581">
      <c r="A1581" s="53" t="n">
        <v>45924</v>
      </c>
      <c r="B1581" t="inlineStr">
        <is>
          <t>2025-09-24</t>
        </is>
      </c>
      <c r="C1581" s="45" t="n">
        <v>140.6129</v>
      </c>
      <c r="D1581" t="inlineStr">
        <is>
          <t>€/MWh</t>
        </is>
      </c>
      <c r="E1581" s="54" t="n">
        <v>0.140613</v>
      </c>
      <c r="F1581" s="54" t="n">
        <v>0.17884</v>
      </c>
      <c r="G1581" t="inlineStr">
        <is>
          <t>calculado</t>
        </is>
      </c>
      <c r="H1581" t="inlineStr">
        <is>
          <t>IEE 5.1127 % con cuota mínima 1 €/MWh (Ley 38/1992 art. 99 (sin medidas vigentes)) + IVA 21 % (Ley 37/1992 art. 90 (sin medidas vigentes))</t>
        </is>
      </c>
      <c r="J1581" t="inlineStr">
        <is>
          <t>2025-09-23</t>
        </is>
      </c>
      <c r="K1581" t="inlineStr">
        <is>
          <t>ESIOS 1001 geo 8741</t>
        </is>
      </c>
      <c r="L1581" t="inlineStr">
        <is>
          <t>24 valores; mín 72.29, máx 264.48 €/MWh</t>
        </is>
      </c>
    </row>
    <row r="1582">
      <c r="A1582" s="53" t="n">
        <v>45925</v>
      </c>
      <c r="B1582" t="inlineStr">
        <is>
          <t>2025-09-25</t>
        </is>
      </c>
      <c r="C1582" s="45" t="n">
        <v>153.9492</v>
      </c>
      <c r="D1582" t="inlineStr">
        <is>
          <t>€/MWh</t>
        </is>
      </c>
      <c r="E1582" s="54" t="n">
        <v>0.153949</v>
      </c>
      <c r="F1582" s="54" t="n">
        <v>0.195802</v>
      </c>
      <c r="G1582" t="inlineStr">
        <is>
          <t>calculado</t>
        </is>
      </c>
      <c r="H1582" t="inlineStr">
        <is>
          <t>IEE 5.1127 % con cuota mínima 1 €/MWh (Ley 38/1992 art. 99 (sin medidas vigentes)) + IVA 21 % (Ley 37/1992 art. 90 (sin medidas vigentes))</t>
        </is>
      </c>
      <c r="J1582" t="inlineStr">
        <is>
          <t>2025-09-24</t>
        </is>
      </c>
      <c r="K1582" t="inlineStr">
        <is>
          <t>ESIOS 1001 geo 8741</t>
        </is>
      </c>
      <c r="L1582" t="inlineStr">
        <is>
          <t>24 valores; mín 72.69, máx 312.65 €/MWh</t>
        </is>
      </c>
    </row>
    <row r="1583">
      <c r="A1583" s="53" t="n">
        <v>45926</v>
      </c>
      <c r="B1583" t="inlineStr">
        <is>
          <t>2025-09-26</t>
        </is>
      </c>
      <c r="C1583" s="45" t="n">
        <v>156.4433</v>
      </c>
      <c r="D1583" t="inlineStr">
        <is>
          <t>€/MWh</t>
        </is>
      </c>
      <c r="E1583" s="54" t="n">
        <v>0.156443</v>
      </c>
      <c r="F1583" s="54" t="n">
        <v>0.198975</v>
      </c>
      <c r="G1583" t="inlineStr">
        <is>
          <t>calculado</t>
        </is>
      </c>
      <c r="H1583" t="inlineStr">
        <is>
          <t>IEE 5.1127 % con cuota mínima 1 €/MWh (Ley 38/1992 art. 99 (sin medidas vigentes)) + IVA 21 % (Ley 37/1992 art. 90 (sin medidas vigentes))</t>
        </is>
      </c>
      <c r="J1583" t="inlineStr">
        <is>
          <t>2025-09-25</t>
        </is>
      </c>
      <c r="K1583" t="inlineStr">
        <is>
          <t>ESIOS 1001 geo 8741</t>
        </is>
      </c>
      <c r="L1583" t="inlineStr">
        <is>
          <t>24 valores; mín 67.17, máx 283.53 €/MWh</t>
        </is>
      </c>
    </row>
    <row r="1584">
      <c r="A1584" s="53" t="n">
        <v>45927</v>
      </c>
      <c r="B1584" t="inlineStr">
        <is>
          <t>2025-09-27</t>
        </is>
      </c>
      <c r="C1584" s="45" t="n">
        <v>112.8733</v>
      </c>
      <c r="D1584" t="inlineStr">
        <is>
          <t>€/MWh</t>
        </is>
      </c>
      <c r="E1584" s="54" t="n">
        <v>0.112873</v>
      </c>
      <c r="F1584" s="54" t="n">
        <v>0.143559</v>
      </c>
      <c r="G1584" t="inlineStr">
        <is>
          <t>calculado</t>
        </is>
      </c>
      <c r="H1584" t="inlineStr">
        <is>
          <t>IEE 5.1127 % con cuota mínima 1 €/MWh (Ley 38/1992 art. 99 (sin medidas vigentes)) + IVA 21 % (Ley 37/1992 art. 90 (sin medidas vigentes))</t>
        </is>
      </c>
      <c r="J1584" t="inlineStr">
        <is>
          <t>2025-09-26</t>
        </is>
      </c>
      <c r="K1584" t="inlineStr">
        <is>
          <t>ESIOS 1001 geo 8741</t>
        </is>
      </c>
      <c r="L1584" t="inlineStr">
        <is>
          <t>24 valores; mín 44.35, máx 158.80 €/MWh</t>
        </is>
      </c>
    </row>
    <row r="1585">
      <c r="A1585" s="53" t="n">
        <v>45928</v>
      </c>
      <c r="B1585" t="inlineStr">
        <is>
          <t>2025-09-28</t>
        </is>
      </c>
      <c r="C1585" s="45" t="n">
        <v>107.4504</v>
      </c>
      <c r="D1585" t="inlineStr">
        <is>
          <t>€/MWh</t>
        </is>
      </c>
      <c r="E1585" s="54" t="n">
        <v>0.10745</v>
      </c>
      <c r="F1585" s="54" t="n">
        <v>0.136662</v>
      </c>
      <c r="G1585" t="inlineStr">
        <is>
          <t>calculado</t>
        </is>
      </c>
      <c r="H1585" t="inlineStr">
        <is>
          <t>IEE 5.1127 % con cuota mínima 1 €/MWh (Ley 38/1992 art. 99 (sin medidas vigentes)) + IVA 21 % (Ley 37/1992 art. 90 (sin medidas vigentes))</t>
        </is>
      </c>
      <c r="J1585" t="inlineStr">
        <is>
          <t>2025-09-27</t>
        </is>
      </c>
      <c r="K1585" t="inlineStr">
        <is>
          <t>ESIOS 1001 geo 8741</t>
        </is>
      </c>
      <c r="L1585" t="inlineStr">
        <is>
          <t>24 valores; mín 62.29, máx 130.64 €/MWh</t>
        </is>
      </c>
    </row>
    <row r="1586">
      <c r="A1586" s="53" t="n">
        <v>45929</v>
      </c>
      <c r="B1586" t="inlineStr">
        <is>
          <t>2025-09-29</t>
        </is>
      </c>
      <c r="C1586" s="45" t="n">
        <v>145.8537</v>
      </c>
      <c r="D1586" t="inlineStr">
        <is>
          <t>€/MWh</t>
        </is>
      </c>
      <c r="E1586" s="54" t="n">
        <v>0.145854</v>
      </c>
      <c r="F1586" s="54" t="n">
        <v>0.185506</v>
      </c>
      <c r="G1586" t="inlineStr">
        <is>
          <t>calculado</t>
        </is>
      </c>
      <c r="H1586" t="inlineStr">
        <is>
          <t>IEE 5.1127 % con cuota mínima 1 €/MWh (Ley 38/1992 art. 99 (sin medidas vigentes)) + IVA 21 % (Ley 37/1992 art. 90 (sin medidas vigentes))</t>
        </is>
      </c>
      <c r="J1586" t="inlineStr">
        <is>
          <t>2025-09-28</t>
        </is>
      </c>
      <c r="K1586" t="inlineStr">
        <is>
          <t>ESIOS 1001 geo 8741</t>
        </is>
      </c>
      <c r="L1586" t="inlineStr">
        <is>
          <t>24 valores; mín 86.37, máx 274.55 €/MWh</t>
        </is>
      </c>
    </row>
    <row r="1587">
      <c r="A1587" s="53" t="n">
        <v>45930</v>
      </c>
      <c r="B1587" t="inlineStr">
        <is>
          <t>2025-09-30</t>
        </is>
      </c>
      <c r="C1587" s="45" t="n">
        <v>153.6571</v>
      </c>
      <c r="D1587" t="inlineStr">
        <is>
          <t>€/MWh</t>
        </is>
      </c>
      <c r="E1587" s="54" t="n">
        <v>0.153657</v>
      </c>
      <c r="F1587" s="54" t="n">
        <v>0.195431</v>
      </c>
      <c r="G1587" t="inlineStr">
        <is>
          <t>calculado</t>
        </is>
      </c>
      <c r="H1587" t="inlineStr">
        <is>
          <t>IEE 5.1127 % con cuota mínima 1 €/MWh (Ley 38/1992 art. 99 (sin medidas vigentes)) + IVA 21 % (Ley 37/1992 art. 90 (sin medidas vigentes))</t>
        </is>
      </c>
      <c r="J1587" t="inlineStr">
        <is>
          <t>2025-09-29</t>
        </is>
      </c>
      <c r="K1587" t="inlineStr">
        <is>
          <t>ESIOS 1001 geo 8741</t>
        </is>
      </c>
      <c r="L1587" t="inlineStr">
        <is>
          <t>24 valores; mín 70.26, máx 334.61 €/MWh</t>
        </is>
      </c>
    </row>
    <row r="1588">
      <c r="A1588" s="53" t="n">
        <v>45931</v>
      </c>
      <c r="B1588" t="inlineStr">
        <is>
          <t>2025-10-01</t>
        </is>
      </c>
      <c r="C1588" s="45" t="n">
        <v>155.2304</v>
      </c>
      <c r="D1588" t="inlineStr">
        <is>
          <t>€/MWh</t>
        </is>
      </c>
      <c r="E1588" s="54" t="n">
        <v>0.15523</v>
      </c>
      <c r="F1588" s="54" t="n">
        <v>0.197432</v>
      </c>
      <c r="G1588" t="inlineStr">
        <is>
          <t>calculado</t>
        </is>
      </c>
      <c r="H1588" t="inlineStr">
        <is>
          <t>IEE 5.1127 % con cuota mínima 1 €/MWh (Ley 38/1992 art. 99 (sin medidas vigentes)) + IVA 21 % (Ley 37/1992 art. 90 (sin medidas vigentes))</t>
        </is>
      </c>
      <c r="J1588" t="inlineStr">
        <is>
          <t>2025-09-30</t>
        </is>
      </c>
      <c r="K1588" t="inlineStr">
        <is>
          <t>ESIOS 1001 geo 8741</t>
        </is>
      </c>
      <c r="L1588" t="inlineStr">
        <is>
          <t>24 valores; mín 56.34, máx 356.95 €/MWh</t>
        </is>
      </c>
    </row>
    <row r="1589">
      <c r="A1589" s="53" t="n">
        <v>45932</v>
      </c>
      <c r="B1589" t="inlineStr">
        <is>
          <t>2025-10-02</t>
        </is>
      </c>
      <c r="C1589" s="45" t="n">
        <v>155.2667</v>
      </c>
      <c r="D1589" t="inlineStr">
        <is>
          <t>€/MWh</t>
        </is>
      </c>
      <c r="E1589" s="54" t="n">
        <v>0.155267</v>
      </c>
      <c r="F1589" s="54" t="n">
        <v>0.197478</v>
      </c>
      <c r="G1589" t="inlineStr">
        <is>
          <t>calculado</t>
        </is>
      </c>
      <c r="H1589" t="inlineStr">
        <is>
          <t>IEE 5.1127 % con cuota mínima 1 €/MWh (Ley 38/1992 art. 99 (sin medidas vigentes)) + IVA 21 % (Ley 37/1992 art. 90 (sin medidas vigentes))</t>
        </is>
      </c>
      <c r="J1589" t="inlineStr">
        <is>
          <t>2025-10-01</t>
        </is>
      </c>
      <c r="K1589" t="inlineStr">
        <is>
          <t>ESIOS 1001 geo 8741</t>
        </is>
      </c>
      <c r="L1589" t="inlineStr">
        <is>
          <t>24 valores; mín 62.85, máx 343.41 €/MWh</t>
        </is>
      </c>
    </row>
    <row r="1590">
      <c r="A1590" s="53" t="n">
        <v>45933</v>
      </c>
      <c r="B1590" t="inlineStr">
        <is>
          <t>2025-10-03</t>
        </is>
      </c>
      <c r="C1590" s="45" t="n">
        <v>159.0692</v>
      </c>
      <c r="D1590" t="inlineStr">
        <is>
          <t>€/MWh</t>
        </is>
      </c>
      <c r="E1590" s="54" t="n">
        <v>0.159069</v>
      </c>
      <c r="F1590" s="54" t="n">
        <v>0.202314</v>
      </c>
      <c r="G1590" t="inlineStr">
        <is>
          <t>calculado</t>
        </is>
      </c>
      <c r="H1590" t="inlineStr">
        <is>
          <t>IEE 5.1127 % con cuota mínima 1 €/MWh (Ley 38/1992 art. 99 (sin medidas vigentes)) + IVA 21 % (Ley 37/1992 art. 90 (sin medidas vigentes))</t>
        </is>
      </c>
      <c r="J1590" t="inlineStr">
        <is>
          <t>2025-10-02</t>
        </is>
      </c>
      <c r="K1590" t="inlineStr">
        <is>
          <t>ESIOS 1001 geo 8741</t>
        </is>
      </c>
      <c r="L1590" t="inlineStr">
        <is>
          <t>24 valores; mín 85.08, máx 259.02 €/MWh</t>
        </is>
      </c>
    </row>
    <row r="1591">
      <c r="A1591" s="53" t="n">
        <v>45934</v>
      </c>
      <c r="B1591" t="inlineStr">
        <is>
          <t>2025-10-04</t>
        </is>
      </c>
      <c r="C1591" s="45" t="n">
        <v>107.2825</v>
      </c>
      <c r="D1591" t="inlineStr">
        <is>
          <t>€/MWh</t>
        </is>
      </c>
      <c r="E1591" s="54" t="n">
        <v>0.107283</v>
      </c>
      <c r="F1591" s="54" t="n">
        <v>0.136449</v>
      </c>
      <c r="G1591" t="inlineStr">
        <is>
          <t>calculado</t>
        </is>
      </c>
      <c r="H1591" t="inlineStr">
        <is>
          <t>IEE 5.1127 % con cuota mínima 1 €/MWh (Ley 38/1992 art. 99 (sin medidas vigentes)) + IVA 21 % (Ley 37/1992 art. 90 (sin medidas vigentes))</t>
        </is>
      </c>
      <c r="J1591" t="inlineStr">
        <is>
          <t>2025-10-03</t>
        </is>
      </c>
      <c r="K1591" t="inlineStr">
        <is>
          <t>ESIOS 1001 geo 8741</t>
        </is>
      </c>
      <c r="L1591" t="inlineStr">
        <is>
          <t>24 valores; mín 50.37, máx 168.07 €/MWh</t>
        </is>
      </c>
    </row>
    <row r="1592">
      <c r="A1592" s="53" t="n">
        <v>45935</v>
      </c>
      <c r="B1592" t="inlineStr">
        <is>
          <t>2025-10-05</t>
        </is>
      </c>
      <c r="C1592" s="45" t="n">
        <v>100.8483</v>
      </c>
      <c r="D1592" t="inlineStr">
        <is>
          <t>€/MWh</t>
        </is>
      </c>
      <c r="E1592" s="54" t="n">
        <v>0.100848</v>
      </c>
      <c r="F1592" s="54" t="n">
        <v>0.128265</v>
      </c>
      <c r="G1592" t="inlineStr">
        <is>
          <t>calculado</t>
        </is>
      </c>
      <c r="H1592" t="inlineStr">
        <is>
          <t>IEE 5.1127 % con cuota mínima 1 €/MWh (Ley 38/1992 art. 99 (sin medidas vigentes)) + IVA 21 % (Ley 37/1992 art. 90 (sin medidas vigentes))</t>
        </is>
      </c>
      <c r="J1592" t="inlineStr">
        <is>
          <t>2025-10-04</t>
        </is>
      </c>
      <c r="K1592" t="inlineStr">
        <is>
          <t>ESIOS 1001 geo 8741</t>
        </is>
      </c>
      <c r="L1592" t="inlineStr">
        <is>
          <t>24 valores; mín 75.35, máx 151.94 €/MWh</t>
        </is>
      </c>
    </row>
    <row r="1593">
      <c r="A1593" s="53" t="n">
        <v>45936</v>
      </c>
      <c r="B1593" t="inlineStr">
        <is>
          <t>2025-10-06</t>
        </is>
      </c>
      <c r="C1593" s="45" t="n">
        <v>159.2113</v>
      </c>
      <c r="D1593" t="inlineStr">
        <is>
          <t>€/MWh</t>
        </is>
      </c>
      <c r="E1593" s="54" t="n">
        <v>0.159211</v>
      </c>
      <c r="F1593" s="54" t="n">
        <v>0.202495</v>
      </c>
      <c r="G1593" t="inlineStr">
        <is>
          <t>calculado</t>
        </is>
      </c>
      <c r="H1593" t="inlineStr">
        <is>
          <t>IEE 5.1127 % con cuota mínima 1 €/MWh (Ley 38/1992 art. 99 (sin medidas vigentes)) + IVA 21 % (Ley 37/1992 art. 90 (sin medidas vigentes))</t>
        </is>
      </c>
      <c r="J1593" t="inlineStr">
        <is>
          <t>2025-10-05</t>
        </is>
      </c>
      <c r="K1593" t="inlineStr">
        <is>
          <t>ESIOS 1001 geo 8741</t>
        </is>
      </c>
      <c r="L1593" t="inlineStr">
        <is>
          <t>24 valores; mín 89.98, máx 308.33 €/MWh</t>
        </is>
      </c>
    </row>
    <row r="1594">
      <c r="A1594" s="53" t="n">
        <v>45937</v>
      </c>
      <c r="B1594" t="inlineStr">
        <is>
          <t>2025-10-07</t>
        </is>
      </c>
      <c r="C1594" s="45" t="n">
        <v>165.5704</v>
      </c>
      <c r="D1594" t="inlineStr">
        <is>
          <t>€/MWh</t>
        </is>
      </c>
      <c r="E1594" s="54" t="n">
        <v>0.16557</v>
      </c>
      <c r="F1594" s="54" t="n">
        <v>0.210583</v>
      </c>
      <c r="G1594" t="inlineStr">
        <is>
          <t>calculado</t>
        </is>
      </c>
      <c r="H1594" t="inlineStr">
        <is>
          <t>IEE 5.1127 % con cuota mínima 1 €/MWh (Ley 38/1992 art. 99 (sin medidas vigentes)) + IVA 21 % (Ley 37/1992 art. 90 (sin medidas vigentes))</t>
        </is>
      </c>
      <c r="J1594" t="inlineStr">
        <is>
          <t>2025-10-06</t>
        </is>
      </c>
      <c r="K1594" t="inlineStr">
        <is>
          <t>ESIOS 1001 geo 8741</t>
        </is>
      </c>
      <c r="L1594" t="inlineStr">
        <is>
          <t>24 valores; mín 85.93, máx 291.13 €/MWh</t>
        </is>
      </c>
    </row>
    <row r="1595">
      <c r="A1595" s="53" t="n">
        <v>45938</v>
      </c>
      <c r="B1595" t="inlineStr">
        <is>
          <t>2025-10-08</t>
        </is>
      </c>
      <c r="C1595" s="45" t="n">
        <v>166.6646</v>
      </c>
      <c r="D1595" t="inlineStr">
        <is>
          <t>€/MWh</t>
        </is>
      </c>
      <c r="E1595" s="54" t="n">
        <v>0.166665</v>
      </c>
      <c r="F1595" s="54" t="n">
        <v>0.211975</v>
      </c>
      <c r="G1595" t="inlineStr">
        <is>
          <t>calculado</t>
        </is>
      </c>
      <c r="H1595" t="inlineStr">
        <is>
          <t>IEE 5.1127 % con cuota mínima 1 €/MWh (Ley 38/1992 art. 99 (sin medidas vigentes)) + IVA 21 % (Ley 37/1992 art. 90 (sin medidas vigentes))</t>
        </is>
      </c>
      <c r="J1595" t="inlineStr">
        <is>
          <t>2025-10-07</t>
        </is>
      </c>
      <c r="K1595" t="inlineStr">
        <is>
          <t>ESIOS 1001 geo 8741</t>
        </is>
      </c>
      <c r="L1595" t="inlineStr">
        <is>
          <t>24 valores; mín 104.79, máx 268.00 €/MWh</t>
        </is>
      </c>
    </row>
    <row r="1596">
      <c r="A1596" s="53" t="n">
        <v>45939</v>
      </c>
      <c r="B1596" t="inlineStr">
        <is>
          <t>2025-10-09</t>
        </is>
      </c>
      <c r="C1596" s="45" t="n">
        <v>153.3042</v>
      </c>
      <c r="D1596" t="inlineStr">
        <is>
          <t>€/MWh</t>
        </is>
      </c>
      <c r="E1596" s="54" t="n">
        <v>0.153304</v>
      </c>
      <c r="F1596" s="54" t="n">
        <v>0.194982</v>
      </c>
      <c r="G1596" t="inlineStr">
        <is>
          <t>calculado</t>
        </is>
      </c>
      <c r="H1596" t="inlineStr">
        <is>
          <t>IEE 5.1127 % con cuota mínima 1 €/MWh (Ley 38/1992 art. 99 (sin medidas vigentes)) + IVA 21 % (Ley 37/1992 art. 90 (sin medidas vigentes))</t>
        </is>
      </c>
      <c r="J1596" t="inlineStr">
        <is>
          <t>2025-10-08</t>
        </is>
      </c>
      <c r="K1596" t="inlineStr">
        <is>
          <t>ESIOS 1001 geo 8741</t>
        </is>
      </c>
      <c r="L1596" t="inlineStr">
        <is>
          <t>24 valores; mín 74.68, máx 256.57 €/MWh</t>
        </is>
      </c>
    </row>
    <row r="1597">
      <c r="A1597" s="53" t="n">
        <v>45940</v>
      </c>
      <c r="B1597" t="inlineStr">
        <is>
          <t>2025-10-10</t>
        </is>
      </c>
      <c r="C1597" s="45" t="n">
        <v>155.53</v>
      </c>
      <c r="D1597" t="inlineStr">
        <is>
          <t>€/MWh</t>
        </is>
      </c>
      <c r="E1597" s="54" t="n">
        <v>0.15553</v>
      </c>
      <c r="F1597" s="54" t="n">
        <v>0.197813</v>
      </c>
      <c r="G1597" t="inlineStr">
        <is>
          <t>calculado</t>
        </is>
      </c>
      <c r="H1597" t="inlineStr">
        <is>
          <t>IEE 5.1127 % con cuota mínima 1 €/MWh (Ley 38/1992 art. 99 (sin medidas vigentes)) + IVA 21 % (Ley 37/1992 art. 90 (sin medidas vigentes))</t>
        </is>
      </c>
      <c r="J1597" t="inlineStr">
        <is>
          <t>2025-10-09</t>
        </is>
      </c>
      <c r="K1597" t="inlineStr">
        <is>
          <t>ESIOS 1001 geo 8741</t>
        </is>
      </c>
      <c r="L1597" t="inlineStr">
        <is>
          <t>24 valores; mín 90.55, máx 245.69 €/MWh</t>
        </is>
      </c>
    </row>
    <row r="1598">
      <c r="A1598" s="53" t="n">
        <v>45941</v>
      </c>
      <c r="B1598" t="inlineStr">
        <is>
          <t>2025-10-11</t>
        </is>
      </c>
      <c r="C1598" s="45" t="n">
        <v>116.6017</v>
      </c>
      <c r="D1598" t="inlineStr">
        <is>
          <t>€/MWh</t>
        </is>
      </c>
      <c r="E1598" s="54" t="n">
        <v>0.116602</v>
      </c>
      <c r="F1598" s="54" t="n">
        <v>0.148301</v>
      </c>
      <c r="G1598" t="inlineStr">
        <is>
          <t>calculado</t>
        </is>
      </c>
      <c r="H1598" t="inlineStr">
        <is>
          <t>IEE 5.1127 % con cuota mínima 1 €/MWh (Ley 38/1992 art. 99 (sin medidas vigentes)) + IVA 21 % (Ley 37/1992 art. 90 (sin medidas vigentes))</t>
        </is>
      </c>
      <c r="J1598" t="inlineStr">
        <is>
          <t>2025-10-10</t>
        </is>
      </c>
      <c r="K1598" t="inlineStr">
        <is>
          <t>ESIOS 1001 geo 8741</t>
        </is>
      </c>
      <c r="L1598" t="inlineStr">
        <is>
          <t>24 valores; mín 40.99, máx 153.28 €/MWh</t>
        </is>
      </c>
    </row>
    <row r="1599">
      <c r="A1599" s="53" t="n">
        <v>45942</v>
      </c>
      <c r="B1599" t="inlineStr">
        <is>
          <t>2025-10-12</t>
        </is>
      </c>
      <c r="C1599" s="45" t="n">
        <v>117.7379</v>
      </c>
      <c r="D1599" t="inlineStr">
        <is>
          <t>€/MWh</t>
        </is>
      </c>
      <c r="E1599" s="54" t="n">
        <v>0.117738</v>
      </c>
      <c r="F1599" s="54" t="n">
        <v>0.149747</v>
      </c>
      <c r="G1599" t="inlineStr">
        <is>
          <t>calculado</t>
        </is>
      </c>
      <c r="H1599" t="inlineStr">
        <is>
          <t>IEE 5.1127 % con cuota mínima 1 €/MWh (Ley 38/1992 art. 99 (sin medidas vigentes)) + IVA 21 % (Ley 37/1992 art. 90 (sin medidas vigentes))</t>
        </is>
      </c>
      <c r="J1599" t="inlineStr">
        <is>
          <t>2025-10-11</t>
        </is>
      </c>
      <c r="K1599" t="inlineStr">
        <is>
          <t>ESIOS 1001 geo 8741</t>
        </is>
      </c>
      <c r="L1599" t="inlineStr">
        <is>
          <t>24 valores; mín 53.50, máx 162.39 €/MWh</t>
        </is>
      </c>
    </row>
    <row r="1600">
      <c r="A1600" s="53" t="n">
        <v>45943</v>
      </c>
      <c r="B1600" t="inlineStr">
        <is>
          <t>2025-10-13</t>
        </is>
      </c>
      <c r="C1600" s="45" t="n">
        <v>165.8904</v>
      </c>
      <c r="D1600" t="inlineStr">
        <is>
          <t>€/MWh</t>
        </is>
      </c>
      <c r="E1600" s="54" t="n">
        <v>0.16589</v>
      </c>
      <c r="F1600" s="54" t="n">
        <v>0.21099</v>
      </c>
      <c r="G1600" t="inlineStr">
        <is>
          <t>calculado</t>
        </is>
      </c>
      <c r="H1600" t="inlineStr">
        <is>
          <t>IEE 5.1127 % con cuota mínima 1 €/MWh (Ley 38/1992 art. 99 (sin medidas vigentes)) + IVA 21 % (Ley 37/1992 art. 90 (sin medidas vigentes))</t>
        </is>
      </c>
      <c r="J1600" t="inlineStr">
        <is>
          <t>2025-10-12</t>
        </is>
      </c>
      <c r="K1600" t="inlineStr">
        <is>
          <t>ESIOS 1001 geo 8741</t>
        </is>
      </c>
      <c r="L1600" t="inlineStr">
        <is>
          <t>24 valores; mín 106.69, máx 285.13 €/MWh</t>
        </is>
      </c>
    </row>
    <row r="1601">
      <c r="A1601" s="53" t="n">
        <v>45944</v>
      </c>
      <c r="B1601" t="inlineStr">
        <is>
          <t>2025-10-14</t>
        </is>
      </c>
      <c r="C1601" s="45" t="n">
        <v>167.0971</v>
      </c>
      <c r="D1601" t="inlineStr">
        <is>
          <t>€/MWh</t>
        </is>
      </c>
      <c r="E1601" s="54" t="n">
        <v>0.167097</v>
      </c>
      <c r="F1601" s="54" t="n">
        <v>0.212525</v>
      </c>
      <c r="G1601" t="inlineStr">
        <is>
          <t>calculado</t>
        </is>
      </c>
      <c r="H1601" t="inlineStr">
        <is>
          <t>IEE 5.1127 % con cuota mínima 1 €/MWh (Ley 38/1992 art. 99 (sin medidas vigentes)) + IVA 21 % (Ley 37/1992 art. 90 (sin medidas vigentes))</t>
        </is>
      </c>
      <c r="J1601" t="inlineStr">
        <is>
          <t>2025-10-13</t>
        </is>
      </c>
      <c r="K1601" t="inlineStr">
        <is>
          <t>ESIOS 1001 geo 8741</t>
        </is>
      </c>
      <c r="L1601" t="inlineStr">
        <is>
          <t>24 valores; mín 102.46, máx 277.50 €/MWh</t>
        </is>
      </c>
    </row>
    <row r="1602">
      <c r="A1602" s="53" t="n">
        <v>45945</v>
      </c>
      <c r="B1602" t="inlineStr">
        <is>
          <t>2025-10-15</t>
        </is>
      </c>
      <c r="C1602" s="45" t="n">
        <v>167.2929</v>
      </c>
      <c r="D1602" t="inlineStr">
        <is>
          <t>€/MWh</t>
        </is>
      </c>
      <c r="E1602" s="54" t="n">
        <v>0.167293</v>
      </c>
      <c r="F1602" s="54" t="n">
        <v>0.212774</v>
      </c>
      <c r="G1602" t="inlineStr">
        <is>
          <t>calculado</t>
        </is>
      </c>
      <c r="H1602" t="inlineStr">
        <is>
          <t>IEE 5.1127 % con cuota mínima 1 €/MWh (Ley 38/1992 art. 99 (sin medidas vigentes)) + IVA 21 % (Ley 37/1992 art. 90 (sin medidas vigentes))</t>
        </is>
      </c>
      <c r="J1602" t="inlineStr">
        <is>
          <t>2025-10-14</t>
        </is>
      </c>
      <c r="K1602" t="inlineStr">
        <is>
          <t>ESIOS 1001 geo 8741</t>
        </is>
      </c>
      <c r="L1602" t="inlineStr">
        <is>
          <t>24 valores; mín 105.01, máx 279.57 €/MWh</t>
        </is>
      </c>
    </row>
    <row r="1603">
      <c r="A1603" s="53" t="n">
        <v>45946</v>
      </c>
      <c r="B1603" t="inlineStr">
        <is>
          <t>2025-10-16</t>
        </is>
      </c>
      <c r="C1603" s="45" t="n">
        <v>167.0854</v>
      </c>
      <c r="D1603" t="inlineStr">
        <is>
          <t>€/MWh</t>
        </is>
      </c>
      <c r="E1603" s="54" t="n">
        <v>0.167085</v>
      </c>
      <c r="F1603" s="54" t="n">
        <v>0.21251</v>
      </c>
      <c r="G1603" t="inlineStr">
        <is>
          <t>calculado</t>
        </is>
      </c>
      <c r="H1603" t="inlineStr">
        <is>
          <t>IEE 5.1127 % con cuota mínima 1 €/MWh (Ley 38/1992 art. 99 (sin medidas vigentes)) + IVA 21 % (Ley 37/1992 art. 90 (sin medidas vigentes))</t>
        </is>
      </c>
      <c r="J1603" t="inlineStr">
        <is>
          <t>2025-10-15</t>
        </is>
      </c>
      <c r="K1603" t="inlineStr">
        <is>
          <t>ESIOS 1001 geo 8741</t>
        </is>
      </c>
      <c r="L1603" t="inlineStr">
        <is>
          <t>24 valores; mín 108.36, máx 267.25 €/MWh</t>
        </is>
      </c>
    </row>
    <row r="1604">
      <c r="A1604" s="53" t="n">
        <v>45947</v>
      </c>
      <c r="B1604" t="inlineStr">
        <is>
          <t>2025-10-17</t>
        </is>
      </c>
      <c r="C1604" s="45" t="n">
        <v>166.3904</v>
      </c>
      <c r="D1604" t="inlineStr">
        <is>
          <t>€/MWh</t>
        </is>
      </c>
      <c r="E1604" s="54" t="n">
        <v>0.16639</v>
      </c>
      <c r="F1604" s="54" t="n">
        <v>0.211626</v>
      </c>
      <c r="G1604" t="inlineStr">
        <is>
          <t>calculado</t>
        </is>
      </c>
      <c r="H1604" t="inlineStr">
        <is>
          <t>IEE 5.1127 % con cuota mínima 1 €/MWh (Ley 38/1992 art. 99 (sin medidas vigentes)) + IVA 21 % (Ley 37/1992 art. 90 (sin medidas vigentes))</t>
        </is>
      </c>
      <c r="J1604" t="inlineStr">
        <is>
          <t>2025-10-16</t>
        </is>
      </c>
      <c r="K1604" t="inlineStr">
        <is>
          <t>ESIOS 1001 geo 8741</t>
        </is>
      </c>
      <c r="L1604" t="inlineStr">
        <is>
          <t>24 valores; mín 85.03, máx 274.88 €/MWh</t>
        </is>
      </c>
    </row>
    <row r="1605">
      <c r="A1605" s="53" t="n">
        <v>45948</v>
      </c>
      <c r="B1605" t="inlineStr">
        <is>
          <t>2025-10-18</t>
        </is>
      </c>
      <c r="C1605" s="45" t="n">
        <v>120.5217</v>
      </c>
      <c r="D1605" t="inlineStr">
        <is>
          <t>€/MWh</t>
        </is>
      </c>
      <c r="E1605" s="54" t="n">
        <v>0.120522</v>
      </c>
      <c r="F1605" s="54" t="n">
        <v>0.153287</v>
      </c>
      <c r="G1605" t="inlineStr">
        <is>
          <t>calculado</t>
        </is>
      </c>
      <c r="H1605" t="inlineStr">
        <is>
          <t>IEE 5.1127 % con cuota mínima 1 €/MWh (Ley 38/1992 art. 99 (sin medidas vigentes)) + IVA 21 % (Ley 37/1992 art. 90 (sin medidas vigentes))</t>
        </is>
      </c>
      <c r="J1605" t="inlineStr">
        <is>
          <t>2025-10-17</t>
        </is>
      </c>
      <c r="K1605" t="inlineStr">
        <is>
          <t>ESIOS 1001 geo 8741</t>
        </is>
      </c>
      <c r="L1605" t="inlineStr">
        <is>
          <t>24 valores; mín 43.68, máx 168.57 €/MWh</t>
        </is>
      </c>
    </row>
    <row r="1606">
      <c r="A1606" s="53" t="n">
        <v>45949</v>
      </c>
      <c r="B1606" t="inlineStr">
        <is>
          <t>2025-10-19</t>
        </is>
      </c>
      <c r="C1606" s="45" t="n">
        <v>107.5954</v>
      </c>
      <c r="D1606" t="inlineStr">
        <is>
          <t>€/MWh</t>
        </is>
      </c>
      <c r="E1606" s="54" t="n">
        <v>0.107595</v>
      </c>
      <c r="F1606" s="54" t="n">
        <v>0.136847</v>
      </c>
      <c r="G1606" t="inlineStr">
        <is>
          <t>calculado</t>
        </is>
      </c>
      <c r="H1606" t="inlineStr">
        <is>
          <t>IEE 5.1127 % con cuota mínima 1 €/MWh (Ley 38/1992 art. 99 (sin medidas vigentes)) + IVA 21 % (Ley 37/1992 art. 90 (sin medidas vigentes))</t>
        </is>
      </c>
      <c r="J1606" t="inlineStr">
        <is>
          <t>2025-10-18</t>
        </is>
      </c>
      <c r="K1606" t="inlineStr">
        <is>
          <t>ESIOS 1001 geo 8741</t>
        </is>
      </c>
      <c r="L1606" t="inlineStr">
        <is>
          <t>24 valores; mín 68.06, máx 156.33 €/MWh</t>
        </is>
      </c>
    </row>
    <row r="1607">
      <c r="A1607" s="53" t="n">
        <v>45950</v>
      </c>
      <c r="B1607" t="inlineStr">
        <is>
          <t>2025-10-20</t>
        </is>
      </c>
      <c r="C1607" s="45" t="n">
        <v>142.4087</v>
      </c>
      <c r="D1607" t="inlineStr">
        <is>
          <t>€/MWh</t>
        </is>
      </c>
      <c r="E1607" s="54" t="n">
        <v>0.142409</v>
      </c>
      <c r="F1607" s="54" t="n">
        <v>0.181124</v>
      </c>
      <c r="G1607" t="inlineStr">
        <is>
          <t>calculado</t>
        </is>
      </c>
      <c r="H1607" t="inlineStr">
        <is>
          <t>IEE 5.1127 % con cuota mínima 1 €/MWh (Ley 38/1992 art. 99 (sin medidas vigentes)) + IVA 21 % (Ley 37/1992 art. 90 (sin medidas vigentes))</t>
        </is>
      </c>
      <c r="J1607" t="inlineStr">
        <is>
          <t>2025-10-19</t>
        </is>
      </c>
      <c r="K1607" t="inlineStr">
        <is>
          <t>ESIOS 1001 geo 8741</t>
        </is>
      </c>
      <c r="L1607" t="inlineStr">
        <is>
          <t>24 valores; mín 83.83, máx 252.95 €/MWh</t>
        </is>
      </c>
    </row>
    <row r="1608">
      <c r="A1608" s="53" t="n">
        <v>45951</v>
      </c>
      <c r="B1608" t="inlineStr">
        <is>
          <t>2025-10-21</t>
        </is>
      </c>
      <c r="C1608" s="45" t="n">
        <v>139.3367</v>
      </c>
      <c r="D1608" t="inlineStr">
        <is>
          <t>€/MWh</t>
        </is>
      </c>
      <c r="E1608" s="54" t="n">
        <v>0.139337</v>
      </c>
      <c r="F1608" s="54" t="n">
        <v>0.177217</v>
      </c>
      <c r="G1608" t="inlineStr">
        <is>
          <t>calculado</t>
        </is>
      </c>
      <c r="H1608" t="inlineStr">
        <is>
          <t>IEE 5.1127 % con cuota mínima 1 €/MWh (Ley 38/1992 art. 99 (sin medidas vigentes)) + IVA 21 % (Ley 37/1992 art. 90 (sin medidas vigentes))</t>
        </is>
      </c>
      <c r="J1608" t="inlineStr">
        <is>
          <t>2025-10-20</t>
        </is>
      </c>
      <c r="K1608" t="inlineStr">
        <is>
          <t>ESIOS 1001 geo 8741</t>
        </is>
      </c>
      <c r="L1608" t="inlineStr">
        <is>
          <t>24 valores; mín 76.34, máx 251.83 €/MWh</t>
        </is>
      </c>
    </row>
    <row r="1609">
      <c r="A1609" s="53" t="n">
        <v>45952</v>
      </c>
      <c r="B1609" t="inlineStr">
        <is>
          <t>2025-10-22</t>
        </is>
      </c>
      <c r="C1609" s="45" t="n">
        <v>136.8871</v>
      </c>
      <c r="D1609" t="inlineStr">
        <is>
          <t>€/MWh</t>
        </is>
      </c>
      <c r="E1609" s="54" t="n">
        <v>0.136887</v>
      </c>
      <c r="F1609" s="54" t="n">
        <v>0.174102</v>
      </c>
      <c r="G1609" t="inlineStr">
        <is>
          <t>calculado</t>
        </is>
      </c>
      <c r="H1609" t="inlineStr">
        <is>
          <t>IEE 5.1127 % con cuota mínima 1 €/MWh (Ley 38/1992 art. 99 (sin medidas vigentes)) + IVA 21 % (Ley 37/1992 art. 90 (sin medidas vigentes))</t>
        </is>
      </c>
      <c r="J1609" t="inlineStr">
        <is>
          <t>2025-10-21</t>
        </is>
      </c>
      <c r="K1609" t="inlineStr">
        <is>
          <t>ESIOS 1001 geo 8741</t>
        </is>
      </c>
      <c r="L1609" t="inlineStr">
        <is>
          <t>24 valores; mín 96.33, máx 222.88 €/MWh</t>
        </is>
      </c>
    </row>
    <row r="1610">
      <c r="A1610" s="53" t="n">
        <v>45953</v>
      </c>
      <c r="B1610" t="inlineStr">
        <is>
          <t>2025-10-23</t>
        </is>
      </c>
      <c r="C1610" s="45" t="n">
        <v>135.8171</v>
      </c>
      <c r="D1610" t="inlineStr">
        <is>
          <t>€/MWh</t>
        </is>
      </c>
      <c r="E1610" s="54" t="n">
        <v>0.135817</v>
      </c>
      <c r="F1610" s="54" t="n">
        <v>0.172741</v>
      </c>
      <c r="G1610" t="inlineStr">
        <is>
          <t>calculado</t>
        </is>
      </c>
      <c r="H1610" t="inlineStr">
        <is>
          <t>IEE 5.1127 % con cuota mínima 1 €/MWh (Ley 38/1992 art. 99 (sin medidas vigentes)) + IVA 21 % (Ley 37/1992 art. 90 (sin medidas vigentes))</t>
        </is>
      </c>
      <c r="J1610" t="inlineStr">
        <is>
          <t>2025-10-22</t>
        </is>
      </c>
      <c r="K1610" t="inlineStr">
        <is>
          <t>ESIOS 1001 geo 8741</t>
        </is>
      </c>
      <c r="L1610" t="inlineStr">
        <is>
          <t>24 valores; mín 74.30, máx 283.94 €/MWh</t>
        </is>
      </c>
    </row>
    <row r="1611">
      <c r="A1611" s="53" t="n">
        <v>45954</v>
      </c>
      <c r="B1611" t="inlineStr">
        <is>
          <t>2025-10-24</t>
        </is>
      </c>
      <c r="C1611" s="45" t="n">
        <v>161.97</v>
      </c>
      <c r="D1611" t="inlineStr">
        <is>
          <t>€/MWh</t>
        </is>
      </c>
      <c r="E1611" s="54" t="n">
        <v>0.16197</v>
      </c>
      <c r="F1611" s="54" t="n">
        <v>0.206004</v>
      </c>
      <c r="G1611" t="inlineStr">
        <is>
          <t>calculado</t>
        </is>
      </c>
      <c r="H1611" t="inlineStr">
        <is>
          <t>IEE 5.1127 % con cuota mínima 1 €/MWh (Ley 38/1992 art. 99 (sin medidas vigentes)) + IVA 21 % (Ley 37/1992 art. 90 (sin medidas vigentes))</t>
        </is>
      </c>
      <c r="J1611" t="inlineStr">
        <is>
          <t>2025-10-23</t>
        </is>
      </c>
      <c r="K1611" t="inlineStr">
        <is>
          <t>ESIOS 1001 geo 8741</t>
        </is>
      </c>
      <c r="L1611" t="inlineStr">
        <is>
          <t>24 valores; mín 63.60, máx 292.81 €/MWh</t>
        </is>
      </c>
    </row>
    <row r="1612">
      <c r="A1612" s="53" t="n">
        <v>45955</v>
      </c>
      <c r="B1612" t="inlineStr">
        <is>
          <t>2025-10-25</t>
        </is>
      </c>
      <c r="C1612" s="45" t="n">
        <v>122.1979</v>
      </c>
      <c r="D1612" t="inlineStr">
        <is>
          <t>€/MWh</t>
        </is>
      </c>
      <c r="E1612" s="54" t="n">
        <v>0.122198</v>
      </c>
      <c r="F1612" s="54" t="n">
        <v>0.155419</v>
      </c>
      <c r="G1612" t="inlineStr">
        <is>
          <t>calculado</t>
        </is>
      </c>
      <c r="H1612" t="inlineStr">
        <is>
          <t>IEE 5.1127 % con cuota mínima 1 €/MWh (Ley 38/1992 art. 99 (sin medidas vigentes)) + IVA 21 % (Ley 37/1992 art. 90 (sin medidas vigentes))</t>
        </is>
      </c>
      <c r="J1612" t="inlineStr">
        <is>
          <t>2025-10-24</t>
        </is>
      </c>
      <c r="K1612" t="inlineStr">
        <is>
          <t>ESIOS 1001 geo 8741</t>
        </is>
      </c>
      <c r="L1612" t="inlineStr">
        <is>
          <t>24 valores; mín 57.79, máx 169.33 €/MWh</t>
        </is>
      </c>
    </row>
    <row r="1613">
      <c r="A1613" s="53" t="n">
        <v>45956</v>
      </c>
      <c r="B1613" t="inlineStr">
        <is>
          <t>2025-10-26</t>
        </is>
      </c>
      <c r="C1613" s="45" t="n">
        <v>116.9748</v>
      </c>
      <c r="D1613" t="inlineStr">
        <is>
          <t>€/MWh</t>
        </is>
      </c>
      <c r="E1613" s="54" t="n">
        <v>0.116975</v>
      </c>
      <c r="F1613" s="54" t="n">
        <v>0.148776</v>
      </c>
      <c r="G1613" t="inlineStr">
        <is>
          <t>calculado</t>
        </is>
      </c>
      <c r="H1613" t="inlineStr">
        <is>
          <t>IEE 5.1127 % con cuota mínima 1 €/MWh (Ley 38/1992 art. 99 (sin medidas vigentes)) + IVA 21 % (Ley 37/1992 art. 90 (sin medidas vigentes))</t>
        </is>
      </c>
      <c r="J1613" t="inlineStr">
        <is>
          <t>2025-10-25</t>
        </is>
      </c>
      <c r="K1613" t="inlineStr">
        <is>
          <t>ESIOS 1001 geo 8741</t>
        </is>
      </c>
      <c r="L1613" t="inlineStr">
        <is>
          <t>25 valores; mín 65.54, máx 162.17 €/MWh</t>
        </is>
      </c>
    </row>
    <row r="1614">
      <c r="A1614" s="53" t="n">
        <v>45957</v>
      </c>
      <c r="B1614" t="inlineStr">
        <is>
          <t>2025-10-27</t>
        </is>
      </c>
      <c r="C1614" s="45" t="n">
        <v>163.28</v>
      </c>
      <c r="D1614" t="inlineStr">
        <is>
          <t>€/MWh</t>
        </is>
      </c>
      <c r="E1614" s="54" t="n">
        <v>0.16328</v>
      </c>
      <c r="F1614" s="54" t="n">
        <v>0.20767</v>
      </c>
      <c r="G1614" t="inlineStr">
        <is>
          <t>calculado</t>
        </is>
      </c>
      <c r="H1614" t="inlineStr">
        <is>
          <t>IEE 5.1127 % con cuota mínima 1 €/MWh (Ley 38/1992 art. 99 (sin medidas vigentes)) + IVA 21 % (Ley 37/1992 art. 90 (sin medidas vigentes))</t>
        </is>
      </c>
      <c r="J1614" t="inlineStr">
        <is>
          <t>2025-10-26</t>
        </is>
      </c>
      <c r="K1614" t="inlineStr">
        <is>
          <t>ESIOS 1001 geo 8741</t>
        </is>
      </c>
      <c r="L1614" t="inlineStr">
        <is>
          <t>24 valores; mín 71.10, máx 287.29 €/MWh</t>
        </is>
      </c>
    </row>
    <row r="1615">
      <c r="A1615" s="53" t="n">
        <v>45958</v>
      </c>
      <c r="B1615" t="inlineStr">
        <is>
          <t>2025-10-28</t>
        </is>
      </c>
      <c r="C1615" s="45" t="n">
        <v>168.7413</v>
      </c>
      <c r="D1615" t="inlineStr">
        <is>
          <t>€/MWh</t>
        </is>
      </c>
      <c r="E1615" s="54" t="n">
        <v>0.168741</v>
      </c>
      <c r="F1615" s="54" t="n">
        <v>0.214616</v>
      </c>
      <c r="G1615" t="inlineStr">
        <is>
          <t>calculado</t>
        </is>
      </c>
      <c r="H1615" t="inlineStr">
        <is>
          <t>IEE 5.1127 % con cuota mínima 1 €/MWh (Ley 38/1992 art. 99 (sin medidas vigentes)) + IVA 21 % (Ley 37/1992 art. 90 (sin medidas vigentes))</t>
        </is>
      </c>
      <c r="J1615" t="inlineStr">
        <is>
          <t>2025-10-27</t>
        </is>
      </c>
      <c r="K1615" t="inlineStr">
        <is>
          <t>ESIOS 1001 geo 8741</t>
        </is>
      </c>
      <c r="L1615" t="inlineStr">
        <is>
          <t>24 valores; mín 119.49, máx 265.59 €/MWh</t>
        </is>
      </c>
    </row>
    <row r="1616">
      <c r="A1616" s="53" t="n">
        <v>45959</v>
      </c>
      <c r="B1616" t="inlineStr">
        <is>
          <t>2025-10-29</t>
        </is>
      </c>
      <c r="C1616" s="45" t="n">
        <v>171.3967</v>
      </c>
      <c r="D1616" t="inlineStr">
        <is>
          <t>€/MWh</t>
        </is>
      </c>
      <c r="E1616" s="54" t="n">
        <v>0.171397</v>
      </c>
      <c r="F1616" s="54" t="n">
        <v>0.217993</v>
      </c>
      <c r="G1616" t="inlineStr">
        <is>
          <t>calculado</t>
        </is>
      </c>
      <c r="H1616" t="inlineStr">
        <is>
          <t>IEE 5.1127 % con cuota mínima 1 €/MWh (Ley 38/1992 art. 99 (sin medidas vigentes)) + IVA 21 % (Ley 37/1992 art. 90 (sin medidas vigentes))</t>
        </is>
      </c>
      <c r="J1616" t="inlineStr">
        <is>
          <t>2025-10-28</t>
        </is>
      </c>
      <c r="K1616" t="inlineStr">
        <is>
          <t>ESIOS 1001 geo 8741</t>
        </is>
      </c>
      <c r="L1616" t="inlineStr">
        <is>
          <t>24 valores; mín 104.34, máx 290.83 €/MWh</t>
        </is>
      </c>
    </row>
    <row r="1617">
      <c r="A1617" s="53" t="n">
        <v>45960</v>
      </c>
      <c r="B1617" t="inlineStr">
        <is>
          <t>2025-10-30</t>
        </is>
      </c>
      <c r="C1617" s="45" t="n">
        <v>159.6746</v>
      </c>
      <c r="D1617" t="inlineStr">
        <is>
          <t>€/MWh</t>
        </is>
      </c>
      <c r="E1617" s="54" t="n">
        <v>0.159675</v>
      </c>
      <c r="F1617" s="54" t="n">
        <v>0.203084</v>
      </c>
      <c r="G1617" t="inlineStr">
        <is>
          <t>calculado</t>
        </is>
      </c>
      <c r="H1617" t="inlineStr">
        <is>
          <t>IEE 5.1127 % con cuota mínima 1 €/MWh (Ley 38/1992 art. 99 (sin medidas vigentes)) + IVA 21 % (Ley 37/1992 art. 90 (sin medidas vigentes))</t>
        </is>
      </c>
      <c r="J1617" t="inlineStr">
        <is>
          <t>2025-10-29</t>
        </is>
      </c>
      <c r="K1617" t="inlineStr">
        <is>
          <t>ESIOS 1001 geo 8741</t>
        </is>
      </c>
      <c r="L1617" t="inlineStr">
        <is>
          <t>24 valores; mín 65.35, máx 264.33 €/MWh</t>
        </is>
      </c>
    </row>
    <row r="1618">
      <c r="A1618" s="53" t="n">
        <v>45961</v>
      </c>
      <c r="B1618" t="inlineStr">
        <is>
          <t>2025-10-31</t>
        </is>
      </c>
      <c r="C1618" s="45" t="n">
        <v>147.2304</v>
      </c>
      <c r="D1618" t="inlineStr">
        <is>
          <t>€/MWh</t>
        </is>
      </c>
      <c r="E1618" s="54" t="n">
        <v>0.14723</v>
      </c>
      <c r="F1618" s="54" t="n">
        <v>0.187257</v>
      </c>
      <c r="G1618" t="inlineStr">
        <is>
          <t>calculado</t>
        </is>
      </c>
      <c r="H1618" t="inlineStr">
        <is>
          <t>IEE 5.1127 % con cuota mínima 1 €/MWh (Ley 38/1992 art. 99 (sin medidas vigentes)) + IVA 21 % (Ley 37/1992 art. 90 (sin medidas vigentes))</t>
        </is>
      </c>
      <c r="J1618" t="inlineStr">
        <is>
          <t>2025-10-30</t>
        </is>
      </c>
      <c r="K1618" t="inlineStr">
        <is>
          <t>ESIOS 1001 geo 8741</t>
        </is>
      </c>
      <c r="L1618" t="inlineStr">
        <is>
          <t>24 valores; mín 85.79, máx 237.98 €/MWh</t>
        </is>
      </c>
    </row>
    <row r="1619">
      <c r="A1619" s="53" t="n">
        <v>45962</v>
      </c>
      <c r="B1619" t="inlineStr">
        <is>
          <t>2025-11-01</t>
        </is>
      </c>
      <c r="C1619" s="45" t="n">
        <v>109.01</v>
      </c>
      <c r="D1619" t="inlineStr">
        <is>
          <t>€/MWh</t>
        </is>
      </c>
      <c r="E1619" s="54" t="n">
        <v>0.10901</v>
      </c>
      <c r="F1619" s="54" t="n">
        <v>0.138646</v>
      </c>
      <c r="G1619" t="inlineStr">
        <is>
          <t>calculado</t>
        </is>
      </c>
      <c r="H1619" t="inlineStr">
        <is>
          <t>IEE 5.1127 % con cuota mínima 1 €/MWh (Ley 38/1992 art. 99 (sin medidas vigentes)) + IVA 21 % (Ley 37/1992 art. 90 (sin medidas vigentes))</t>
        </is>
      </c>
      <c r="J1619" t="inlineStr">
        <is>
          <t>2025-10-31</t>
        </is>
      </c>
      <c r="K1619" t="inlineStr">
        <is>
          <t>ESIOS 1001 geo 8741</t>
        </is>
      </c>
      <c r="L1619" t="inlineStr">
        <is>
          <t>24 valores; mín 68.59, máx 163.68 €/MWh</t>
        </is>
      </c>
    </row>
    <row r="1620">
      <c r="A1620" s="53" t="n">
        <v>45963</v>
      </c>
      <c r="B1620" t="inlineStr">
        <is>
          <t>2025-11-02</t>
        </is>
      </c>
      <c r="C1620" s="45" t="n">
        <v>110.9046</v>
      </c>
      <c r="D1620" t="inlineStr">
        <is>
          <t>€/MWh</t>
        </is>
      </c>
      <c r="E1620" s="54" t="n">
        <v>0.110905</v>
      </c>
      <c r="F1620" s="54" t="n">
        <v>0.141056</v>
      </c>
      <c r="G1620" t="inlineStr">
        <is>
          <t>calculado</t>
        </is>
      </c>
      <c r="H1620" t="inlineStr">
        <is>
          <t>IEE 5.1127 % con cuota mínima 1 €/MWh (Ley 38/1992 art. 99 (sin medidas vigentes)) + IVA 21 % (Ley 37/1992 art. 90 (sin medidas vigentes))</t>
        </is>
      </c>
      <c r="J1620" t="inlineStr">
        <is>
          <t>2025-11-01</t>
        </is>
      </c>
      <c r="K1620" t="inlineStr">
        <is>
          <t>ESIOS 1001 geo 8741</t>
        </is>
      </c>
      <c r="L1620" t="inlineStr">
        <is>
          <t>24 valores; mín 65.47, máx 180.01 €/MWh</t>
        </is>
      </c>
    </row>
    <row r="1621">
      <c r="A1621" s="53" t="n">
        <v>45964</v>
      </c>
      <c r="B1621" t="inlineStr">
        <is>
          <t>2025-11-03</t>
        </is>
      </c>
      <c r="C1621" s="45" t="n">
        <v>161.665</v>
      </c>
      <c r="D1621" t="inlineStr">
        <is>
          <t>€/MWh</t>
        </is>
      </c>
      <c r="E1621" s="54" t="n">
        <v>0.161665</v>
      </c>
      <c r="F1621" s="54" t="n">
        <v>0.205616</v>
      </c>
      <c r="G1621" t="inlineStr">
        <is>
          <t>calculado</t>
        </is>
      </c>
      <c r="H1621" t="inlineStr">
        <is>
          <t>IEE 5.1127 % con cuota mínima 1 €/MWh (Ley 38/1992 art. 99 (sin medidas vigentes)) + IVA 21 % (Ley 37/1992 art. 90 (sin medidas vigentes))</t>
        </is>
      </c>
      <c r="J1621" t="inlineStr">
        <is>
          <t>2025-11-02</t>
        </is>
      </c>
      <c r="K1621" t="inlineStr">
        <is>
          <t>ESIOS 1001 geo 8741</t>
        </is>
      </c>
      <c r="L1621" t="inlineStr">
        <is>
          <t>24 valores; mín 74.67, máx 294.36 €/MWh</t>
        </is>
      </c>
    </row>
    <row r="1622">
      <c r="A1622" s="53" t="n">
        <v>45965</v>
      </c>
      <c r="B1622" t="inlineStr">
        <is>
          <t>2025-11-04</t>
        </is>
      </c>
      <c r="C1622" s="45" t="n">
        <v>143.5875</v>
      </c>
      <c r="D1622" t="inlineStr">
        <is>
          <t>€/MWh</t>
        </is>
      </c>
      <c r="E1622" s="54" t="n">
        <v>0.143588</v>
      </c>
      <c r="F1622" s="54" t="n">
        <v>0.182624</v>
      </c>
      <c r="G1622" t="inlineStr">
        <is>
          <t>calculado</t>
        </is>
      </c>
      <c r="H1622" t="inlineStr">
        <is>
          <t>IEE 5.1127 % con cuota mínima 1 €/MWh (Ley 38/1992 art. 99 (sin medidas vigentes)) + IVA 21 % (Ley 37/1992 art. 90 (sin medidas vigentes))</t>
        </is>
      </c>
      <c r="J1622" t="inlineStr">
        <is>
          <t>2025-11-03</t>
        </is>
      </c>
      <c r="K1622" t="inlineStr">
        <is>
          <t>ESIOS 1001 geo 8741</t>
        </is>
      </c>
      <c r="L1622" t="inlineStr">
        <is>
          <t>24 valores; mín 80.26, máx 230.15 €/MWh</t>
        </is>
      </c>
    </row>
    <row r="1623">
      <c r="A1623" s="53" t="n">
        <v>45966</v>
      </c>
      <c r="B1623" t="inlineStr">
        <is>
          <t>2025-11-05</t>
        </is>
      </c>
      <c r="C1623" s="45" t="n">
        <v>132.8354</v>
      </c>
      <c r="D1623" t="inlineStr">
        <is>
          <t>€/MWh</t>
        </is>
      </c>
      <c r="E1623" s="54" t="n">
        <v>0.132835</v>
      </c>
      <c r="F1623" s="54" t="n">
        <v>0.168949</v>
      </c>
      <c r="G1623" t="inlineStr">
        <is>
          <t>calculado</t>
        </is>
      </c>
      <c r="H1623" t="inlineStr">
        <is>
          <t>IEE 5.1127 % con cuota mínima 1 €/MWh (Ley 38/1992 art. 99 (sin medidas vigentes)) + IVA 21 % (Ley 37/1992 art. 90 (sin medidas vigentes))</t>
        </is>
      </c>
      <c r="J1623" t="inlineStr">
        <is>
          <t>2025-11-04</t>
        </is>
      </c>
      <c r="K1623" t="inlineStr">
        <is>
          <t>ESIOS 1001 geo 8741</t>
        </is>
      </c>
      <c r="L1623" t="inlineStr">
        <is>
          <t>24 valores; mín 75.06, máx 228.05 €/MWh</t>
        </is>
      </c>
    </row>
    <row r="1624">
      <c r="A1624" s="53" t="n">
        <v>45967</v>
      </c>
      <c r="B1624" t="inlineStr">
        <is>
          <t>2025-11-06</t>
        </is>
      </c>
      <c r="C1624" s="45" t="n">
        <v>141.5875</v>
      </c>
      <c r="D1624" t="inlineStr">
        <is>
          <t>€/MWh</t>
        </is>
      </c>
      <c r="E1624" s="54" t="n">
        <v>0.141588</v>
      </c>
      <c r="F1624" s="54" t="n">
        <v>0.18008</v>
      </c>
      <c r="G1624" t="inlineStr">
        <is>
          <t>calculado</t>
        </is>
      </c>
      <c r="H1624" t="inlineStr">
        <is>
          <t>IEE 5.1127 % con cuota mínima 1 €/MWh (Ley 38/1992 art. 99 (sin medidas vigentes)) + IVA 21 % (Ley 37/1992 art. 90 (sin medidas vigentes))</t>
        </is>
      </c>
      <c r="J1624" t="inlineStr">
        <is>
          <t>2025-11-05</t>
        </is>
      </c>
      <c r="K1624" t="inlineStr">
        <is>
          <t>ESIOS 1001 geo 8741</t>
        </is>
      </c>
      <c r="L1624" t="inlineStr">
        <is>
          <t>24 valores; mín 70.44, máx 281.30 €/MWh</t>
        </is>
      </c>
    </row>
    <row r="1625">
      <c r="A1625" s="53" t="n">
        <v>45968</v>
      </c>
      <c r="B1625" t="inlineStr">
        <is>
          <t>2025-11-07</t>
        </is>
      </c>
      <c r="C1625" s="45" t="n">
        <v>153.2917</v>
      </c>
      <c r="D1625" t="inlineStr">
        <is>
          <t>€/MWh</t>
        </is>
      </c>
      <c r="E1625" s="54" t="n">
        <v>0.153292</v>
      </c>
      <c r="F1625" s="54" t="n">
        <v>0.194966</v>
      </c>
      <c r="G1625" t="inlineStr">
        <is>
          <t>calculado</t>
        </is>
      </c>
      <c r="H1625" t="inlineStr">
        <is>
          <t>IEE 5.1127 % con cuota mínima 1 €/MWh (Ley 38/1992 art. 99 (sin medidas vigentes)) + IVA 21 % (Ley 37/1992 art. 90 (sin medidas vigentes))</t>
        </is>
      </c>
      <c r="J1625" t="inlineStr">
        <is>
          <t>2025-11-06</t>
        </is>
      </c>
      <c r="K1625" t="inlineStr">
        <is>
          <t>ESIOS 1001 geo 8741</t>
        </is>
      </c>
      <c r="L1625" t="inlineStr">
        <is>
          <t>24 valores; mín 81.83, máx 252.37 €/MWh</t>
        </is>
      </c>
    </row>
    <row r="1626">
      <c r="A1626" s="53" t="n">
        <v>45969</v>
      </c>
      <c r="B1626" t="inlineStr">
        <is>
          <t>2025-11-08</t>
        </is>
      </c>
      <c r="C1626" s="45" t="n">
        <v>103.5521</v>
      </c>
      <c r="D1626" t="inlineStr">
        <is>
          <t>€/MWh</t>
        </is>
      </c>
      <c r="E1626" s="54" t="n">
        <v>0.103552</v>
      </c>
      <c r="F1626" s="54" t="n">
        <v>0.131704</v>
      </c>
      <c r="G1626" t="inlineStr">
        <is>
          <t>calculado</t>
        </is>
      </c>
      <c r="H1626" t="inlineStr">
        <is>
          <t>IEE 5.1127 % con cuota mínima 1 €/MWh (Ley 38/1992 art. 99 (sin medidas vigentes)) + IVA 21 % (Ley 37/1992 art. 90 (sin medidas vigentes))</t>
        </is>
      </c>
      <c r="J1626" t="inlineStr">
        <is>
          <t>2025-11-07</t>
        </is>
      </c>
      <c r="K1626" t="inlineStr">
        <is>
          <t>ESIOS 1001 geo 8741</t>
        </is>
      </c>
      <c r="L1626" t="inlineStr">
        <is>
          <t>24 valores; mín 62.79, máx 148.86 €/MWh</t>
        </is>
      </c>
    </row>
    <row r="1627">
      <c r="A1627" s="53" t="n">
        <v>45970</v>
      </c>
      <c r="B1627" t="inlineStr">
        <is>
          <t>2025-11-09</t>
        </is>
      </c>
      <c r="C1627" s="45" t="n">
        <v>113.8271</v>
      </c>
      <c r="D1627" t="inlineStr">
        <is>
          <t>€/MWh</t>
        </is>
      </c>
      <c r="E1627" s="54" t="n">
        <v>0.113827</v>
      </c>
      <c r="F1627" s="54" t="n">
        <v>0.144773</v>
      </c>
      <c r="G1627" t="inlineStr">
        <is>
          <t>calculado</t>
        </is>
      </c>
      <c r="H1627" t="inlineStr">
        <is>
          <t>IEE 5.1127 % con cuota mínima 1 €/MWh (Ley 38/1992 art. 99 (sin medidas vigentes)) + IVA 21 % (Ley 37/1992 art. 90 (sin medidas vigentes))</t>
        </is>
      </c>
      <c r="J1627" t="inlineStr">
        <is>
          <t>2025-11-08</t>
        </is>
      </c>
      <c r="K1627" t="inlineStr">
        <is>
          <t>ESIOS 1001 geo 8741</t>
        </is>
      </c>
      <c r="L1627" t="inlineStr">
        <is>
          <t>24 valores; mín 51.81, máx 168.78 €/MWh</t>
        </is>
      </c>
    </row>
    <row r="1628">
      <c r="A1628" s="53" t="n">
        <v>45971</v>
      </c>
      <c r="B1628" t="inlineStr">
        <is>
          <t>2025-11-10</t>
        </is>
      </c>
      <c r="C1628" s="45" t="n">
        <v>158.98</v>
      </c>
      <c r="D1628" t="inlineStr">
        <is>
          <t>€/MWh</t>
        </is>
      </c>
      <c r="E1628" s="54" t="n">
        <v>0.15898</v>
      </c>
      <c r="F1628" s="54" t="n">
        <v>0.202201</v>
      </c>
      <c r="G1628" t="inlineStr">
        <is>
          <t>calculado</t>
        </is>
      </c>
      <c r="H1628" t="inlineStr">
        <is>
          <t>IEE 5.1127 % con cuota mínima 1 €/MWh (Ley 38/1992 art. 99 (sin medidas vigentes)) + IVA 21 % (Ley 37/1992 art. 90 (sin medidas vigentes))</t>
        </is>
      </c>
      <c r="J1628" t="inlineStr">
        <is>
          <t>2025-11-09</t>
        </is>
      </c>
      <c r="K1628" t="inlineStr">
        <is>
          <t>ESIOS 1001 geo 8741</t>
        </is>
      </c>
      <c r="L1628" t="inlineStr">
        <is>
          <t>24 valores; mín 87.89, máx 277.27 €/MWh</t>
        </is>
      </c>
    </row>
    <row r="1629">
      <c r="A1629" s="53" t="n">
        <v>45972</v>
      </c>
      <c r="B1629" t="inlineStr">
        <is>
          <t>2025-11-11</t>
        </is>
      </c>
      <c r="C1629" s="45" t="n">
        <v>150.2817</v>
      </c>
      <c r="D1629" t="inlineStr">
        <is>
          <t>€/MWh</t>
        </is>
      </c>
      <c r="E1629" s="54" t="n">
        <v>0.150282</v>
      </c>
      <c r="F1629" s="54" t="n">
        <v>0.191138</v>
      </c>
      <c r="G1629" t="inlineStr">
        <is>
          <t>calculado</t>
        </is>
      </c>
      <c r="H1629" t="inlineStr">
        <is>
          <t>IEE 5.1127 % con cuota mínima 1 €/MWh (Ley 38/1992 art. 99 (sin medidas vigentes)) + IVA 21 % (Ley 37/1992 art. 90 (sin medidas vigentes))</t>
        </is>
      </c>
      <c r="J1629" t="inlineStr">
        <is>
          <t>2025-11-10</t>
        </is>
      </c>
      <c r="K1629" t="inlineStr">
        <is>
          <t>ESIOS 1001 geo 8741</t>
        </is>
      </c>
      <c r="L1629" t="inlineStr">
        <is>
          <t>24 valores; mín 69.89, máx 237.60 €/MWh</t>
        </is>
      </c>
    </row>
    <row r="1630">
      <c r="A1630" s="53" t="n">
        <v>45973</v>
      </c>
      <c r="B1630" t="inlineStr">
        <is>
          <t>2025-11-12</t>
        </is>
      </c>
      <c r="C1630" s="45" t="n">
        <v>131.3754</v>
      </c>
      <c r="D1630" t="inlineStr">
        <is>
          <t>€/MWh</t>
        </is>
      </c>
      <c r="E1630" s="54" t="n">
        <v>0.131375</v>
      </c>
      <c r="F1630" s="54" t="n">
        <v>0.167092</v>
      </c>
      <c r="G1630" t="inlineStr">
        <is>
          <t>calculado</t>
        </is>
      </c>
      <c r="H1630" t="inlineStr">
        <is>
          <t>IEE 5.1127 % con cuota mínima 1 €/MWh (Ley 38/1992 art. 99 (sin medidas vigentes)) + IVA 21 % (Ley 37/1992 art. 90 (sin medidas vigentes))</t>
        </is>
      </c>
      <c r="J1630" t="inlineStr">
        <is>
          <t>2025-11-11</t>
        </is>
      </c>
      <c r="K1630" t="inlineStr">
        <is>
          <t>ESIOS 1001 geo 8741</t>
        </is>
      </c>
      <c r="L1630" t="inlineStr">
        <is>
          <t>24 valores; mín 75.85, máx 225.21 €/MWh</t>
        </is>
      </c>
    </row>
    <row r="1631">
      <c r="A1631" s="53" t="n">
        <v>45974</v>
      </c>
      <c r="B1631" t="inlineStr">
        <is>
          <t>2025-11-13</t>
        </is>
      </c>
      <c r="C1631" s="45" t="n">
        <v>132.1842</v>
      </c>
      <c r="D1631" t="inlineStr">
        <is>
          <t>€/MWh</t>
        </is>
      </c>
      <c r="E1631" s="54" t="n">
        <v>0.132184</v>
      </c>
      <c r="F1631" s="54" t="n">
        <v>0.16812</v>
      </c>
      <c r="G1631" t="inlineStr">
        <is>
          <t>calculado</t>
        </is>
      </c>
      <c r="H1631" t="inlineStr">
        <is>
          <t>IEE 5.1127 % con cuota mínima 1 €/MWh (Ley 38/1992 art. 99 (sin medidas vigentes)) + IVA 21 % (Ley 37/1992 art. 90 (sin medidas vigentes))</t>
        </is>
      </c>
      <c r="J1631" t="inlineStr">
        <is>
          <t>2025-11-12</t>
        </is>
      </c>
      <c r="K1631" t="inlineStr">
        <is>
          <t>ESIOS 1001 geo 8741</t>
        </is>
      </c>
      <c r="L1631" t="inlineStr">
        <is>
          <t>24 valores; mín 79.52, máx 204.77 €/MWh</t>
        </is>
      </c>
    </row>
    <row r="1632">
      <c r="A1632" s="53" t="n">
        <v>45975</v>
      </c>
      <c r="B1632" t="inlineStr">
        <is>
          <t>2025-11-14</t>
        </is>
      </c>
      <c r="C1632" s="45" t="n">
        <v>129.6096</v>
      </c>
      <c r="D1632" t="inlineStr">
        <is>
          <t>€/MWh</t>
        </is>
      </c>
      <c r="E1632" s="54" t="n">
        <v>0.12961</v>
      </c>
      <c r="F1632" s="54" t="n">
        <v>0.164846</v>
      </c>
      <c r="G1632" t="inlineStr">
        <is>
          <t>calculado</t>
        </is>
      </c>
      <c r="H1632" t="inlineStr">
        <is>
          <t>IEE 5.1127 % con cuota mínima 1 €/MWh (Ley 38/1992 art. 99 (sin medidas vigentes)) + IVA 21 % (Ley 37/1992 art. 90 (sin medidas vigentes))</t>
        </is>
      </c>
      <c r="J1632" t="inlineStr">
        <is>
          <t>2025-11-13</t>
        </is>
      </c>
      <c r="K1632" t="inlineStr">
        <is>
          <t>ESIOS 1001 geo 8741</t>
        </is>
      </c>
      <c r="L1632" t="inlineStr">
        <is>
          <t>24 valores; mín 70.01, máx 209.86 €/MWh</t>
        </is>
      </c>
    </row>
    <row r="1633">
      <c r="A1633" s="53" t="n">
        <v>45976</v>
      </c>
      <c r="B1633" t="inlineStr">
        <is>
          <t>2025-11-15</t>
        </is>
      </c>
      <c r="C1633" s="45" t="n">
        <v>97.00790000000001</v>
      </c>
      <c r="D1633" t="inlineStr">
        <is>
          <t>€/MWh</t>
        </is>
      </c>
      <c r="E1633" s="54" t="n">
        <v>0.097008</v>
      </c>
      <c r="F1633" s="54" t="n">
        <v>0.123381</v>
      </c>
      <c r="G1633" t="inlineStr">
        <is>
          <t>calculado</t>
        </is>
      </c>
      <c r="H1633" t="inlineStr">
        <is>
          <t>IEE 5.1127 % con cuota mínima 1 €/MWh (Ley 38/1992 art. 99 (sin medidas vigentes)) + IVA 21 % (Ley 37/1992 art. 90 (sin medidas vigentes))</t>
        </is>
      </c>
      <c r="J1633" t="inlineStr">
        <is>
          <t>2025-11-14</t>
        </is>
      </c>
      <c r="K1633" t="inlineStr">
        <is>
          <t>ESIOS 1001 geo 8741</t>
        </is>
      </c>
      <c r="L1633" t="inlineStr">
        <is>
          <t>24 valores; mín 81.35, máx 127.73 €/MWh</t>
        </is>
      </c>
    </row>
    <row r="1634">
      <c r="A1634" s="53" t="n">
        <v>45977</v>
      </c>
      <c r="B1634" t="inlineStr">
        <is>
          <t>2025-11-16</t>
        </is>
      </c>
      <c r="C1634" s="45" t="n">
        <v>97.4496</v>
      </c>
      <c r="D1634" t="inlineStr">
        <is>
          <t>€/MWh</t>
        </is>
      </c>
      <c r="E1634" s="54" t="n">
        <v>0.09744999999999999</v>
      </c>
      <c r="F1634" s="54" t="n">
        <v>0.123943</v>
      </c>
      <c r="G1634" t="inlineStr">
        <is>
          <t>calculado</t>
        </is>
      </c>
      <c r="H1634" t="inlineStr">
        <is>
          <t>IEE 5.1127 % con cuota mínima 1 €/MWh (Ley 38/1992 art. 99 (sin medidas vigentes)) + IVA 21 % (Ley 37/1992 art. 90 (sin medidas vigentes))</t>
        </is>
      </c>
      <c r="J1634" t="inlineStr">
        <is>
          <t>2025-11-15</t>
        </is>
      </c>
      <c r="K1634" t="inlineStr">
        <is>
          <t>ESIOS 1001 geo 8741</t>
        </is>
      </c>
      <c r="L1634" t="inlineStr">
        <is>
          <t>24 valores; mín 59.19, máx 157.21 €/MWh</t>
        </is>
      </c>
    </row>
    <row r="1635">
      <c r="A1635" s="53" t="n">
        <v>45978</v>
      </c>
      <c r="B1635" t="inlineStr">
        <is>
          <t>2025-11-17</t>
        </is>
      </c>
      <c r="C1635" s="45" t="n">
        <v>159.0017</v>
      </c>
      <c r="D1635" t="inlineStr">
        <is>
          <t>€/MWh</t>
        </is>
      </c>
      <c r="E1635" s="54" t="n">
        <v>0.159002</v>
      </c>
      <c r="F1635" s="54" t="n">
        <v>0.202228</v>
      </c>
      <c r="G1635" t="inlineStr">
        <is>
          <t>calculado</t>
        </is>
      </c>
      <c r="H1635" t="inlineStr">
        <is>
          <t>IEE 5.1127 % con cuota mínima 1 €/MWh (Ley 38/1992 art. 99 (sin medidas vigentes)) + IVA 21 % (Ley 37/1992 art. 90 (sin medidas vigentes))</t>
        </is>
      </c>
      <c r="J1635" t="inlineStr">
        <is>
          <t>2025-11-16</t>
        </is>
      </c>
      <c r="K1635" t="inlineStr">
        <is>
          <t>ESIOS 1001 geo 8741</t>
        </is>
      </c>
      <c r="L1635" t="inlineStr">
        <is>
          <t>24 valores; mín 95.83, máx 244.33 €/MWh</t>
        </is>
      </c>
    </row>
    <row r="1636">
      <c r="A1636" s="53" t="n">
        <v>45979</v>
      </c>
      <c r="B1636" t="inlineStr">
        <is>
          <t>2025-11-18</t>
        </is>
      </c>
      <c r="C1636" s="45" t="n">
        <v>158.4238</v>
      </c>
      <c r="D1636" t="inlineStr">
        <is>
          <t>€/MWh</t>
        </is>
      </c>
      <c r="E1636" s="54" t="n">
        <v>0.158424</v>
      </c>
      <c r="F1636" s="54" t="n">
        <v>0.201493</v>
      </c>
      <c r="G1636" t="inlineStr">
        <is>
          <t>calculado</t>
        </is>
      </c>
      <c r="H1636" t="inlineStr">
        <is>
          <t>IEE 5.1127 % con cuota mínima 1 €/MWh (Ley 38/1992 art. 99 (sin medidas vigentes)) + IVA 21 % (Ley 37/1992 art. 90 (sin medidas vigentes))</t>
        </is>
      </c>
      <c r="J1636" t="inlineStr">
        <is>
          <t>2025-11-17</t>
        </is>
      </c>
      <c r="K1636" t="inlineStr">
        <is>
          <t>ESIOS 1001 geo 8741</t>
        </is>
      </c>
      <c r="L1636" t="inlineStr">
        <is>
          <t>24 valores; mín 84.80, máx 271.55 €/MWh</t>
        </is>
      </c>
    </row>
    <row r="1637">
      <c r="A1637" s="53" t="n">
        <v>45980</v>
      </c>
      <c r="B1637" t="inlineStr">
        <is>
          <t>2025-11-19</t>
        </is>
      </c>
      <c r="C1637" s="45" t="n">
        <v>167.7871</v>
      </c>
      <c r="D1637" t="inlineStr">
        <is>
          <t>€/MWh</t>
        </is>
      </c>
      <c r="E1637" s="54" t="n">
        <v>0.167787</v>
      </c>
      <c r="F1637" s="54" t="n">
        <v>0.213402</v>
      </c>
      <c r="G1637" t="inlineStr">
        <is>
          <t>calculado</t>
        </is>
      </c>
      <c r="H1637" t="inlineStr">
        <is>
          <t>IEE 5.1127 % con cuota mínima 1 €/MWh (Ley 38/1992 art. 99 (sin medidas vigentes)) + IVA 21 % (Ley 37/1992 art. 90 (sin medidas vigentes))</t>
        </is>
      </c>
      <c r="J1637" t="inlineStr">
        <is>
          <t>2025-11-18</t>
        </is>
      </c>
      <c r="K1637" t="inlineStr">
        <is>
          <t>ESIOS 1001 geo 8741</t>
        </is>
      </c>
      <c r="L1637" t="inlineStr">
        <is>
          <t>24 valores; mín 121.20, máx 252.25 €/MWh</t>
        </is>
      </c>
    </row>
    <row r="1638">
      <c r="A1638" s="53" t="n">
        <v>45981</v>
      </c>
      <c r="B1638" t="inlineStr">
        <is>
          <t>2025-11-20</t>
        </is>
      </c>
      <c r="C1638" s="45" t="n">
        <v>160.7292</v>
      </c>
      <c r="D1638" t="inlineStr">
        <is>
          <t>€/MWh</t>
        </is>
      </c>
      <c r="E1638" s="54" t="n">
        <v>0.160729</v>
      </c>
      <c r="F1638" s="54" t="n">
        <v>0.204426</v>
      </c>
      <c r="G1638" t="inlineStr">
        <is>
          <t>calculado</t>
        </is>
      </c>
      <c r="H1638" t="inlineStr">
        <is>
          <t>IEE 5.1127 % con cuota mínima 1 €/MWh (Ley 38/1992 art. 99 (sin medidas vigentes)) + IVA 21 % (Ley 37/1992 art. 90 (sin medidas vigentes))</t>
        </is>
      </c>
      <c r="J1638" t="inlineStr">
        <is>
          <t>2025-11-19</t>
        </is>
      </c>
      <c r="K1638" t="inlineStr">
        <is>
          <t>ESIOS 1001 geo 8741</t>
        </is>
      </c>
      <c r="L1638" t="inlineStr">
        <is>
          <t>24 valores; mín 92.21, máx 256.83 €/MWh</t>
        </is>
      </c>
    </row>
    <row r="1639">
      <c r="A1639" s="53" t="n">
        <v>45982</v>
      </c>
      <c r="B1639" t="inlineStr">
        <is>
          <t>2025-11-21</t>
        </is>
      </c>
      <c r="C1639" s="45" t="n">
        <v>147.16</v>
      </c>
      <c r="D1639" t="inlineStr">
        <is>
          <t>€/MWh</t>
        </is>
      </c>
      <c r="E1639" s="54" t="n">
        <v>0.14716</v>
      </c>
      <c r="F1639" s="54" t="n">
        <v>0.187167</v>
      </c>
      <c r="G1639" t="inlineStr">
        <is>
          <t>calculado</t>
        </is>
      </c>
      <c r="H1639" t="inlineStr">
        <is>
          <t>IEE 5.1127 % con cuota mínima 1 €/MWh (Ley 38/1992 art. 99 (sin medidas vigentes)) + IVA 21 % (Ley 37/1992 art. 90 (sin medidas vigentes))</t>
        </is>
      </c>
      <c r="J1639" t="inlineStr">
        <is>
          <t>2025-11-20</t>
        </is>
      </c>
      <c r="K1639" t="inlineStr">
        <is>
          <t>ESIOS 1001 geo 8741</t>
        </is>
      </c>
      <c r="L1639" t="inlineStr">
        <is>
          <t>24 valores; mín 68.12, máx 294.63 €/MWh</t>
        </is>
      </c>
    </row>
    <row r="1640">
      <c r="A1640" s="53" t="n">
        <v>45983</v>
      </c>
      <c r="B1640" t="inlineStr">
        <is>
          <t>2025-11-22</t>
        </is>
      </c>
      <c r="C1640" s="45" t="n">
        <v>108.3471</v>
      </c>
      <c r="D1640" t="inlineStr">
        <is>
          <t>€/MWh</t>
        </is>
      </c>
      <c r="E1640" s="54" t="n">
        <v>0.108347</v>
      </c>
      <c r="F1640" s="54" t="n">
        <v>0.137803</v>
      </c>
      <c r="G1640" t="inlineStr">
        <is>
          <t>calculado</t>
        </is>
      </c>
      <c r="H1640" t="inlineStr">
        <is>
          <t>IEE 5.1127 % con cuota mínima 1 €/MWh (Ley 38/1992 art. 99 (sin medidas vigentes)) + IVA 21 % (Ley 37/1992 art. 90 (sin medidas vigentes))</t>
        </is>
      </c>
      <c r="J1640" t="inlineStr">
        <is>
          <t>2025-11-21</t>
        </is>
      </c>
      <c r="K1640" t="inlineStr">
        <is>
          <t>ESIOS 1001 geo 8741</t>
        </is>
      </c>
      <c r="L1640" t="inlineStr">
        <is>
          <t>24 valores; mín 45.56, máx 159.77 €/MWh</t>
        </is>
      </c>
    </row>
    <row r="1641">
      <c r="A1641" s="53" t="n">
        <v>45984</v>
      </c>
      <c r="B1641" t="inlineStr">
        <is>
          <t>2025-11-23</t>
        </is>
      </c>
      <c r="C1641" s="45" t="n">
        <v>97.2212</v>
      </c>
      <c r="D1641" t="inlineStr">
        <is>
          <t>€/MWh</t>
        </is>
      </c>
      <c r="E1641" s="54" t="n">
        <v>0.097221</v>
      </c>
      <c r="F1641" s="54" t="n">
        <v>0.123652</v>
      </c>
      <c r="G1641" t="inlineStr">
        <is>
          <t>calculado</t>
        </is>
      </c>
      <c r="H1641" t="inlineStr">
        <is>
          <t>IEE 5.1127 % con cuota mínima 1 €/MWh (Ley 38/1992 art. 99 (sin medidas vigentes)) + IVA 21 % (Ley 37/1992 art. 90 (sin medidas vigentes))</t>
        </is>
      </c>
      <c r="J1641" t="inlineStr">
        <is>
          <t>2025-11-22</t>
        </is>
      </c>
      <c r="K1641" t="inlineStr">
        <is>
          <t>ESIOS 1001 geo 8741</t>
        </is>
      </c>
      <c r="L1641" t="inlineStr">
        <is>
          <t>24 valores; mín 58.03, máx 136.34 €/MWh</t>
        </is>
      </c>
    </row>
    <row r="1642">
      <c r="A1642" s="53" t="n">
        <v>45985</v>
      </c>
      <c r="B1642" t="inlineStr">
        <is>
          <t>2025-11-24</t>
        </is>
      </c>
      <c r="C1642" s="45" t="n">
        <v>135.6296</v>
      </c>
      <c r="D1642" t="inlineStr">
        <is>
          <t>€/MWh</t>
        </is>
      </c>
      <c r="E1642" s="54" t="n">
        <v>0.13563</v>
      </c>
      <c r="F1642" s="54" t="n">
        <v>0.172502</v>
      </c>
      <c r="G1642" t="inlineStr">
        <is>
          <t>calculado</t>
        </is>
      </c>
      <c r="H1642" t="inlineStr">
        <is>
          <t>IEE 5.1127 % con cuota mínima 1 €/MWh (Ley 38/1992 art. 99 (sin medidas vigentes)) + IVA 21 % (Ley 37/1992 art. 90 (sin medidas vigentes))</t>
        </is>
      </c>
      <c r="J1642" t="inlineStr">
        <is>
          <t>2025-11-23</t>
        </is>
      </c>
      <c r="K1642" t="inlineStr">
        <is>
          <t>ESIOS 1001 geo 8741</t>
        </is>
      </c>
      <c r="L1642" t="inlineStr">
        <is>
          <t>24 valores; mín 59.28, máx 229.98 €/MWh</t>
        </is>
      </c>
    </row>
    <row r="1643">
      <c r="A1643" s="53" t="n">
        <v>45986</v>
      </c>
      <c r="B1643" t="inlineStr">
        <is>
          <t>2025-11-25</t>
        </is>
      </c>
      <c r="C1643" s="45" t="n">
        <v>138.4342</v>
      </c>
      <c r="D1643" t="inlineStr">
        <is>
          <t>€/MWh</t>
        </is>
      </c>
      <c r="E1643" s="54" t="n">
        <v>0.138434</v>
      </c>
      <c r="F1643" s="54" t="n">
        <v>0.176069</v>
      </c>
      <c r="G1643" t="inlineStr">
        <is>
          <t>calculado</t>
        </is>
      </c>
      <c r="H1643" t="inlineStr">
        <is>
          <t>IEE 5.1127 % con cuota mínima 1 €/MWh (Ley 38/1992 art. 99 (sin medidas vigentes)) + IVA 21 % (Ley 37/1992 art. 90 (sin medidas vigentes))</t>
        </is>
      </c>
      <c r="J1643" t="inlineStr">
        <is>
          <t>2025-11-24</t>
        </is>
      </c>
      <c r="K1643" t="inlineStr">
        <is>
          <t>ESIOS 1001 geo 8741</t>
        </is>
      </c>
      <c r="L1643" t="inlineStr">
        <is>
          <t>24 valores; mín 68.17, máx 250.28 €/MWh</t>
        </is>
      </c>
    </row>
    <row r="1644">
      <c r="A1644" s="53" t="n">
        <v>45987</v>
      </c>
      <c r="B1644" t="inlineStr">
        <is>
          <t>2025-11-26</t>
        </is>
      </c>
      <c r="C1644" s="45" t="n">
        <v>151.9875</v>
      </c>
      <c r="D1644" t="inlineStr">
        <is>
          <t>€/MWh</t>
        </is>
      </c>
      <c r="E1644" s="54" t="n">
        <v>0.151987</v>
      </c>
      <c r="F1644" s="54" t="n">
        <v>0.193307</v>
      </c>
      <c r="G1644" t="inlineStr">
        <is>
          <t>calculado</t>
        </is>
      </c>
      <c r="H1644" t="inlineStr">
        <is>
          <t>IEE 5.1127 % con cuota mínima 1 €/MWh (Ley 38/1992 art. 99 (sin medidas vigentes)) + IVA 21 % (Ley 37/1992 art. 90 (sin medidas vigentes))</t>
        </is>
      </c>
      <c r="J1644" t="inlineStr">
        <is>
          <t>2025-11-25</t>
        </is>
      </c>
      <c r="K1644" t="inlineStr">
        <is>
          <t>ESIOS 1001 geo 8741</t>
        </is>
      </c>
      <c r="L1644" t="inlineStr">
        <is>
          <t>24 valores; mín 65.02, máx 286.19 €/MWh</t>
        </is>
      </c>
    </row>
    <row r="1645">
      <c r="A1645" s="53" t="n">
        <v>45988</v>
      </c>
      <c r="B1645" t="inlineStr">
        <is>
          <t>2025-11-27</t>
        </is>
      </c>
      <c r="C1645" s="45" t="n">
        <v>163.4137</v>
      </c>
      <c r="D1645" t="inlineStr">
        <is>
          <t>€/MWh</t>
        </is>
      </c>
      <c r="E1645" s="54" t="n">
        <v>0.163414</v>
      </c>
      <c r="F1645" s="54" t="n">
        <v>0.20784</v>
      </c>
      <c r="G1645" t="inlineStr">
        <is>
          <t>calculado</t>
        </is>
      </c>
      <c r="H1645" t="inlineStr">
        <is>
          <t>IEE 5.1127 % con cuota mínima 1 €/MWh (Ley 38/1992 art. 99 (sin medidas vigentes)) + IVA 21 % (Ley 37/1992 art. 90 (sin medidas vigentes))</t>
        </is>
      </c>
      <c r="J1645" t="inlineStr">
        <is>
          <t>2025-11-26</t>
        </is>
      </c>
      <c r="K1645" t="inlineStr">
        <is>
          <t>ESIOS 1001 geo 8741</t>
        </is>
      </c>
      <c r="L1645" t="inlineStr">
        <is>
          <t>24 valores; mín 104.27, máx 299.56 €/MWh</t>
        </is>
      </c>
    </row>
    <row r="1646">
      <c r="A1646" s="53" t="n">
        <v>45989</v>
      </c>
      <c r="B1646" t="inlineStr">
        <is>
          <t>2025-11-28</t>
        </is>
      </c>
      <c r="C1646" s="45" t="n">
        <v>170.8408</v>
      </c>
      <c r="D1646" t="inlineStr">
        <is>
          <t>€/MWh</t>
        </is>
      </c>
      <c r="E1646" s="54" t="n">
        <v>0.170841</v>
      </c>
      <c r="F1646" s="54" t="n">
        <v>0.217286</v>
      </c>
      <c r="G1646" t="inlineStr">
        <is>
          <t>calculado</t>
        </is>
      </c>
      <c r="H1646" t="inlineStr">
        <is>
          <t>IEE 5.1127 % con cuota mínima 1 €/MWh (Ley 38/1992 art. 99 (sin medidas vigentes)) + IVA 21 % (Ley 37/1992 art. 90 (sin medidas vigentes))</t>
        </is>
      </c>
      <c r="J1646" t="inlineStr">
        <is>
          <t>2025-11-27</t>
        </is>
      </c>
      <c r="K1646" t="inlineStr">
        <is>
          <t>ESIOS 1001 geo 8741</t>
        </is>
      </c>
      <c r="L1646" t="inlineStr">
        <is>
          <t>24 valores; mín 119.13, máx 276.29 €/MWh</t>
        </is>
      </c>
    </row>
    <row r="1647">
      <c r="A1647" s="53" t="n">
        <v>45990</v>
      </c>
      <c r="B1647" t="inlineStr">
        <is>
          <t>2025-11-29</t>
        </is>
      </c>
      <c r="C1647" s="45" t="n">
        <v>121.0308</v>
      </c>
      <c r="D1647" t="inlineStr">
        <is>
          <t>€/MWh</t>
        </is>
      </c>
      <c r="E1647" s="54" t="n">
        <v>0.121031</v>
      </c>
      <c r="F1647" s="54" t="n">
        <v>0.153935</v>
      </c>
      <c r="G1647" t="inlineStr">
        <is>
          <t>calculado</t>
        </is>
      </c>
      <c r="H1647" t="inlineStr">
        <is>
          <t>IEE 5.1127 % con cuota mínima 1 €/MWh (Ley 38/1992 art. 99 (sin medidas vigentes)) + IVA 21 % (Ley 37/1992 art. 90 (sin medidas vigentes))</t>
        </is>
      </c>
      <c r="J1647" t="inlineStr">
        <is>
          <t>2025-11-28</t>
        </is>
      </c>
      <c r="K1647" t="inlineStr">
        <is>
          <t>ESIOS 1001 geo 8741</t>
        </is>
      </c>
      <c r="L1647" t="inlineStr">
        <is>
          <t>24 valores; mín 78.82, máx 146.64 €/MWh</t>
        </is>
      </c>
    </row>
    <row r="1648">
      <c r="A1648" s="53" t="n">
        <v>45991</v>
      </c>
      <c r="B1648" t="inlineStr">
        <is>
          <t>2025-11-30</t>
        </is>
      </c>
      <c r="C1648" s="45" t="n">
        <v>117.7125</v>
      </c>
      <c r="D1648" t="inlineStr">
        <is>
          <t>€/MWh</t>
        </is>
      </c>
      <c r="E1648" s="54" t="n">
        <v>0.117712</v>
      </c>
      <c r="F1648" s="54" t="n">
        <v>0.149714</v>
      </c>
      <c r="G1648" t="inlineStr">
        <is>
          <t>calculado</t>
        </is>
      </c>
      <c r="H1648" t="inlineStr">
        <is>
          <t>IEE 5.1127 % con cuota mínima 1 €/MWh (Ley 38/1992 art. 99 (sin medidas vigentes)) + IVA 21 % (Ley 37/1992 art. 90 (sin medidas vigentes))</t>
        </is>
      </c>
      <c r="J1648" t="inlineStr">
        <is>
          <t>2025-11-29</t>
        </is>
      </c>
      <c r="K1648" t="inlineStr">
        <is>
          <t>ESIOS 1001 geo 8741</t>
        </is>
      </c>
      <c r="L1648" t="inlineStr">
        <is>
          <t>24 valores; mín 82.33, máx 148.72 €/MWh</t>
        </is>
      </c>
    </row>
    <row r="1649">
      <c r="A1649" s="53" t="n">
        <v>45992</v>
      </c>
      <c r="B1649" t="inlineStr">
        <is>
          <t>2025-12-01</t>
        </is>
      </c>
      <c r="C1649" s="45" t="n">
        <v>168.0288</v>
      </c>
      <c r="D1649" t="inlineStr">
        <is>
          <t>€/MWh</t>
        </is>
      </c>
      <c r="E1649" s="54" t="n">
        <v>0.168029</v>
      </c>
      <c r="F1649" s="54" t="n">
        <v>0.21371</v>
      </c>
      <c r="G1649" t="inlineStr">
        <is>
          <t>calculado</t>
        </is>
      </c>
      <c r="H1649" t="inlineStr">
        <is>
          <t>IEE 5.1127 % con cuota mínima 1 €/MWh (Ley 38/1992 art. 99 (sin medidas vigentes)) + IVA 21 % (Ley 37/1992 art. 90 (sin medidas vigentes))</t>
        </is>
      </c>
      <c r="J1649" t="inlineStr">
        <is>
          <t>2025-11-30</t>
        </is>
      </c>
      <c r="K1649" t="inlineStr">
        <is>
          <t>ESIOS 1001 geo 8741</t>
        </is>
      </c>
      <c r="L1649" t="inlineStr">
        <is>
          <t>24 valores; mín 111.81, máx 272.87 €/MWh</t>
        </is>
      </c>
    </row>
    <row r="1650">
      <c r="A1650" s="53" t="n">
        <v>45993</v>
      </c>
      <c r="B1650" t="inlineStr">
        <is>
          <t>2025-12-02</t>
        </is>
      </c>
      <c r="C1650" s="45" t="n">
        <v>165.5417</v>
      </c>
      <c r="D1650" t="inlineStr">
        <is>
          <t>€/MWh</t>
        </is>
      </c>
      <c r="E1650" s="54" t="n">
        <v>0.165542</v>
      </c>
      <c r="F1650" s="54" t="n">
        <v>0.210546</v>
      </c>
      <c r="G1650" t="inlineStr">
        <is>
          <t>calculado</t>
        </is>
      </c>
      <c r="H1650" t="inlineStr">
        <is>
          <t>IEE 5.1127 % con cuota mínima 1 €/MWh (Ley 38/1992 art. 99 (sin medidas vigentes)) + IVA 21 % (Ley 37/1992 art. 90 (sin medidas vigentes))</t>
        </is>
      </c>
      <c r="J1650" t="inlineStr">
        <is>
          <t>2025-12-01</t>
        </is>
      </c>
      <c r="K1650" t="inlineStr">
        <is>
          <t>ESIOS 1001 geo 8741</t>
        </is>
      </c>
      <c r="L1650" t="inlineStr">
        <is>
          <t>24 valores; mín 106.00, máx 264.29 €/MWh</t>
        </is>
      </c>
    </row>
    <row r="1651">
      <c r="A1651" s="53" t="n">
        <v>45994</v>
      </c>
      <c r="B1651" t="inlineStr">
        <is>
          <t>2025-12-03</t>
        </is>
      </c>
      <c r="C1651" s="45" t="n">
        <v>152.2267</v>
      </c>
      <c r="D1651" t="inlineStr">
        <is>
          <t>€/MWh</t>
        </is>
      </c>
      <c r="E1651" s="54" t="n">
        <v>0.152227</v>
      </c>
      <c r="F1651" s="54" t="n">
        <v>0.193612</v>
      </c>
      <c r="G1651" t="inlineStr">
        <is>
          <t>calculado</t>
        </is>
      </c>
      <c r="H1651" t="inlineStr">
        <is>
          <t>IEE 5.1127 % con cuota mínima 1 €/MWh (Ley 38/1992 art. 99 (sin medidas vigentes)) + IVA 21 % (Ley 37/1992 art. 90 (sin medidas vigentes))</t>
        </is>
      </c>
      <c r="J1651" t="inlineStr">
        <is>
          <t>2025-12-02</t>
        </is>
      </c>
      <c r="K1651" t="inlineStr">
        <is>
          <t>ESIOS 1001 geo 8741</t>
        </is>
      </c>
      <c r="L1651" t="inlineStr">
        <is>
          <t>24 valores; mín 79.41, máx 237.59 €/MWh</t>
        </is>
      </c>
    </row>
    <row r="1652">
      <c r="A1652" s="53" t="n">
        <v>45995</v>
      </c>
      <c r="B1652" t="inlineStr">
        <is>
          <t>2025-12-04</t>
        </is>
      </c>
      <c r="C1652" s="45" t="n">
        <v>148.9904</v>
      </c>
      <c r="D1652" t="inlineStr">
        <is>
          <t>€/MWh</t>
        </is>
      </c>
      <c r="E1652" s="54" t="n">
        <v>0.14899</v>
      </c>
      <c r="F1652" s="54" t="n">
        <v>0.189495</v>
      </c>
      <c r="G1652" t="inlineStr">
        <is>
          <t>calculado</t>
        </is>
      </c>
      <c r="H1652" t="inlineStr">
        <is>
          <t>IEE 5.1127 % con cuota mínima 1 €/MWh (Ley 38/1992 art. 99 (sin medidas vigentes)) + IVA 21 % (Ley 37/1992 art. 90 (sin medidas vigentes))</t>
        </is>
      </c>
      <c r="J1652" t="inlineStr">
        <is>
          <t>2025-12-03</t>
        </is>
      </c>
      <c r="K1652" t="inlineStr">
        <is>
          <t>ESIOS 1001 geo 8741</t>
        </is>
      </c>
      <c r="L1652" t="inlineStr">
        <is>
          <t>24 valores; mín 80.84, máx 225.51 €/MWh</t>
        </is>
      </c>
    </row>
    <row r="1653">
      <c r="A1653" s="53" t="n">
        <v>45996</v>
      </c>
      <c r="B1653" t="inlineStr">
        <is>
          <t>2025-12-05</t>
        </is>
      </c>
      <c r="C1653" s="45" t="n">
        <v>153.0121</v>
      </c>
      <c r="D1653" t="inlineStr">
        <is>
          <t>€/MWh</t>
        </is>
      </c>
      <c r="E1653" s="54" t="n">
        <v>0.153012</v>
      </c>
      <c r="F1653" s="54" t="n">
        <v>0.194611</v>
      </c>
      <c r="G1653" t="inlineStr">
        <is>
          <t>calculado</t>
        </is>
      </c>
      <c r="H1653" t="inlineStr">
        <is>
          <t>IEE 5.1127 % con cuota mínima 1 €/MWh (Ley 38/1992 art. 99 (sin medidas vigentes)) + IVA 21 % (Ley 37/1992 art. 90 (sin medidas vigentes))</t>
        </is>
      </c>
      <c r="J1653" t="inlineStr">
        <is>
          <t>2025-12-04</t>
        </is>
      </c>
      <c r="K1653" t="inlineStr">
        <is>
          <t>ESIOS 1001 geo 8741</t>
        </is>
      </c>
      <c r="L1653" t="inlineStr">
        <is>
          <t>24 valores; mín 100.57, máx 223.36 €/MWh</t>
        </is>
      </c>
    </row>
    <row r="1654">
      <c r="A1654" s="53" t="n">
        <v>45997</v>
      </c>
      <c r="B1654" t="inlineStr">
        <is>
          <t>2025-12-06</t>
        </is>
      </c>
      <c r="C1654" s="45" t="n">
        <v>93.7367</v>
      </c>
      <c r="D1654" t="inlineStr">
        <is>
          <t>€/MWh</t>
        </is>
      </c>
      <c r="E1654" s="54" t="n">
        <v>0.093737</v>
      </c>
      <c r="F1654" s="54" t="n">
        <v>0.11922</v>
      </c>
      <c r="G1654" t="inlineStr">
        <is>
          <t>calculado</t>
        </is>
      </c>
      <c r="H1654" t="inlineStr">
        <is>
          <t>IEE 5.1127 % con cuota mínima 1 €/MWh (Ley 38/1992 art. 99 (sin medidas vigentes)) + IVA 21 % (Ley 37/1992 art. 90 (sin medidas vigentes))</t>
        </is>
      </c>
      <c r="J1654" t="inlineStr">
        <is>
          <t>2025-12-05</t>
        </is>
      </c>
      <c r="K1654" t="inlineStr">
        <is>
          <t>ESIOS 1001 geo 8741</t>
        </is>
      </c>
      <c r="L1654" t="inlineStr">
        <is>
          <t>24 valores; mín 71.54, máx 128.05 €/MWh</t>
        </is>
      </c>
    </row>
    <row r="1655">
      <c r="A1655" s="53" t="n">
        <v>45998</v>
      </c>
      <c r="B1655" t="inlineStr">
        <is>
          <t>2025-12-07</t>
        </is>
      </c>
      <c r="C1655" s="45" t="n">
        <v>98.3558</v>
      </c>
      <c r="D1655" t="inlineStr">
        <is>
          <t>€/MWh</t>
        </is>
      </c>
      <c r="E1655" s="54" t="n">
        <v>0.098356</v>
      </c>
      <c r="F1655" s="54" t="n">
        <v>0.125095</v>
      </c>
      <c r="G1655" t="inlineStr">
        <is>
          <t>calculado</t>
        </is>
      </c>
      <c r="H1655" t="inlineStr">
        <is>
          <t>IEE 5.1127 % con cuota mínima 1 €/MWh (Ley 38/1992 art. 99 (sin medidas vigentes)) + IVA 21 % (Ley 37/1992 art. 90 (sin medidas vigentes))</t>
        </is>
      </c>
      <c r="J1655" t="inlineStr">
        <is>
          <t>2025-12-06</t>
        </is>
      </c>
      <c r="K1655" t="inlineStr">
        <is>
          <t>ESIOS 1001 geo 8741</t>
        </is>
      </c>
      <c r="L1655" t="inlineStr">
        <is>
          <t>24 valores; mín 66.32, máx 152.85 €/MWh</t>
        </is>
      </c>
    </row>
    <row r="1656">
      <c r="A1656" s="53" t="n">
        <v>45999</v>
      </c>
      <c r="B1656" t="inlineStr">
        <is>
          <t>2025-12-08</t>
        </is>
      </c>
      <c r="C1656" s="45" t="n">
        <v>107.6279</v>
      </c>
      <c r="D1656" t="inlineStr">
        <is>
          <t>€/MWh</t>
        </is>
      </c>
      <c r="E1656" s="54" t="n">
        <v>0.107628</v>
      </c>
      <c r="F1656" s="54" t="n">
        <v>0.136888</v>
      </c>
      <c r="G1656" t="inlineStr">
        <is>
          <t>calculado</t>
        </is>
      </c>
      <c r="H1656" t="inlineStr">
        <is>
          <t>IEE 5.1127 % con cuota mínima 1 €/MWh (Ley 38/1992 art. 99 (sin medidas vigentes)) + IVA 21 % (Ley 37/1992 art. 90 (sin medidas vigentes))</t>
        </is>
      </c>
      <c r="J1656" t="inlineStr">
        <is>
          <t>2025-12-07</t>
        </is>
      </c>
      <c r="K1656" t="inlineStr">
        <is>
          <t>ESIOS 1001 geo 8741</t>
        </is>
      </c>
      <c r="L1656" t="inlineStr">
        <is>
          <t>24 valores; mín 60.08, máx 147.28 €/MWh</t>
        </is>
      </c>
    </row>
    <row r="1657">
      <c r="A1657" s="53" t="n">
        <v>46000</v>
      </c>
      <c r="B1657" t="inlineStr">
        <is>
          <t>2025-12-09</t>
        </is>
      </c>
      <c r="C1657" s="45" t="n">
        <v>151.0625</v>
      </c>
      <c r="D1657" t="inlineStr">
        <is>
          <t>€/MWh</t>
        </is>
      </c>
      <c r="E1657" s="54" t="n">
        <v>0.151062</v>
      </c>
      <c r="F1657" s="54" t="n">
        <v>0.192131</v>
      </c>
      <c r="G1657" t="inlineStr">
        <is>
          <t>calculado</t>
        </is>
      </c>
      <c r="H1657" t="inlineStr">
        <is>
          <t>IEE 5.1127 % con cuota mínima 1 €/MWh (Ley 38/1992 art. 99 (sin medidas vigentes)) + IVA 21 % (Ley 37/1992 art. 90 (sin medidas vigentes))</t>
        </is>
      </c>
      <c r="J1657" t="inlineStr">
        <is>
          <t>2025-12-08</t>
        </is>
      </c>
      <c r="K1657" t="inlineStr">
        <is>
          <t>ESIOS 1001 geo 8741</t>
        </is>
      </c>
      <c r="L1657" t="inlineStr">
        <is>
          <t>24 valores; mín 79.52, máx 280.85 €/MWh</t>
        </is>
      </c>
    </row>
    <row r="1658">
      <c r="A1658" s="53" t="n">
        <v>46001</v>
      </c>
      <c r="B1658" t="inlineStr">
        <is>
          <t>2025-12-10</t>
        </is>
      </c>
      <c r="C1658" s="45" t="n">
        <v>173.3904</v>
      </c>
      <c r="D1658" t="inlineStr">
        <is>
          <t>€/MWh</t>
        </is>
      </c>
      <c r="E1658" s="54" t="n">
        <v>0.17339</v>
      </c>
      <c r="F1658" s="54" t="n">
        <v>0.220529</v>
      </c>
      <c r="G1658" t="inlineStr">
        <is>
          <t>calculado</t>
        </is>
      </c>
      <c r="H1658" t="inlineStr">
        <is>
          <t>IEE 5.1127 % con cuota mínima 1 €/MWh (Ley 38/1992 art. 99 (sin medidas vigentes)) + IVA 21 % (Ley 37/1992 art. 90 (sin medidas vigentes))</t>
        </is>
      </c>
      <c r="J1658" t="inlineStr">
        <is>
          <t>2025-12-09</t>
        </is>
      </c>
      <c r="K1658" t="inlineStr">
        <is>
          <t>ESIOS 1001 geo 8741</t>
        </is>
      </c>
      <c r="L1658" t="inlineStr">
        <is>
          <t>24 valores; mín 111.33, máx 255.42 €/MWh</t>
        </is>
      </c>
    </row>
    <row r="1659">
      <c r="A1659" s="53" t="n">
        <v>46002</v>
      </c>
      <c r="B1659" t="inlineStr">
        <is>
          <t>2025-12-11</t>
        </is>
      </c>
      <c r="C1659" s="45" t="n">
        <v>171.1337</v>
      </c>
      <c r="D1659" t="inlineStr">
        <is>
          <t>€/MWh</t>
        </is>
      </c>
      <c r="E1659" s="54" t="n">
        <v>0.171134</v>
      </c>
      <c r="F1659" s="54" t="n">
        <v>0.217659</v>
      </c>
      <c r="G1659" t="inlineStr">
        <is>
          <t>calculado</t>
        </is>
      </c>
      <c r="H1659" t="inlineStr">
        <is>
          <t>IEE 5.1127 % con cuota mínima 1 €/MWh (Ley 38/1992 art. 99 (sin medidas vigentes)) + IVA 21 % (Ley 37/1992 art. 90 (sin medidas vigentes))</t>
        </is>
      </c>
      <c r="J1659" t="inlineStr">
        <is>
          <t>2025-12-10</t>
        </is>
      </c>
      <c r="K1659" t="inlineStr">
        <is>
          <t>ESIOS 1001 geo 8741</t>
        </is>
      </c>
      <c r="L1659" t="inlineStr">
        <is>
          <t>24 valores; mín 113.52, máx 258.15 €/MWh</t>
        </is>
      </c>
    </row>
    <row r="1660">
      <c r="A1660" s="53" t="n">
        <v>46003</v>
      </c>
      <c r="B1660" t="inlineStr">
        <is>
          <t>2025-12-12</t>
        </is>
      </c>
      <c r="C1660" s="45" t="n">
        <v>171.7192</v>
      </c>
      <c r="D1660" t="inlineStr">
        <is>
          <t>€/MWh</t>
        </is>
      </c>
      <c r="E1660" s="54" t="n">
        <v>0.171719</v>
      </c>
      <c r="F1660" s="54" t="n">
        <v>0.218403</v>
      </c>
      <c r="G1660" t="inlineStr">
        <is>
          <t>calculado</t>
        </is>
      </c>
      <c r="H1660" t="inlineStr">
        <is>
          <t>IEE 5.1127 % con cuota mínima 1 €/MWh (Ley 38/1992 art. 99 (sin medidas vigentes)) + IVA 21 % (Ley 37/1992 art. 90 (sin medidas vigentes))</t>
        </is>
      </c>
      <c r="J1660" t="inlineStr">
        <is>
          <t>2025-12-11</t>
        </is>
      </c>
      <c r="K1660" t="inlineStr">
        <is>
          <t>ESIOS 1001 geo 8741</t>
        </is>
      </c>
      <c r="L1660" t="inlineStr">
        <is>
          <t>24 valores; mín 109.47, máx 242.38 €/MWh</t>
        </is>
      </c>
    </row>
    <row r="1661">
      <c r="A1661" s="53" t="n">
        <v>46004</v>
      </c>
      <c r="B1661" t="inlineStr">
        <is>
          <t>2025-12-13</t>
        </is>
      </c>
      <c r="C1661" s="45" t="n">
        <v>121.2554</v>
      </c>
      <c r="D1661" t="inlineStr">
        <is>
          <t>€/MWh</t>
        </is>
      </c>
      <c r="E1661" s="54" t="n">
        <v>0.121255</v>
      </c>
      <c r="F1661" s="54" t="n">
        <v>0.15422</v>
      </c>
      <c r="G1661" t="inlineStr">
        <is>
          <t>calculado</t>
        </is>
      </c>
      <c r="H1661" t="inlineStr">
        <is>
          <t>IEE 5.1127 % con cuota mínima 1 €/MWh (Ley 38/1992 art. 99 (sin medidas vigentes)) + IVA 21 % (Ley 37/1992 art. 90 (sin medidas vigentes))</t>
        </is>
      </c>
      <c r="J1661" t="inlineStr">
        <is>
          <t>2025-12-12</t>
        </is>
      </c>
      <c r="K1661" t="inlineStr">
        <is>
          <t>ESIOS 1001 geo 8741</t>
        </is>
      </c>
      <c r="L1661" t="inlineStr">
        <is>
          <t>24 valores; mín 96.76, máx 147.36 €/MWh</t>
        </is>
      </c>
    </row>
    <row r="1662">
      <c r="A1662" s="53" t="n">
        <v>46005</v>
      </c>
      <c r="B1662" t="inlineStr">
        <is>
          <t>2025-12-14</t>
        </is>
      </c>
      <c r="C1662" s="45" t="n">
        <v>122.2412</v>
      </c>
      <c r="D1662" t="inlineStr">
        <is>
          <t>€/MWh</t>
        </is>
      </c>
      <c r="E1662" s="54" t="n">
        <v>0.122241</v>
      </c>
      <c r="F1662" s="54" t="n">
        <v>0.155474</v>
      </c>
      <c r="G1662" t="inlineStr">
        <is>
          <t>calculado</t>
        </is>
      </c>
      <c r="H1662" t="inlineStr">
        <is>
          <t>IEE 5.1127 % con cuota mínima 1 €/MWh (Ley 38/1992 art. 99 (sin medidas vigentes)) + IVA 21 % (Ley 37/1992 art. 90 (sin medidas vigentes))</t>
        </is>
      </c>
      <c r="J1662" t="inlineStr">
        <is>
          <t>2025-12-13</t>
        </is>
      </c>
      <c r="K1662" t="inlineStr">
        <is>
          <t>ESIOS 1001 geo 8741</t>
        </is>
      </c>
      <c r="L1662" t="inlineStr">
        <is>
          <t>24 valores; mín 97.99, máx 151.05 €/MWh</t>
        </is>
      </c>
    </row>
    <row r="1663">
      <c r="A1663" s="53" t="n">
        <v>46006</v>
      </c>
      <c r="B1663" t="inlineStr">
        <is>
          <t>2025-12-15</t>
        </is>
      </c>
      <c r="C1663" s="45" t="n">
        <v>168.83</v>
      </c>
      <c r="D1663" t="inlineStr">
        <is>
          <t>€/MWh</t>
        </is>
      </c>
      <c r="E1663" s="54" t="n">
        <v>0.16883</v>
      </c>
      <c r="F1663" s="54" t="n">
        <v>0.214729</v>
      </c>
      <c r="G1663" t="inlineStr">
        <is>
          <t>calculado</t>
        </is>
      </c>
      <c r="H1663" t="inlineStr">
        <is>
          <t>IEE 5.1127 % con cuota mínima 1 €/MWh (Ley 38/1992 art. 99 (sin medidas vigentes)) + IVA 21 % (Ley 37/1992 art. 90 (sin medidas vigentes))</t>
        </is>
      </c>
      <c r="J1663" t="inlineStr">
        <is>
          <t>2025-12-14</t>
        </is>
      </c>
      <c r="K1663" t="inlineStr">
        <is>
          <t>ESIOS 1001 geo 8741</t>
        </is>
      </c>
      <c r="L1663" t="inlineStr">
        <is>
          <t>24 valores; mín 105.15, máx 252.84 €/MWh</t>
        </is>
      </c>
    </row>
    <row r="1664">
      <c r="A1664" s="53" t="n">
        <v>46007</v>
      </c>
      <c r="B1664" t="inlineStr">
        <is>
          <t>2025-12-16</t>
        </is>
      </c>
      <c r="C1664" s="45" t="n">
        <v>169.2696</v>
      </c>
      <c r="D1664" t="inlineStr">
        <is>
          <t>€/MWh</t>
        </is>
      </c>
      <c r="E1664" s="54" t="n">
        <v>0.16927</v>
      </c>
      <c r="F1664" s="54" t="n">
        <v>0.215288</v>
      </c>
      <c r="G1664" t="inlineStr">
        <is>
          <t>calculado</t>
        </is>
      </c>
      <c r="H1664" t="inlineStr">
        <is>
          <t>IEE 5.1127 % con cuota mínima 1 €/MWh (Ley 38/1992 art. 99 (sin medidas vigentes)) + IVA 21 % (Ley 37/1992 art. 90 (sin medidas vigentes))</t>
        </is>
      </c>
      <c r="J1664" t="inlineStr">
        <is>
          <t>2025-12-15</t>
        </is>
      </c>
      <c r="K1664" t="inlineStr">
        <is>
          <t>ESIOS 1001 geo 8741</t>
        </is>
      </c>
      <c r="L1664" t="inlineStr">
        <is>
          <t>24 valores; mín 110.00, máx 269.58 €/MWh</t>
        </is>
      </c>
    </row>
    <row r="1665">
      <c r="A1665" s="53" t="n">
        <v>46008</v>
      </c>
      <c r="B1665" t="inlineStr">
        <is>
          <t>2025-12-17</t>
        </is>
      </c>
      <c r="C1665" s="45" t="n">
        <v>177.7071</v>
      </c>
      <c r="D1665" t="inlineStr">
        <is>
          <t>€/MWh</t>
        </is>
      </c>
      <c r="E1665" s="54" t="n">
        <v>0.177707</v>
      </c>
      <c r="F1665" s="54" t="n">
        <v>0.226019</v>
      </c>
      <c r="G1665" t="inlineStr">
        <is>
          <t>calculado</t>
        </is>
      </c>
      <c r="H1665" t="inlineStr">
        <is>
          <t>IEE 5.1127 % con cuota mínima 1 €/MWh (Ley 38/1992 art. 99 (sin medidas vigentes)) + IVA 21 % (Ley 37/1992 art. 90 (sin medidas vigentes))</t>
        </is>
      </c>
      <c r="J1665" t="inlineStr">
        <is>
          <t>2025-12-16</t>
        </is>
      </c>
      <c r="K1665" t="inlineStr">
        <is>
          <t>ESIOS 1001 geo 8741</t>
        </is>
      </c>
      <c r="L1665" t="inlineStr">
        <is>
          <t>24 valores; mín 105.75, máx 280.52 €/MWh</t>
        </is>
      </c>
    </row>
    <row r="1666">
      <c r="A1666" s="53" t="n">
        <v>46009</v>
      </c>
      <c r="B1666" t="inlineStr">
        <is>
          <t>2025-12-18</t>
        </is>
      </c>
      <c r="C1666" s="45" t="n">
        <v>162.3321</v>
      </c>
      <c r="D1666" t="inlineStr">
        <is>
          <t>€/MWh</t>
        </is>
      </c>
      <c r="E1666" s="54" t="n">
        <v>0.162332</v>
      </c>
      <c r="F1666" s="54" t="n">
        <v>0.206464</v>
      </c>
      <c r="G1666" t="inlineStr">
        <is>
          <t>calculado</t>
        </is>
      </c>
      <c r="H1666" t="inlineStr">
        <is>
          <t>IEE 5.1127 % con cuota mínima 1 €/MWh (Ley 38/1992 art. 99 (sin medidas vigentes)) + IVA 21 % (Ley 37/1992 art. 90 (sin medidas vigentes))</t>
        </is>
      </c>
      <c r="J1666" t="inlineStr">
        <is>
          <t>2025-12-17</t>
        </is>
      </c>
      <c r="K1666" t="inlineStr">
        <is>
          <t>ESIOS 1001 geo 8741</t>
        </is>
      </c>
      <c r="L1666" t="inlineStr">
        <is>
          <t>24 valores; mín 84.87, máx 249.53 €/MWh</t>
        </is>
      </c>
    </row>
    <row r="1667">
      <c r="A1667" s="53" t="n">
        <v>46010</v>
      </c>
      <c r="B1667" t="inlineStr">
        <is>
          <t>2025-12-19</t>
        </is>
      </c>
      <c r="C1667" s="45" t="n">
        <v>177.6542</v>
      </c>
      <c r="D1667" t="inlineStr">
        <is>
          <t>€/MWh</t>
        </is>
      </c>
      <c r="E1667" s="54" t="n">
        <v>0.177654</v>
      </c>
      <c r="F1667" s="54" t="n">
        <v>0.225952</v>
      </c>
      <c r="G1667" t="inlineStr">
        <is>
          <t>calculado</t>
        </is>
      </c>
      <c r="H1667" t="inlineStr">
        <is>
          <t>IEE 5.1127 % con cuota mínima 1 €/MWh (Ley 38/1992 art. 99 (sin medidas vigentes)) + IVA 21 % (Ley 37/1992 art. 90 (sin medidas vigentes))</t>
        </is>
      </c>
      <c r="J1667" t="inlineStr">
        <is>
          <t>2025-12-18</t>
        </is>
      </c>
      <c r="K1667" t="inlineStr">
        <is>
          <t>ESIOS 1001 geo 8741</t>
        </is>
      </c>
      <c r="L1667" t="inlineStr">
        <is>
          <t>24 valores; mín 108.98, máx 254.71 €/MWh</t>
        </is>
      </c>
    </row>
    <row r="1668">
      <c r="A1668" s="53" t="n">
        <v>46011</v>
      </c>
      <c r="B1668" t="inlineStr">
        <is>
          <t>2025-12-20</t>
        </is>
      </c>
      <c r="C1668" s="45" t="n">
        <v>114.1125</v>
      </c>
      <c r="D1668" t="inlineStr">
        <is>
          <t>€/MWh</t>
        </is>
      </c>
      <c r="E1668" s="54" t="n">
        <v>0.114112</v>
      </c>
      <c r="F1668" s="54" t="n">
        <v>0.145136</v>
      </c>
      <c r="G1668" t="inlineStr">
        <is>
          <t>calculado</t>
        </is>
      </c>
      <c r="H1668" t="inlineStr">
        <is>
          <t>IEE 5.1127 % con cuota mínima 1 €/MWh (Ley 38/1992 art. 99 (sin medidas vigentes)) + IVA 21 % (Ley 37/1992 art. 90 (sin medidas vigentes))</t>
        </is>
      </c>
      <c r="J1668" t="inlineStr">
        <is>
          <t>2025-12-19</t>
        </is>
      </c>
      <c r="K1668" t="inlineStr">
        <is>
          <t>ESIOS 1001 geo 8741</t>
        </is>
      </c>
      <c r="L1668" t="inlineStr">
        <is>
          <t>24 valores; mín 90.72, máx 139.84 €/MWh</t>
        </is>
      </c>
    </row>
    <row r="1669">
      <c r="A1669" s="53" t="n">
        <v>46012</v>
      </c>
      <c r="B1669" t="inlineStr">
        <is>
          <t>2025-12-21</t>
        </is>
      </c>
      <c r="C1669" s="45" t="n">
        <v>109.1796</v>
      </c>
      <c r="D1669" t="inlineStr">
        <is>
          <t>€/MWh</t>
        </is>
      </c>
      <c r="E1669" s="54" t="n">
        <v>0.10918</v>
      </c>
      <c r="F1669" s="54" t="n">
        <v>0.138862</v>
      </c>
      <c r="G1669" t="inlineStr">
        <is>
          <t>calculado</t>
        </is>
      </c>
      <c r="H1669" t="inlineStr">
        <is>
          <t>IEE 5.1127 % con cuota mínima 1 €/MWh (Ley 38/1992 art. 99 (sin medidas vigentes)) + IVA 21 % (Ley 37/1992 art. 90 (sin medidas vigentes))</t>
        </is>
      </c>
      <c r="J1669" t="inlineStr">
        <is>
          <t>2025-12-20</t>
        </is>
      </c>
      <c r="K1669" t="inlineStr">
        <is>
          <t>ESIOS 1001 geo 8741</t>
        </is>
      </c>
      <c r="L1669" t="inlineStr">
        <is>
          <t>24 valores; mín 92.66, máx 132.73 €/MWh</t>
        </is>
      </c>
    </row>
    <row r="1670">
      <c r="A1670" s="53" t="n">
        <v>46013</v>
      </c>
      <c r="B1670" t="inlineStr">
        <is>
          <t>2025-12-22</t>
        </is>
      </c>
      <c r="C1670" s="45" t="n">
        <v>154.7392</v>
      </c>
      <c r="D1670" t="inlineStr">
        <is>
          <t>€/MWh</t>
        </is>
      </c>
      <c r="E1670" s="54" t="n">
        <v>0.154739</v>
      </c>
      <c r="F1670" s="54" t="n">
        <v>0.196807</v>
      </c>
      <c r="G1670" t="inlineStr">
        <is>
          <t>calculado</t>
        </is>
      </c>
      <c r="H1670" t="inlineStr">
        <is>
          <t>IEE 5.1127 % con cuota mínima 1 €/MWh (Ley 38/1992 art. 99 (sin medidas vigentes)) + IVA 21 % (Ley 37/1992 art. 90 (sin medidas vigentes))</t>
        </is>
      </c>
      <c r="J1670" t="inlineStr">
        <is>
          <t>2025-12-21</t>
        </is>
      </c>
      <c r="K1670" t="inlineStr">
        <is>
          <t>ESIOS 1001 geo 8741</t>
        </is>
      </c>
      <c r="L1670" t="inlineStr">
        <is>
          <t>24 valores; mín 69.80, máx 246.75 €/MWh</t>
        </is>
      </c>
    </row>
    <row r="1671">
      <c r="A1671" s="53" t="n">
        <v>46014</v>
      </c>
      <c r="B1671" t="inlineStr">
        <is>
          <t>2025-12-23</t>
        </is>
      </c>
      <c r="C1671" s="45" t="n">
        <v>158.4521</v>
      </c>
      <c r="D1671" t="inlineStr">
        <is>
          <t>€/MWh</t>
        </is>
      </c>
      <c r="E1671" s="54" t="n">
        <v>0.158452</v>
      </c>
      <c r="F1671" s="54" t="n">
        <v>0.201529</v>
      </c>
      <c r="G1671" t="inlineStr">
        <is>
          <t>calculado</t>
        </is>
      </c>
      <c r="H1671" t="inlineStr">
        <is>
          <t>IEE 5.1127 % con cuota mínima 1 €/MWh (Ley 38/1992 art. 99 (sin medidas vigentes)) + IVA 21 % (Ley 37/1992 art. 90 (sin medidas vigentes))</t>
        </is>
      </c>
      <c r="J1671" t="inlineStr">
        <is>
          <t>2025-12-22</t>
        </is>
      </c>
      <c r="K1671" t="inlineStr">
        <is>
          <t>ESIOS 1001 geo 8741</t>
        </is>
      </c>
      <c r="L1671" t="inlineStr">
        <is>
          <t>24 valores; mín 96.25, máx 229.08 €/MWh</t>
        </is>
      </c>
    </row>
    <row r="1672">
      <c r="A1672" s="53" t="n">
        <v>46015</v>
      </c>
      <c r="B1672" t="inlineStr">
        <is>
          <t>2025-12-24</t>
        </is>
      </c>
      <c r="C1672" s="45" t="n">
        <v>130.1575</v>
      </c>
      <c r="D1672" t="inlineStr">
        <is>
          <t>€/MWh</t>
        </is>
      </c>
      <c r="E1672" s="54" t="n">
        <v>0.130158</v>
      </c>
      <c r="F1672" s="54" t="n">
        <v>0.165543</v>
      </c>
      <c r="G1672" t="inlineStr">
        <is>
          <t>calculado</t>
        </is>
      </c>
      <c r="H1672" t="inlineStr">
        <is>
          <t>IEE 5.1127 % con cuota mínima 1 €/MWh (Ley 38/1992 art. 99 (sin medidas vigentes)) + IVA 21 % (Ley 37/1992 art. 90 (sin medidas vigentes))</t>
        </is>
      </c>
      <c r="J1672" t="inlineStr">
        <is>
          <t>2025-12-23</t>
        </is>
      </c>
      <c r="K1672" t="inlineStr">
        <is>
          <t>ESIOS 1001 geo 8741</t>
        </is>
      </c>
      <c r="L1672" t="inlineStr">
        <is>
          <t>24 valores; mín 81.94, máx 212.41 €/MWh</t>
        </is>
      </c>
    </row>
    <row r="1673">
      <c r="A1673" s="53" t="n">
        <v>46016</v>
      </c>
      <c r="B1673" t="inlineStr">
        <is>
          <t>2025-12-25</t>
        </is>
      </c>
      <c r="C1673" s="45" t="n">
        <v>108.8525</v>
      </c>
      <c r="D1673" t="inlineStr">
        <is>
          <t>€/MWh</t>
        </is>
      </c>
      <c r="E1673" s="54" t="n">
        <v>0.108853</v>
      </c>
      <c r="F1673" s="54" t="n">
        <v>0.138446</v>
      </c>
      <c r="G1673" t="inlineStr">
        <is>
          <t>calculado</t>
        </is>
      </c>
      <c r="H1673" t="inlineStr">
        <is>
          <t>IEE 5.1127 % con cuota mínima 1 €/MWh (Ley 38/1992 art. 99 (sin medidas vigentes)) + IVA 21 % (Ley 37/1992 art. 90 (sin medidas vigentes))</t>
        </is>
      </c>
      <c r="J1673" t="inlineStr">
        <is>
          <t>2025-12-24</t>
        </is>
      </c>
      <c r="K1673" t="inlineStr">
        <is>
          <t>ESIOS 1001 geo 8741</t>
        </is>
      </c>
      <c r="L1673" t="inlineStr">
        <is>
          <t>24 valores; mín 73.65, máx 162.57 €/MWh</t>
        </is>
      </c>
    </row>
    <row r="1674">
      <c r="A1674" s="53" t="n">
        <v>46017</v>
      </c>
      <c r="B1674" t="inlineStr">
        <is>
          <t>2025-12-26</t>
        </is>
      </c>
      <c r="C1674" s="45" t="n">
        <v>170.7142</v>
      </c>
      <c r="D1674" t="inlineStr">
        <is>
          <t>€/MWh</t>
        </is>
      </c>
      <c r="E1674" s="54" t="n">
        <v>0.170714</v>
      </c>
      <c r="F1674" s="54" t="n">
        <v>0.217125</v>
      </c>
      <c r="G1674" t="inlineStr">
        <is>
          <t>calculado</t>
        </is>
      </c>
      <c r="H1674" t="inlineStr">
        <is>
          <t>IEE 5.1127 % con cuota mínima 1 €/MWh (Ley 38/1992 art. 99 (sin medidas vigentes)) + IVA 21 % (Ley 37/1992 art. 90 (sin medidas vigentes))</t>
        </is>
      </c>
      <c r="J1674" t="inlineStr">
        <is>
          <t>2025-12-25</t>
        </is>
      </c>
      <c r="K1674" t="inlineStr">
        <is>
          <t>ESIOS 1001 geo 8741</t>
        </is>
      </c>
      <c r="L1674" t="inlineStr">
        <is>
          <t>24 valores; mín 123.71, máx 251.37 €/MWh</t>
        </is>
      </c>
    </row>
    <row r="1675">
      <c r="A1675" s="53" t="n">
        <v>46018</v>
      </c>
      <c r="B1675" t="inlineStr">
        <is>
          <t>2025-12-27</t>
        </is>
      </c>
      <c r="C1675" s="45" t="n">
        <v>124.0221</v>
      </c>
      <c r="D1675" t="inlineStr">
        <is>
          <t>€/MWh</t>
        </is>
      </c>
      <c r="E1675" s="54" t="n">
        <v>0.124022</v>
      </c>
      <c r="F1675" s="54" t="n">
        <v>0.157739</v>
      </c>
      <c r="G1675" t="inlineStr">
        <is>
          <t>calculado</t>
        </is>
      </c>
      <c r="H1675" t="inlineStr">
        <is>
          <t>IEE 5.1127 % con cuota mínima 1 €/MWh (Ley 38/1992 art. 99 (sin medidas vigentes)) + IVA 21 % (Ley 37/1992 art. 90 (sin medidas vigentes))</t>
        </is>
      </c>
      <c r="J1675" t="inlineStr">
        <is>
          <t>2025-12-26</t>
        </is>
      </c>
      <c r="K1675" t="inlineStr">
        <is>
          <t>ESIOS 1001 geo 8741</t>
        </is>
      </c>
      <c r="L1675" t="inlineStr">
        <is>
          <t>24 valores; mín 102.90, máx 146.73 €/MWh</t>
        </is>
      </c>
    </row>
    <row r="1676">
      <c r="A1676" s="53" t="n">
        <v>46019</v>
      </c>
      <c r="B1676" t="inlineStr">
        <is>
          <t>2025-12-28</t>
        </is>
      </c>
      <c r="C1676" s="45" t="n">
        <v>125.6604</v>
      </c>
      <c r="D1676" t="inlineStr">
        <is>
          <t>€/MWh</t>
        </is>
      </c>
      <c r="E1676" s="54" t="n">
        <v>0.12566</v>
      </c>
      <c r="F1676" s="54" t="n">
        <v>0.159823</v>
      </c>
      <c r="G1676" t="inlineStr">
        <is>
          <t>calculado</t>
        </is>
      </c>
      <c r="H1676" t="inlineStr">
        <is>
          <t>IEE 5.1127 % con cuota mínima 1 €/MWh (Ley 38/1992 art. 99 (sin medidas vigentes)) + IVA 21 % (Ley 37/1992 art. 90 (sin medidas vigentes))</t>
        </is>
      </c>
      <c r="J1676" t="inlineStr">
        <is>
          <t>2025-12-27</t>
        </is>
      </c>
      <c r="K1676" t="inlineStr">
        <is>
          <t>ESIOS 1001 geo 8741</t>
        </is>
      </c>
      <c r="L1676" t="inlineStr">
        <is>
          <t>24 valores; mín 99.71, máx 157.11 €/MWh</t>
        </is>
      </c>
    </row>
    <row r="1677">
      <c r="A1677" s="53" t="n">
        <v>46020</v>
      </c>
      <c r="B1677" t="inlineStr">
        <is>
          <t>2025-12-29</t>
        </is>
      </c>
      <c r="C1677" s="45" t="n">
        <v>185.4542</v>
      </c>
      <c r="D1677" t="inlineStr">
        <is>
          <t>€/MWh</t>
        </is>
      </c>
      <c r="E1677" s="54" t="n">
        <v>0.185454</v>
      </c>
      <c r="F1677" s="54" t="n">
        <v>0.235872</v>
      </c>
      <c r="G1677" t="inlineStr">
        <is>
          <t>calculado</t>
        </is>
      </c>
      <c r="H1677" t="inlineStr">
        <is>
          <t>IEE 5.1127 % con cuota mínima 1 €/MWh (Ley 38/1992 art. 99 (sin medidas vigentes)) + IVA 21 % (Ley 37/1992 art. 90 (sin medidas vigentes))</t>
        </is>
      </c>
      <c r="J1677" t="inlineStr">
        <is>
          <t>2025-12-28</t>
        </is>
      </c>
      <c r="K1677" t="inlineStr">
        <is>
          <t>ESIOS 1001 geo 8741</t>
        </is>
      </c>
      <c r="L1677" t="inlineStr">
        <is>
          <t>24 valores; mín 133.27, máx 298.47 €/MWh</t>
        </is>
      </c>
    </row>
    <row r="1678">
      <c r="A1678" s="53" t="n">
        <v>46021</v>
      </c>
      <c r="B1678" t="inlineStr">
        <is>
          <t>2025-12-30</t>
        </is>
      </c>
      <c r="C1678" s="45" t="n">
        <v>167.9196</v>
      </c>
      <c r="D1678" t="inlineStr">
        <is>
          <t>€/MWh</t>
        </is>
      </c>
      <c r="E1678" s="54" t="n">
        <v>0.16792</v>
      </c>
      <c r="F1678" s="54" t="n">
        <v>0.213571</v>
      </c>
      <c r="G1678" t="inlineStr">
        <is>
          <t>calculado</t>
        </is>
      </c>
      <c r="H1678" t="inlineStr">
        <is>
          <t>IEE 5.1127 % con cuota mínima 1 €/MWh (Ley 38/1992 art. 99 (sin medidas vigentes)) + IVA 21 % (Ley 37/1992 art. 90 (sin medidas vigentes))</t>
        </is>
      </c>
      <c r="J1678" t="inlineStr">
        <is>
          <t>2025-12-29</t>
        </is>
      </c>
      <c r="K1678" t="inlineStr">
        <is>
          <t>ESIOS 1001 geo 8741</t>
        </is>
      </c>
      <c r="L1678" t="inlineStr">
        <is>
          <t>24 valores; mín 124.91, máx 238.66 €/MWh</t>
        </is>
      </c>
    </row>
    <row r="1679">
      <c r="A1679" s="53" t="n">
        <v>46022</v>
      </c>
      <c r="B1679" t="inlineStr">
        <is>
          <t>2025-12-31</t>
        </is>
      </c>
      <c r="C1679" s="45" t="n">
        <v>173.7213</v>
      </c>
      <c r="D1679" t="inlineStr">
        <is>
          <t>€/MWh</t>
        </is>
      </c>
      <c r="E1679" s="54" t="n">
        <v>0.173721</v>
      </c>
      <c r="F1679" s="54" t="n">
        <v>0.22095</v>
      </c>
      <c r="G1679" t="inlineStr">
        <is>
          <t>calculado</t>
        </is>
      </c>
      <c r="H1679" t="inlineStr">
        <is>
          <t>IEE 5.1127 % con cuota mínima 1 €/MWh (Ley 38/1992 art. 99 (sin medidas vigentes)) + IVA 21 % (Ley 37/1992 art. 90 (sin medidas vigentes))</t>
        </is>
      </c>
      <c r="J1679" t="inlineStr">
        <is>
          <t>2025-12-30</t>
        </is>
      </c>
      <c r="K1679" t="inlineStr">
        <is>
          <t>ESIOS 1001 geo 8741</t>
        </is>
      </c>
      <c r="L1679" t="inlineStr">
        <is>
          <t>24 valores; mín 116.47, máx 266.58 €/MWh</t>
        </is>
      </c>
    </row>
    <row r="1680">
      <c r="A1680" s="53" t="n">
        <v>46023</v>
      </c>
      <c r="B1680" t="inlineStr">
        <is>
          <t>2026-01-01</t>
        </is>
      </c>
      <c r="C1680" s="45" t="n">
        <v>125.9033</v>
      </c>
      <c r="D1680" t="inlineStr">
        <is>
          <t>€/MWh</t>
        </is>
      </c>
      <c r="E1680" s="54" t="n">
        <v>0.125903</v>
      </c>
      <c r="F1680" s="54" t="n">
        <v>0.160132</v>
      </c>
      <c r="G1680" t="inlineStr">
        <is>
          <t>calculado</t>
        </is>
      </c>
      <c r="H1680" t="inlineStr">
        <is>
          <t>IEE 5.1127 % con cuota mínima 1 €/MWh (Ley 38/1992 art. 99 (sin medidas vigentes)) + IVA 21 % (Ley 37/1992 art. 90 (sin medidas vigentes))</t>
        </is>
      </c>
      <c r="J1680" t="inlineStr">
        <is>
          <t>2025-12-31</t>
        </is>
      </c>
      <c r="K1680" t="inlineStr">
        <is>
          <t>ESIOS 1001 geo 8741</t>
        </is>
      </c>
      <c r="L1680" t="inlineStr">
        <is>
          <t>24 valores; mín 90.94, máx 148.10 €/MWh</t>
        </is>
      </c>
    </row>
    <row r="1681">
      <c r="A1681" s="53" t="n">
        <v>46024</v>
      </c>
      <c r="B1681" t="inlineStr">
        <is>
          <t>2026-01-02</t>
        </is>
      </c>
      <c r="C1681" s="45" t="n">
        <v>164.5112</v>
      </c>
      <c r="D1681" t="inlineStr">
        <is>
          <t>€/MWh</t>
        </is>
      </c>
      <c r="E1681" s="54" t="n">
        <v>0.164511</v>
      </c>
      <c r="F1681" s="54" t="n">
        <v>0.209236</v>
      </c>
      <c r="G1681" t="inlineStr">
        <is>
          <t>calculado</t>
        </is>
      </c>
      <c r="H1681" t="inlineStr">
        <is>
          <t>IEE 5.1127 % con cuota mínima 1 €/MWh (Ley 38/1992 art. 99 (sin medidas vigentes)) + IVA 21 % (Ley 37/1992 art. 90 (sin medidas vigentes))</t>
        </is>
      </c>
      <c r="J1681" t="inlineStr">
        <is>
          <t>2026-01-01</t>
        </is>
      </c>
      <c r="K1681" t="inlineStr">
        <is>
          <t>ESIOS 1001 geo 8741</t>
        </is>
      </c>
      <c r="L1681" t="inlineStr">
        <is>
          <t>24 valores; mín 106.60, máx 242.48 €/MWh</t>
        </is>
      </c>
    </row>
    <row r="1682">
      <c r="A1682" s="53" t="n">
        <v>46025</v>
      </c>
      <c r="B1682" t="inlineStr">
        <is>
          <t>2026-01-03</t>
        </is>
      </c>
      <c r="C1682" s="45" t="n">
        <v>121.7783</v>
      </c>
      <c r="D1682" t="inlineStr">
        <is>
          <t>€/MWh</t>
        </is>
      </c>
      <c r="E1682" s="54" t="n">
        <v>0.121778</v>
      </c>
      <c r="F1682" s="54" t="n">
        <v>0.154885</v>
      </c>
      <c r="G1682" t="inlineStr">
        <is>
          <t>calculado</t>
        </is>
      </c>
      <c r="H1682" t="inlineStr">
        <is>
          <t>IEE 5.1127 % con cuota mínima 1 €/MWh (Ley 38/1992 art. 99 (sin medidas vigentes)) + IVA 21 % (Ley 37/1992 art. 90 (sin medidas vigentes))</t>
        </is>
      </c>
      <c r="J1682" t="inlineStr">
        <is>
          <t>2026-01-02</t>
        </is>
      </c>
      <c r="K1682" t="inlineStr">
        <is>
          <t>ESIOS 1001 geo 8741</t>
        </is>
      </c>
      <c r="L1682" t="inlineStr">
        <is>
          <t>24 valores; mín 109.32, máx 148.21 €/MWh</t>
        </is>
      </c>
    </row>
    <row r="1683">
      <c r="A1683" s="53" t="n">
        <v>46026</v>
      </c>
      <c r="B1683" t="inlineStr">
        <is>
          <t>2026-01-04</t>
        </is>
      </c>
      <c r="C1683" s="45" t="n">
        <v>111.3</v>
      </c>
      <c r="D1683" t="inlineStr">
        <is>
          <t>€/MWh</t>
        </is>
      </c>
      <c r="E1683" s="54" t="n">
        <v>0.1113</v>
      </c>
      <c r="F1683" s="54" t="n">
        <v>0.141558</v>
      </c>
      <c r="G1683" t="inlineStr">
        <is>
          <t>calculado</t>
        </is>
      </c>
      <c r="H1683" t="inlineStr">
        <is>
          <t>IEE 5.1127 % con cuota mínima 1 €/MWh (Ley 38/1992 art. 99 (sin medidas vigentes)) + IVA 21 % (Ley 37/1992 art. 90 (sin medidas vigentes))</t>
        </is>
      </c>
      <c r="J1683" t="inlineStr">
        <is>
          <t>2026-01-03</t>
        </is>
      </c>
      <c r="K1683" t="inlineStr">
        <is>
          <t>ESIOS 1001 geo 8741</t>
        </is>
      </c>
      <c r="L1683" t="inlineStr">
        <is>
          <t>24 valores; mín 98.42, máx 138.84 €/MWh</t>
        </is>
      </c>
    </row>
    <row r="1684">
      <c r="A1684" s="53" t="n">
        <v>46027</v>
      </c>
      <c r="B1684" t="inlineStr">
        <is>
          <t>2026-01-05</t>
        </is>
      </c>
      <c r="C1684" s="45" t="n">
        <v>168.6375</v>
      </c>
      <c r="D1684" t="inlineStr">
        <is>
          <t>€/MWh</t>
        </is>
      </c>
      <c r="E1684" s="54" t="n">
        <v>0.168638</v>
      </c>
      <c r="F1684" s="54" t="n">
        <v>0.214484</v>
      </c>
      <c r="G1684" t="inlineStr">
        <is>
          <t>calculado</t>
        </is>
      </c>
      <c r="H1684" t="inlineStr">
        <is>
          <t>IEE 5.1127 % con cuota mínima 1 €/MWh (Ley 38/1992 art. 99 (sin medidas vigentes)) + IVA 21 % (Ley 37/1992 art. 90 (sin medidas vigentes))</t>
        </is>
      </c>
      <c r="J1684" t="inlineStr">
        <is>
          <t>2026-01-04</t>
        </is>
      </c>
      <c r="K1684" t="inlineStr">
        <is>
          <t>ESIOS 1001 geo 8741</t>
        </is>
      </c>
      <c r="L1684" t="inlineStr">
        <is>
          <t>24 valores; mín 99.05, máx 253.68 €/MWh</t>
        </is>
      </c>
    </row>
    <row r="1685">
      <c r="A1685" s="53" t="n">
        <v>46028</v>
      </c>
      <c r="B1685" t="inlineStr">
        <is>
          <t>2026-01-06</t>
        </is>
      </c>
      <c r="C1685" s="45" t="n">
        <v>106.2633</v>
      </c>
      <c r="D1685" t="inlineStr">
        <is>
          <t>€/MWh</t>
        </is>
      </c>
      <c r="E1685" s="54" t="n">
        <v>0.106263</v>
      </c>
      <c r="F1685" s="54" t="n">
        <v>0.135152</v>
      </c>
      <c r="G1685" t="inlineStr">
        <is>
          <t>calculado</t>
        </is>
      </c>
      <c r="H1685" t="inlineStr">
        <is>
          <t>IEE 5.1127 % con cuota mínima 1 €/MWh (Ley 38/1992 art. 99 (sin medidas vigentes)) + IVA 21 % (Ley 37/1992 art. 90 (sin medidas vigentes))</t>
        </is>
      </c>
      <c r="J1685" t="inlineStr">
        <is>
          <t>2026-01-05</t>
        </is>
      </c>
      <c r="K1685" t="inlineStr">
        <is>
          <t>ESIOS 1001 geo 8741</t>
        </is>
      </c>
      <c r="L1685" t="inlineStr">
        <is>
          <t>24 valores; mín 32.89, máx 170.93 €/MWh</t>
        </is>
      </c>
    </row>
    <row r="1686">
      <c r="A1686" s="53" t="n">
        <v>46029</v>
      </c>
      <c r="B1686" t="inlineStr">
        <is>
          <t>2026-01-07</t>
        </is>
      </c>
      <c r="C1686" s="45" t="n">
        <v>170.7804</v>
      </c>
      <c r="D1686" t="inlineStr">
        <is>
          <t>€/MWh</t>
        </is>
      </c>
      <c r="E1686" s="54" t="n">
        <v>0.17078</v>
      </c>
      <c r="F1686" s="54" t="n">
        <v>0.217209</v>
      </c>
      <c r="G1686" t="inlineStr">
        <is>
          <t>calculado</t>
        </is>
      </c>
      <c r="H1686" t="inlineStr">
        <is>
          <t>IEE 5.1127 % con cuota mínima 1 €/MWh (Ley 38/1992 art. 99 (sin medidas vigentes)) + IVA 21 % (Ley 37/1992 art. 90 (sin medidas vigentes))</t>
        </is>
      </c>
      <c r="J1686" t="inlineStr">
        <is>
          <t>2026-01-06</t>
        </is>
      </c>
      <c r="K1686" t="inlineStr">
        <is>
          <t>ESIOS 1001 geo 8741</t>
        </is>
      </c>
      <c r="L1686" t="inlineStr">
        <is>
          <t>24 valores; mín 110.48, máx 266.80 €/MWh</t>
        </is>
      </c>
    </row>
    <row r="1687">
      <c r="A1687" s="53" t="n">
        <v>46030</v>
      </c>
      <c r="B1687" t="inlineStr">
        <is>
          <t>2026-01-08</t>
        </is>
      </c>
      <c r="C1687" s="45" t="n">
        <v>155.9575</v>
      </c>
      <c r="D1687" t="inlineStr">
        <is>
          <t>€/MWh</t>
        </is>
      </c>
      <c r="E1687" s="54" t="n">
        <v>0.155957</v>
      </c>
      <c r="F1687" s="54" t="n">
        <v>0.198357</v>
      </c>
      <c r="G1687" t="inlineStr">
        <is>
          <t>calculado</t>
        </is>
      </c>
      <c r="H1687" t="inlineStr">
        <is>
          <t>IEE 5.1127 % con cuota mínima 1 €/MWh (Ley 38/1992 art. 99 (sin medidas vigentes)) + IVA 21 % (Ley 37/1992 art. 90 (sin medidas vigentes))</t>
        </is>
      </c>
      <c r="J1687" t="inlineStr">
        <is>
          <t>2026-01-07</t>
        </is>
      </c>
      <c r="K1687" t="inlineStr">
        <is>
          <t>ESIOS 1001 geo 8741</t>
        </is>
      </c>
      <c r="L1687" t="inlineStr">
        <is>
          <t>24 valores; mín 107.17, máx 235.12 €/MWh</t>
        </is>
      </c>
    </row>
    <row r="1688">
      <c r="A1688" s="53" t="n">
        <v>46031</v>
      </c>
      <c r="B1688" t="inlineStr">
        <is>
          <t>2026-01-09</t>
        </is>
      </c>
      <c r="C1688" s="45" t="n">
        <v>137.8546</v>
      </c>
      <c r="D1688" t="inlineStr">
        <is>
          <t>€/MWh</t>
        </is>
      </c>
      <c r="E1688" s="54" t="n">
        <v>0.137855</v>
      </c>
      <c r="F1688" s="54" t="n">
        <v>0.175332</v>
      </c>
      <c r="G1688" t="inlineStr">
        <is>
          <t>calculado</t>
        </is>
      </c>
      <c r="H1688" t="inlineStr">
        <is>
          <t>IEE 5.1127 % con cuota mínima 1 €/MWh (Ley 38/1992 art. 99 (sin medidas vigentes)) + IVA 21 % (Ley 37/1992 art. 90 (sin medidas vigentes))</t>
        </is>
      </c>
      <c r="J1688" t="inlineStr">
        <is>
          <t>2026-01-08</t>
        </is>
      </c>
      <c r="K1688" t="inlineStr">
        <is>
          <t>ESIOS 1001 geo 8741</t>
        </is>
      </c>
      <c r="L1688" t="inlineStr">
        <is>
          <t>24 valores; mín 60.06, máx 240.32 €/MWh</t>
        </is>
      </c>
    </row>
    <row r="1689">
      <c r="A1689" s="53" t="n">
        <v>46032</v>
      </c>
      <c r="B1689" t="inlineStr">
        <is>
          <t>2026-01-10</t>
        </is>
      </c>
      <c r="C1689" s="45" t="n">
        <v>111.4496</v>
      </c>
      <c r="D1689" t="inlineStr">
        <is>
          <t>€/MWh</t>
        </is>
      </c>
      <c r="E1689" s="54" t="n">
        <v>0.11145</v>
      </c>
      <c r="F1689" s="54" t="n">
        <v>0.141749</v>
      </c>
      <c r="G1689" t="inlineStr">
        <is>
          <t>calculado</t>
        </is>
      </c>
      <c r="H1689" t="inlineStr">
        <is>
          <t>IEE 5.1127 % con cuota mínima 1 €/MWh (Ley 38/1992 art. 99 (sin medidas vigentes)) + IVA 21 % (Ley 37/1992 art. 90 (sin medidas vigentes))</t>
        </is>
      </c>
      <c r="J1689" t="inlineStr">
        <is>
          <t>2026-01-09</t>
        </is>
      </c>
      <c r="K1689" t="inlineStr">
        <is>
          <t>ESIOS 1001 geo 8741</t>
        </is>
      </c>
      <c r="L1689" t="inlineStr">
        <is>
          <t>24 valores; mín 63.45, máx 176.80 €/MWh</t>
        </is>
      </c>
    </row>
    <row r="1690">
      <c r="A1690" s="53" t="n">
        <v>46033</v>
      </c>
      <c r="B1690" t="inlineStr">
        <is>
          <t>2026-01-11</t>
        </is>
      </c>
      <c r="C1690" s="45" t="n">
        <v>117.7292</v>
      </c>
      <c r="D1690" t="inlineStr">
        <is>
          <t>€/MWh</t>
        </is>
      </c>
      <c r="E1690" s="54" t="n">
        <v>0.117729</v>
      </c>
      <c r="F1690" s="54" t="n">
        <v>0.149735</v>
      </c>
      <c r="G1690" t="inlineStr">
        <is>
          <t>calculado</t>
        </is>
      </c>
      <c r="H1690" t="inlineStr">
        <is>
          <t>IEE 5.1127 % con cuota mínima 1 €/MWh (Ley 38/1992 art. 99 (sin medidas vigentes)) + IVA 21 % (Ley 37/1992 art. 90 (sin medidas vigentes))</t>
        </is>
      </c>
      <c r="J1690" t="inlineStr">
        <is>
          <t>2026-01-10</t>
        </is>
      </c>
      <c r="K1690" t="inlineStr">
        <is>
          <t>ESIOS 1001 geo 8741</t>
        </is>
      </c>
      <c r="L1690" t="inlineStr">
        <is>
          <t>24 valores; mín 82.89, máx 147.97 €/MWh</t>
        </is>
      </c>
    </row>
    <row r="1691">
      <c r="A1691" s="53" t="n">
        <v>46034</v>
      </c>
      <c r="B1691" t="inlineStr">
        <is>
          <t>2026-01-12</t>
        </is>
      </c>
      <c r="C1691" s="45" t="n">
        <v>161.9171</v>
      </c>
      <c r="D1691" t="inlineStr">
        <is>
          <t>€/MWh</t>
        </is>
      </c>
      <c r="E1691" s="54" t="n">
        <v>0.161917</v>
      </c>
      <c r="F1691" s="54" t="n">
        <v>0.205936</v>
      </c>
      <c r="G1691" t="inlineStr">
        <is>
          <t>calculado</t>
        </is>
      </c>
      <c r="H1691" t="inlineStr">
        <is>
          <t>IEE 5.1127 % con cuota mínima 1 €/MWh (Ley 38/1992 art. 99 (sin medidas vigentes)) + IVA 21 % (Ley 37/1992 art. 90 (sin medidas vigentes))</t>
        </is>
      </c>
      <c r="J1691" t="inlineStr">
        <is>
          <t>2026-01-11</t>
        </is>
      </c>
      <c r="K1691" t="inlineStr">
        <is>
          <t>ESIOS 1001 geo 8741</t>
        </is>
      </c>
      <c r="L1691" t="inlineStr">
        <is>
          <t>24 valores; mín 97.68, máx 251.61 €/MWh</t>
        </is>
      </c>
    </row>
    <row r="1692">
      <c r="A1692" s="53" t="n">
        <v>46035</v>
      </c>
      <c r="B1692" t="inlineStr">
        <is>
          <t>2026-01-13</t>
        </is>
      </c>
      <c r="C1692" s="45" t="n">
        <v>166.4071</v>
      </c>
      <c r="D1692" t="inlineStr">
        <is>
          <t>€/MWh</t>
        </is>
      </c>
      <c r="E1692" s="54" t="n">
        <v>0.166407</v>
      </c>
      <c r="F1692" s="54" t="n">
        <v>0.211647</v>
      </c>
      <c r="G1692" t="inlineStr">
        <is>
          <t>calculado</t>
        </is>
      </c>
      <c r="H1692" t="inlineStr">
        <is>
          <t>IEE 5.1127 % con cuota mínima 1 €/MWh (Ley 38/1992 art. 99 (sin medidas vigentes)) + IVA 21 % (Ley 37/1992 art. 90 (sin medidas vigentes))</t>
        </is>
      </c>
      <c r="J1692" t="inlineStr">
        <is>
          <t>2026-01-12</t>
        </is>
      </c>
      <c r="K1692" t="inlineStr">
        <is>
          <t>ESIOS 1001 geo 8741</t>
        </is>
      </c>
      <c r="L1692" t="inlineStr">
        <is>
          <t>24 valores; mín 97.83, máx 283.56 €/MWh</t>
        </is>
      </c>
    </row>
    <row r="1693">
      <c r="A1693" s="53" t="n">
        <v>46036</v>
      </c>
      <c r="B1693" t="inlineStr">
        <is>
          <t>2026-01-14</t>
        </is>
      </c>
      <c r="C1693" s="45" t="n">
        <v>177.4179</v>
      </c>
      <c r="D1693" t="inlineStr">
        <is>
          <t>€/MWh</t>
        </is>
      </c>
      <c r="E1693" s="54" t="n">
        <v>0.177418</v>
      </c>
      <c r="F1693" s="54" t="n">
        <v>0.225651</v>
      </c>
      <c r="G1693" t="inlineStr">
        <is>
          <t>calculado</t>
        </is>
      </c>
      <c r="H1693" t="inlineStr">
        <is>
          <t>IEE 5.1127 % con cuota mínima 1 €/MWh (Ley 38/1992 art. 99 (sin medidas vigentes)) + IVA 21 % (Ley 37/1992 art. 90 (sin medidas vigentes))</t>
        </is>
      </c>
      <c r="J1693" t="inlineStr">
        <is>
          <t>2026-01-13</t>
        </is>
      </c>
      <c r="K1693" t="inlineStr">
        <is>
          <t>ESIOS 1001 geo 8741</t>
        </is>
      </c>
      <c r="L1693" t="inlineStr">
        <is>
          <t>24 valores; mín 102.57, máx 292.41 €/MWh</t>
        </is>
      </c>
    </row>
    <row r="1694">
      <c r="A1694" s="53" t="n">
        <v>46037</v>
      </c>
      <c r="B1694" t="inlineStr">
        <is>
          <t>2026-01-15</t>
        </is>
      </c>
      <c r="C1694" s="45" t="n">
        <v>169.9938</v>
      </c>
      <c r="D1694" t="inlineStr">
        <is>
          <t>€/MWh</t>
        </is>
      </c>
      <c r="E1694" s="54" t="n">
        <v>0.169994</v>
      </c>
      <c r="F1694" s="54" t="n">
        <v>0.216209</v>
      </c>
      <c r="G1694" t="inlineStr">
        <is>
          <t>calculado</t>
        </is>
      </c>
      <c r="H1694" t="inlineStr">
        <is>
          <t>IEE 5.1127 % con cuota mínima 1 €/MWh (Ley 38/1992 art. 99 (sin medidas vigentes)) + IVA 21 % (Ley 37/1992 art. 90 (sin medidas vigentes))</t>
        </is>
      </c>
      <c r="J1694" t="inlineStr">
        <is>
          <t>2026-01-14</t>
        </is>
      </c>
      <c r="K1694" t="inlineStr">
        <is>
          <t>ESIOS 1001 geo 8741</t>
        </is>
      </c>
      <c r="L1694" t="inlineStr">
        <is>
          <t>24 valores; mín 106.69, máx 264.67 €/MWh</t>
        </is>
      </c>
    </row>
    <row r="1695">
      <c r="A1695" s="53" t="n">
        <v>46038</v>
      </c>
      <c r="B1695" t="inlineStr">
        <is>
          <t>2026-01-16</t>
        </is>
      </c>
      <c r="C1695" s="45" t="n">
        <v>179.2696</v>
      </c>
      <c r="D1695" t="inlineStr">
        <is>
          <t>€/MWh</t>
        </is>
      </c>
      <c r="E1695" s="54" t="n">
        <v>0.17927</v>
      </c>
      <c r="F1695" s="54" t="n">
        <v>0.228006</v>
      </c>
      <c r="G1695" t="inlineStr">
        <is>
          <t>calculado</t>
        </is>
      </c>
      <c r="H1695" t="inlineStr">
        <is>
          <t>IEE 5.1127 % con cuota mínima 1 €/MWh (Ley 38/1992 art. 99 (sin medidas vigentes)) + IVA 21 % (Ley 37/1992 art. 90 (sin medidas vigentes))</t>
        </is>
      </c>
      <c r="J1695" t="inlineStr">
        <is>
          <t>2026-01-15</t>
        </is>
      </c>
      <c r="K1695" t="inlineStr">
        <is>
          <t>ESIOS 1001 geo 8741</t>
        </is>
      </c>
      <c r="L1695" t="inlineStr">
        <is>
          <t>24 valores; mín 109.67, máx 282.91 €/MWh</t>
        </is>
      </c>
    </row>
    <row r="1696">
      <c r="A1696" s="53" t="n">
        <v>46039</v>
      </c>
      <c r="B1696" t="inlineStr">
        <is>
          <t>2026-01-17</t>
        </is>
      </c>
      <c r="C1696" s="45" t="n">
        <v>149.1817</v>
      </c>
      <c r="D1696" t="inlineStr">
        <is>
          <t>€/MWh</t>
        </is>
      </c>
      <c r="E1696" s="54" t="n">
        <v>0.149182</v>
      </c>
      <c r="F1696" s="54" t="n">
        <v>0.189739</v>
      </c>
      <c r="G1696" t="inlineStr">
        <is>
          <t>calculado</t>
        </is>
      </c>
      <c r="H1696" t="inlineStr">
        <is>
          <t>IEE 5.1127 % con cuota mínima 1 €/MWh (Ley 38/1992 art. 99 (sin medidas vigentes)) + IVA 21 % (Ley 37/1992 art. 90 (sin medidas vigentes))</t>
        </is>
      </c>
      <c r="J1696" t="inlineStr">
        <is>
          <t>2026-01-16</t>
        </is>
      </c>
      <c r="K1696" t="inlineStr">
        <is>
          <t>ESIOS 1001 geo 8741</t>
        </is>
      </c>
      <c r="L1696" t="inlineStr">
        <is>
          <t>24 valores; mín 126.27, máx 190.55 €/MWh</t>
        </is>
      </c>
    </row>
    <row r="1697">
      <c r="A1697" s="53" t="n">
        <v>46040</v>
      </c>
      <c r="B1697" t="inlineStr">
        <is>
          <t>2026-01-18</t>
        </is>
      </c>
      <c r="C1697" s="45" t="n">
        <v>147.49</v>
      </c>
      <c r="D1697" t="inlineStr">
        <is>
          <t>€/MWh</t>
        </is>
      </c>
      <c r="E1697" s="54" t="n">
        <v>0.14749</v>
      </c>
      <c r="F1697" s="54" t="n">
        <v>0.187587</v>
      </c>
      <c r="G1697" t="inlineStr">
        <is>
          <t>calculado</t>
        </is>
      </c>
      <c r="H1697" t="inlineStr">
        <is>
          <t>IEE 5.1127 % con cuota mínima 1 €/MWh (Ley 38/1992 art. 99 (sin medidas vigentes)) + IVA 21 % (Ley 37/1992 art. 90 (sin medidas vigentes))</t>
        </is>
      </c>
      <c r="J1697" t="inlineStr">
        <is>
          <t>2026-01-17</t>
        </is>
      </c>
      <c r="K1697" t="inlineStr">
        <is>
          <t>ESIOS 1001 geo 8741</t>
        </is>
      </c>
      <c r="L1697" t="inlineStr">
        <is>
          <t>24 valores; mín 115.38, máx 222.04 €/MWh</t>
        </is>
      </c>
    </row>
    <row r="1698">
      <c r="A1698" s="53" t="n">
        <v>46041</v>
      </c>
      <c r="B1698" t="inlineStr">
        <is>
          <t>2026-01-19</t>
        </is>
      </c>
      <c r="C1698" s="45" t="n">
        <v>191.8542</v>
      </c>
      <c r="D1698" t="inlineStr">
        <is>
          <t>€/MWh</t>
        </is>
      </c>
      <c r="E1698" s="54" t="n">
        <v>0.191854</v>
      </c>
      <c r="F1698" s="54" t="n">
        <v>0.244012</v>
      </c>
      <c r="G1698" t="inlineStr">
        <is>
          <t>calculado</t>
        </is>
      </c>
      <c r="H1698" t="inlineStr">
        <is>
          <t>IEE 5.1127 % con cuota mínima 1 €/MWh (Ley 38/1992 art. 99 (sin medidas vigentes)) + IVA 21 % (Ley 37/1992 art. 90 (sin medidas vigentes))</t>
        </is>
      </c>
      <c r="J1698" t="inlineStr">
        <is>
          <t>2026-01-18</t>
        </is>
      </c>
      <c r="K1698" t="inlineStr">
        <is>
          <t>ESIOS 1001 geo 8741</t>
        </is>
      </c>
      <c r="L1698" t="inlineStr">
        <is>
          <t>24 valores; mín 119.74, máx 317.60 €/MWh</t>
        </is>
      </c>
    </row>
    <row r="1699">
      <c r="A1699" s="53" t="n">
        <v>46042</v>
      </c>
      <c r="B1699" t="inlineStr">
        <is>
          <t>2026-01-20</t>
        </is>
      </c>
      <c r="C1699" s="45" t="n">
        <v>169.2196</v>
      </c>
      <c r="D1699" t="inlineStr">
        <is>
          <t>€/MWh</t>
        </is>
      </c>
      <c r="E1699" s="54" t="n">
        <v>0.16922</v>
      </c>
      <c r="F1699" s="54" t="n">
        <v>0.215224</v>
      </c>
      <c r="G1699" t="inlineStr">
        <is>
          <t>calculado</t>
        </is>
      </c>
      <c r="H1699" t="inlineStr">
        <is>
          <t>IEE 5.1127 % con cuota mínima 1 €/MWh (Ley 38/1992 art. 99 (sin medidas vigentes)) + IVA 21 % (Ley 37/1992 art. 90 (sin medidas vigentes))</t>
        </is>
      </c>
      <c r="J1699" t="inlineStr">
        <is>
          <t>2026-01-19</t>
        </is>
      </c>
      <c r="K1699" t="inlineStr">
        <is>
          <t>ESIOS 1001 geo 8741</t>
        </is>
      </c>
      <c r="L1699" t="inlineStr">
        <is>
          <t>24 valores; mín 105.53, máx 257.65 €/MWh</t>
        </is>
      </c>
    </row>
    <row r="1700">
      <c r="A1700" s="53" t="n">
        <v>46043</v>
      </c>
      <c r="B1700" t="inlineStr">
        <is>
          <t>2026-01-21</t>
        </is>
      </c>
      <c r="C1700" s="45" t="n">
        <v>157.0962</v>
      </c>
      <c r="D1700" t="inlineStr">
        <is>
          <t>€/MWh</t>
        </is>
      </c>
      <c r="E1700" s="54" t="n">
        <v>0.157096</v>
      </c>
      <c r="F1700" s="54" t="n">
        <v>0.199805</v>
      </c>
      <c r="G1700" t="inlineStr">
        <is>
          <t>calculado</t>
        </is>
      </c>
      <c r="H1700" t="inlineStr">
        <is>
          <t>IEE 5.1127 % con cuota mínima 1 €/MWh (Ley 38/1992 art. 99 (sin medidas vigentes)) + IVA 21 % (Ley 37/1992 art. 90 (sin medidas vigentes))</t>
        </is>
      </c>
      <c r="J1700" t="inlineStr">
        <is>
          <t>2026-01-20</t>
        </is>
      </c>
      <c r="K1700" t="inlineStr">
        <is>
          <t>ESIOS 1001 geo 8741</t>
        </is>
      </c>
      <c r="L1700" t="inlineStr">
        <is>
          <t>24 valores; mín 94.49, máx 234.20 €/MWh</t>
        </is>
      </c>
    </row>
    <row r="1701">
      <c r="A1701" s="53" t="n">
        <v>46044</v>
      </c>
      <c r="B1701" t="inlineStr">
        <is>
          <t>2026-01-22</t>
        </is>
      </c>
      <c r="C1701" s="45" t="n">
        <v>142.1221</v>
      </c>
      <c r="D1701" t="inlineStr">
        <is>
          <t>€/MWh</t>
        </is>
      </c>
      <c r="E1701" s="54" t="n">
        <v>0.142122</v>
      </c>
      <c r="F1701" s="54" t="n">
        <v>0.18076</v>
      </c>
      <c r="G1701" t="inlineStr">
        <is>
          <t>calculado</t>
        </is>
      </c>
      <c r="H1701" t="inlineStr">
        <is>
          <t>IEE 5.1127 % con cuota mínima 1 €/MWh (Ley 38/1992 art. 99 (sin medidas vigentes)) + IVA 21 % (Ley 37/1992 art. 90 (sin medidas vigentes))</t>
        </is>
      </c>
      <c r="J1701" t="inlineStr">
        <is>
          <t>2026-01-21</t>
        </is>
      </c>
      <c r="K1701" t="inlineStr">
        <is>
          <t>ESIOS 1001 geo 8741</t>
        </is>
      </c>
      <c r="L1701" t="inlineStr">
        <is>
          <t>24 valores; mín 67.98, máx 221.64 €/MWh</t>
        </is>
      </c>
    </row>
    <row r="1702">
      <c r="A1702" s="53" t="n">
        <v>46045</v>
      </c>
      <c r="B1702" t="inlineStr">
        <is>
          <t>2026-01-23</t>
        </is>
      </c>
      <c r="C1702" s="45" t="n">
        <v>133.0296</v>
      </c>
      <c r="D1702" t="inlineStr">
        <is>
          <t>€/MWh</t>
        </is>
      </c>
      <c r="E1702" s="54" t="n">
        <v>0.13303</v>
      </c>
      <c r="F1702" s="54" t="n">
        <v>0.169196</v>
      </c>
      <c r="G1702" t="inlineStr">
        <is>
          <t>calculado</t>
        </is>
      </c>
      <c r="H1702" t="inlineStr">
        <is>
          <t>IEE 5.1127 % con cuota mínima 1 €/MWh (Ley 38/1992 art. 99 (sin medidas vigentes)) + IVA 21 % (Ley 37/1992 art. 90 (sin medidas vigentes))</t>
        </is>
      </c>
      <c r="J1702" t="inlineStr">
        <is>
          <t>2026-01-22</t>
        </is>
      </c>
      <c r="K1702" t="inlineStr">
        <is>
          <t>ESIOS 1001 geo 8741</t>
        </is>
      </c>
      <c r="L1702" t="inlineStr">
        <is>
          <t>24 valores; mín 63.21, máx 272.07 €/MWh</t>
        </is>
      </c>
    </row>
    <row r="1703">
      <c r="A1703" s="53" t="n">
        <v>46046</v>
      </c>
      <c r="B1703" t="inlineStr">
        <is>
          <t>2026-01-24</t>
        </is>
      </c>
      <c r="C1703" s="45" t="n">
        <v>75.4483</v>
      </c>
      <c r="D1703" t="inlineStr">
        <is>
          <t>€/MWh</t>
        </is>
      </c>
      <c r="E1703" s="54" t="n">
        <v>0.075448</v>
      </c>
      <c r="F1703" s="54" t="n">
        <v>0.09596</v>
      </c>
      <c r="G1703" t="inlineStr">
        <is>
          <t>calculado</t>
        </is>
      </c>
      <c r="H1703" t="inlineStr">
        <is>
          <t>IEE 5.1127 % con cuota mínima 1 €/MWh (Ley 38/1992 art. 99 (sin medidas vigentes)) + IVA 21 % (Ley 37/1992 art. 90 (sin medidas vigentes))</t>
        </is>
      </c>
      <c r="J1703" t="inlineStr">
        <is>
          <t>2026-01-23</t>
        </is>
      </c>
      <c r="K1703" t="inlineStr">
        <is>
          <t>ESIOS 1001 geo 8741</t>
        </is>
      </c>
      <c r="L1703" t="inlineStr">
        <is>
          <t>24 valores; mín 57.35, máx 98.65 €/MWh</t>
        </is>
      </c>
    </row>
    <row r="1704">
      <c r="A1704" s="53" t="n">
        <v>46047</v>
      </c>
      <c r="B1704" t="inlineStr">
        <is>
          <t>2026-01-25</t>
        </is>
      </c>
      <c r="C1704" s="45" t="n">
        <v>79.8642</v>
      </c>
      <c r="D1704" t="inlineStr">
        <is>
          <t>€/MWh</t>
        </is>
      </c>
      <c r="E1704" s="54" t="n">
        <v>0.079864</v>
      </c>
      <c r="F1704" s="54" t="n">
        <v>0.101576</v>
      </c>
      <c r="G1704" t="inlineStr">
        <is>
          <t>calculado</t>
        </is>
      </c>
      <c r="H1704" t="inlineStr">
        <is>
          <t>IEE 5.1127 % con cuota mínima 1 €/MWh (Ley 38/1992 art. 99 (sin medidas vigentes)) + IVA 21 % (Ley 37/1992 art. 90 (sin medidas vigentes))</t>
        </is>
      </c>
      <c r="J1704" t="inlineStr">
        <is>
          <t>2026-01-24</t>
        </is>
      </c>
      <c r="K1704" t="inlineStr">
        <is>
          <t>ESIOS 1001 geo 8741</t>
        </is>
      </c>
      <c r="L1704" t="inlineStr">
        <is>
          <t>24 valores; mín 70.87, máx 98.73 €/MWh</t>
        </is>
      </c>
    </row>
    <row r="1705">
      <c r="A1705" s="53" t="n">
        <v>46048</v>
      </c>
      <c r="B1705" t="inlineStr">
        <is>
          <t>2026-01-26</t>
        </is>
      </c>
      <c r="C1705" s="45" t="n">
        <v>130.595</v>
      </c>
      <c r="D1705" t="inlineStr">
        <is>
          <t>€/MWh</t>
        </is>
      </c>
      <c r="E1705" s="54" t="n">
        <v>0.130595</v>
      </c>
      <c r="F1705" s="54" t="n">
        <v>0.166099</v>
      </c>
      <c r="G1705" t="inlineStr">
        <is>
          <t>calculado</t>
        </is>
      </c>
      <c r="H1705" t="inlineStr">
        <is>
          <t>IEE 5.1127 % con cuota mínima 1 €/MWh (Ley 38/1992 art. 99 (sin medidas vigentes)) + IVA 21 % (Ley 37/1992 art. 90 (sin medidas vigentes))</t>
        </is>
      </c>
      <c r="J1705" t="inlineStr">
        <is>
          <t>2026-01-25</t>
        </is>
      </c>
      <c r="K1705" t="inlineStr">
        <is>
          <t>ESIOS 1001 geo 8741</t>
        </is>
      </c>
      <c r="L1705" t="inlineStr">
        <is>
          <t>24 valores; mín 54.84, máx 243.21 €/MWh</t>
        </is>
      </c>
    </row>
    <row r="1706">
      <c r="A1706" s="53" t="n">
        <v>46049</v>
      </c>
      <c r="B1706" t="inlineStr">
        <is>
          <t>2026-01-27</t>
        </is>
      </c>
      <c r="C1706" s="45" t="n">
        <v>125.9842</v>
      </c>
      <c r="D1706" t="inlineStr">
        <is>
          <t>€/MWh</t>
        </is>
      </c>
      <c r="E1706" s="54" t="n">
        <v>0.125984</v>
      </c>
      <c r="F1706" s="54" t="n">
        <v>0.160235</v>
      </c>
      <c r="G1706" t="inlineStr">
        <is>
          <t>calculado</t>
        </is>
      </c>
      <c r="H1706" t="inlineStr">
        <is>
          <t>IEE 5.1127 % con cuota mínima 1 €/MWh (Ley 38/1992 art. 99 (sin medidas vigentes)) + IVA 21 % (Ley 37/1992 art. 90 (sin medidas vigentes))</t>
        </is>
      </c>
      <c r="J1706" t="inlineStr">
        <is>
          <t>2026-01-26</t>
        </is>
      </c>
      <c r="K1706" t="inlineStr">
        <is>
          <t>ESIOS 1001 geo 8741</t>
        </is>
      </c>
      <c r="L1706" t="inlineStr">
        <is>
          <t>24 valores; mín 55.85, máx 253.14 €/MWh</t>
        </is>
      </c>
    </row>
    <row r="1707">
      <c r="A1707" s="53" t="n">
        <v>46050</v>
      </c>
      <c r="B1707" t="inlineStr">
        <is>
          <t>2026-01-28</t>
        </is>
      </c>
      <c r="C1707" s="45" t="n">
        <v>125.155</v>
      </c>
      <c r="D1707" t="inlineStr">
        <is>
          <t>€/MWh</t>
        </is>
      </c>
      <c r="E1707" s="54" t="n">
        <v>0.125155</v>
      </c>
      <c r="F1707" s="54" t="n">
        <v>0.15918</v>
      </c>
      <c r="G1707" t="inlineStr">
        <is>
          <t>calculado</t>
        </is>
      </c>
      <c r="H1707" t="inlineStr">
        <is>
          <t>IEE 5.1127 % con cuota mínima 1 €/MWh (Ley 38/1992 art. 99 (sin medidas vigentes)) + IVA 21 % (Ley 37/1992 art. 90 (sin medidas vigentes))</t>
        </is>
      </c>
      <c r="J1707" t="inlineStr">
        <is>
          <t>2026-01-27</t>
        </is>
      </c>
      <c r="K1707" t="inlineStr">
        <is>
          <t>ESIOS 1001 geo 8741</t>
        </is>
      </c>
      <c r="L1707" t="inlineStr">
        <is>
          <t>24 valores; mín 55.98, máx 244.45 €/MWh</t>
        </is>
      </c>
    </row>
    <row r="1708">
      <c r="A1708" s="53" t="n">
        <v>46051</v>
      </c>
      <c r="B1708" t="inlineStr">
        <is>
          <t>2026-01-29</t>
        </is>
      </c>
      <c r="C1708" s="45" t="n">
        <v>125.0063</v>
      </c>
      <c r="D1708" t="inlineStr">
        <is>
          <t>€/MWh</t>
        </is>
      </c>
      <c r="E1708" s="54" t="n">
        <v>0.125006</v>
      </c>
      <c r="F1708" s="54" t="n">
        <v>0.158991</v>
      </c>
      <c r="G1708" t="inlineStr">
        <is>
          <t>calculado</t>
        </is>
      </c>
      <c r="H1708" t="inlineStr">
        <is>
          <t>IEE 5.1127 % con cuota mínima 1 €/MWh (Ley 38/1992 art. 99 (sin medidas vigentes)) + IVA 21 % (Ley 37/1992 art. 90 (sin medidas vigentes))</t>
        </is>
      </c>
      <c r="J1708" t="inlineStr">
        <is>
          <t>2026-01-28</t>
        </is>
      </c>
      <c r="K1708" t="inlineStr">
        <is>
          <t>ESIOS 1001 geo 8741</t>
        </is>
      </c>
      <c r="L1708" t="inlineStr">
        <is>
          <t>24 valores; mín 74.34, máx 186.42 €/MWh</t>
        </is>
      </c>
    </row>
    <row r="1709">
      <c r="A1709" s="53" t="n">
        <v>46052</v>
      </c>
      <c r="B1709" t="inlineStr">
        <is>
          <t>2026-01-30</t>
        </is>
      </c>
      <c r="C1709" s="45" t="n">
        <v>118.1783</v>
      </c>
      <c r="D1709" t="inlineStr">
        <is>
          <t>€/MWh</t>
        </is>
      </c>
      <c r="E1709" s="54" t="n">
        <v>0.118178</v>
      </c>
      <c r="F1709" s="54" t="n">
        <v>0.150307</v>
      </c>
      <c r="G1709" t="inlineStr">
        <is>
          <t>calculado</t>
        </is>
      </c>
      <c r="H1709" t="inlineStr">
        <is>
          <t>IEE 5.1127 % con cuota mínima 1 €/MWh (Ley 38/1992 art. 99 (sin medidas vigentes)) + IVA 21 % (Ley 37/1992 art. 90 (sin medidas vigentes))</t>
        </is>
      </c>
      <c r="J1709" t="inlineStr">
        <is>
          <t>2026-01-29</t>
        </is>
      </c>
      <c r="K1709" t="inlineStr">
        <is>
          <t>ESIOS 1001 geo 8741</t>
        </is>
      </c>
      <c r="L1709" t="inlineStr">
        <is>
          <t>24 valores; mín 66.50, máx 193.77 €/MWh</t>
        </is>
      </c>
    </row>
    <row r="1710">
      <c r="A1710" s="53" t="n">
        <v>46053</v>
      </c>
      <c r="B1710" t="inlineStr">
        <is>
          <t>2026-01-31</t>
        </is>
      </c>
      <c r="C1710" s="45" t="n">
        <v>79.6558</v>
      </c>
      <c r="D1710" t="inlineStr">
        <is>
          <t>€/MWh</t>
        </is>
      </c>
      <c r="E1710" s="54" t="n">
        <v>0.079656</v>
      </c>
      <c r="F1710" s="54" t="n">
        <v>0.101311</v>
      </c>
      <c r="G1710" t="inlineStr">
        <is>
          <t>calculado</t>
        </is>
      </c>
      <c r="H1710" t="inlineStr">
        <is>
          <t>IEE 5.1127 % con cuota mínima 1 €/MWh (Ley 38/1992 art. 99 (sin medidas vigentes)) + IVA 21 % (Ley 37/1992 art. 90 (sin medidas vigentes))</t>
        </is>
      </c>
      <c r="J1710" t="inlineStr">
        <is>
          <t>2026-01-30</t>
        </is>
      </c>
      <c r="K1710" t="inlineStr">
        <is>
          <t>ESIOS 1001 geo 8741</t>
        </is>
      </c>
      <c r="L1710" t="inlineStr">
        <is>
          <t>24 valores; mín 68.87, máx 107.22 €/MWh</t>
        </is>
      </c>
    </row>
    <row r="1711">
      <c r="A1711" s="53" t="n">
        <v>46054</v>
      </c>
      <c r="B1711" t="inlineStr">
        <is>
          <t>2026-02-01</t>
        </is>
      </c>
      <c r="C1711" s="45" t="n">
        <v>92.4158</v>
      </c>
      <c r="D1711" t="inlineStr">
        <is>
          <t>€/MWh</t>
        </is>
      </c>
      <c r="E1711" s="54" t="n">
        <v>0.092416</v>
      </c>
      <c r="F1711" s="54" t="n">
        <v>0.11754</v>
      </c>
      <c r="G1711" t="inlineStr">
        <is>
          <t>calculado</t>
        </is>
      </c>
      <c r="H1711" t="inlineStr">
        <is>
          <t>IEE 5.1127 % con cuota mínima 1 €/MWh (Ley 38/1992 art. 99 (sin medidas vigentes)) + IVA 21 % (Ley 37/1992 art. 90 (sin medidas vigentes))</t>
        </is>
      </c>
      <c r="J1711" t="inlineStr">
        <is>
          <t>2026-01-31</t>
        </is>
      </c>
      <c r="K1711" t="inlineStr">
        <is>
          <t>ESIOS 1001 geo 8741</t>
        </is>
      </c>
      <c r="L1711" t="inlineStr">
        <is>
          <t>24 valores; mín 63.61, máx 208.10 €/MWh</t>
        </is>
      </c>
    </row>
    <row r="1712">
      <c r="A1712" s="53" t="n">
        <v>46055</v>
      </c>
      <c r="B1712" t="inlineStr">
        <is>
          <t>2026-02-02</t>
        </is>
      </c>
      <c r="C1712" s="45" t="n">
        <v>126.3846</v>
      </c>
      <c r="D1712" t="inlineStr">
        <is>
          <t>€/MWh</t>
        </is>
      </c>
      <c r="E1712" s="54" t="n">
        <v>0.126385</v>
      </c>
      <c r="F1712" s="54" t="n">
        <v>0.160744</v>
      </c>
      <c r="G1712" t="inlineStr">
        <is>
          <t>calculado</t>
        </is>
      </c>
      <c r="H1712" t="inlineStr">
        <is>
          <t>IEE 5.1127 % con cuota mínima 1 €/MWh (Ley 38/1992 art. 99 (sin medidas vigentes)) + IVA 21 % (Ley 37/1992 art. 90 (sin medidas vigentes))</t>
        </is>
      </c>
      <c r="J1712" t="inlineStr">
        <is>
          <t>2026-02-01</t>
        </is>
      </c>
      <c r="K1712" t="inlineStr">
        <is>
          <t>ESIOS 1001 geo 8741</t>
        </is>
      </c>
      <c r="L1712" t="inlineStr">
        <is>
          <t>24 valores; mín 73.24, máx 213.82 €/MWh</t>
        </is>
      </c>
    </row>
    <row r="1713">
      <c r="A1713" s="53" t="n">
        <v>46056</v>
      </c>
      <c r="B1713" t="inlineStr">
        <is>
          <t>2026-02-03</t>
        </is>
      </c>
      <c r="C1713" s="45" t="n">
        <v>129.1662</v>
      </c>
      <c r="D1713" t="inlineStr">
        <is>
          <t>€/MWh</t>
        </is>
      </c>
      <c r="E1713" s="54" t="n">
        <v>0.129166</v>
      </c>
      <c r="F1713" s="54" t="n">
        <v>0.164282</v>
      </c>
      <c r="G1713" t="inlineStr">
        <is>
          <t>calculado</t>
        </is>
      </c>
      <c r="H1713" t="inlineStr">
        <is>
          <t>IEE 5.1127 % con cuota mínima 1 €/MWh (Ley 38/1992 art. 99 (sin medidas vigentes)) + IVA 21 % (Ley 37/1992 art. 90 (sin medidas vigentes))</t>
        </is>
      </c>
      <c r="J1713" t="inlineStr">
        <is>
          <t>2026-02-02</t>
        </is>
      </c>
      <c r="K1713" t="inlineStr">
        <is>
          <t>ESIOS 1001 geo 8741</t>
        </is>
      </c>
      <c r="L1713" t="inlineStr">
        <is>
          <t>24 valores; mín 48.06, máx 292.20 €/MWh</t>
        </is>
      </c>
    </row>
    <row r="1714">
      <c r="A1714" s="53" t="n">
        <v>46057</v>
      </c>
      <c r="B1714" t="inlineStr">
        <is>
          <t>2026-02-04</t>
        </is>
      </c>
      <c r="C1714" s="45" t="n">
        <v>120.0871</v>
      </c>
      <c r="D1714" t="inlineStr">
        <is>
          <t>€/MWh</t>
        </is>
      </c>
      <c r="E1714" s="54" t="n">
        <v>0.120087</v>
      </c>
      <c r="F1714" s="54" t="n">
        <v>0.152734</v>
      </c>
      <c r="G1714" t="inlineStr">
        <is>
          <t>calculado</t>
        </is>
      </c>
      <c r="H1714" t="inlineStr">
        <is>
          <t>IEE 5.1127 % con cuota mínima 1 €/MWh (Ley 38/1992 art. 99 (sin medidas vigentes)) + IVA 21 % (Ley 37/1992 art. 90 (sin medidas vigentes))</t>
        </is>
      </c>
      <c r="J1714" t="inlineStr">
        <is>
          <t>2026-02-03</t>
        </is>
      </c>
      <c r="K1714" t="inlineStr">
        <is>
          <t>ESIOS 1001 geo 8741</t>
        </is>
      </c>
      <c r="L1714" t="inlineStr">
        <is>
          <t>24 valores; mín 60.04, máx 230.16 €/MWh</t>
        </is>
      </c>
    </row>
    <row r="1715">
      <c r="A1715" s="53" t="n">
        <v>46058</v>
      </c>
      <c r="B1715" t="inlineStr">
        <is>
          <t>2026-02-05</t>
        </is>
      </c>
      <c r="C1715" s="45" t="n">
        <v>120.2758</v>
      </c>
      <c r="D1715" t="inlineStr">
        <is>
          <t>€/MWh</t>
        </is>
      </c>
      <c r="E1715" s="54" t="n">
        <v>0.120276</v>
      </c>
      <c r="F1715" s="54" t="n">
        <v>0.152974</v>
      </c>
      <c r="G1715" t="inlineStr">
        <is>
          <t>calculado</t>
        </is>
      </c>
      <c r="H1715" t="inlineStr">
        <is>
          <t>IEE 5.1127 % con cuota mínima 1 €/MWh (Ley 38/1992 art. 99 (sin medidas vigentes)) + IVA 21 % (Ley 37/1992 art. 90 (sin medidas vigentes))</t>
        </is>
      </c>
      <c r="J1715" t="inlineStr">
        <is>
          <t>2026-02-04</t>
        </is>
      </c>
      <c r="K1715" t="inlineStr">
        <is>
          <t>ESIOS 1001 geo 8741</t>
        </is>
      </c>
      <c r="L1715" t="inlineStr">
        <is>
          <t>24 valores; mín 67.65, máx 202.55 €/MWh</t>
        </is>
      </c>
    </row>
    <row r="1716">
      <c r="A1716" s="53" t="n">
        <v>46059</v>
      </c>
      <c r="B1716" t="inlineStr">
        <is>
          <t>2026-02-06</t>
        </is>
      </c>
      <c r="C1716" s="45" t="n">
        <v>117.9667</v>
      </c>
      <c r="D1716" t="inlineStr">
        <is>
          <t>€/MWh</t>
        </is>
      </c>
      <c r="E1716" s="54" t="n">
        <v>0.117967</v>
      </c>
      <c r="F1716" s="54" t="n">
        <v>0.150038</v>
      </c>
      <c r="G1716" t="inlineStr">
        <is>
          <t>calculado</t>
        </is>
      </c>
      <c r="H1716" t="inlineStr">
        <is>
          <t>IEE 5.1127 % con cuota mínima 1 €/MWh (Ley 38/1992 art. 99 (sin medidas vigentes)) + IVA 21 % (Ley 37/1992 art. 90 (sin medidas vigentes))</t>
        </is>
      </c>
      <c r="J1716" t="inlineStr">
        <is>
          <t>2026-02-05</t>
        </is>
      </c>
      <c r="K1716" t="inlineStr">
        <is>
          <t>ESIOS 1001 geo 8741</t>
        </is>
      </c>
      <c r="L1716" t="inlineStr">
        <is>
          <t>24 valores; mín 64.57, máx 214.44 €/MWh</t>
        </is>
      </c>
    </row>
    <row r="1717">
      <c r="A1717" s="53" t="n">
        <v>46060</v>
      </c>
      <c r="B1717" t="inlineStr">
        <is>
          <t>2026-02-07</t>
        </is>
      </c>
      <c r="C1717" s="45" t="n">
        <v>73.6525</v>
      </c>
      <c r="D1717" t="inlineStr">
        <is>
          <t>€/MWh</t>
        </is>
      </c>
      <c r="E1717" s="54" t="n">
        <v>0.073653</v>
      </c>
      <c r="F1717" s="54" t="n">
        <v>0.093676</v>
      </c>
      <c r="G1717" t="inlineStr">
        <is>
          <t>calculado</t>
        </is>
      </c>
      <c r="H1717" t="inlineStr">
        <is>
          <t>IEE 5.1127 % con cuota mínima 1 €/MWh (Ley 38/1992 art. 99 (sin medidas vigentes)) + IVA 21 % (Ley 37/1992 art. 90 (sin medidas vigentes))</t>
        </is>
      </c>
      <c r="J1717" t="inlineStr">
        <is>
          <t>2026-02-06</t>
        </is>
      </c>
      <c r="K1717" t="inlineStr">
        <is>
          <t>ESIOS 1001 geo 8741</t>
        </is>
      </c>
      <c r="L1717" t="inlineStr">
        <is>
          <t>24 valores; mín 63.15, máx 106.06 €/MWh</t>
        </is>
      </c>
    </row>
    <row r="1718">
      <c r="A1718" s="53" t="n">
        <v>46061</v>
      </c>
      <c r="B1718" t="inlineStr">
        <is>
          <t>2026-02-08</t>
        </is>
      </c>
      <c r="C1718" s="45" t="n">
        <v>77.96120000000001</v>
      </c>
      <c r="D1718" t="inlineStr">
        <is>
          <t>€/MWh</t>
        </is>
      </c>
      <c r="E1718" s="54" t="n">
        <v>0.077961</v>
      </c>
      <c r="F1718" s="54" t="n">
        <v>0.09915599999999999</v>
      </c>
      <c r="G1718" t="inlineStr">
        <is>
          <t>calculado</t>
        </is>
      </c>
      <c r="H1718" t="inlineStr">
        <is>
          <t>IEE 5.1127 % con cuota mínima 1 €/MWh (Ley 38/1992 art. 99 (sin medidas vigentes)) + IVA 21 % (Ley 37/1992 art. 90 (sin medidas vigentes))</t>
        </is>
      </c>
      <c r="J1718" t="inlineStr">
        <is>
          <t>2026-02-07</t>
        </is>
      </c>
      <c r="K1718" t="inlineStr">
        <is>
          <t>ESIOS 1001 geo 8741</t>
        </is>
      </c>
      <c r="L1718" t="inlineStr">
        <is>
          <t>24 valores; mín 65.98, máx 115.25 €/MWh</t>
        </is>
      </c>
    </row>
    <row r="1719">
      <c r="A1719" s="53" t="n">
        <v>46062</v>
      </c>
      <c r="B1719" t="inlineStr">
        <is>
          <t>2026-02-09</t>
        </is>
      </c>
      <c r="C1719" s="45" t="n">
        <v>128.1996</v>
      </c>
      <c r="D1719" t="inlineStr">
        <is>
          <t>€/MWh</t>
        </is>
      </c>
      <c r="E1719" s="54" t="n">
        <v>0.1282</v>
      </c>
      <c r="F1719" s="54" t="n">
        <v>0.163052</v>
      </c>
      <c r="G1719" t="inlineStr">
        <is>
          <t>calculado</t>
        </is>
      </c>
      <c r="H1719" t="inlineStr">
        <is>
          <t>IEE 5.1127 % con cuota mínima 1 €/MWh (Ley 38/1992 art. 99 (sin medidas vigentes)) + IVA 21 % (Ley 37/1992 art. 90 (sin medidas vigentes))</t>
        </is>
      </c>
      <c r="J1719" t="inlineStr">
        <is>
          <t>2026-02-08</t>
        </is>
      </c>
      <c r="K1719" t="inlineStr">
        <is>
          <t>ESIOS 1001 geo 8741</t>
        </is>
      </c>
      <c r="L1719" t="inlineStr">
        <is>
          <t>24 valores; mín 66.58, máx 260.04 €/MWh</t>
        </is>
      </c>
    </row>
    <row r="1720">
      <c r="A1720" s="53" t="n">
        <v>46063</v>
      </c>
      <c r="B1720" t="inlineStr">
        <is>
          <t>2026-02-10</t>
        </is>
      </c>
      <c r="C1720" s="45" t="n">
        <v>117.65</v>
      </c>
      <c r="D1720" t="inlineStr">
        <is>
          <t>€/MWh</t>
        </is>
      </c>
      <c r="E1720" s="54" t="n">
        <v>0.11765</v>
      </c>
      <c r="F1720" s="54" t="n">
        <v>0.149635</v>
      </c>
      <c r="G1720" t="inlineStr">
        <is>
          <t>calculado</t>
        </is>
      </c>
      <c r="H1720" t="inlineStr">
        <is>
          <t>IEE 5.1127 % con cuota mínima 1 €/MWh (Ley 38/1992 art. 99 (sin medidas vigentes)) + IVA 21 % (Ley 37/1992 art. 90 (sin medidas vigentes))</t>
        </is>
      </c>
      <c r="J1720" t="inlineStr">
        <is>
          <t>2026-02-09</t>
        </is>
      </c>
      <c r="K1720" t="inlineStr">
        <is>
          <t>ESIOS 1001 geo 8741</t>
        </is>
      </c>
      <c r="L1720" t="inlineStr">
        <is>
          <t>24 valores; mín 71.86, máx 194.37 €/MWh</t>
        </is>
      </c>
    </row>
    <row r="1721">
      <c r="A1721" s="53" t="n">
        <v>46064</v>
      </c>
      <c r="B1721" t="inlineStr">
        <is>
          <t>2026-02-11</t>
        </is>
      </c>
      <c r="C1721" s="45" t="n">
        <v>120.4996</v>
      </c>
      <c r="D1721" t="inlineStr">
        <is>
          <t>€/MWh</t>
        </is>
      </c>
      <c r="E1721" s="54" t="n">
        <v>0.1205</v>
      </c>
      <c r="F1721" s="54" t="n">
        <v>0.153259</v>
      </c>
      <c r="G1721" t="inlineStr">
        <is>
          <t>calculado</t>
        </is>
      </c>
      <c r="H1721" t="inlineStr">
        <is>
          <t>IEE 5.1127 % con cuota mínima 1 €/MWh (Ley 38/1992 art. 99 (sin medidas vigentes)) + IVA 21 % (Ley 37/1992 art. 90 (sin medidas vigentes))</t>
        </is>
      </c>
      <c r="J1721" t="inlineStr">
        <is>
          <t>2026-02-10</t>
        </is>
      </c>
      <c r="K1721" t="inlineStr">
        <is>
          <t>ESIOS 1001 geo 8741</t>
        </is>
      </c>
      <c r="L1721" t="inlineStr">
        <is>
          <t>24 valores; mín 73.12, máx 199.02 €/MWh</t>
        </is>
      </c>
    </row>
    <row r="1722">
      <c r="A1722" s="53" t="n">
        <v>46065</v>
      </c>
      <c r="B1722" t="inlineStr">
        <is>
          <t>2026-02-12</t>
        </is>
      </c>
      <c r="C1722" s="45" t="n">
        <v>122.2183</v>
      </c>
      <c r="D1722" t="inlineStr">
        <is>
          <t>€/MWh</t>
        </is>
      </c>
      <c r="E1722" s="54" t="n">
        <v>0.122218</v>
      </c>
      <c r="F1722" s="54" t="n">
        <v>0.155445</v>
      </c>
      <c r="G1722" t="inlineStr">
        <is>
          <t>calculado</t>
        </is>
      </c>
      <c r="H1722" t="inlineStr">
        <is>
          <t>IEE 5.1127 % con cuota mínima 1 €/MWh (Ley 38/1992 art. 99 (sin medidas vigentes)) + IVA 21 % (Ley 37/1992 art. 90 (sin medidas vigentes))</t>
        </is>
      </c>
      <c r="J1722" t="inlineStr">
        <is>
          <t>2026-02-11</t>
        </is>
      </c>
      <c r="K1722" t="inlineStr">
        <is>
          <t>ESIOS 1001 geo 8741</t>
        </is>
      </c>
      <c r="L1722" t="inlineStr">
        <is>
          <t>24 valores; mín 71.21, máx 199.51 €/MWh</t>
        </is>
      </c>
    </row>
    <row r="1723">
      <c r="A1723" s="53" t="n">
        <v>46066</v>
      </c>
      <c r="B1723" t="inlineStr">
        <is>
          <t>2026-02-13</t>
        </is>
      </c>
      <c r="C1723" s="45" t="n">
        <v>119.6908</v>
      </c>
      <c r="D1723" t="inlineStr">
        <is>
          <t>€/MWh</t>
        </is>
      </c>
      <c r="E1723" s="54" t="n">
        <v>0.119691</v>
      </c>
      <c r="F1723" s="54" t="n">
        <v>0.15223</v>
      </c>
      <c r="G1723" t="inlineStr">
        <is>
          <t>calculado</t>
        </is>
      </c>
      <c r="H1723" t="inlineStr">
        <is>
          <t>IEE 5.1127 % con cuota mínima 1 €/MWh (Ley 38/1992 art. 99 (sin medidas vigentes)) + IVA 21 % (Ley 37/1992 art. 90 (sin medidas vigentes))</t>
        </is>
      </c>
      <c r="J1723" t="inlineStr">
        <is>
          <t>2026-02-12</t>
        </is>
      </c>
      <c r="K1723" t="inlineStr">
        <is>
          <t>ESIOS 1001 geo 8741</t>
        </is>
      </c>
      <c r="L1723" t="inlineStr">
        <is>
          <t>24 valores; mín 78.59, máx 172.49 €/MWh</t>
        </is>
      </c>
    </row>
    <row r="1724">
      <c r="A1724" s="53" t="n">
        <v>46067</v>
      </c>
      <c r="B1724" t="inlineStr">
        <is>
          <t>2026-02-14</t>
        </is>
      </c>
      <c r="C1724" s="45" t="n">
        <v>81.61369999999999</v>
      </c>
      <c r="D1724" t="inlineStr">
        <is>
          <t>€/MWh</t>
        </is>
      </c>
      <c r="E1724" s="54" t="n">
        <v>0.08161400000000001</v>
      </c>
      <c r="F1724" s="54" t="n">
        <v>0.103801</v>
      </c>
      <c r="G1724" t="inlineStr">
        <is>
          <t>calculado</t>
        </is>
      </c>
      <c r="H1724" t="inlineStr">
        <is>
          <t>IEE 5.1127 % con cuota mínima 1 €/MWh (Ley 38/1992 art. 99 (sin medidas vigentes)) + IVA 21 % (Ley 37/1992 art. 90 (sin medidas vigentes))</t>
        </is>
      </c>
      <c r="J1724" t="inlineStr">
        <is>
          <t>2026-02-13</t>
        </is>
      </c>
      <c r="K1724" t="inlineStr">
        <is>
          <t>ESIOS 1001 geo 8741</t>
        </is>
      </c>
      <c r="L1724" t="inlineStr">
        <is>
          <t>24 valores; mín 72.99, máx 96.31 €/MWh</t>
        </is>
      </c>
    </row>
    <row r="1725">
      <c r="A1725" s="53" t="n">
        <v>46068</v>
      </c>
      <c r="B1725" t="inlineStr">
        <is>
          <t>2026-02-15</t>
        </is>
      </c>
      <c r="C1725" s="45" t="n">
        <v>86.5104</v>
      </c>
      <c r="D1725" t="inlineStr">
        <is>
          <t>€/MWh</t>
        </is>
      </c>
      <c r="E1725" s="54" t="n">
        <v>0.08651</v>
      </c>
      <c r="F1725" s="54" t="n">
        <v>0.110029</v>
      </c>
      <c r="G1725" t="inlineStr">
        <is>
          <t>calculado</t>
        </is>
      </c>
      <c r="H1725" t="inlineStr">
        <is>
          <t>IEE 5.1127 % con cuota mínima 1 €/MWh (Ley 38/1992 art. 99 (sin medidas vigentes)) + IVA 21 % (Ley 37/1992 art. 90 (sin medidas vigentes))</t>
        </is>
      </c>
      <c r="J1725" t="inlineStr">
        <is>
          <t>2026-02-14</t>
        </is>
      </c>
      <c r="K1725" t="inlineStr">
        <is>
          <t>ESIOS 1001 geo 8741</t>
        </is>
      </c>
      <c r="L1725" t="inlineStr">
        <is>
          <t>24 valores; mín 69.31, máx 94.83 €/MWh</t>
        </is>
      </c>
    </row>
    <row r="1726">
      <c r="A1726" s="53" t="n">
        <v>46069</v>
      </c>
      <c r="B1726" t="inlineStr">
        <is>
          <t>2026-02-16</t>
        </is>
      </c>
      <c r="C1726" s="45" t="n">
        <v>125.7704</v>
      </c>
      <c r="D1726" t="inlineStr">
        <is>
          <t>€/MWh</t>
        </is>
      </c>
      <c r="E1726" s="54" t="n">
        <v>0.12577</v>
      </c>
      <c r="F1726" s="54" t="n">
        <v>0.159963</v>
      </c>
      <c r="G1726" t="inlineStr">
        <is>
          <t>calculado</t>
        </is>
      </c>
      <c r="H1726" t="inlineStr">
        <is>
          <t>IEE 5.1127 % con cuota mínima 1 €/MWh (Ley 38/1992 art. 99 (sin medidas vigentes)) + IVA 21 % (Ley 37/1992 art. 90 (sin medidas vigentes))</t>
        </is>
      </c>
      <c r="J1726" t="inlineStr">
        <is>
          <t>2026-02-15</t>
        </is>
      </c>
      <c r="K1726" t="inlineStr">
        <is>
          <t>ESIOS 1001 geo 8741</t>
        </is>
      </c>
      <c r="L1726" t="inlineStr">
        <is>
          <t>24 valores; mín 77.42, máx 196.47 €/MWh</t>
        </is>
      </c>
    </row>
    <row r="1727">
      <c r="A1727" s="53" t="n">
        <v>46070</v>
      </c>
      <c r="B1727" t="inlineStr">
        <is>
          <t>2026-02-17</t>
        </is>
      </c>
      <c r="C1727" s="45" t="n">
        <v>137.5221</v>
      </c>
      <c r="D1727" t="inlineStr">
        <is>
          <t>€/MWh</t>
        </is>
      </c>
      <c r="E1727" s="54" t="n">
        <v>0.137522</v>
      </c>
      <c r="F1727" s="54" t="n">
        <v>0.174909</v>
      </c>
      <c r="G1727" t="inlineStr">
        <is>
          <t>calculado</t>
        </is>
      </c>
      <c r="H1727" t="inlineStr">
        <is>
          <t>IEE 5.1127 % con cuota mínima 1 €/MWh (Ley 38/1992 art. 99 (sin medidas vigentes)) + IVA 21 % (Ley 37/1992 art. 90 (sin medidas vigentes))</t>
        </is>
      </c>
      <c r="J1727" t="inlineStr">
        <is>
          <t>2026-02-16</t>
        </is>
      </c>
      <c r="K1727" t="inlineStr">
        <is>
          <t>ESIOS 1001 geo 8741</t>
        </is>
      </c>
      <c r="L1727" t="inlineStr">
        <is>
          <t>24 valores; mín 72.71, máx 305.31 €/MWh</t>
        </is>
      </c>
    </row>
    <row r="1728">
      <c r="A1728" s="53" t="n">
        <v>46071</v>
      </c>
      <c r="B1728" t="inlineStr">
        <is>
          <t>2026-02-18</t>
        </is>
      </c>
      <c r="C1728" s="45" t="n">
        <v>126.1875</v>
      </c>
      <c r="D1728" t="inlineStr">
        <is>
          <t>€/MWh</t>
        </is>
      </c>
      <c r="E1728" s="54" t="n">
        <v>0.126188</v>
      </c>
      <c r="F1728" s="54" t="n">
        <v>0.160493</v>
      </c>
      <c r="G1728" t="inlineStr">
        <is>
          <t>calculado</t>
        </is>
      </c>
      <c r="H1728" t="inlineStr">
        <is>
          <t>IEE 5.1127 % con cuota mínima 1 €/MWh (Ley 38/1992 art. 99 (sin medidas vigentes)) + IVA 21 % (Ley 37/1992 art. 90 (sin medidas vigentes))</t>
        </is>
      </c>
      <c r="J1728" t="inlineStr">
        <is>
          <t>2026-02-17</t>
        </is>
      </c>
      <c r="K1728" t="inlineStr">
        <is>
          <t>ESIOS 1001 geo 8741</t>
        </is>
      </c>
      <c r="L1728" t="inlineStr">
        <is>
          <t>24 valores; mín 92.00, máx 183.64 €/MWh</t>
        </is>
      </c>
    </row>
    <row r="1729">
      <c r="A1729" s="53" t="n">
        <v>46072</v>
      </c>
      <c r="B1729" t="inlineStr">
        <is>
          <t>2026-02-19</t>
        </is>
      </c>
      <c r="C1729" s="45" t="n">
        <v>127.49</v>
      </c>
      <c r="D1729" t="inlineStr">
        <is>
          <t>€/MWh</t>
        </is>
      </c>
      <c r="E1729" s="54" t="n">
        <v>0.12749</v>
      </c>
      <c r="F1729" s="54" t="n">
        <v>0.16215</v>
      </c>
      <c r="G1729" t="inlineStr">
        <is>
          <t>calculado</t>
        </is>
      </c>
      <c r="H1729" t="inlineStr">
        <is>
          <t>IEE 5.1127 % con cuota mínima 1 €/MWh (Ley 38/1992 art. 99 (sin medidas vigentes)) + IVA 21 % (Ley 37/1992 art. 90 (sin medidas vigentes))</t>
        </is>
      </c>
      <c r="J1729" t="inlineStr">
        <is>
          <t>2026-02-18</t>
        </is>
      </c>
      <c r="K1729" t="inlineStr">
        <is>
          <t>ESIOS 1001 geo 8741</t>
        </is>
      </c>
      <c r="L1729" t="inlineStr">
        <is>
          <t>24 valores; mín 70.09, máx 259.09 €/MWh</t>
        </is>
      </c>
    </row>
    <row r="1730">
      <c r="A1730" s="53" t="n">
        <v>46073</v>
      </c>
      <c r="B1730" t="inlineStr">
        <is>
          <t>2026-02-20</t>
        </is>
      </c>
      <c r="C1730" s="45" t="n">
        <v>136.0533</v>
      </c>
      <c r="D1730" t="inlineStr">
        <is>
          <t>€/MWh</t>
        </is>
      </c>
      <c r="E1730" s="54" t="n">
        <v>0.136053</v>
      </c>
      <c r="F1730" s="54" t="n">
        <v>0.173041</v>
      </c>
      <c r="G1730" t="inlineStr">
        <is>
          <t>calculado</t>
        </is>
      </c>
      <c r="H1730" t="inlineStr">
        <is>
          <t>IEE 5.1127 % con cuota mínima 1 €/MWh (Ley 38/1992 art. 99 (sin medidas vigentes)) + IVA 21 % (Ley 37/1992 art. 90 (sin medidas vigentes))</t>
        </is>
      </c>
      <c r="J1730" t="inlineStr">
        <is>
          <t>2026-02-19</t>
        </is>
      </c>
      <c r="K1730" t="inlineStr">
        <is>
          <t>ESIOS 1001 geo 8741</t>
        </is>
      </c>
      <c r="L1730" t="inlineStr">
        <is>
          <t>24 valores; mín 73.21, máx 272.40 €/MWh</t>
        </is>
      </c>
    </row>
    <row r="1731">
      <c r="A1731" s="53" t="n">
        <v>46074</v>
      </c>
      <c r="B1731" t="inlineStr">
        <is>
          <t>2026-02-21</t>
        </is>
      </c>
      <c r="C1731" s="45" t="n">
        <v>98.8075</v>
      </c>
      <c r="D1731" t="inlineStr">
        <is>
          <t>€/MWh</t>
        </is>
      </c>
      <c r="E1731" s="54" t="n">
        <v>0.09880800000000001</v>
      </c>
      <c r="F1731" s="54" t="n">
        <v>0.12567</v>
      </c>
      <c r="G1731" t="inlineStr">
        <is>
          <t>calculado</t>
        </is>
      </c>
      <c r="H1731" t="inlineStr">
        <is>
          <t>IEE 5.1127 % con cuota mínima 1 €/MWh (Ley 38/1992 art. 99 (sin medidas vigentes)) + IVA 21 % (Ley 37/1992 art. 90 (sin medidas vigentes))</t>
        </is>
      </c>
      <c r="J1731" t="inlineStr">
        <is>
          <t>2026-02-20</t>
        </is>
      </c>
      <c r="K1731" t="inlineStr">
        <is>
          <t>ESIOS 1001 geo 8741</t>
        </is>
      </c>
      <c r="L1731" t="inlineStr">
        <is>
          <t>24 valores; mín 60.15, máx 185.59 €/MWh</t>
        </is>
      </c>
    </row>
    <row r="1732">
      <c r="A1732" s="53" t="n">
        <v>46075</v>
      </c>
      <c r="B1732" t="inlineStr">
        <is>
          <t>2026-02-22</t>
        </is>
      </c>
      <c r="C1732" s="45" t="n">
        <v>103.61</v>
      </c>
      <c r="D1732" t="inlineStr">
        <is>
          <t>€/MWh</t>
        </is>
      </c>
      <c r="E1732" s="54" t="n">
        <v>0.10361</v>
      </c>
      <c r="F1732" s="54" t="n">
        <v>0.131778</v>
      </c>
      <c r="G1732" t="inlineStr">
        <is>
          <t>calculado</t>
        </is>
      </c>
      <c r="H1732" t="inlineStr">
        <is>
          <t>IEE 5.1127 % con cuota mínima 1 €/MWh (Ley 38/1992 art. 99 (sin medidas vigentes)) + IVA 21 % (Ley 37/1992 art. 90 (sin medidas vigentes))</t>
        </is>
      </c>
      <c r="J1732" t="inlineStr">
        <is>
          <t>2026-02-21</t>
        </is>
      </c>
      <c r="K1732" t="inlineStr">
        <is>
          <t>ESIOS 1001 geo 8741</t>
        </is>
      </c>
      <c r="L1732" t="inlineStr">
        <is>
          <t>24 valores; mín 72.29, máx 187.73 €/MWh</t>
        </is>
      </c>
    </row>
    <row r="1733">
      <c r="A1733" s="53" t="n">
        <v>46076</v>
      </c>
      <c r="B1733" t="inlineStr">
        <is>
          <t>2026-02-23</t>
        </is>
      </c>
      <c r="C1733" s="45" t="n">
        <v>143.3671</v>
      </c>
      <c r="D1733" t="inlineStr">
        <is>
          <t>€/MWh</t>
        </is>
      </c>
      <c r="E1733" s="54" t="n">
        <v>0.143367</v>
      </c>
      <c r="F1733" s="54" t="n">
        <v>0.182343</v>
      </c>
      <c r="G1733" t="inlineStr">
        <is>
          <t>calculado</t>
        </is>
      </c>
      <c r="H1733" t="inlineStr">
        <is>
          <t>IEE 5.1127 % con cuota mínima 1 €/MWh (Ley 38/1992 art. 99 (sin medidas vigentes)) + IVA 21 % (Ley 37/1992 art. 90 (sin medidas vigentes))</t>
        </is>
      </c>
      <c r="J1733" t="inlineStr">
        <is>
          <t>2026-02-22</t>
        </is>
      </c>
      <c r="K1733" t="inlineStr">
        <is>
          <t>ESIOS 1001 geo 8741</t>
        </is>
      </c>
      <c r="L1733" t="inlineStr">
        <is>
          <t>24 valores; mín 75.22, máx 357.53 €/MWh</t>
        </is>
      </c>
    </row>
    <row r="1734">
      <c r="A1734" s="53" t="n">
        <v>46077</v>
      </c>
      <c r="B1734" t="inlineStr">
        <is>
          <t>2026-02-24</t>
        </is>
      </c>
      <c r="C1734" s="45" t="n">
        <v>136.9429</v>
      </c>
      <c r="D1734" t="inlineStr">
        <is>
          <t>€/MWh</t>
        </is>
      </c>
      <c r="E1734" s="54" t="n">
        <v>0.136943</v>
      </c>
      <c r="F1734" s="54" t="n">
        <v>0.174173</v>
      </c>
      <c r="G1734" t="inlineStr">
        <is>
          <t>calculado</t>
        </is>
      </c>
      <c r="H1734" t="inlineStr">
        <is>
          <t>IEE 5.1127 % con cuota mínima 1 €/MWh (Ley 38/1992 art. 99 (sin medidas vigentes)) + IVA 21 % (Ley 37/1992 art. 90 (sin medidas vigentes))</t>
        </is>
      </c>
      <c r="J1734" t="inlineStr">
        <is>
          <t>2026-02-23</t>
        </is>
      </c>
      <c r="K1734" t="inlineStr">
        <is>
          <t>ESIOS 1001 geo 8741</t>
        </is>
      </c>
      <c r="L1734" t="inlineStr">
        <is>
          <t>24 valores; mín 84.52, máx 280.62 €/MWh</t>
        </is>
      </c>
    </row>
    <row r="1735">
      <c r="A1735" s="53" t="n">
        <v>46078</v>
      </c>
      <c r="B1735" t="inlineStr">
        <is>
          <t>2026-02-25</t>
        </is>
      </c>
      <c r="C1735" s="45" t="n">
        <v>143.6575</v>
      </c>
      <c r="D1735" t="inlineStr">
        <is>
          <t>€/MWh</t>
        </is>
      </c>
      <c r="E1735" s="54" t="n">
        <v>0.143657</v>
      </c>
      <c r="F1735" s="54" t="n">
        <v>0.182713</v>
      </c>
      <c r="G1735" t="inlineStr">
        <is>
          <t>calculado</t>
        </is>
      </c>
      <c r="H1735" t="inlineStr">
        <is>
          <t>IEE 5.1127 % con cuota mínima 1 €/MWh (Ley 38/1992 art. 99 (sin medidas vigentes)) + IVA 21 % (Ley 37/1992 art. 90 (sin medidas vigentes))</t>
        </is>
      </c>
      <c r="J1735" t="inlineStr">
        <is>
          <t>2026-02-24</t>
        </is>
      </c>
      <c r="K1735" t="inlineStr">
        <is>
          <t>ESIOS 1001 geo 8741</t>
        </is>
      </c>
      <c r="L1735" t="inlineStr">
        <is>
          <t>24 valores; mín 79.64, máx 297.51 €/MWh</t>
        </is>
      </c>
    </row>
    <row r="1736">
      <c r="A1736" s="53" t="n">
        <v>46079</v>
      </c>
      <c r="B1736" t="inlineStr">
        <is>
          <t>2026-02-26</t>
        </is>
      </c>
      <c r="C1736" s="45" t="n">
        <v>139.37</v>
      </c>
      <c r="D1736" t="inlineStr">
        <is>
          <t>€/MWh</t>
        </is>
      </c>
      <c r="E1736" s="54" t="n">
        <v>0.13937</v>
      </c>
      <c r="F1736" s="54" t="n">
        <v>0.17726</v>
      </c>
      <c r="G1736" t="inlineStr">
        <is>
          <t>calculado</t>
        </is>
      </c>
      <c r="H1736" t="inlineStr">
        <is>
          <t>IEE 5.1127 % con cuota mínima 1 €/MWh (Ley 38/1992 art. 99 (sin medidas vigentes)) + IVA 21 % (Ley 37/1992 art. 90 (sin medidas vigentes))</t>
        </is>
      </c>
      <c r="J1736" t="inlineStr">
        <is>
          <t>2026-02-25</t>
        </is>
      </c>
      <c r="K1736" t="inlineStr">
        <is>
          <t>ESIOS 1001 geo 8741</t>
        </is>
      </c>
      <c r="L1736" t="inlineStr">
        <is>
          <t>24 valores; mín 79.90, máx 288.34 €/MWh</t>
        </is>
      </c>
    </row>
    <row r="1737">
      <c r="A1737" s="53" t="n">
        <v>46080</v>
      </c>
      <c r="B1737" t="inlineStr">
        <is>
          <t>2026-02-27</t>
        </is>
      </c>
      <c r="C1737" s="45" t="n">
        <v>136.9562</v>
      </c>
      <c r="D1737" t="inlineStr">
        <is>
          <t>€/MWh</t>
        </is>
      </c>
      <c r="E1737" s="54" t="n">
        <v>0.136956</v>
      </c>
      <c r="F1737" s="54" t="n">
        <v>0.17419</v>
      </c>
      <c r="G1737" t="inlineStr">
        <is>
          <t>calculado</t>
        </is>
      </c>
      <c r="H1737" t="inlineStr">
        <is>
          <t>IEE 5.1127 % con cuota mínima 1 €/MWh (Ley 38/1992 art. 99 (sin medidas vigentes)) + IVA 21 % (Ley 37/1992 art. 90 (sin medidas vigentes))</t>
        </is>
      </c>
      <c r="J1737" t="inlineStr">
        <is>
          <t>2026-02-26</t>
        </is>
      </c>
      <c r="K1737" t="inlineStr">
        <is>
          <t>ESIOS 1001 geo 8741</t>
        </is>
      </c>
      <c r="L1737" t="inlineStr">
        <is>
          <t>24 valores; mín 81.98, máx 259.58 €/MWh</t>
        </is>
      </c>
    </row>
    <row r="1738">
      <c r="A1738" s="53" t="n">
        <v>46081</v>
      </c>
      <c r="B1738" t="inlineStr">
        <is>
          <t>2026-02-28</t>
        </is>
      </c>
      <c r="C1738" s="45" t="n">
        <v>95.3733</v>
      </c>
      <c r="D1738" t="inlineStr">
        <is>
          <t>€/MWh</t>
        </is>
      </c>
      <c r="E1738" s="54" t="n">
        <v>0.095373</v>
      </c>
      <c r="F1738" s="54" t="n">
        <v>0.121302</v>
      </c>
      <c r="G1738" t="inlineStr">
        <is>
          <t>calculado</t>
        </is>
      </c>
      <c r="H1738" t="inlineStr">
        <is>
          <t>IEE 5.1127 % con cuota mínima 1 €/MWh (Ley 38/1992 art. 99 (sin medidas vigentes)) + IVA 21 % (Ley 37/1992 art. 90 (sin medidas vigentes))</t>
        </is>
      </c>
      <c r="J1738" t="inlineStr">
        <is>
          <t>2026-02-27</t>
        </is>
      </c>
      <c r="K1738" t="inlineStr">
        <is>
          <t>ESIOS 1001 geo 8741</t>
        </is>
      </c>
      <c r="L1738" t="inlineStr">
        <is>
          <t>24 valores; mín 73.79, máx 167.94 €/MWh</t>
        </is>
      </c>
    </row>
    <row r="1739">
      <c r="A1739" s="53" t="n">
        <v>46082</v>
      </c>
      <c r="B1739" t="inlineStr">
        <is>
          <t>2026-03-01</t>
        </is>
      </c>
      <c r="C1739" s="45" t="n">
        <v>96.1121</v>
      </c>
      <c r="D1739" t="inlineStr">
        <is>
          <t>€/MWh</t>
        </is>
      </c>
      <c r="E1739" s="54" t="n">
        <v>0.096112</v>
      </c>
      <c r="F1739" s="54" t="n">
        <v>0.122241</v>
      </c>
      <c r="G1739" t="inlineStr">
        <is>
          <t>calculado</t>
        </is>
      </c>
      <c r="H1739" t="inlineStr">
        <is>
          <t>IEE 5.1127 % con cuota mínima 1 €/MWh (Ley 38/1992 art. 99 (sin medidas vigentes)) + IVA 21 % (Ley 37/1992 art. 90 (sin medidas vigentes))</t>
        </is>
      </c>
      <c r="J1739" t="inlineStr">
        <is>
          <t>2026-02-28</t>
        </is>
      </c>
      <c r="K1739" t="inlineStr">
        <is>
          <t>ESIOS 1001 geo 8741</t>
        </is>
      </c>
      <c r="L1739" t="inlineStr">
        <is>
          <t>24 valores; mín 75.35, máx 128.27 €/MWh</t>
        </is>
      </c>
    </row>
    <row r="1740">
      <c r="A1740" s="53" t="n">
        <v>46083</v>
      </c>
      <c r="B1740" t="inlineStr">
        <is>
          <t>2026-03-02</t>
        </is>
      </c>
      <c r="C1740" s="45" t="n">
        <v>138.8212</v>
      </c>
      <c r="D1740" t="inlineStr">
        <is>
          <t>€/MWh</t>
        </is>
      </c>
      <c r="E1740" s="54" t="n">
        <v>0.138821</v>
      </c>
      <c r="F1740" s="54" t="n">
        <v>0.176562</v>
      </c>
      <c r="G1740" t="inlineStr">
        <is>
          <t>calculado</t>
        </is>
      </c>
      <c r="H1740" t="inlineStr">
        <is>
          <t>IEE 5.1127 % con cuota mínima 1 €/MWh (Ley 38/1992 art. 99 (sin medidas vigentes)) + IVA 21 % (Ley 37/1992 art. 90 (sin medidas vigentes))</t>
        </is>
      </c>
      <c r="J1740" t="inlineStr">
        <is>
          <t>2026-03-01</t>
        </is>
      </c>
      <c r="K1740" t="inlineStr">
        <is>
          <t>ESIOS 1001 geo 8741</t>
        </is>
      </c>
      <c r="L1740" t="inlineStr">
        <is>
          <t>24 valores; mín 88.71, máx 269.20 €/MWh</t>
        </is>
      </c>
    </row>
    <row r="1741">
      <c r="A1741" s="53" t="n">
        <v>46084</v>
      </c>
      <c r="B1741" t="inlineStr">
        <is>
          <t>2026-03-03</t>
        </is>
      </c>
      <c r="C1741" s="45" t="n">
        <v>143.485</v>
      </c>
      <c r="D1741" t="inlineStr">
        <is>
          <t>€/MWh</t>
        </is>
      </c>
      <c r="E1741" s="54" t="n">
        <v>0.143485</v>
      </c>
      <c r="F1741" s="54" t="n">
        <v>0.182493</v>
      </c>
      <c r="G1741" t="inlineStr">
        <is>
          <t>calculado</t>
        </is>
      </c>
      <c r="H1741" t="inlineStr">
        <is>
          <t>IEE 5.1127 % con cuota mínima 1 €/MWh (Ley 38/1992 art. 99 (sin medidas vigentes)) + IVA 21 % (Ley 37/1992 art. 90 (sin medidas vigentes))</t>
        </is>
      </c>
      <c r="J1741" t="inlineStr">
        <is>
          <t>2026-03-02</t>
        </is>
      </c>
      <c r="K1741" t="inlineStr">
        <is>
          <t>ESIOS 1001 geo 8741</t>
        </is>
      </c>
      <c r="L1741" t="inlineStr">
        <is>
          <t>24 valores; mín 91.21, máx 278.88 €/MWh</t>
        </is>
      </c>
    </row>
    <row r="1742">
      <c r="A1742" s="53" t="n">
        <v>46085</v>
      </c>
      <c r="B1742" t="inlineStr">
        <is>
          <t>2026-03-04</t>
        </is>
      </c>
      <c r="C1742" s="45" t="n">
        <v>156.4025</v>
      </c>
      <c r="D1742" t="inlineStr">
        <is>
          <t>€/MWh</t>
        </is>
      </c>
      <c r="E1742" s="54" t="n">
        <v>0.156402</v>
      </c>
      <c r="F1742" s="54" t="n">
        <v>0.198923</v>
      </c>
      <c r="G1742" t="inlineStr">
        <is>
          <t>calculado</t>
        </is>
      </c>
      <c r="H1742" t="inlineStr">
        <is>
          <t>IEE 5.1127 % con cuota mínima 1 €/MWh (Ley 38/1992 art. 99 (sin medidas vigentes)) + IVA 21 % (Ley 37/1992 art. 90 (sin medidas vigentes))</t>
        </is>
      </c>
      <c r="J1742" t="inlineStr">
        <is>
          <t>2026-03-03</t>
        </is>
      </c>
      <c r="K1742" t="inlineStr">
        <is>
          <t>ESIOS 1001 geo 8741</t>
        </is>
      </c>
      <c r="L1742" t="inlineStr">
        <is>
          <t>24 valores; mín 82.69, máx 356.14 €/MWh</t>
        </is>
      </c>
    </row>
    <row r="1743">
      <c r="A1743" s="53" t="n">
        <v>46086</v>
      </c>
      <c r="B1743" t="inlineStr">
        <is>
          <t>2026-03-05</t>
        </is>
      </c>
      <c r="C1743" s="45" t="n">
        <v>174.7517</v>
      </c>
      <c r="D1743" t="inlineStr">
        <is>
          <t>€/MWh</t>
        </is>
      </c>
      <c r="E1743" s="54" t="n">
        <v>0.174752</v>
      </c>
      <c r="F1743" s="54" t="n">
        <v>0.22226</v>
      </c>
      <c r="G1743" t="inlineStr">
        <is>
          <t>calculado</t>
        </is>
      </c>
      <c r="H1743" t="inlineStr">
        <is>
          <t>IEE 5.1127 % con cuota mínima 1 €/MWh (Ley 38/1992 art. 99 (sin medidas vigentes)) + IVA 21 % (Ley 37/1992 art. 90 (sin medidas vigentes))</t>
        </is>
      </c>
      <c r="J1743" t="inlineStr">
        <is>
          <t>2026-03-04</t>
        </is>
      </c>
      <c r="K1743" t="inlineStr">
        <is>
          <t>ESIOS 1001 geo 8741</t>
        </is>
      </c>
      <c r="L1743" t="inlineStr">
        <is>
          <t>24 valores; mín 94.33, máx 328.88 €/MWh</t>
        </is>
      </c>
    </row>
    <row r="1744">
      <c r="A1744" s="53" t="n">
        <v>46087</v>
      </c>
      <c r="B1744" t="inlineStr">
        <is>
          <t>2026-03-06</t>
        </is>
      </c>
      <c r="C1744" s="45" t="n">
        <v>156.8983</v>
      </c>
      <c r="D1744" t="inlineStr">
        <is>
          <t>€/MWh</t>
        </is>
      </c>
      <c r="E1744" s="54" t="n">
        <v>0.156898</v>
      </c>
      <c r="F1744" s="54" t="n">
        <v>0.199553</v>
      </c>
      <c r="G1744" t="inlineStr">
        <is>
          <t>calculado</t>
        </is>
      </c>
      <c r="H1744" t="inlineStr">
        <is>
          <t>IEE 5.1127 % con cuota mínima 1 €/MWh (Ley 38/1992 art. 99 (sin medidas vigentes)) + IVA 21 % (Ley 37/1992 art. 90 (sin medidas vigentes))</t>
        </is>
      </c>
      <c r="J1744" t="inlineStr">
        <is>
          <t>2026-03-05</t>
        </is>
      </c>
      <c r="K1744" t="inlineStr">
        <is>
          <t>ESIOS 1001 geo 8741</t>
        </is>
      </c>
      <c r="L1744" t="inlineStr">
        <is>
          <t>24 valores; mín 80.03, máx 268.58 €/MWh</t>
        </is>
      </c>
    </row>
    <row r="1745">
      <c r="A1745" s="53" t="n">
        <v>46088</v>
      </c>
      <c r="B1745" t="inlineStr">
        <is>
          <t>2026-03-07</t>
        </is>
      </c>
      <c r="C1745" s="45" t="n">
        <v>118.1092</v>
      </c>
      <c r="D1745" t="inlineStr">
        <is>
          <t>€/MWh</t>
        </is>
      </c>
      <c r="E1745" s="54" t="n">
        <v>0.118109</v>
      </c>
      <c r="F1745" s="54" t="n">
        <v>0.150219</v>
      </c>
      <c r="G1745" t="inlineStr">
        <is>
          <t>calculado</t>
        </is>
      </c>
      <c r="H1745" t="inlineStr">
        <is>
          <t>IEE 5.1127 % con cuota mínima 1 €/MWh (Ley 38/1992 art. 99 (sin medidas vigentes)) + IVA 21 % (Ley 37/1992 art. 90 (sin medidas vigentes))</t>
        </is>
      </c>
      <c r="J1745" t="inlineStr">
        <is>
          <t>2026-03-06</t>
        </is>
      </c>
      <c r="K1745" t="inlineStr">
        <is>
          <t>ESIOS 1001 geo 8741</t>
        </is>
      </c>
      <c r="L1745" t="inlineStr">
        <is>
          <t>24 valores; mín 42.10, máx 232.43 €/MWh</t>
        </is>
      </c>
    </row>
    <row r="1746">
      <c r="A1746" s="53" t="n">
        <v>46089</v>
      </c>
      <c r="B1746" t="inlineStr">
        <is>
          <t>2026-03-08</t>
        </is>
      </c>
      <c r="C1746" s="45" t="n">
        <v>135.2892</v>
      </c>
      <c r="D1746" t="inlineStr">
        <is>
          <t>€/MWh</t>
        </is>
      </c>
      <c r="E1746" s="54" t="n">
        <v>0.135289</v>
      </c>
      <c r="F1746" s="54" t="n">
        <v>0.172069</v>
      </c>
      <c r="G1746" t="inlineStr">
        <is>
          <t>calculado</t>
        </is>
      </c>
      <c r="H1746" t="inlineStr">
        <is>
          <t>IEE 5.1127 % con cuota mínima 1 €/MWh (Ley 38/1992 art. 99 (sin medidas vigentes)) + IVA 21 % (Ley 37/1992 art. 90 (sin medidas vigentes))</t>
        </is>
      </c>
      <c r="J1746" t="inlineStr">
        <is>
          <t>2026-03-07</t>
        </is>
      </c>
      <c r="K1746" t="inlineStr">
        <is>
          <t>ESIOS 1001 geo 8741</t>
        </is>
      </c>
      <c r="L1746" t="inlineStr">
        <is>
          <t>24 valores; mín 46.32, máx 251.50 €/MWh</t>
        </is>
      </c>
    </row>
    <row r="1747">
      <c r="A1747" s="53" t="n">
        <v>46090</v>
      </c>
      <c r="B1747" t="inlineStr">
        <is>
          <t>2026-03-09</t>
        </is>
      </c>
      <c r="C1747" s="45" t="n">
        <v>197.5342</v>
      </c>
      <c r="D1747" t="inlineStr">
        <is>
          <t>€/MWh</t>
        </is>
      </c>
      <c r="E1747" s="54" t="n">
        <v>0.197534</v>
      </c>
      <c r="F1747" s="54" t="n">
        <v>0.251237</v>
      </c>
      <c r="G1747" t="inlineStr">
        <is>
          <t>calculado</t>
        </is>
      </c>
      <c r="H1747" t="inlineStr">
        <is>
          <t>IEE 5.1127 % con cuota mínima 1 €/MWh (Ley 38/1992 art. 99 (sin medidas vigentes)) + IVA 21 % (Ley 37/1992 art. 90 (sin medidas vigentes))</t>
        </is>
      </c>
      <c r="J1747" t="inlineStr">
        <is>
          <t>2026-03-08</t>
        </is>
      </c>
      <c r="K1747" t="inlineStr">
        <is>
          <t>ESIOS 1001 geo 8741</t>
        </is>
      </c>
      <c r="L1747" t="inlineStr">
        <is>
          <t>24 valores; mín 115.48, máx 359.63 €/MWh</t>
        </is>
      </c>
    </row>
    <row r="1748">
      <c r="A1748" s="53" t="n">
        <v>46091</v>
      </c>
      <c r="B1748" t="inlineStr">
        <is>
          <t>2026-03-10</t>
        </is>
      </c>
      <c r="C1748" s="45" t="n">
        <v>202.7033</v>
      </c>
      <c r="D1748" t="inlineStr">
        <is>
          <t>€/MWh</t>
        </is>
      </c>
      <c r="E1748" s="54" t="n">
        <v>0.202703</v>
      </c>
      <c r="F1748" s="54" t="n">
        <v>0.257811</v>
      </c>
      <c r="G1748" t="inlineStr">
        <is>
          <t>calculado</t>
        </is>
      </c>
      <c r="H1748" t="inlineStr">
        <is>
          <t>IEE 5.1127 % con cuota mínima 1 €/MWh (Ley 38/1992 art. 99 (sin medidas vigentes)) + IVA 21 % (Ley 37/1992 art. 90 (sin medidas vigentes))</t>
        </is>
      </c>
      <c r="J1748" t="inlineStr">
        <is>
          <t>2026-03-09</t>
        </is>
      </c>
      <c r="K1748" t="inlineStr">
        <is>
          <t>ESIOS 1001 geo 8741</t>
        </is>
      </c>
      <c r="L1748" t="inlineStr">
        <is>
          <t>24 valores; mín 120.84, máx 394.27 €/MWh</t>
        </is>
      </c>
    </row>
    <row r="1749">
      <c r="A1749" s="53" t="n">
        <v>46092</v>
      </c>
      <c r="B1749" t="inlineStr">
        <is>
          <t>2026-03-11</t>
        </is>
      </c>
      <c r="C1749" s="45" t="n">
        <v>177.8567</v>
      </c>
      <c r="D1749" t="inlineStr">
        <is>
          <t>€/MWh</t>
        </is>
      </c>
      <c r="E1749" s="54" t="n">
        <v>0.177857</v>
      </c>
      <c r="F1749" s="54" t="n">
        <v>0.226209</v>
      </c>
      <c r="G1749" t="inlineStr">
        <is>
          <t>calculado</t>
        </is>
      </c>
      <c r="H1749" t="inlineStr">
        <is>
          <t>IEE 5.1127 % con cuota mínima 1 €/MWh (Ley 38/1992 art. 99 (sin medidas vigentes)) + IVA 21 % (Ley 37/1992 art. 90 (sin medidas vigentes))</t>
        </is>
      </c>
      <c r="J1749" t="inlineStr">
        <is>
          <t>2026-03-10</t>
        </is>
      </c>
      <c r="K1749" t="inlineStr">
        <is>
          <t>ESIOS 1001 geo 8741</t>
        </is>
      </c>
      <c r="L1749" t="inlineStr">
        <is>
          <t>24 valores; mín 72.50, máx 398.58 €/MWh</t>
        </is>
      </c>
    </row>
    <row r="1750">
      <c r="A1750" s="53" t="n">
        <v>46093</v>
      </c>
      <c r="B1750" t="inlineStr">
        <is>
          <t>2026-03-12</t>
        </is>
      </c>
      <c r="C1750" s="45" t="n">
        <v>160.9387</v>
      </c>
      <c r="D1750" t="inlineStr">
        <is>
          <t>€/MWh</t>
        </is>
      </c>
      <c r="E1750" s="54" t="n">
        <v>0.160939</v>
      </c>
      <c r="F1750" s="54" t="n">
        <v>0.204692</v>
      </c>
      <c r="G1750" t="inlineStr">
        <is>
          <t>calculado</t>
        </is>
      </c>
      <c r="H1750" t="inlineStr">
        <is>
          <t>IEE 5.1127 % con cuota mínima 1 €/MWh (Ley 38/1992 art. 99 (sin medidas vigentes)) + IVA 21 % (Ley 37/1992 art. 90 (sin medidas vigentes))</t>
        </is>
      </c>
      <c r="J1750" t="inlineStr">
        <is>
          <t>2026-03-11</t>
        </is>
      </c>
      <c r="K1750" t="inlineStr">
        <is>
          <t>ESIOS 1001 geo 8741</t>
        </is>
      </c>
      <c r="L1750" t="inlineStr">
        <is>
          <t>24 valores; mín 55.81, máx 339.45 €/MWh</t>
        </is>
      </c>
    </row>
    <row r="1751">
      <c r="A1751" s="53" t="n">
        <v>46094</v>
      </c>
      <c r="B1751" t="inlineStr">
        <is>
          <t>2026-03-13</t>
        </is>
      </c>
      <c r="C1751" s="45" t="n">
        <v>142.2204</v>
      </c>
      <c r="D1751" t="inlineStr">
        <is>
          <t>€/MWh</t>
        </is>
      </c>
      <c r="E1751" s="54" t="n">
        <v>0.14222</v>
      </c>
      <c r="F1751" s="54" t="n">
        <v>0.180885</v>
      </c>
      <c r="G1751" t="inlineStr">
        <is>
          <t>calculado</t>
        </is>
      </c>
      <c r="H1751" t="inlineStr">
        <is>
          <t>IEE 5.1127 % con cuota mínima 1 €/MWh (Ley 38/1992 art. 99 (sin medidas vigentes)) + IVA 21 % (Ley 37/1992 art. 90 (sin medidas vigentes))</t>
        </is>
      </c>
      <c r="J1751" t="inlineStr">
        <is>
          <t>2026-03-12</t>
        </is>
      </c>
      <c r="K1751" t="inlineStr">
        <is>
          <t>ESIOS 1001 geo 8741</t>
        </is>
      </c>
      <c r="L1751" t="inlineStr">
        <is>
          <t>24 valores; mín 76.55, máx 271.61 €/MWh</t>
        </is>
      </c>
    </row>
    <row r="1752">
      <c r="A1752" s="53" t="n">
        <v>46095</v>
      </c>
      <c r="B1752" t="inlineStr">
        <is>
          <t>2026-03-14</t>
        </is>
      </c>
      <c r="C1752" s="45" t="n">
        <v>89.20829999999999</v>
      </c>
      <c r="D1752" t="inlineStr">
        <is>
          <t>€/MWh</t>
        </is>
      </c>
      <c r="E1752" s="54" t="n">
        <v>0.089208</v>
      </c>
      <c r="F1752" s="54" t="n">
        <v>0.113461</v>
      </c>
      <c r="G1752" t="inlineStr">
        <is>
          <t>calculado</t>
        </is>
      </c>
      <c r="H1752" t="inlineStr">
        <is>
          <t>IEE 5.1127 % con cuota mínima 1 €/MWh (Ley 38/1992 art. 99 (sin medidas vigentes)) + IVA 21 % (Ley 37/1992 art. 90 (sin medidas vigentes))</t>
        </is>
      </c>
      <c r="J1752" t="inlineStr">
        <is>
          <t>2026-03-13</t>
        </is>
      </c>
      <c r="K1752" t="inlineStr">
        <is>
          <t>ESIOS 1001 geo 8741</t>
        </is>
      </c>
      <c r="L1752" t="inlineStr">
        <is>
          <t>24 valores; mín 69.84, máx 137.38 €/MWh</t>
        </is>
      </c>
    </row>
    <row r="1753">
      <c r="A1753" s="53" t="n">
        <v>46096</v>
      </c>
      <c r="B1753" t="inlineStr">
        <is>
          <t>2026-03-15</t>
        </is>
      </c>
      <c r="C1753" s="45" t="n">
        <v>97.5004</v>
      </c>
      <c r="D1753" t="inlineStr">
        <is>
          <t>€/MWh</t>
        </is>
      </c>
      <c r="E1753" s="54" t="n">
        <v>0.0975</v>
      </c>
      <c r="F1753" s="54" t="n">
        <v>0.124007</v>
      </c>
      <c r="G1753" t="inlineStr">
        <is>
          <t>calculado</t>
        </is>
      </c>
      <c r="H1753" t="inlineStr">
        <is>
          <t>IEE 5.1127 % con cuota mínima 1 €/MWh (Ley 38/1992 art. 99 (sin medidas vigentes)) + IVA 21 % (Ley 37/1992 art. 90 (sin medidas vigentes))</t>
        </is>
      </c>
      <c r="J1753" t="inlineStr">
        <is>
          <t>2026-03-14</t>
        </is>
      </c>
      <c r="K1753" t="inlineStr">
        <is>
          <t>ESIOS 1001 geo 8741</t>
        </is>
      </c>
      <c r="L1753" t="inlineStr">
        <is>
          <t>24 valores; mín 84.48, máx 135.81 €/MWh</t>
        </is>
      </c>
    </row>
    <row r="1754">
      <c r="A1754" s="53" t="n">
        <v>46097</v>
      </c>
      <c r="B1754" t="inlineStr">
        <is>
          <t>2026-03-16</t>
        </is>
      </c>
      <c r="C1754" s="45" t="n">
        <v>146.4121</v>
      </c>
      <c r="D1754" t="inlineStr">
        <is>
          <t>€/MWh</t>
        </is>
      </c>
      <c r="E1754" s="54" t="n">
        <v>0.146412</v>
      </c>
      <c r="F1754" s="54" t="n">
        <v>0.186216</v>
      </c>
      <c r="G1754" t="inlineStr">
        <is>
          <t>calculado</t>
        </is>
      </c>
      <c r="H1754" t="inlineStr">
        <is>
          <t>IEE 5.1127 % con cuota mínima 1 €/MWh (Ley 38/1992 art. 99 (sin medidas vigentes)) + IVA 21 % (Ley 37/1992 art. 90 (sin medidas vigentes))</t>
        </is>
      </c>
      <c r="J1754" t="inlineStr">
        <is>
          <t>2026-03-15</t>
        </is>
      </c>
      <c r="K1754" t="inlineStr">
        <is>
          <t>ESIOS 1001 geo 8741</t>
        </is>
      </c>
      <c r="L1754" t="inlineStr">
        <is>
          <t>24 valores; mín 74.41, máx 386.30 €/MWh</t>
        </is>
      </c>
    </row>
    <row r="1755">
      <c r="A1755" s="53" t="n">
        <v>46098</v>
      </c>
      <c r="B1755" t="inlineStr">
        <is>
          <t>2026-03-17</t>
        </is>
      </c>
      <c r="C1755" s="45" t="n">
        <v>146.4146</v>
      </c>
      <c r="D1755" t="inlineStr">
        <is>
          <t>€/MWh</t>
        </is>
      </c>
      <c r="E1755" s="54" t="n">
        <v>0.146415</v>
      </c>
      <c r="F1755" s="54" t="n">
        <v>0.186219</v>
      </c>
      <c r="G1755" t="inlineStr">
        <is>
          <t>calculado</t>
        </is>
      </c>
      <c r="H1755" t="inlineStr">
        <is>
          <t>IEE 5.1127 % con cuota mínima 1 €/MWh (Ley 38/1992 art. 99 (sin medidas vigentes)) + IVA 21 % (Ley 37/1992 art. 90 (sin medidas vigentes))</t>
        </is>
      </c>
      <c r="J1755" t="inlineStr">
        <is>
          <t>2026-03-16</t>
        </is>
      </c>
      <c r="K1755" t="inlineStr">
        <is>
          <t>ESIOS 1001 geo 8741</t>
        </is>
      </c>
      <c r="L1755" t="inlineStr">
        <is>
          <t>24 valores; mín 70.35, máx 305.02 €/MWh</t>
        </is>
      </c>
    </row>
    <row r="1756">
      <c r="A1756" s="53" t="n">
        <v>46099</v>
      </c>
      <c r="B1756" t="inlineStr">
        <is>
          <t>2026-03-18</t>
        </is>
      </c>
      <c r="C1756" s="45" t="n">
        <v>136.9588</v>
      </c>
      <c r="D1756" t="inlineStr">
        <is>
          <t>€/MWh</t>
        </is>
      </c>
      <c r="E1756" s="54" t="n">
        <v>0.136959</v>
      </c>
      <c r="F1756" s="54" t="n">
        <v>0.174193</v>
      </c>
      <c r="G1756" t="inlineStr">
        <is>
          <t>calculado</t>
        </is>
      </c>
      <c r="H1756" t="inlineStr">
        <is>
          <t>IEE 5.1127 % con cuota mínima 1 €/MWh (Ley 38/1992 art. 99 (sin medidas vigentes)) + IVA 21 % (Ley 37/1992 art. 90 (sin medidas vigentes))</t>
        </is>
      </c>
      <c r="J1756" t="inlineStr">
        <is>
          <t>2026-03-17</t>
        </is>
      </c>
      <c r="K1756" t="inlineStr">
        <is>
          <t>ESIOS 1001 geo 8741</t>
        </is>
      </c>
      <c r="L1756" t="inlineStr">
        <is>
          <t>24 valores; mín 82.80, máx 255.21 €/MWh</t>
        </is>
      </c>
    </row>
    <row r="1757">
      <c r="A1757" s="53" t="n">
        <v>46100</v>
      </c>
      <c r="B1757" t="inlineStr">
        <is>
          <t>2026-03-19</t>
        </is>
      </c>
      <c r="C1757" s="45" t="n">
        <v>139.8558</v>
      </c>
      <c r="D1757" t="inlineStr">
        <is>
          <t>€/MWh</t>
        </is>
      </c>
      <c r="E1757" s="54" t="n">
        <v>0.139856</v>
      </c>
      <c r="F1757" s="54" t="n">
        <v>0.177878</v>
      </c>
      <c r="G1757" t="inlineStr">
        <is>
          <t>calculado</t>
        </is>
      </c>
      <c r="H1757" t="inlineStr">
        <is>
          <t>IEE 5.1127 % con cuota mínima 1 €/MWh (Ley 38/1992 art. 99 (sin medidas vigentes)) + IVA 21 % (Ley 37/1992 art. 90 (sin medidas vigentes))</t>
        </is>
      </c>
      <c r="J1757" t="inlineStr">
        <is>
          <t>2026-03-18</t>
        </is>
      </c>
      <c r="K1757" t="inlineStr">
        <is>
          <t>ESIOS 1001 geo 8741</t>
        </is>
      </c>
      <c r="L1757" t="inlineStr">
        <is>
          <t>24 valores; mín 90.78, máx 263.80 €/MWh</t>
        </is>
      </c>
    </row>
    <row r="1758">
      <c r="A1758" s="53" t="n">
        <v>46101</v>
      </c>
      <c r="B1758" t="inlineStr">
        <is>
          <t>2026-03-20</t>
        </is>
      </c>
      <c r="C1758" s="45" t="n">
        <v>146.1425</v>
      </c>
      <c r="D1758" t="inlineStr">
        <is>
          <t>€/MWh</t>
        </is>
      </c>
      <c r="E1758" s="54" t="n">
        <v>0.146143</v>
      </c>
      <c r="F1758" s="54" t="n">
        <v>0.185873</v>
      </c>
      <c r="G1758" t="inlineStr">
        <is>
          <t>calculado</t>
        </is>
      </c>
      <c r="H1758" t="inlineStr">
        <is>
          <t>IEE 5.1127 % con cuota mínima 1 €/MWh (Ley 38/1992 art. 99 (sin medidas vigentes)) + IVA 21 % (Ley 37/1992 art. 90 (sin medidas vigentes))</t>
        </is>
      </c>
      <c r="J1758" t="inlineStr">
        <is>
          <t>2026-03-19</t>
        </is>
      </c>
      <c r="K1758" t="inlineStr">
        <is>
          <t>ESIOS 1001 geo 8741</t>
        </is>
      </c>
      <c r="L1758" t="inlineStr">
        <is>
          <t>24 valores; mín 79.26, máx 280.96 €/MWh</t>
        </is>
      </c>
    </row>
    <row r="1759">
      <c r="A1759" s="53" t="n">
        <v>46102</v>
      </c>
      <c r="B1759" t="inlineStr">
        <is>
          <t>2026-03-21</t>
        </is>
      </c>
      <c r="C1759" s="45" t="n">
        <v>106.3696</v>
      </c>
      <c r="D1759" t="inlineStr">
        <is>
          <t>€/MWh</t>
        </is>
      </c>
      <c r="E1759" s="54" t="n">
        <v>0.10637</v>
      </c>
      <c r="F1759" s="54" t="n">
        <v>0.135288</v>
      </c>
      <c r="G1759" t="inlineStr">
        <is>
          <t>calculado</t>
        </is>
      </c>
      <c r="H1759" t="inlineStr">
        <is>
          <t>IEE 5.1127 % con cuota mínima 1 €/MWh (Ley 38/1992 art. 99 (sin medidas vigentes)) + IVA 21 % (Ley 37/1992 art. 90 (sin medidas vigentes))</t>
        </is>
      </c>
      <c r="J1759" t="inlineStr">
        <is>
          <t>2026-03-20</t>
        </is>
      </c>
      <c r="K1759" t="inlineStr">
        <is>
          <t>ESIOS 1001 geo 8741</t>
        </is>
      </c>
      <c r="L1759" t="inlineStr">
        <is>
          <t>24 valores; mín 57.65, máx 185.35 €/MWh</t>
        </is>
      </c>
    </row>
    <row r="1760">
      <c r="A1760" s="53" t="n">
        <v>46103</v>
      </c>
      <c r="B1760" t="inlineStr">
        <is>
          <t>2026-03-22</t>
        </is>
      </c>
      <c r="C1760" s="45" t="n">
        <v>108.0904</v>
      </c>
      <c r="D1760" t="inlineStr">
        <is>
          <t>€/MWh</t>
        </is>
      </c>
      <c r="E1760" s="54" t="n">
        <v>0.10809</v>
      </c>
      <c r="F1760" s="54" t="n">
        <v>0.119999</v>
      </c>
      <c r="G1760" t="inlineStr">
        <is>
          <t>calculado</t>
        </is>
      </c>
      <c r="H1760" t="inlineStr">
        <is>
          <t>IEE 0.5 % con cuota mínima 1 €/MWh (RDL 7/2026 art. 40.Uno) + IVA 10 % (RDL 7/2026 art. 42 (IVA electricidad 10 % hasta 30/06/2026))</t>
        </is>
      </c>
      <c r="J1760" t="inlineStr">
        <is>
          <t>2026-03-21</t>
        </is>
      </c>
      <c r="K1760" t="inlineStr">
        <is>
          <t>ESIOS 1001 geo 8741</t>
        </is>
      </c>
      <c r="L1760" t="inlineStr">
        <is>
          <t>24 valores; mín 64.27, máx 160.12 €/MWh</t>
        </is>
      </c>
    </row>
    <row r="1761">
      <c r="A1761" s="53" t="n">
        <v>46104</v>
      </c>
      <c r="B1761" t="inlineStr">
        <is>
          <t>2026-03-23</t>
        </is>
      </c>
      <c r="C1761" s="45" t="n">
        <v>148.9783</v>
      </c>
      <c r="D1761" t="inlineStr">
        <is>
          <t>€/MWh</t>
        </is>
      </c>
      <c r="E1761" s="54" t="n">
        <v>0.148978</v>
      </c>
      <c r="F1761" s="54" t="n">
        <v>0.164976</v>
      </c>
      <c r="G1761" t="inlineStr">
        <is>
          <t>calculado</t>
        </is>
      </c>
      <c r="H1761" t="inlineStr">
        <is>
          <t>IEE 0.5 % con cuota mínima 1 €/MWh (RDL 7/2026 art. 40.Uno) + IVA 10 % (RDL 7/2026 art. 42 (IVA electricidad 10 % hasta 30/06/2026))</t>
        </is>
      </c>
      <c r="J1761" t="inlineStr">
        <is>
          <t>2026-03-22</t>
        </is>
      </c>
      <c r="K1761" t="inlineStr">
        <is>
          <t>ESIOS 1001 geo 8741</t>
        </is>
      </c>
      <c r="L1761" t="inlineStr">
        <is>
          <t>24 valores; mín 85.73, máx 332.63 €/MWh</t>
        </is>
      </c>
    </row>
    <row r="1762">
      <c r="A1762" s="53" t="n">
        <v>46105</v>
      </c>
      <c r="B1762" t="inlineStr">
        <is>
          <t>2026-03-24</t>
        </is>
      </c>
      <c r="C1762" s="45" t="n">
        <v>153.8679</v>
      </c>
      <c r="D1762" t="inlineStr">
        <is>
          <t>€/MWh</t>
        </is>
      </c>
      <c r="E1762" s="54" t="n">
        <v>0.153868</v>
      </c>
      <c r="F1762" s="54" t="n">
        <v>0.170355</v>
      </c>
      <c r="G1762" t="inlineStr">
        <is>
          <t>calculado</t>
        </is>
      </c>
      <c r="H1762" t="inlineStr">
        <is>
          <t>IEE 0.5 % con cuota mínima 1 €/MWh (RDL 7/2026 art. 40.Uno) + IVA 10 % (RDL 7/2026 art. 42 (IVA electricidad 10 % hasta 30/06/2026))</t>
        </is>
      </c>
      <c r="J1762" t="inlineStr">
        <is>
          <t>2026-03-23</t>
        </is>
      </c>
      <c r="K1762" t="inlineStr">
        <is>
          <t>ESIOS 1001 geo 8741</t>
        </is>
      </c>
      <c r="L1762" t="inlineStr">
        <is>
          <t>24 valores; mín 70.25, máx 331.51 €/MWh</t>
        </is>
      </c>
    </row>
    <row r="1763">
      <c r="A1763" s="53" t="n">
        <v>46106</v>
      </c>
      <c r="B1763" t="inlineStr">
        <is>
          <t>2026-03-25</t>
        </is>
      </c>
      <c r="C1763" s="45" t="n">
        <v>138.2592</v>
      </c>
      <c r="D1763" t="inlineStr">
        <is>
          <t>€/MWh</t>
        </is>
      </c>
      <c r="E1763" s="54" t="n">
        <v>0.138259</v>
      </c>
      <c r="F1763" s="54" t="n">
        <v>0.153185</v>
      </c>
      <c r="G1763" t="inlineStr">
        <is>
          <t>calculado</t>
        </is>
      </c>
      <c r="H1763" t="inlineStr">
        <is>
          <t>IEE 0.5 % con cuota mínima 1 €/MWh (RDL 7/2026 art. 40.Uno) + IVA 10 % (RDL 7/2026 art. 42 (IVA electricidad 10 % hasta 30/06/2026))</t>
        </is>
      </c>
      <c r="J1763" t="inlineStr">
        <is>
          <t>2026-03-24</t>
        </is>
      </c>
      <c r="K1763" t="inlineStr">
        <is>
          <t>ESIOS 1001 geo 8741</t>
        </is>
      </c>
      <c r="L1763" t="inlineStr">
        <is>
          <t>24 valores; mín 98.98, máx 214.26 €/MWh</t>
        </is>
      </c>
    </row>
    <row r="1764">
      <c r="A1764" s="53" t="n">
        <v>46107</v>
      </c>
      <c r="B1764" t="inlineStr">
        <is>
          <t>2026-03-26</t>
        </is>
      </c>
      <c r="C1764" s="45" t="n">
        <v>128.8</v>
      </c>
      <c r="D1764" t="inlineStr">
        <is>
          <t>€/MWh</t>
        </is>
      </c>
      <c r="E1764" s="54" t="n">
        <v>0.1288</v>
      </c>
      <c r="F1764" s="54" t="n">
        <v>0.14278</v>
      </c>
      <c r="G1764" t="inlineStr">
        <is>
          <t>calculado</t>
        </is>
      </c>
      <c r="H1764" t="inlineStr">
        <is>
          <t>IEE 0.5 % con cuota mínima 1 €/MWh (RDL 7/2026 art. 40.Uno) + IVA 10 % (RDL 7/2026 art. 42 (IVA electricidad 10 % hasta 30/06/2026))</t>
        </is>
      </c>
      <c r="J1764" t="inlineStr">
        <is>
          <t>2026-03-25</t>
        </is>
      </c>
      <c r="K1764" t="inlineStr">
        <is>
          <t>ESIOS 1001 geo 8741</t>
        </is>
      </c>
      <c r="L1764" t="inlineStr">
        <is>
          <t>24 valores; mín 79.81, máx 214.25 €/MWh</t>
        </is>
      </c>
    </row>
    <row r="1765">
      <c r="A1765" s="53" t="n">
        <v>46108</v>
      </c>
      <c r="B1765" t="inlineStr">
        <is>
          <t>2026-03-27</t>
        </is>
      </c>
      <c r="C1765" s="45" t="n">
        <v>132.2433</v>
      </c>
      <c r="D1765" t="inlineStr">
        <is>
          <t>€/MWh</t>
        </is>
      </c>
      <c r="E1765" s="54" t="n">
        <v>0.132243</v>
      </c>
      <c r="F1765" s="54" t="n">
        <v>0.146568</v>
      </c>
      <c r="G1765" t="inlineStr">
        <is>
          <t>calculado</t>
        </is>
      </c>
      <c r="H1765" t="inlineStr">
        <is>
          <t>IEE 0.5 % con cuota mínima 1 €/MWh (RDL 7/2026 art. 40.Uno) + IVA 10 % (RDL 7/2026 art. 42 (IVA electricidad 10 % hasta 30/06/2026))</t>
        </is>
      </c>
      <c r="J1765" t="inlineStr">
        <is>
          <t>2026-03-26</t>
        </is>
      </c>
      <c r="K1765" t="inlineStr">
        <is>
          <t>ESIOS 1001 geo 8741</t>
        </is>
      </c>
      <c r="L1765" t="inlineStr">
        <is>
          <t>24 valores; mín 78.58, máx 247.62 €/MWh</t>
        </is>
      </c>
    </row>
    <row r="1766">
      <c r="A1766" s="53" t="n">
        <v>46109</v>
      </c>
      <c r="B1766" t="inlineStr">
        <is>
          <t>2026-03-28</t>
        </is>
      </c>
      <c r="C1766" s="45" t="n">
        <v>89.31959999999999</v>
      </c>
      <c r="D1766" t="inlineStr">
        <is>
          <t>€/MWh</t>
        </is>
      </c>
      <c r="E1766" s="54" t="n">
        <v>0.08932</v>
      </c>
      <c r="F1766" s="54" t="n">
        <v>0.099352</v>
      </c>
      <c r="G1766" t="inlineStr">
        <is>
          <t>calculado</t>
        </is>
      </c>
      <c r="H1766" t="inlineStr">
        <is>
          <t>IEE 0.5 % con cuota mínima 1 €/MWh (RDL 7/2026 art. 40.Uno) + IVA 10 % (RDL 7/2026 art. 42 (IVA electricidad 10 % hasta 30/06/2026))</t>
        </is>
      </c>
      <c r="J1766" t="inlineStr">
        <is>
          <t>2026-03-27</t>
        </is>
      </c>
      <c r="K1766" t="inlineStr">
        <is>
          <t>ESIOS 1001 geo 8741</t>
        </is>
      </c>
      <c r="L1766" t="inlineStr">
        <is>
          <t>24 valores; mín 81.76, máx 98.43 €/MWh</t>
        </is>
      </c>
    </row>
    <row r="1767">
      <c r="A1767" s="53" t="n">
        <v>46110</v>
      </c>
      <c r="B1767" t="inlineStr">
        <is>
          <t>2026-03-29</t>
        </is>
      </c>
      <c r="C1767" s="45" t="n">
        <v>94.3596</v>
      </c>
      <c r="D1767" t="inlineStr">
        <is>
          <t>€/MWh</t>
        </is>
      </c>
      <c r="E1767" s="54" t="n">
        <v>0.09436</v>
      </c>
      <c r="F1767" s="54" t="n">
        <v>0.104896</v>
      </c>
      <c r="G1767" t="inlineStr">
        <is>
          <t>calculado</t>
        </is>
      </c>
      <c r="H1767" t="inlineStr">
        <is>
          <t>IEE 0.5 % con cuota mínima 1 €/MWh (RDL 7/2026 art. 40.Uno) + IVA 10 % (RDL 7/2026 art. 42 (IVA electricidad 10 % hasta 30/06/2026))</t>
        </is>
      </c>
      <c r="J1767" t="inlineStr">
        <is>
          <t>2026-03-28</t>
        </is>
      </c>
      <c r="K1767" t="inlineStr">
        <is>
          <t>ESIOS 1001 geo 8741</t>
        </is>
      </c>
      <c r="L1767" t="inlineStr">
        <is>
          <t>23 valores; mín 84.77, máx 110.25 €/MWh</t>
        </is>
      </c>
    </row>
    <row r="1768">
      <c r="A1768" s="53" t="n">
        <v>46111</v>
      </c>
      <c r="B1768" t="inlineStr">
        <is>
          <t>2026-03-30</t>
        </is>
      </c>
      <c r="C1768" s="45" t="n">
        <v>134.8554</v>
      </c>
      <c r="D1768" t="inlineStr">
        <is>
          <t>€/MWh</t>
        </is>
      </c>
      <c r="E1768" s="54" t="n">
        <v>0.134855</v>
      </c>
      <c r="F1768" s="54" t="n">
        <v>0.149441</v>
      </c>
      <c r="G1768" t="inlineStr">
        <is>
          <t>calculado</t>
        </is>
      </c>
      <c r="H1768" t="inlineStr">
        <is>
          <t>IEE 0.5 % con cuota mínima 1 €/MWh (RDL 7/2026 art. 40.Uno) + IVA 10 % (RDL 7/2026 art. 42 (IVA electricidad 10 % hasta 30/06/2026))</t>
        </is>
      </c>
      <c r="J1768" t="inlineStr">
        <is>
          <t>2026-03-29</t>
        </is>
      </c>
      <c r="K1768" t="inlineStr">
        <is>
          <t>ESIOS 1001 geo 8741</t>
        </is>
      </c>
      <c r="L1768" t="inlineStr">
        <is>
          <t>24 valores; mín 90.48, máx 240.40 €/MWh</t>
        </is>
      </c>
    </row>
    <row r="1769">
      <c r="A1769" s="53" t="n">
        <v>46112</v>
      </c>
      <c r="B1769" t="inlineStr">
        <is>
          <t>2026-03-31</t>
        </is>
      </c>
      <c r="C1769" s="45" t="n">
        <v>134.3767</v>
      </c>
      <c r="D1769" t="inlineStr">
        <is>
          <t>€/MWh</t>
        </is>
      </c>
      <c r="E1769" s="54" t="n">
        <v>0.134377</v>
      </c>
      <c r="F1769" s="54" t="n">
        <v>0.148914</v>
      </c>
      <c r="G1769" t="inlineStr">
        <is>
          <t>calculado</t>
        </is>
      </c>
      <c r="H1769" t="inlineStr">
        <is>
          <t>IEE 0.5 % con cuota mínima 1 €/MWh (RDL 7/2026 art. 40.Uno) + IVA 10 % (RDL 7/2026 art. 42 (IVA electricidad 10 % hasta 30/06/2026))</t>
        </is>
      </c>
      <c r="J1769" t="inlineStr">
        <is>
          <t>2026-03-30</t>
        </is>
      </c>
      <c r="K1769" t="inlineStr">
        <is>
          <t>ESIOS 1001 geo 8741</t>
        </is>
      </c>
      <c r="L1769" t="inlineStr">
        <is>
          <t>24 valores; mín 88.49, máx 223.25 €/MWh</t>
        </is>
      </c>
    </row>
    <row r="1770">
      <c r="A1770" s="53" t="n">
        <v>46113</v>
      </c>
      <c r="B1770" t="inlineStr">
        <is>
          <t>2026-04-01</t>
        </is>
      </c>
      <c r="C1770" s="45" t="n">
        <v>124.6225</v>
      </c>
      <c r="D1770" t="inlineStr">
        <is>
          <t>€/MWh</t>
        </is>
      </c>
      <c r="E1770" s="54" t="n">
        <v>0.124622</v>
      </c>
      <c r="F1770" s="54" t="n">
        <v>0.138185</v>
      </c>
      <c r="G1770" t="inlineStr">
        <is>
          <t>calculado</t>
        </is>
      </c>
      <c r="H1770" t="inlineStr">
        <is>
          <t>IEE 0.5 % con cuota mínima 1 €/MWh (RDL 7/2026 art. 40.Uno) + IVA 10 % (RDL 7/2026 art. 42 (IVA electricidad 10 % hasta 30/06/2026))</t>
        </is>
      </c>
      <c r="J1770" t="inlineStr">
        <is>
          <t>2026-03-31</t>
        </is>
      </c>
      <c r="K1770" t="inlineStr">
        <is>
          <t>ESIOS 1001 geo 8741</t>
        </is>
      </c>
      <c r="L1770" t="inlineStr">
        <is>
          <t>24 valores; mín 79.33, máx 199.92 €/MWh</t>
        </is>
      </c>
    </row>
    <row r="1771">
      <c r="A1771" s="53" t="n">
        <v>46114</v>
      </c>
      <c r="B1771" t="inlineStr">
        <is>
          <t>2026-04-02</t>
        </is>
      </c>
      <c r="C1771" s="45" t="n">
        <v>124.4038</v>
      </c>
      <c r="D1771" t="inlineStr">
        <is>
          <t>€/MWh</t>
        </is>
      </c>
      <c r="E1771" s="54" t="n">
        <v>0.124404</v>
      </c>
      <c r="F1771" s="54" t="n">
        <v>0.137944</v>
      </c>
      <c r="G1771" t="inlineStr">
        <is>
          <t>calculado</t>
        </is>
      </c>
      <c r="H1771" t="inlineStr">
        <is>
          <t>IEE 0.5 % con cuota mínima 1 €/MWh (RDL 7/2026 art. 40.Uno) + IVA 10 % (RDL 7/2026 art. 42 (IVA electricidad 10 % hasta 30/06/2026))</t>
        </is>
      </c>
      <c r="J1771" t="inlineStr">
        <is>
          <t>2026-04-01</t>
        </is>
      </c>
      <c r="K1771" t="inlineStr">
        <is>
          <t>ESIOS 1001 geo 8741</t>
        </is>
      </c>
      <c r="L1771" t="inlineStr">
        <is>
          <t>24 valores; mín 81.32, máx 196.67 €/MWh</t>
        </is>
      </c>
    </row>
    <row r="1772">
      <c r="A1772" s="53" t="n">
        <v>46115</v>
      </c>
      <c r="B1772" t="inlineStr">
        <is>
          <t>2026-04-03</t>
        </is>
      </c>
      <c r="C1772" s="45" t="n">
        <v>135.0633</v>
      </c>
      <c r="D1772" t="inlineStr">
        <is>
          <t>€/MWh</t>
        </is>
      </c>
      <c r="E1772" s="54" t="n">
        <v>0.135063</v>
      </c>
      <c r="F1772" s="54" t="n">
        <v>0.14967</v>
      </c>
      <c r="G1772" t="inlineStr">
        <is>
          <t>calculado</t>
        </is>
      </c>
      <c r="H1772" t="inlineStr">
        <is>
          <t>IEE 0.5 % con cuota mínima 1 €/MWh (RDL 7/2026 art. 40.Uno) + IVA 10 % (RDL 7/2026 art. 42 (IVA electricidad 10 % hasta 30/06/2026))</t>
        </is>
      </c>
      <c r="J1772" t="inlineStr">
        <is>
          <t>2026-04-02</t>
        </is>
      </c>
      <c r="K1772" t="inlineStr">
        <is>
          <t>ESIOS 1001 geo 8741</t>
        </is>
      </c>
      <c r="L1772" t="inlineStr">
        <is>
          <t>24 valores; mín 86.17, máx 254.89 €/MWh</t>
        </is>
      </c>
    </row>
    <row r="1773">
      <c r="A1773" s="53" t="n">
        <v>46116</v>
      </c>
      <c r="B1773" t="inlineStr">
        <is>
          <t>2026-04-04</t>
        </is>
      </c>
      <c r="C1773" s="45" t="n">
        <v>94.9721</v>
      </c>
      <c r="D1773" t="inlineStr">
        <is>
          <t>€/MWh</t>
        </is>
      </c>
      <c r="E1773" s="54" t="n">
        <v>0.094972</v>
      </c>
      <c r="F1773" s="54" t="n">
        <v>0.105569</v>
      </c>
      <c r="G1773" t="inlineStr">
        <is>
          <t>calculado</t>
        </is>
      </c>
      <c r="H1773" t="inlineStr">
        <is>
          <t>IEE 0.5 % con cuota mínima 1 €/MWh (RDL 7/2026 art. 40.Uno) + IVA 10 % (RDL 7/2026 art. 42 (IVA electricidad 10 % hasta 30/06/2026))</t>
        </is>
      </c>
      <c r="J1773" t="inlineStr">
        <is>
          <t>2026-04-03</t>
        </is>
      </c>
      <c r="K1773" t="inlineStr">
        <is>
          <t>ESIOS 1001 geo 8741</t>
        </is>
      </c>
      <c r="L1773" t="inlineStr">
        <is>
          <t>24 valores; mín 68.60, máx 150.11 €/MWh</t>
        </is>
      </c>
    </row>
    <row r="1774">
      <c r="A1774" s="53" t="n">
        <v>46117</v>
      </c>
      <c r="B1774" t="inlineStr">
        <is>
          <t>2026-04-05</t>
        </is>
      </c>
      <c r="C1774" s="45" t="n">
        <v>98.8462</v>
      </c>
      <c r="D1774" t="inlineStr">
        <is>
          <t>€/MWh</t>
        </is>
      </c>
      <c r="E1774" s="54" t="n">
        <v>0.098846</v>
      </c>
      <c r="F1774" s="54" t="n">
        <v>0.109831</v>
      </c>
      <c r="G1774" t="inlineStr">
        <is>
          <t>calculado</t>
        </is>
      </c>
      <c r="H1774" t="inlineStr">
        <is>
          <t>IEE 0.5 % con cuota mínima 1 €/MWh (RDL 7/2026 art. 40.Uno) + IVA 10 % (RDL 7/2026 art. 42 (IVA electricidad 10 % hasta 30/06/2026))</t>
        </is>
      </c>
      <c r="J1774" t="inlineStr">
        <is>
          <t>2026-04-04</t>
        </is>
      </c>
      <c r="K1774" t="inlineStr">
        <is>
          <t>ESIOS 1001 geo 8741</t>
        </is>
      </c>
      <c r="L1774" t="inlineStr">
        <is>
          <t>24 valores; mín 64.28, máx 153.64 €/MWh</t>
        </is>
      </c>
    </row>
    <row r="1775">
      <c r="A1775" s="53" t="n">
        <v>46118</v>
      </c>
      <c r="B1775" t="inlineStr">
        <is>
          <t>2026-04-06</t>
        </is>
      </c>
      <c r="C1775" s="45" t="n">
        <v>133.3279</v>
      </c>
      <c r="D1775" t="inlineStr">
        <is>
          <t>€/MWh</t>
        </is>
      </c>
      <c r="E1775" s="54" t="n">
        <v>0.133328</v>
      </c>
      <c r="F1775" s="54" t="n">
        <v>0.147761</v>
      </c>
      <c r="G1775" t="inlineStr">
        <is>
          <t>calculado</t>
        </is>
      </c>
      <c r="H1775" t="inlineStr">
        <is>
          <t>IEE 0.5 % con cuota mínima 1 €/MWh (RDL 7/2026 art. 40.Uno) + IVA 10 % (RDL 7/2026 art. 42 (IVA electricidad 10 % hasta 30/06/2026))</t>
        </is>
      </c>
      <c r="J1775" t="inlineStr">
        <is>
          <t>2026-04-05</t>
        </is>
      </c>
      <c r="K1775" t="inlineStr">
        <is>
          <t>ESIOS 1001 geo 8741</t>
        </is>
      </c>
      <c r="L1775" t="inlineStr">
        <is>
          <t>24 valores; mín 96.60, máx 196.78 €/MWh</t>
        </is>
      </c>
    </row>
    <row r="1776">
      <c r="A1776" s="53" t="n">
        <v>46119</v>
      </c>
      <c r="B1776" t="inlineStr">
        <is>
          <t>2026-04-07</t>
        </is>
      </c>
      <c r="C1776" s="45" t="n">
        <v>134.0879</v>
      </c>
      <c r="D1776" t="inlineStr">
        <is>
          <t>€/MWh</t>
        </is>
      </c>
      <c r="E1776" s="54" t="n">
        <v>0.134088</v>
      </c>
      <c r="F1776" s="54" t="n">
        <v>0.148597</v>
      </c>
      <c r="G1776" t="inlineStr">
        <is>
          <t>calculado</t>
        </is>
      </c>
      <c r="H1776" t="inlineStr">
        <is>
          <t>IEE 0.5 % con cuota mínima 1 €/MWh (RDL 7/2026 art. 40.Uno) + IVA 10 % (RDL 7/2026 art. 42 (IVA electricidad 10 % hasta 30/06/2026))</t>
        </is>
      </c>
      <c r="J1776" t="inlineStr">
        <is>
          <t>2026-04-06</t>
        </is>
      </c>
      <c r="K1776" t="inlineStr">
        <is>
          <t>ESIOS 1001 geo 8741</t>
        </is>
      </c>
      <c r="L1776" t="inlineStr">
        <is>
          <t>24 valores; mín 80.56, máx 293.56 €/MWh</t>
        </is>
      </c>
    </row>
    <row r="1777">
      <c r="A1777" s="53" t="n">
        <v>46120</v>
      </c>
      <c r="B1777" t="inlineStr">
        <is>
          <t>2026-04-08</t>
        </is>
      </c>
      <c r="C1777" s="45" t="n">
        <v>145.1475</v>
      </c>
      <c r="D1777" t="inlineStr">
        <is>
          <t>€/MWh</t>
        </is>
      </c>
      <c r="E1777" s="54" t="n">
        <v>0.145148</v>
      </c>
      <c r="F1777" s="54" t="n">
        <v>0.160762</v>
      </c>
      <c r="G1777" t="inlineStr">
        <is>
          <t>calculado</t>
        </is>
      </c>
      <c r="H1777" t="inlineStr">
        <is>
          <t>IEE 0.5 % con cuota mínima 1 €/MWh (RDL 7/2026 art. 40.Uno) + IVA 10 % (RDL 7/2026 art. 42 (IVA electricidad 10 % hasta 30/06/2026))</t>
        </is>
      </c>
      <c r="J1777" t="inlineStr">
        <is>
          <t>2026-04-07</t>
        </is>
      </c>
      <c r="K1777" t="inlineStr">
        <is>
          <t>ESIOS 1001 geo 8741</t>
        </is>
      </c>
      <c r="L1777" t="inlineStr">
        <is>
          <t>24 valores; mín 55.81, máx 301.20 €/MWh</t>
        </is>
      </c>
    </row>
    <row r="1778">
      <c r="A1778" s="53" t="n">
        <v>46121</v>
      </c>
      <c r="B1778" t="inlineStr">
        <is>
          <t>2026-04-09</t>
        </is>
      </c>
      <c r="C1778" s="45" t="n">
        <v>137.1983</v>
      </c>
      <c r="D1778" t="inlineStr">
        <is>
          <t>€/MWh</t>
        </is>
      </c>
      <c r="E1778" s="54" t="n">
        <v>0.137198</v>
      </c>
      <c r="F1778" s="54" t="n">
        <v>0.152018</v>
      </c>
      <c r="G1778" t="inlineStr">
        <is>
          <t>calculado</t>
        </is>
      </c>
      <c r="H1778" t="inlineStr">
        <is>
          <t>IEE 0.5 % con cuota mínima 1 €/MWh (RDL 7/2026 art. 40.Uno) + IVA 10 % (RDL 7/2026 art. 42 (IVA electricidad 10 % hasta 30/06/2026))</t>
        </is>
      </c>
      <c r="J1778" t="inlineStr">
        <is>
          <t>2026-04-08</t>
        </is>
      </c>
      <c r="K1778" t="inlineStr">
        <is>
          <t>ESIOS 1001 geo 8741</t>
        </is>
      </c>
      <c r="L1778" t="inlineStr">
        <is>
          <t>24 valores; mín 59.77, máx 228.16 €/MWh</t>
        </is>
      </c>
    </row>
    <row r="1779">
      <c r="A1779" s="53" t="n">
        <v>46122</v>
      </c>
      <c r="B1779" t="inlineStr">
        <is>
          <t>2026-04-10</t>
        </is>
      </c>
      <c r="C1779" s="45" t="n">
        <v>136.4192</v>
      </c>
      <c r="D1779" t="inlineStr">
        <is>
          <t>€/MWh</t>
        </is>
      </c>
      <c r="E1779" s="54" t="n">
        <v>0.136419</v>
      </c>
      <c r="F1779" s="54" t="n">
        <v>0.151161</v>
      </c>
      <c r="G1779" t="inlineStr">
        <is>
          <t>calculado</t>
        </is>
      </c>
      <c r="H1779" t="inlineStr">
        <is>
          <t>IEE 0.5 % con cuota mínima 1 €/MWh (RDL 7/2026 art. 40.Uno) + IVA 10 % (RDL 7/2026 art. 42 (IVA electricidad 10 % hasta 30/06/2026))</t>
        </is>
      </c>
      <c r="J1779" t="inlineStr">
        <is>
          <t>2026-04-09</t>
        </is>
      </c>
      <c r="K1779" t="inlineStr">
        <is>
          <t>ESIOS 1001 geo 8741</t>
        </is>
      </c>
      <c r="L1779" t="inlineStr">
        <is>
          <t>24 valores; mín 66.26, máx 274.85 €/MWh</t>
        </is>
      </c>
    </row>
    <row r="1780">
      <c r="A1780" s="53" t="n">
        <v>46123</v>
      </c>
      <c r="B1780" t="inlineStr">
        <is>
          <t>2026-04-11</t>
        </is>
      </c>
      <c r="C1780" s="45" t="n">
        <v>84.5162</v>
      </c>
      <c r="D1780" t="inlineStr">
        <is>
          <t>€/MWh</t>
        </is>
      </c>
      <c r="E1780" s="54" t="n">
        <v>0.08451599999999999</v>
      </c>
      <c r="F1780" s="54" t="n">
        <v>0.094068</v>
      </c>
      <c r="G1780" t="inlineStr">
        <is>
          <t>calculado</t>
        </is>
      </c>
      <c r="H1780" t="inlineStr">
        <is>
          <t>IEE 0.5 % con cuota mínima 1 €/MWh (RDL 7/2026 art. 40.Uno) + IVA 10 % (RDL 7/2026 art. 42 (IVA electricidad 10 % hasta 30/06/2026))</t>
        </is>
      </c>
      <c r="J1780" t="inlineStr">
        <is>
          <t>2026-04-10</t>
        </is>
      </c>
      <c r="K1780" t="inlineStr">
        <is>
          <t>ESIOS 1001 geo 8741</t>
        </is>
      </c>
      <c r="L1780" t="inlineStr">
        <is>
          <t>24 valores; mín 52.62, máx 136.91 €/MWh</t>
        </is>
      </c>
    </row>
    <row r="1781">
      <c r="A1781" s="53" t="n">
        <v>46124</v>
      </c>
      <c r="B1781" t="inlineStr">
        <is>
          <t>2026-04-12</t>
        </is>
      </c>
      <c r="C1781" s="45" t="n">
        <v>84.3192</v>
      </c>
      <c r="D1781" t="inlineStr">
        <is>
          <t>€/MWh</t>
        </is>
      </c>
      <c r="E1781" s="54" t="n">
        <v>0.08431900000000001</v>
      </c>
      <c r="F1781" s="54" t="n">
        <v>0.093851</v>
      </c>
      <c r="G1781" t="inlineStr">
        <is>
          <t>calculado</t>
        </is>
      </c>
      <c r="H1781" t="inlineStr">
        <is>
          <t>IEE 0.5 % con cuota mínima 1 €/MWh (RDL 7/2026 art. 40.Uno) + IVA 10 % (RDL 7/2026 art. 42 (IVA electricidad 10 % hasta 30/06/2026))</t>
        </is>
      </c>
      <c r="J1781" t="inlineStr">
        <is>
          <t>2026-04-11</t>
        </is>
      </c>
      <c r="K1781" t="inlineStr">
        <is>
          <t>ESIOS 1001 geo 8741</t>
        </is>
      </c>
      <c r="L1781" t="inlineStr">
        <is>
          <t>24 valores; mín 71.77, máx 136.69 €/MWh</t>
        </is>
      </c>
    </row>
    <row r="1782">
      <c r="A1782" s="53" t="n">
        <v>46125</v>
      </c>
      <c r="B1782" t="inlineStr">
        <is>
          <t>2026-04-13</t>
        </is>
      </c>
      <c r="C1782" s="45" t="n">
        <v>129.8004</v>
      </c>
      <c r="D1782" t="inlineStr">
        <is>
          <t>€/MWh</t>
        </is>
      </c>
      <c r="E1782" s="54" t="n">
        <v>0.1298</v>
      </c>
      <c r="F1782" s="54" t="n">
        <v>0.14388</v>
      </c>
      <c r="G1782" t="inlineStr">
        <is>
          <t>calculado</t>
        </is>
      </c>
      <c r="H1782" t="inlineStr">
        <is>
          <t>IEE 0.5 % con cuota mínima 1 €/MWh (RDL 7/2026 art. 40.Uno) + IVA 10 % (RDL 7/2026 art. 42 (IVA electricidad 10 % hasta 30/06/2026))</t>
        </is>
      </c>
      <c r="J1782" t="inlineStr">
        <is>
          <t>2026-04-12</t>
        </is>
      </c>
      <c r="K1782" t="inlineStr">
        <is>
          <t>ESIOS 1001 geo 8741</t>
        </is>
      </c>
      <c r="L1782" t="inlineStr">
        <is>
          <t>24 valores; mín 76.54, máx 265.35 €/MWh</t>
        </is>
      </c>
    </row>
    <row r="1783">
      <c r="A1783" s="53" t="n">
        <v>46126</v>
      </c>
      <c r="B1783" t="inlineStr">
        <is>
          <t>2026-04-14</t>
        </is>
      </c>
      <c r="C1783" s="45" t="n">
        <v>133.9467</v>
      </c>
      <c r="D1783" t="inlineStr">
        <is>
          <t>€/MWh</t>
        </is>
      </c>
      <c r="E1783" s="54" t="n">
        <v>0.133947</v>
      </c>
      <c r="F1783" s="54" t="n">
        <v>0.148441</v>
      </c>
      <c r="G1783" t="inlineStr">
        <is>
          <t>calculado</t>
        </is>
      </c>
      <c r="H1783" t="inlineStr">
        <is>
          <t>IEE 0.5 % con cuota mínima 1 €/MWh (RDL 7/2026 art. 40.Uno) + IVA 10 % (RDL 7/2026 art. 42 (IVA electricidad 10 % hasta 30/06/2026))</t>
        </is>
      </c>
      <c r="J1783" t="inlineStr">
        <is>
          <t>2026-04-13</t>
        </is>
      </c>
      <c r="K1783" t="inlineStr">
        <is>
          <t>ESIOS 1001 geo 8741</t>
        </is>
      </c>
      <c r="L1783" t="inlineStr">
        <is>
          <t>24 valores; mín 67.52, máx 272.13 €/MWh</t>
        </is>
      </c>
    </row>
    <row r="1784">
      <c r="A1784" s="53" t="n">
        <v>46127</v>
      </c>
      <c r="B1784" t="inlineStr">
        <is>
          <t>2026-04-15</t>
        </is>
      </c>
      <c r="C1784" s="45" t="n">
        <v>139.6683</v>
      </c>
      <c r="D1784" t="inlineStr">
        <is>
          <t>€/MWh</t>
        </is>
      </c>
      <c r="E1784" s="54" t="n">
        <v>0.139668</v>
      </c>
      <c r="F1784" s="54" t="n">
        <v>0.154735</v>
      </c>
      <c r="G1784" t="inlineStr">
        <is>
          <t>calculado</t>
        </is>
      </c>
      <c r="H1784" t="inlineStr">
        <is>
          <t>IEE 0.5 % con cuota mínima 1 €/MWh (RDL 7/2026 art. 40.Uno) + IVA 10 % (RDL 7/2026 art. 42 (IVA electricidad 10 % hasta 30/06/2026))</t>
        </is>
      </c>
      <c r="J1784" t="inlineStr">
        <is>
          <t>2026-04-14</t>
        </is>
      </c>
      <c r="K1784" t="inlineStr">
        <is>
          <t>ESIOS 1001 geo 8741</t>
        </is>
      </c>
      <c r="L1784" t="inlineStr">
        <is>
          <t>24 valores; mín 52.95, máx 287.12 €/MWh</t>
        </is>
      </c>
    </row>
    <row r="1785">
      <c r="A1785" s="53" t="n">
        <v>46128</v>
      </c>
      <c r="B1785" t="inlineStr">
        <is>
          <t>2026-04-16</t>
        </is>
      </c>
      <c r="C1785" s="45" t="n">
        <v>140.8367</v>
      </c>
      <c r="D1785" t="inlineStr">
        <is>
          <t>€/MWh</t>
        </is>
      </c>
      <c r="E1785" s="54" t="n">
        <v>0.140837</v>
      </c>
      <c r="F1785" s="54" t="n">
        <v>0.15602</v>
      </c>
      <c r="G1785" t="inlineStr">
        <is>
          <t>calculado</t>
        </is>
      </c>
      <c r="H1785" t="inlineStr">
        <is>
          <t>IEE 0.5 % con cuota mínima 1 €/MWh (RDL 7/2026 art. 40.Uno) + IVA 10 % (RDL 7/2026 art. 42 (IVA electricidad 10 % hasta 30/06/2026))</t>
        </is>
      </c>
      <c r="J1785" t="inlineStr">
        <is>
          <t>2026-04-15</t>
        </is>
      </c>
      <c r="K1785" t="inlineStr">
        <is>
          <t>ESIOS 1001 geo 8741</t>
        </is>
      </c>
      <c r="L1785" t="inlineStr">
        <is>
          <t>24 valores; mín 43.27, máx 276.61 €/MWh</t>
        </is>
      </c>
    </row>
    <row r="1786">
      <c r="A1786" s="53" t="n">
        <v>46129</v>
      </c>
      <c r="B1786" t="inlineStr">
        <is>
          <t>2026-04-17</t>
        </is>
      </c>
      <c r="C1786" s="45" t="n">
        <v>140.8608</v>
      </c>
      <c r="D1786" t="inlineStr">
        <is>
          <t>€/MWh</t>
        </is>
      </c>
      <c r="E1786" s="54" t="n">
        <v>0.140861</v>
      </c>
      <c r="F1786" s="54" t="n">
        <v>0.156047</v>
      </c>
      <c r="G1786" t="inlineStr">
        <is>
          <t>calculado</t>
        </is>
      </c>
      <c r="H1786" t="inlineStr">
        <is>
          <t>IEE 0.5 % con cuota mínima 1 €/MWh (RDL 7/2026 art. 40.Uno) + IVA 10 % (RDL 7/2026 art. 42 (IVA electricidad 10 % hasta 30/06/2026))</t>
        </is>
      </c>
      <c r="J1786" t="inlineStr">
        <is>
          <t>2026-04-16</t>
        </is>
      </c>
      <c r="K1786" t="inlineStr">
        <is>
          <t>ESIOS 1001 geo 8741</t>
        </is>
      </c>
      <c r="L1786" t="inlineStr">
        <is>
          <t>24 valores; mín 41.23, máx 262.97 €/MWh</t>
        </is>
      </c>
    </row>
    <row r="1787">
      <c r="A1787" s="53" t="n">
        <v>46130</v>
      </c>
      <c r="B1787" t="inlineStr">
        <is>
          <t>2026-04-18</t>
        </is>
      </c>
      <c r="C1787" s="45" t="n">
        <v>90.1529</v>
      </c>
      <c r="D1787" t="inlineStr">
        <is>
          <t>€/MWh</t>
        </is>
      </c>
      <c r="E1787" s="54" t="n">
        <v>0.090153</v>
      </c>
      <c r="F1787" s="54" t="n">
        <v>0.100268</v>
      </c>
      <c r="G1787" t="inlineStr">
        <is>
          <t>calculado</t>
        </is>
      </c>
      <c r="H1787" t="inlineStr">
        <is>
          <t>IEE 0.5 % con cuota mínima 1 €/MWh (RDL 7/2026 art. 40.Uno) + IVA 10 % (RDL 7/2026 art. 42 (IVA electricidad 10 % hasta 30/06/2026))</t>
        </is>
      </c>
      <c r="J1787" t="inlineStr">
        <is>
          <t>2026-04-17</t>
        </is>
      </c>
      <c r="K1787" t="inlineStr">
        <is>
          <t>ESIOS 1001 geo 8741</t>
        </is>
      </c>
      <c r="L1787" t="inlineStr">
        <is>
          <t>24 valores; mín 32.19, máx 148.71 €/MWh</t>
        </is>
      </c>
    </row>
    <row r="1788">
      <c r="A1788" s="53" t="n">
        <v>46131</v>
      </c>
      <c r="B1788" t="inlineStr">
        <is>
          <t>2026-04-19</t>
        </is>
      </c>
      <c r="C1788" s="45" t="n">
        <v>91.41289999999999</v>
      </c>
      <c r="D1788" t="inlineStr">
        <is>
          <t>€/MWh</t>
        </is>
      </c>
      <c r="E1788" s="54" t="n">
        <v>0.09141299999999999</v>
      </c>
      <c r="F1788" s="54" t="n">
        <v>0.101654</v>
      </c>
      <c r="G1788" t="inlineStr">
        <is>
          <t>calculado</t>
        </is>
      </c>
      <c r="H1788" t="inlineStr">
        <is>
          <t>IEE 0.5 % con cuota mínima 1 €/MWh (RDL 7/2026 art. 40.Uno) + IVA 10 % (RDL 7/2026 art. 42 (IVA electricidad 10 % hasta 30/06/2026))</t>
        </is>
      </c>
      <c r="J1788" t="inlineStr">
        <is>
          <t>2026-04-18</t>
        </is>
      </c>
      <c r="K1788" t="inlineStr">
        <is>
          <t>ESIOS 1001 geo 8741</t>
        </is>
      </c>
      <c r="L1788" t="inlineStr">
        <is>
          <t>24 valores; mín 39.74, máx 152.39 €/MWh</t>
        </is>
      </c>
    </row>
    <row r="1789">
      <c r="A1789" s="53" t="n">
        <v>46132</v>
      </c>
      <c r="B1789" t="inlineStr">
        <is>
          <t>2026-04-20</t>
        </is>
      </c>
      <c r="C1789" s="45" t="n">
        <v>136.9758</v>
      </c>
      <c r="D1789" t="inlineStr">
        <is>
          <t>€/MWh</t>
        </is>
      </c>
      <c r="E1789" s="54" t="n">
        <v>0.136976</v>
      </c>
      <c r="F1789" s="54" t="n">
        <v>0.151773</v>
      </c>
      <c r="G1789" t="inlineStr">
        <is>
          <t>calculado</t>
        </is>
      </c>
      <c r="H1789" t="inlineStr">
        <is>
          <t>IEE 0.5 % con cuota mínima 1 €/MWh (RDL 7/2026 art. 40.Uno) + IVA 10 % (RDL 7/2026 art. 42 (IVA electricidad 10 % hasta 30/06/2026))</t>
        </is>
      </c>
      <c r="J1789" t="inlineStr">
        <is>
          <t>2026-04-19</t>
        </is>
      </c>
      <c r="K1789" t="inlineStr">
        <is>
          <t>ESIOS 1001 geo 8741</t>
        </is>
      </c>
      <c r="L1789" t="inlineStr">
        <is>
          <t>24 valores; mín 56.25, máx 269.78 €/MWh</t>
        </is>
      </c>
    </row>
    <row r="1790">
      <c r="A1790" s="53" t="n">
        <v>46133</v>
      </c>
      <c r="B1790" t="inlineStr">
        <is>
          <t>2026-04-21</t>
        </is>
      </c>
      <c r="C1790" s="45" t="n">
        <v>128.915</v>
      </c>
      <c r="D1790" t="inlineStr">
        <is>
          <t>€/MWh</t>
        </is>
      </c>
      <c r="E1790" s="54" t="n">
        <v>0.128915</v>
      </c>
      <c r="F1790" s="54" t="n">
        <v>0.142906</v>
      </c>
      <c r="G1790" t="inlineStr">
        <is>
          <t>calculado</t>
        </is>
      </c>
      <c r="H1790" t="inlineStr">
        <is>
          <t>IEE 0.5 % con cuota mínima 1 €/MWh (RDL 7/2026 art. 40.Uno) + IVA 10 % (RDL 7/2026 art. 42 (IVA electricidad 10 % hasta 30/06/2026))</t>
        </is>
      </c>
      <c r="J1790" t="inlineStr">
        <is>
          <t>2026-04-20</t>
        </is>
      </c>
      <c r="K1790" t="inlineStr">
        <is>
          <t>ESIOS 1001 geo 8741</t>
        </is>
      </c>
      <c r="L1790" t="inlineStr">
        <is>
          <t>24 valores; mín 60.67, máx 244.12 €/MWh</t>
        </is>
      </c>
    </row>
    <row r="1791">
      <c r="A1791" s="53" t="n">
        <v>46134</v>
      </c>
      <c r="B1791" t="inlineStr">
        <is>
          <t>2026-04-22</t>
        </is>
      </c>
      <c r="C1791" s="45" t="n">
        <v>130.8383</v>
      </c>
      <c r="D1791" t="inlineStr">
        <is>
          <t>€/MWh</t>
        </is>
      </c>
      <c r="E1791" s="54" t="n">
        <v>0.130838</v>
      </c>
      <c r="F1791" s="54" t="n">
        <v>0.145022</v>
      </c>
      <c r="G1791" t="inlineStr">
        <is>
          <t>calculado</t>
        </is>
      </c>
      <c r="H1791" t="inlineStr">
        <is>
          <t>IEE 0.5 % con cuota mínima 1 €/MWh (RDL 7/2026 art. 40.Uno) + IVA 10 % (RDL 7/2026 art. 42 (IVA electricidad 10 % hasta 30/06/2026))</t>
        </is>
      </c>
      <c r="J1791" t="inlineStr">
        <is>
          <t>2026-04-21</t>
        </is>
      </c>
      <c r="K1791" t="inlineStr">
        <is>
          <t>ESIOS 1001 geo 8741</t>
        </is>
      </c>
      <c r="L1791" t="inlineStr">
        <is>
          <t>24 valores; mín 56.03, máx 265.81 €/MWh</t>
        </is>
      </c>
    </row>
    <row r="1792">
      <c r="A1792" s="53" t="n">
        <v>46135</v>
      </c>
      <c r="B1792" t="inlineStr">
        <is>
          <t>2026-04-23</t>
        </is>
      </c>
      <c r="C1792" s="45" t="n">
        <v>129.8271</v>
      </c>
      <c r="D1792" t="inlineStr">
        <is>
          <t>€/MWh</t>
        </is>
      </c>
      <c r="E1792" s="54" t="n">
        <v>0.129827</v>
      </c>
      <c r="F1792" s="54" t="n">
        <v>0.14391</v>
      </c>
      <c r="G1792" t="inlineStr">
        <is>
          <t>calculado</t>
        </is>
      </c>
      <c r="H1792" t="inlineStr">
        <is>
          <t>IEE 0.5 % con cuota mínima 1 €/MWh (RDL 7/2026 art. 40.Uno) + IVA 10 % (RDL 7/2026 art. 42 (IVA electricidad 10 % hasta 30/06/2026))</t>
        </is>
      </c>
      <c r="J1792" t="inlineStr">
        <is>
          <t>2026-04-22</t>
        </is>
      </c>
      <c r="K1792" t="inlineStr">
        <is>
          <t>ESIOS 1001 geo 8741</t>
        </is>
      </c>
      <c r="L1792" t="inlineStr">
        <is>
          <t>24 valores; mín 57.66, máx 237.97 €/MWh</t>
        </is>
      </c>
    </row>
    <row r="1793">
      <c r="A1793" s="53" t="n">
        <v>46136</v>
      </c>
      <c r="B1793" t="inlineStr">
        <is>
          <t>2026-04-24</t>
        </is>
      </c>
      <c r="C1793" s="45" t="n">
        <v>142.9971</v>
      </c>
      <c r="D1793" t="inlineStr">
        <is>
          <t>€/MWh</t>
        </is>
      </c>
      <c r="E1793" s="54" t="n">
        <v>0.142997</v>
      </c>
      <c r="F1793" s="54" t="n">
        <v>0.158397</v>
      </c>
      <c r="G1793" t="inlineStr">
        <is>
          <t>calculado</t>
        </is>
      </c>
      <c r="H1793" t="inlineStr">
        <is>
          <t>IEE 0.5 % con cuota mínima 1 €/MWh (RDL 7/2026 art. 40.Uno) + IVA 10 % (RDL 7/2026 art. 42 (IVA electricidad 10 % hasta 30/06/2026))</t>
        </is>
      </c>
      <c r="J1793" t="inlineStr">
        <is>
          <t>2026-04-23</t>
        </is>
      </c>
      <c r="K1793" t="inlineStr">
        <is>
          <t>ESIOS 1001 geo 8741</t>
        </is>
      </c>
      <c r="L1793" t="inlineStr">
        <is>
          <t>24 valores; mín 59.30, máx 253.43 €/MWh</t>
        </is>
      </c>
    </row>
    <row r="1794">
      <c r="A1794" s="53" t="n">
        <v>46137</v>
      </c>
      <c r="B1794" t="inlineStr">
        <is>
          <t>2026-04-25</t>
        </is>
      </c>
      <c r="C1794" s="45" t="n">
        <v>88.8712</v>
      </c>
      <c r="D1794" t="inlineStr">
        <is>
          <t>€/MWh</t>
        </is>
      </c>
      <c r="E1794" s="54" t="n">
        <v>0.08887100000000001</v>
      </c>
      <c r="F1794" s="54" t="n">
        <v>0.098858</v>
      </c>
      <c r="G1794" t="inlineStr">
        <is>
          <t>calculado</t>
        </is>
      </c>
      <c r="H1794" t="inlineStr">
        <is>
          <t>IEE 0.5 % con cuota mínima 1 €/MWh (RDL 7/2026 art. 40.Uno) + IVA 10 % (RDL 7/2026 art. 42 (IVA electricidad 10 % hasta 30/06/2026))</t>
        </is>
      </c>
      <c r="J1794" t="inlineStr">
        <is>
          <t>2026-04-24</t>
        </is>
      </c>
      <c r="K1794" t="inlineStr">
        <is>
          <t>ESIOS 1001 geo 8741</t>
        </is>
      </c>
      <c r="L1794" t="inlineStr">
        <is>
          <t>24 valores; mín 27.78, máx 137.50 €/MWh</t>
        </is>
      </c>
    </row>
    <row r="1795">
      <c r="A1795" s="53" t="n">
        <v>46138</v>
      </c>
      <c r="B1795" t="inlineStr">
        <is>
          <t>2026-04-26</t>
        </is>
      </c>
      <c r="C1795" s="45" t="n">
        <v>89.0017</v>
      </c>
      <c r="D1795" t="inlineStr">
        <is>
          <t>€/MWh</t>
        </is>
      </c>
      <c r="E1795" s="54" t="n">
        <v>0.089002</v>
      </c>
      <c r="F1795" s="54" t="n">
        <v>0.09900200000000001</v>
      </c>
      <c r="G1795" t="inlineStr">
        <is>
          <t>calculado</t>
        </is>
      </c>
      <c r="H1795" t="inlineStr">
        <is>
          <t>IEE 0.5 % con cuota mínima 1 €/MWh (RDL 7/2026 art. 40.Uno) + IVA 10 % (RDL 7/2026 art. 42 (IVA electricidad 10 % hasta 30/06/2026))</t>
        </is>
      </c>
      <c r="J1795" t="inlineStr">
        <is>
          <t>2026-04-25</t>
        </is>
      </c>
      <c r="K1795" t="inlineStr">
        <is>
          <t>ESIOS 1001 geo 8741</t>
        </is>
      </c>
      <c r="L1795" t="inlineStr">
        <is>
          <t>24 valores; mín 35.18, máx 153.36 €/MWh</t>
        </is>
      </c>
    </row>
    <row r="1796">
      <c r="A1796" s="53" t="n">
        <v>46139</v>
      </c>
      <c r="B1796" t="inlineStr">
        <is>
          <t>2026-04-27</t>
        </is>
      </c>
      <c r="C1796" s="45" t="n">
        <v>130.8042</v>
      </c>
      <c r="D1796" t="inlineStr">
        <is>
          <t>€/MWh</t>
        </is>
      </c>
      <c r="E1796" s="54" t="n">
        <v>0.130804</v>
      </c>
      <c r="F1796" s="54" t="n">
        <v>0.144985</v>
      </c>
      <c r="G1796" t="inlineStr">
        <is>
          <t>calculado</t>
        </is>
      </c>
      <c r="H1796" t="inlineStr">
        <is>
          <t>IEE 0.5 % con cuota mínima 1 €/MWh (RDL 7/2026 art. 40.Uno) + IVA 10 % (RDL 7/2026 art. 42 (IVA electricidad 10 % hasta 30/06/2026))</t>
        </is>
      </c>
      <c r="J1796" t="inlineStr">
        <is>
          <t>2026-04-26</t>
        </is>
      </c>
      <c r="K1796" t="inlineStr">
        <is>
          <t>ESIOS 1001 geo 8741</t>
        </is>
      </c>
      <c r="L1796" t="inlineStr">
        <is>
          <t>24 valores; mín 59.09, máx 241.50 €/MWh</t>
        </is>
      </c>
    </row>
    <row r="1797">
      <c r="A1797" s="53" t="n">
        <v>46140</v>
      </c>
      <c r="B1797" t="inlineStr">
        <is>
          <t>2026-04-28</t>
        </is>
      </c>
      <c r="C1797" s="45" t="n">
        <v>132.1117</v>
      </c>
      <c r="D1797" t="inlineStr">
        <is>
          <t>€/MWh</t>
        </is>
      </c>
      <c r="E1797" s="54" t="n">
        <v>0.132112</v>
      </c>
      <c r="F1797" s="54" t="n">
        <v>0.146423</v>
      </c>
      <c r="G1797" t="inlineStr">
        <is>
          <t>calculado</t>
        </is>
      </c>
      <c r="H1797" t="inlineStr">
        <is>
          <t>IEE 0.5 % con cuota mínima 1 €/MWh (RDL 7/2026 art. 40.Uno) + IVA 10 % (RDL 7/2026 art. 42 (IVA electricidad 10 % hasta 30/06/2026))</t>
        </is>
      </c>
      <c r="J1797" t="inlineStr">
        <is>
          <t>2026-04-27</t>
        </is>
      </c>
      <c r="K1797" t="inlineStr">
        <is>
          <t>ESIOS 1001 geo 8741</t>
        </is>
      </c>
      <c r="L1797" t="inlineStr">
        <is>
          <t>24 valores; mín 51.84, máx 254.40 €/MWh</t>
        </is>
      </c>
    </row>
    <row r="1798">
      <c r="A1798" s="53" t="n">
        <v>46141</v>
      </c>
      <c r="B1798" t="inlineStr">
        <is>
          <t>2026-04-29</t>
        </is>
      </c>
      <c r="C1798" s="45" t="n">
        <v>139.8683</v>
      </c>
      <c r="D1798" t="inlineStr">
        <is>
          <t>€/MWh</t>
        </is>
      </c>
      <c r="E1798" s="54" t="n">
        <v>0.139868</v>
      </c>
      <c r="F1798" s="54" t="n">
        <v>0.154955</v>
      </c>
      <c r="G1798" t="inlineStr">
        <is>
          <t>calculado</t>
        </is>
      </c>
      <c r="H1798" t="inlineStr">
        <is>
          <t>IEE 0.5 % con cuota mínima 1 €/MWh (RDL 7/2026 art. 40.Uno) + IVA 10 % (RDL 7/2026 art. 42 (IVA electricidad 10 % hasta 30/06/2026))</t>
        </is>
      </c>
      <c r="J1798" t="inlineStr">
        <is>
          <t>2026-04-28</t>
        </is>
      </c>
      <c r="K1798" t="inlineStr">
        <is>
          <t>ESIOS 1001 geo 8741</t>
        </is>
      </c>
      <c r="L1798" t="inlineStr">
        <is>
          <t>24 valores; mín 52.25, máx 248.59 €/MWh</t>
        </is>
      </c>
    </row>
    <row r="1799">
      <c r="A1799" s="53" t="n">
        <v>46142</v>
      </c>
      <c r="B1799" t="inlineStr">
        <is>
          <t>2026-04-30</t>
        </is>
      </c>
      <c r="C1799" s="45" t="n">
        <v>138.3475</v>
      </c>
      <c r="D1799" t="inlineStr">
        <is>
          <t>€/MWh</t>
        </is>
      </c>
      <c r="E1799" s="54" t="n">
        <v>0.138347</v>
      </c>
      <c r="F1799" s="54" t="n">
        <v>0.153282</v>
      </c>
      <c r="G1799" t="inlineStr">
        <is>
          <t>calculado</t>
        </is>
      </c>
      <c r="H1799" t="inlineStr">
        <is>
          <t>IEE 0.5 % con cuota mínima 1 €/MWh (RDL 7/2026 art. 40.Uno) + IVA 10 % (RDL 7/2026 art. 42 (IVA electricidad 10 % hasta 30/06/2026))</t>
        </is>
      </c>
      <c r="J1799" t="inlineStr">
        <is>
          <t>2026-04-29</t>
        </is>
      </c>
      <c r="K1799" t="inlineStr">
        <is>
          <t>ESIOS 1001 geo 8741</t>
        </is>
      </c>
      <c r="L1799" t="inlineStr">
        <is>
          <t>24 valores; mín 46.25, máx 278.71 €/MWh</t>
        </is>
      </c>
    </row>
    <row r="1800">
      <c r="A1800" s="53" t="n">
        <v>46143</v>
      </c>
      <c r="B1800" t="inlineStr">
        <is>
          <t>2026-05-01</t>
        </is>
      </c>
      <c r="C1800" s="45" t="n">
        <v>100.3821</v>
      </c>
      <c r="D1800" t="inlineStr">
        <is>
          <t>€/MWh</t>
        </is>
      </c>
      <c r="E1800" s="54" t="n">
        <v>0.100382</v>
      </c>
      <c r="F1800" s="54" t="n">
        <v>0.11152</v>
      </c>
      <c r="G1800" t="inlineStr">
        <is>
          <t>calculado</t>
        </is>
      </c>
      <c r="H1800" t="inlineStr">
        <is>
          <t>IEE 0.5 % con cuota mínima 1 €/MWh (RDL 7/2026 art. 40.Uno) + IVA 10 % (RDL 7/2026 art. 42 (IVA electricidad 10 % hasta 30/06/2026))</t>
        </is>
      </c>
      <c r="J1800" t="inlineStr">
        <is>
          <t>2026-04-30</t>
        </is>
      </c>
      <c r="K1800" t="inlineStr">
        <is>
          <t>ESIOS 1001 geo 8741</t>
        </is>
      </c>
      <c r="L1800" t="inlineStr">
        <is>
          <t>24 valores; mín 29.13, máx 163.08 €/MWh</t>
        </is>
      </c>
    </row>
    <row r="1801">
      <c r="A1801" s="53" t="n">
        <v>46144</v>
      </c>
      <c r="B1801" t="inlineStr">
        <is>
          <t>2026-05-02</t>
        </is>
      </c>
      <c r="C1801" s="45" t="n">
        <v>89.8192</v>
      </c>
      <c r="D1801" t="inlineStr">
        <is>
          <t>€/MWh</t>
        </is>
      </c>
      <c r="E1801" s="54" t="n">
        <v>0.089819</v>
      </c>
      <c r="F1801" s="54" t="n">
        <v>0.099901</v>
      </c>
      <c r="G1801" t="inlineStr">
        <is>
          <t>calculado</t>
        </is>
      </c>
      <c r="H1801" t="inlineStr">
        <is>
          <t>IEE 0.5 % con cuota mínima 1 €/MWh (RDL 7/2026 art. 40.Uno) + IVA 10 % (RDL 7/2026 art. 42 (IVA electricidad 10 % hasta 30/06/2026))</t>
        </is>
      </c>
      <c r="J1801" t="inlineStr">
        <is>
          <t>2026-05-01</t>
        </is>
      </c>
      <c r="K1801" t="inlineStr">
        <is>
          <t>ESIOS 1001 geo 8741</t>
        </is>
      </c>
      <c r="L1801" t="inlineStr">
        <is>
          <t>24 valores; mín 33.01, máx 140.94 €/MWh</t>
        </is>
      </c>
    </row>
    <row r="1802">
      <c r="A1802" s="53" t="n">
        <v>46145</v>
      </c>
      <c r="B1802" t="inlineStr">
        <is>
          <t>2026-05-03</t>
        </is>
      </c>
      <c r="C1802" s="45" t="n">
        <v>96.80710000000001</v>
      </c>
      <c r="D1802" t="inlineStr">
        <is>
          <t>€/MWh</t>
        </is>
      </c>
      <c r="E1802" s="54" t="n">
        <v>0.096807</v>
      </c>
      <c r="F1802" s="54" t="n">
        <v>0.107588</v>
      </c>
      <c r="G1802" t="inlineStr">
        <is>
          <t>calculado</t>
        </is>
      </c>
      <c r="H1802" t="inlineStr">
        <is>
          <t>IEE 0.5 % con cuota mínima 1 €/MWh (RDL 7/2026 art. 40.Uno) + IVA 10 % (RDL 7/2026 art. 42 (IVA electricidad 10 % hasta 30/06/2026))</t>
        </is>
      </c>
      <c r="J1802" t="inlineStr">
        <is>
          <t>2026-05-02</t>
        </is>
      </c>
      <c r="K1802" t="inlineStr">
        <is>
          <t>ESIOS 1001 geo 8741</t>
        </is>
      </c>
      <c r="L1802" t="inlineStr">
        <is>
          <t>24 valores; mín 33.76, máx 161.56 €/MWh</t>
        </is>
      </c>
    </row>
    <row r="1803">
      <c r="A1803" s="53" t="n">
        <v>46146</v>
      </c>
      <c r="B1803" t="inlineStr">
        <is>
          <t>2026-05-04</t>
        </is>
      </c>
      <c r="C1803" s="45" t="n">
        <v>142.3</v>
      </c>
      <c r="D1803" t="inlineStr">
        <is>
          <t>€/MWh</t>
        </is>
      </c>
      <c r="E1803" s="54" t="n">
        <v>0.1423</v>
      </c>
      <c r="F1803" s="54" t="n">
        <v>0.15763</v>
      </c>
      <c r="G1803" t="inlineStr">
        <is>
          <t>calculado</t>
        </is>
      </c>
      <c r="H1803" t="inlineStr">
        <is>
          <t>IEE 0.5 % con cuota mínima 1 €/MWh (RDL 7/2026 art. 40.Uno) + IVA 10 % (RDL 7/2026 art. 42 (IVA electricidad 10 % hasta 30/06/2026))</t>
        </is>
      </c>
      <c r="J1803" t="inlineStr">
        <is>
          <t>2026-05-03</t>
        </is>
      </c>
      <c r="K1803" t="inlineStr">
        <is>
          <t>ESIOS 1001 geo 8741</t>
        </is>
      </c>
      <c r="L1803" t="inlineStr">
        <is>
          <t>24 valores; mín 43.75, máx 282.16 €/MWh</t>
        </is>
      </c>
    </row>
    <row r="1804">
      <c r="A1804" s="53" t="n">
        <v>46147</v>
      </c>
      <c r="B1804" t="inlineStr">
        <is>
          <t>2026-05-05</t>
        </is>
      </c>
      <c r="C1804" s="45" t="n">
        <v>137.5308</v>
      </c>
      <c r="D1804" t="inlineStr">
        <is>
          <t>€/MWh</t>
        </is>
      </c>
      <c r="E1804" s="54" t="n">
        <v>0.137531</v>
      </c>
      <c r="F1804" s="54" t="n">
        <v>0.152384</v>
      </c>
      <c r="G1804" t="inlineStr">
        <is>
          <t>calculado</t>
        </is>
      </c>
      <c r="H1804" t="inlineStr">
        <is>
          <t>IEE 0.5 % con cuota mínima 1 €/MWh (RDL 7/2026 art. 40.Uno) + IVA 10 % (RDL 7/2026 art. 42 (IVA electricidad 10 % hasta 30/06/2026))</t>
        </is>
      </c>
      <c r="J1804" t="inlineStr">
        <is>
          <t>2026-05-04</t>
        </is>
      </c>
      <c r="K1804" t="inlineStr">
        <is>
          <t>ESIOS 1001 geo 8741</t>
        </is>
      </c>
      <c r="L1804" t="inlineStr">
        <is>
          <t>24 valores; mín 47.25, máx 260.67 €/MWh</t>
        </is>
      </c>
    </row>
    <row r="1805">
      <c r="A1805" s="53" t="n">
        <v>46148</v>
      </c>
      <c r="B1805" t="inlineStr">
        <is>
          <t>2026-05-06</t>
        </is>
      </c>
      <c r="C1805" s="45" t="n">
        <v>143.065</v>
      </c>
      <c r="D1805" t="inlineStr">
        <is>
          <t>€/MWh</t>
        </is>
      </c>
      <c r="E1805" s="54" t="n">
        <v>0.143065</v>
      </c>
      <c r="F1805" s="54" t="n">
        <v>0.158472</v>
      </c>
      <c r="G1805" t="inlineStr">
        <is>
          <t>calculado</t>
        </is>
      </c>
      <c r="H1805" t="inlineStr">
        <is>
          <t>IEE 0.5 % con cuota mínima 1 €/MWh (RDL 7/2026 art. 40.Uno) + IVA 10 % (RDL 7/2026 art. 42 (IVA electricidad 10 % hasta 30/06/2026))</t>
        </is>
      </c>
      <c r="J1805" t="inlineStr">
        <is>
          <t>2026-05-05</t>
        </is>
      </c>
      <c r="K1805" t="inlineStr">
        <is>
          <t>ESIOS 1001 geo 8741</t>
        </is>
      </c>
      <c r="L1805" t="inlineStr">
        <is>
          <t>24 valores; mín 37.47, máx 302.53 €/MWh</t>
        </is>
      </c>
    </row>
    <row r="1806">
      <c r="A1806" s="53" t="n">
        <v>46149</v>
      </c>
      <c r="B1806" t="inlineStr">
        <is>
          <t>2026-05-07</t>
        </is>
      </c>
      <c r="C1806" s="45" t="n">
        <v>143.2546</v>
      </c>
      <c r="D1806" t="inlineStr">
        <is>
          <t>€/MWh</t>
        </is>
      </c>
      <c r="E1806" s="54" t="n">
        <v>0.143255</v>
      </c>
      <c r="F1806" s="54" t="n">
        <v>0.15868</v>
      </c>
      <c r="G1806" t="inlineStr">
        <is>
          <t>calculado</t>
        </is>
      </c>
      <c r="H1806" t="inlineStr">
        <is>
          <t>IEE 0.5 % con cuota mínima 1 €/MWh (RDL 7/2026 art. 40.Uno) + IVA 10 % (RDL 7/2026 art. 42 (IVA electricidad 10 % hasta 30/06/2026))</t>
        </is>
      </c>
      <c r="J1806" t="inlineStr">
        <is>
          <t>2026-05-06</t>
        </is>
      </c>
      <c r="K1806" t="inlineStr">
        <is>
          <t>ESIOS 1001 geo 8741</t>
        </is>
      </c>
      <c r="L1806" t="inlineStr">
        <is>
          <t>24 valores; mín 49.08, máx 270.08 €/MWh</t>
        </is>
      </c>
    </row>
    <row r="1807">
      <c r="A1807" s="53" t="n">
        <v>46150</v>
      </c>
      <c r="B1807" t="inlineStr">
        <is>
          <t>2026-05-08</t>
        </is>
      </c>
      <c r="C1807" s="45" t="n">
        <v>135.6662</v>
      </c>
      <c r="D1807" t="inlineStr">
        <is>
          <t>€/MWh</t>
        </is>
      </c>
      <c r="E1807" s="54" t="n">
        <v>0.135666</v>
      </c>
      <c r="F1807" s="54" t="n">
        <v>0.150333</v>
      </c>
      <c r="G1807" t="inlineStr">
        <is>
          <t>calculado</t>
        </is>
      </c>
      <c r="H1807" t="inlineStr">
        <is>
          <t>IEE 0.5 % con cuota mínima 1 €/MWh (RDL 7/2026 art. 40.Uno) + IVA 10 % (RDL 7/2026 art. 42 (IVA electricidad 10 % hasta 30/06/2026))</t>
        </is>
      </c>
      <c r="J1807" t="inlineStr">
        <is>
          <t>2026-05-07</t>
        </is>
      </c>
      <c r="K1807" t="inlineStr">
        <is>
          <t>ESIOS 1001 geo 8741</t>
        </is>
      </c>
      <c r="L1807" t="inlineStr">
        <is>
          <t>24 valores; mín 44.01, máx 254.10 €/MWh</t>
        </is>
      </c>
    </row>
    <row r="1808">
      <c r="A1808" s="53" t="n">
        <v>46151</v>
      </c>
      <c r="B1808" t="inlineStr">
        <is>
          <t>2026-05-09</t>
        </is>
      </c>
      <c r="C1808" s="45" t="n">
        <v>82.75539999999999</v>
      </c>
      <c r="D1808" t="inlineStr">
        <is>
          <t>€/MWh</t>
        </is>
      </c>
      <c r="E1808" s="54" t="n">
        <v>0.082755</v>
      </c>
      <c r="F1808" s="54" t="n">
        <v>0.092131</v>
      </c>
      <c r="G1808" t="inlineStr">
        <is>
          <t>calculado</t>
        </is>
      </c>
      <c r="H1808" t="inlineStr">
        <is>
          <t>IEE 0.5 % con cuota mínima 1 €/MWh (RDL 7/2026 art. 40.Uno) + IVA 10 % (RDL 7/2026 art. 42 (IVA electricidad 10 % hasta 30/06/2026))</t>
        </is>
      </c>
      <c r="J1808" t="inlineStr">
        <is>
          <t>2026-05-08</t>
        </is>
      </c>
      <c r="K1808" t="inlineStr">
        <is>
          <t>ESIOS 1001 geo 8741</t>
        </is>
      </c>
      <c r="L1808" t="inlineStr">
        <is>
          <t>24 valores; mín 41.31, máx 132.58 €/MWh</t>
        </is>
      </c>
    </row>
    <row r="1809">
      <c r="A1809" s="53" t="n">
        <v>46152</v>
      </c>
      <c r="B1809" t="inlineStr">
        <is>
          <t>2026-05-10</t>
        </is>
      </c>
      <c r="C1809" s="45" t="n">
        <v>83.72790000000001</v>
      </c>
      <c r="D1809" t="inlineStr">
        <is>
          <t>€/MWh</t>
        </is>
      </c>
      <c r="E1809" s="54" t="n">
        <v>0.083728</v>
      </c>
      <c r="F1809" s="54" t="n">
        <v>0.09320100000000001</v>
      </c>
      <c r="G1809" t="inlineStr">
        <is>
          <t>calculado</t>
        </is>
      </c>
      <c r="H1809" t="inlineStr">
        <is>
          <t>IEE 0.5 % con cuota mínima 1 €/MWh (RDL 7/2026 art. 40.Uno) + IVA 10 % (RDL 7/2026 art. 42 (IVA electricidad 10 % hasta 30/06/2026))</t>
        </is>
      </c>
      <c r="J1809" t="inlineStr">
        <is>
          <t>2026-05-09</t>
        </is>
      </c>
      <c r="K1809" t="inlineStr">
        <is>
          <t>ESIOS 1001 geo 8741</t>
        </is>
      </c>
      <c r="L1809" t="inlineStr">
        <is>
          <t>24 valores; mín 52.05, máx 153.94 €/MWh</t>
        </is>
      </c>
    </row>
    <row r="1810">
      <c r="A1810" s="53" t="n">
        <v>46153</v>
      </c>
      <c r="B1810" t="inlineStr">
        <is>
          <t>2026-05-11</t>
        </is>
      </c>
      <c r="C1810" s="45" t="n">
        <v>135.6996</v>
      </c>
      <c r="D1810" t="inlineStr">
        <is>
          <t>€/MWh</t>
        </is>
      </c>
      <c r="E1810" s="54" t="n">
        <v>0.1357</v>
      </c>
      <c r="F1810" s="54" t="n">
        <v>0.15037</v>
      </c>
      <c r="G1810" t="inlineStr">
        <is>
          <t>calculado</t>
        </is>
      </c>
      <c r="H1810" t="inlineStr">
        <is>
          <t>IEE 0.5 % con cuota mínima 1 €/MWh (RDL 7/2026 art. 40.Uno) + IVA 10 % (RDL 7/2026 art. 42 (IVA electricidad 10 % hasta 30/06/2026))</t>
        </is>
      </c>
      <c r="J1810" t="inlineStr">
        <is>
          <t>2026-05-10</t>
        </is>
      </c>
      <c r="K1810" t="inlineStr">
        <is>
          <t>ESIOS 1001 geo 8741</t>
        </is>
      </c>
      <c r="L1810" t="inlineStr">
        <is>
          <t>24 valores; mín 56.56, máx 345.54 €/MWh</t>
        </is>
      </c>
    </row>
    <row r="1811">
      <c r="A1811" s="53" t="n">
        <v>46154</v>
      </c>
      <c r="B1811" t="inlineStr">
        <is>
          <t>2026-05-12</t>
        </is>
      </c>
      <c r="C1811" s="45" t="n">
        <v>138.85</v>
      </c>
      <c r="D1811" t="inlineStr">
        <is>
          <t>€/MWh</t>
        </is>
      </c>
      <c r="E1811" s="54" t="n">
        <v>0.13885</v>
      </c>
      <c r="F1811" s="54" t="n">
        <v>0.153835</v>
      </c>
      <c r="G1811" t="inlineStr">
        <is>
          <t>calculado</t>
        </is>
      </c>
      <c r="H1811" t="inlineStr">
        <is>
          <t>IEE 0.5 % con cuota mínima 1 €/MWh (RDL 7/2026 art. 40.Uno) + IVA 10 % (RDL 7/2026 art. 42 (IVA electricidad 10 % hasta 30/06/2026))</t>
        </is>
      </c>
      <c r="J1811" t="inlineStr">
        <is>
          <t>2026-05-11</t>
        </is>
      </c>
      <c r="K1811" t="inlineStr">
        <is>
          <t>ESIOS 1001 geo 8741</t>
        </is>
      </c>
      <c r="L1811" t="inlineStr">
        <is>
          <t>24 valores; mín 40.91, máx 264.10 €/MWh</t>
        </is>
      </c>
    </row>
    <row r="1812">
      <c r="A1812" s="53" t="n">
        <v>46155</v>
      </c>
      <c r="B1812" t="inlineStr">
        <is>
          <t>2026-05-13</t>
        </is>
      </c>
      <c r="C1812" s="45" t="n">
        <v>130.0254</v>
      </c>
      <c r="D1812" t="inlineStr">
        <is>
          <t>€/MWh</t>
        </is>
      </c>
      <c r="E1812" s="54" t="n">
        <v>0.130025</v>
      </c>
      <c r="F1812" s="54" t="n">
        <v>0.144128</v>
      </c>
      <c r="G1812" t="inlineStr">
        <is>
          <t>calculado</t>
        </is>
      </c>
      <c r="H1812" t="inlineStr">
        <is>
          <t>IEE 0.5 % con cuota mínima 1 €/MWh (RDL 7/2026 art. 40.Uno) + IVA 10 % (RDL 7/2026 art. 42 (IVA electricidad 10 % hasta 30/06/2026))</t>
        </is>
      </c>
      <c r="J1812" t="inlineStr">
        <is>
          <t>2026-05-12</t>
        </is>
      </c>
      <c r="K1812" t="inlineStr">
        <is>
          <t>ESIOS 1001 geo 8741</t>
        </is>
      </c>
      <c r="L1812" t="inlineStr">
        <is>
          <t>24 valores; mín 58.62, máx 256.08 €/MWh</t>
        </is>
      </c>
    </row>
    <row r="1813">
      <c r="A1813" s="53" t="n">
        <v>46156</v>
      </c>
      <c r="B1813" t="inlineStr">
        <is>
          <t>2026-05-14</t>
        </is>
      </c>
      <c r="C1813" s="45" t="n">
        <v>132.4663</v>
      </c>
      <c r="D1813" t="inlineStr">
        <is>
          <t>€/MWh</t>
        </is>
      </c>
      <c r="E1813" s="54" t="n">
        <v>0.132466</v>
      </c>
      <c r="F1813" s="54" t="n">
        <v>0.146813</v>
      </c>
      <c r="G1813" t="inlineStr">
        <is>
          <t>calculado</t>
        </is>
      </c>
      <c r="H1813" t="inlineStr">
        <is>
          <t>IEE 0.5 % con cuota mínima 1 €/MWh (RDL 7/2026 art. 40.Uno) + IVA 10 % (RDL 7/2026 art. 42 (IVA electricidad 10 % hasta 30/06/2026))</t>
        </is>
      </c>
      <c r="J1813" t="inlineStr">
        <is>
          <t>2026-05-13</t>
        </is>
      </c>
      <c r="K1813" t="inlineStr">
        <is>
          <t>ESIOS 1001 geo 8741</t>
        </is>
      </c>
      <c r="L1813" t="inlineStr">
        <is>
          <t>24 valores; mín 61.50, máx 232.34 €/MWh</t>
        </is>
      </c>
    </row>
    <row r="1814">
      <c r="A1814" s="53" t="n">
        <v>46157</v>
      </c>
      <c r="B1814" t="inlineStr">
        <is>
          <t>2026-05-15</t>
        </is>
      </c>
      <c r="C1814" s="45" t="n">
        <v>130.8462</v>
      </c>
      <c r="D1814" t="inlineStr">
        <is>
          <t>€/MWh</t>
        </is>
      </c>
      <c r="E1814" s="54" t="n">
        <v>0.130846</v>
      </c>
      <c r="F1814" s="54" t="n">
        <v>0.145031</v>
      </c>
      <c r="G1814" t="inlineStr">
        <is>
          <t>calculado</t>
        </is>
      </c>
      <c r="H1814" t="inlineStr">
        <is>
          <t>IEE 0.5 % con cuota mínima 1 €/MWh (RDL 7/2026 art. 40.Uno) + IVA 10 % (RDL 7/2026 art. 42 (IVA electricidad 10 % hasta 30/06/2026))</t>
        </is>
      </c>
      <c r="J1814" t="inlineStr">
        <is>
          <t>2026-05-14</t>
        </is>
      </c>
      <c r="K1814" t="inlineStr">
        <is>
          <t>ESIOS 1001 geo 8741</t>
        </is>
      </c>
      <c r="L1814" t="inlineStr">
        <is>
          <t>24 valores; mín 77.04, máx 241.29 €/MWh</t>
        </is>
      </c>
    </row>
    <row r="1815">
      <c r="A1815" s="53" t="n">
        <v>46158</v>
      </c>
      <c r="B1815" t="inlineStr">
        <is>
          <t>2026-05-16</t>
        </is>
      </c>
      <c r="C1815" s="45" t="n">
        <v>89.6229</v>
      </c>
      <c r="D1815" t="inlineStr">
        <is>
          <t>€/MWh</t>
        </is>
      </c>
      <c r="E1815" s="54" t="n">
        <v>0.08962299999999999</v>
      </c>
      <c r="F1815" s="54" t="n">
        <v>0.099685</v>
      </c>
      <c r="G1815" t="inlineStr">
        <is>
          <t>calculado</t>
        </is>
      </c>
      <c r="H1815" t="inlineStr">
        <is>
          <t>IEE 0.5 % con cuota mínima 1 €/MWh (RDL 7/2026 art. 40.Uno) + IVA 10 % (RDL 7/2026 art. 42 (IVA electricidad 10 % hasta 30/06/2026))</t>
        </is>
      </c>
      <c r="J1815" t="inlineStr">
        <is>
          <t>2026-05-15</t>
        </is>
      </c>
      <c r="K1815" t="inlineStr">
        <is>
          <t>ESIOS 1001 geo 8741</t>
        </is>
      </c>
      <c r="L1815" t="inlineStr">
        <is>
          <t>24 valores; mín 38.96, máx 174.60 €/MWh</t>
        </is>
      </c>
    </row>
    <row r="1816">
      <c r="A1816" s="53" t="n">
        <v>46159</v>
      </c>
      <c r="B1816" t="inlineStr">
        <is>
          <t>2026-05-17</t>
        </is>
      </c>
      <c r="C1816" s="45" t="n">
        <v>96.39749999999999</v>
      </c>
      <c r="D1816" t="inlineStr">
        <is>
          <t>€/MWh</t>
        </is>
      </c>
      <c r="E1816" s="54" t="n">
        <v>0.096397</v>
      </c>
      <c r="F1816" s="54" t="n">
        <v>0.107137</v>
      </c>
      <c r="G1816" t="inlineStr">
        <is>
          <t>calculado</t>
        </is>
      </c>
      <c r="H1816" t="inlineStr">
        <is>
          <t>IEE 0.5 % con cuota mínima 1 €/MWh (RDL 7/2026 art. 40.Uno) + IVA 10 % (RDL 7/2026 art. 42 (IVA electricidad 10 % hasta 30/06/2026))</t>
        </is>
      </c>
      <c r="J1816" t="inlineStr">
        <is>
          <t>2026-05-16</t>
        </is>
      </c>
      <c r="K1816" t="inlineStr">
        <is>
          <t>ESIOS 1001 geo 8741</t>
        </is>
      </c>
      <c r="L1816" t="inlineStr">
        <is>
          <t>24 valores; mín 34.94, máx 178.69 €/MWh</t>
        </is>
      </c>
    </row>
    <row r="1817">
      <c r="A1817" s="53" t="n">
        <v>46160</v>
      </c>
      <c r="B1817" t="inlineStr">
        <is>
          <t>2026-05-18</t>
        </is>
      </c>
      <c r="C1817" s="45" t="n">
        <v>141.83</v>
      </c>
      <c r="D1817" t="inlineStr">
        <is>
          <t>€/MWh</t>
        </is>
      </c>
      <c r="E1817" s="54" t="n">
        <v>0.14183</v>
      </c>
      <c r="F1817" s="54" t="n">
        <v>0.157113</v>
      </c>
      <c r="G1817" t="inlineStr">
        <is>
          <t>calculado</t>
        </is>
      </c>
      <c r="H1817" t="inlineStr">
        <is>
          <t>IEE 0.5 % con cuota mínima 1 €/MWh (RDL 7/2026 art. 40.Uno) + IVA 10 % (RDL 7/2026 art. 42 (IVA electricidad 10 % hasta 30/06/2026))</t>
        </is>
      </c>
      <c r="J1817" t="inlineStr">
        <is>
          <t>2026-05-17</t>
        </is>
      </c>
      <c r="K1817" t="inlineStr">
        <is>
          <t>ESIOS 1001 geo 8741</t>
        </is>
      </c>
      <c r="L1817" t="inlineStr">
        <is>
          <t>24 valores; mín 58.57, máx 267.14 €/MWh</t>
        </is>
      </c>
    </row>
    <row r="1818">
      <c r="A1818" s="53" t="n">
        <v>46161</v>
      </c>
      <c r="B1818" t="inlineStr">
        <is>
          <t>2026-05-19</t>
        </is>
      </c>
      <c r="C1818" s="45" t="n">
        <v>135.7546</v>
      </c>
      <c r="D1818" t="inlineStr">
        <is>
          <t>€/MWh</t>
        </is>
      </c>
      <c r="E1818" s="54" t="n">
        <v>0.135755</v>
      </c>
      <c r="F1818" s="54" t="n">
        <v>0.15043</v>
      </c>
      <c r="G1818" t="inlineStr">
        <is>
          <t>calculado</t>
        </is>
      </c>
      <c r="H1818" t="inlineStr">
        <is>
          <t>IEE 0.5 % con cuota mínima 1 €/MWh (RDL 7/2026 art. 40.Uno) + IVA 10 % (RDL 7/2026 art. 42 (IVA electricidad 10 % hasta 30/06/2026))</t>
        </is>
      </c>
      <c r="J1818" t="inlineStr">
        <is>
          <t>2026-05-18</t>
        </is>
      </c>
      <c r="K1818" t="inlineStr">
        <is>
          <t>ESIOS 1001 geo 8741</t>
        </is>
      </c>
      <c r="L1818" t="inlineStr">
        <is>
          <t>24 valores; mín 64.39, máx 279.35 €/MWh</t>
        </is>
      </c>
    </row>
    <row r="1819">
      <c r="A1819" s="53" t="n">
        <v>46162</v>
      </c>
      <c r="B1819" t="inlineStr">
        <is>
          <t>2026-05-20</t>
        </is>
      </c>
      <c r="C1819" s="45" t="n">
        <v>140.1625</v>
      </c>
      <c r="D1819" t="inlineStr">
        <is>
          <t>€/MWh</t>
        </is>
      </c>
      <c r="E1819" s="54" t="n">
        <v>0.140162</v>
      </c>
      <c r="F1819" s="54" t="n">
        <v>0.155279</v>
      </c>
      <c r="G1819" t="inlineStr">
        <is>
          <t>calculado</t>
        </is>
      </c>
      <c r="H1819" t="inlineStr">
        <is>
          <t>IEE 0.5 % con cuota mínima 1 €/MWh (RDL 7/2026 art. 40.Uno) + IVA 10 % (RDL 7/2026 art. 42 (IVA electricidad 10 % hasta 30/06/2026))</t>
        </is>
      </c>
      <c r="J1819" t="inlineStr">
        <is>
          <t>2026-05-19</t>
        </is>
      </c>
      <c r="K1819" t="inlineStr">
        <is>
          <t>ESIOS 1001 geo 8741</t>
        </is>
      </c>
      <c r="L1819" t="inlineStr">
        <is>
          <t>24 valores; mín 61.62, máx 291.73 €/MWh</t>
        </is>
      </c>
    </row>
    <row r="1820">
      <c r="A1820" s="53" t="n">
        <v>46163</v>
      </c>
      <c r="B1820" t="inlineStr">
        <is>
          <t>2026-05-21</t>
        </is>
      </c>
      <c r="C1820" s="45" t="n">
        <v>138.3113</v>
      </c>
      <c r="D1820" t="inlineStr">
        <is>
          <t>€/MWh</t>
        </is>
      </c>
      <c r="E1820" s="54" t="n">
        <v>0.138311</v>
      </c>
      <c r="F1820" s="54" t="n">
        <v>0.153242</v>
      </c>
      <c r="G1820" t="inlineStr">
        <is>
          <t>calculado</t>
        </is>
      </c>
      <c r="H1820" t="inlineStr">
        <is>
          <t>IEE 0.5 % con cuota mínima 1 €/MWh (RDL 7/2026 art. 40.Uno) + IVA 10 % (RDL 7/2026 art. 42 (IVA electricidad 10 % hasta 30/06/2026))</t>
        </is>
      </c>
      <c r="J1820" t="inlineStr">
        <is>
          <t>2026-05-20</t>
        </is>
      </c>
      <c r="K1820" t="inlineStr">
        <is>
          <t>ESIOS 1001 geo 8741</t>
        </is>
      </c>
      <c r="L1820" t="inlineStr">
        <is>
          <t>24 valores; mín 56.78, máx 274.09 €/MWh</t>
        </is>
      </c>
    </row>
    <row r="1821">
      <c r="A1821" s="53" t="n">
        <v>46164</v>
      </c>
      <c r="B1821" t="inlineStr">
        <is>
          <t>2026-05-22</t>
        </is>
      </c>
      <c r="C1821" s="45" t="n">
        <v>139.7887</v>
      </c>
      <c r="D1821" t="inlineStr">
        <is>
          <t>€/MWh</t>
        </is>
      </c>
      <c r="E1821" s="54" t="n">
        <v>0.139789</v>
      </c>
      <c r="F1821" s="54" t="n">
        <v>0.154868</v>
      </c>
      <c r="G1821" t="inlineStr">
        <is>
          <t>calculado</t>
        </is>
      </c>
      <c r="H1821" t="inlineStr">
        <is>
          <t>IEE 0.5 % con cuota mínima 1 €/MWh (RDL 7/2026 art. 40.Uno) + IVA 10 % (RDL 7/2026 art. 42 (IVA electricidad 10 % hasta 30/06/2026))</t>
        </is>
      </c>
      <c r="J1821" t="inlineStr">
        <is>
          <t>2026-05-21</t>
        </is>
      </c>
      <c r="K1821" t="inlineStr">
        <is>
          <t>ESIOS 1001 geo 8741</t>
        </is>
      </c>
      <c r="L1821" t="inlineStr">
        <is>
          <t>24 valores; mín 63.10, máx 267.33 €/MWh</t>
        </is>
      </c>
    </row>
    <row r="1822">
      <c r="A1822" s="53" t="n">
        <v>46165</v>
      </c>
      <c r="B1822" t="inlineStr">
        <is>
          <t>2026-05-23</t>
        </is>
      </c>
      <c r="C1822" s="45" t="n">
        <v>82.7308</v>
      </c>
      <c r="D1822" t="inlineStr">
        <is>
          <t>€/MWh</t>
        </is>
      </c>
      <c r="E1822" s="54" t="n">
        <v>0.082731</v>
      </c>
      <c r="F1822" s="54" t="n">
        <v>0.09210400000000001</v>
      </c>
      <c r="G1822" t="inlineStr">
        <is>
          <t>calculado</t>
        </is>
      </c>
      <c r="H1822" t="inlineStr">
        <is>
          <t>IEE 0.5 % con cuota mínima 1 €/MWh (RDL 7/2026 art. 40.Uno) + IVA 10 % (RDL 7/2026 art. 42 (IVA electricidad 10 % hasta 30/06/2026))</t>
        </is>
      </c>
      <c r="J1822" t="inlineStr">
        <is>
          <t>2026-05-22</t>
        </is>
      </c>
      <c r="K1822" t="inlineStr">
        <is>
          <t>ESIOS 1001 geo 8741</t>
        </is>
      </c>
      <c r="L1822" t="inlineStr">
        <is>
          <t>24 valores; mín 33.01, máx 163.96 €/MWh</t>
        </is>
      </c>
    </row>
    <row r="1823">
      <c r="A1823" s="53" t="n">
        <v>46166</v>
      </c>
      <c r="B1823" t="inlineStr">
        <is>
          <t>2026-05-24</t>
        </is>
      </c>
      <c r="C1823" s="45" t="n">
        <v>87.8867</v>
      </c>
      <c r="D1823" t="inlineStr">
        <is>
          <t>€/MWh</t>
        </is>
      </c>
      <c r="E1823" s="54" t="n">
        <v>0.08788700000000001</v>
      </c>
      <c r="F1823" s="54" t="n">
        <v>0.097775</v>
      </c>
      <c r="G1823" t="inlineStr">
        <is>
          <t>calculado</t>
        </is>
      </c>
      <c r="H1823" t="inlineStr">
        <is>
          <t>IEE 0.5 % con cuota mínima 1 €/MWh (RDL 7/2026 art. 40.Uno) + IVA 10 % (RDL 7/2026 art. 42 (IVA electricidad 10 % hasta 30/06/2026))</t>
        </is>
      </c>
      <c r="J1823" t="inlineStr">
        <is>
          <t>2026-05-23</t>
        </is>
      </c>
      <c r="K1823" t="inlineStr">
        <is>
          <t>ESIOS 1001 geo 8741</t>
        </is>
      </c>
      <c r="L1823" t="inlineStr">
        <is>
          <t>24 valores; mín 45.31, máx 151.04 €/MWh</t>
        </is>
      </c>
    </row>
    <row r="1824">
      <c r="A1824" s="53" t="n">
        <v>46167</v>
      </c>
      <c r="B1824" t="inlineStr">
        <is>
          <t>2026-05-25</t>
        </is>
      </c>
      <c r="C1824" s="45" t="n">
        <v>126.9704</v>
      </c>
      <c r="D1824" t="inlineStr">
        <is>
          <t>€/MWh</t>
        </is>
      </c>
      <c r="E1824" s="54" t="n">
        <v>0.12697</v>
      </c>
      <c r="F1824" s="54" t="n">
        <v>0.140767</v>
      </c>
      <c r="G1824" t="inlineStr">
        <is>
          <t>calculado</t>
        </is>
      </c>
      <c r="H1824" t="inlineStr">
        <is>
          <t>IEE 0.5 % con cuota mínima 1 €/MWh (RDL 7/2026 art. 40.Uno) + IVA 10 % (RDL 7/2026 art. 42 (IVA electricidad 10 % hasta 30/06/2026))</t>
        </is>
      </c>
      <c r="J1824" t="inlineStr">
        <is>
          <t>2026-05-24</t>
        </is>
      </c>
      <c r="K1824" t="inlineStr">
        <is>
          <t>ESIOS 1001 geo 8741</t>
        </is>
      </c>
      <c r="L1824" t="inlineStr">
        <is>
          <t>24 valores; mín 71.53, máx 269.94 €/MWh</t>
        </is>
      </c>
    </row>
    <row r="1825">
      <c r="A1825" s="53" t="n">
        <v>46168</v>
      </c>
      <c r="B1825" t="inlineStr">
        <is>
          <t>2026-05-26</t>
        </is>
      </c>
      <c r="C1825" s="45" t="n">
        <v>139.1504</v>
      </c>
      <c r="D1825" t="inlineStr">
        <is>
          <t>€/MWh</t>
        </is>
      </c>
      <c r="E1825" s="54" t="n">
        <v>0.13915</v>
      </c>
      <c r="F1825" s="54" t="n">
        <v>0.154165</v>
      </c>
      <c r="G1825" t="inlineStr">
        <is>
          <t>calculado</t>
        </is>
      </c>
      <c r="H1825" t="inlineStr">
        <is>
          <t>IEE 0.5 % con cuota mínima 1 €/MWh (RDL 7/2026 art. 40.Uno) + IVA 10 % (RDL 7/2026 art. 42 (IVA electricidad 10 % hasta 30/06/2026))</t>
        </is>
      </c>
      <c r="J1825" t="inlineStr">
        <is>
          <t>2026-05-25</t>
        </is>
      </c>
      <c r="K1825" t="inlineStr">
        <is>
          <t>ESIOS 1001 geo 8741</t>
        </is>
      </c>
      <c r="L1825" t="inlineStr">
        <is>
          <t>24 valores; mín 57.86, máx 301.64 €/MWh</t>
        </is>
      </c>
    </row>
    <row r="1826">
      <c r="A1826" s="53" t="n">
        <v>46169</v>
      </c>
      <c r="B1826" t="inlineStr">
        <is>
          <t>2026-05-27</t>
        </is>
      </c>
      <c r="C1826" s="45" t="n">
        <v>141.7887</v>
      </c>
      <c r="D1826" t="inlineStr">
        <is>
          <t>€/MWh</t>
        </is>
      </c>
      <c r="E1826" s="54" t="n">
        <v>0.141789</v>
      </c>
      <c r="F1826" s="54" t="n">
        <v>0.157068</v>
      </c>
      <c r="G1826" t="inlineStr">
        <is>
          <t>calculado</t>
        </is>
      </c>
      <c r="H1826" t="inlineStr">
        <is>
          <t>IEE 0.5 % con cuota mínima 1 €/MWh (RDL 7/2026 art. 40.Uno) + IVA 10 % (RDL 7/2026 art. 42 (IVA electricidad 10 % hasta 30/06/2026))</t>
        </is>
      </c>
      <c r="J1826" t="inlineStr">
        <is>
          <t>2026-05-26</t>
        </is>
      </c>
      <c r="K1826" t="inlineStr">
        <is>
          <t>ESIOS 1001 geo 8741</t>
        </is>
      </c>
      <c r="L1826" t="inlineStr">
        <is>
          <t>24 valores; mín 45.77, máx 287.89 €/MWh</t>
        </is>
      </c>
    </row>
    <row r="1827">
      <c r="A1827" s="53" t="n">
        <v>46170</v>
      </c>
      <c r="B1827" t="inlineStr">
        <is>
          <t>2026-05-28</t>
        </is>
      </c>
      <c r="C1827" s="45" t="n">
        <v>144.9338</v>
      </c>
      <c r="D1827" t="inlineStr">
        <is>
          <t>€/MWh</t>
        </is>
      </c>
      <c r="E1827" s="54" t="n">
        <v>0.144934</v>
      </c>
      <c r="F1827" s="54" t="n">
        <v>0.160527</v>
      </c>
      <c r="G1827" t="inlineStr">
        <is>
          <t>calculado</t>
        </is>
      </c>
      <c r="H1827" t="inlineStr">
        <is>
          <t>IEE 0.5 % con cuota mínima 1 €/MWh (RDL 7/2026 art. 40.Uno) + IVA 10 % (RDL 7/2026 art. 42 (IVA electricidad 10 % hasta 30/06/2026))</t>
        </is>
      </c>
      <c r="J1827" t="inlineStr">
        <is>
          <t>2026-05-27</t>
        </is>
      </c>
      <c r="K1827" t="inlineStr">
        <is>
          <t>ESIOS 1001 geo 8741</t>
        </is>
      </c>
      <c r="L1827" t="inlineStr">
        <is>
          <t>24 valores; mín 40.73, máx 311.48 €/MWh</t>
        </is>
      </c>
    </row>
    <row r="1828">
      <c r="A1828" s="53" t="n">
        <v>46171</v>
      </c>
      <c r="B1828" t="inlineStr">
        <is>
          <t>2026-05-29</t>
        </is>
      </c>
      <c r="C1828" s="45" t="n">
        <v>145.745</v>
      </c>
      <c r="D1828" t="inlineStr">
        <is>
          <t>€/MWh</t>
        </is>
      </c>
      <c r="E1828" s="54" t="n">
        <v>0.145745</v>
      </c>
      <c r="F1828" s="54" t="n">
        <v>0.16142</v>
      </c>
      <c r="G1828" t="inlineStr">
        <is>
          <t>calculado</t>
        </is>
      </c>
      <c r="H1828" t="inlineStr">
        <is>
          <t>IEE 0.5 % con cuota mínima 1 €/MWh (RDL 7/2026 art. 40.Uno) + IVA 10 % (RDL 7/2026 art. 42 (IVA electricidad 10 % hasta 30/06/2026))</t>
        </is>
      </c>
      <c r="J1828" t="inlineStr">
        <is>
          <t>2026-05-28</t>
        </is>
      </c>
      <c r="K1828" t="inlineStr">
        <is>
          <t>ESIOS 1001 geo 8741</t>
        </is>
      </c>
      <c r="L1828" t="inlineStr">
        <is>
          <t>24 valores; mín 36.76, máx 290.87 €/MWh</t>
        </is>
      </c>
    </row>
    <row r="1829">
      <c r="A1829" s="53" t="n">
        <v>46172</v>
      </c>
      <c r="B1829" t="inlineStr">
        <is>
          <t>2026-05-30</t>
        </is>
      </c>
      <c r="C1829" s="45" t="n">
        <v>96.1767</v>
      </c>
      <c r="D1829" t="inlineStr">
        <is>
          <t>€/MWh</t>
        </is>
      </c>
      <c r="E1829" s="54" t="n">
        <v>0.096177</v>
      </c>
      <c r="F1829" s="54" t="n">
        <v>0.106894</v>
      </c>
      <c r="G1829" t="inlineStr">
        <is>
          <t>calculado</t>
        </is>
      </c>
      <c r="H1829" t="inlineStr">
        <is>
          <t>IEE 0.5 % con cuota mínima 1 €/MWh (RDL 7/2026 art. 40.Uno) + IVA 10 % (RDL 7/2026 art. 42 (IVA electricidad 10 % hasta 30/06/2026))</t>
        </is>
      </c>
      <c r="J1829" t="inlineStr">
        <is>
          <t>2026-05-29</t>
        </is>
      </c>
      <c r="K1829" t="inlineStr">
        <is>
          <t>ESIOS 1001 geo 8741</t>
        </is>
      </c>
      <c r="L1829" t="inlineStr">
        <is>
          <t>24 valores; mín 16.77, máx 171.82 €/MWh</t>
        </is>
      </c>
    </row>
    <row r="1830">
      <c r="A1830" s="53" t="n">
        <v>46173</v>
      </c>
      <c r="B1830" t="inlineStr">
        <is>
          <t>2026-05-31</t>
        </is>
      </c>
      <c r="C1830" s="45" t="n">
        <v>89.00709999999999</v>
      </c>
      <c r="D1830" t="inlineStr">
        <is>
          <t>€/MWh</t>
        </is>
      </c>
      <c r="E1830" s="54" t="n">
        <v>0.089007</v>
      </c>
      <c r="F1830" s="54" t="n">
        <v>0.099008</v>
      </c>
      <c r="G1830" t="inlineStr">
        <is>
          <t>calculado</t>
        </is>
      </c>
      <c r="H1830" t="inlineStr">
        <is>
          <t>IEE 0.5 % con cuota mínima 1 €/MWh (RDL 7/2026 art. 40.Uno) + IVA 10 % (RDL 7/2026 art. 42 (IVA electricidad 10 % hasta 30/06/2026))</t>
        </is>
      </c>
      <c r="J1830" t="inlineStr">
        <is>
          <t>2026-05-30</t>
        </is>
      </c>
      <c r="K1830" t="inlineStr">
        <is>
          <t>ESIOS 1001 geo 8741</t>
        </is>
      </c>
      <c r="L1830" t="inlineStr">
        <is>
          <t>24 valores; mín 33.60, máx 153.92 €/MWh</t>
        </is>
      </c>
    </row>
    <row r="1831">
      <c r="A1831" s="53" t="n">
        <v>46174</v>
      </c>
      <c r="B1831" t="inlineStr">
        <is>
          <t>2026-06-01</t>
        </is>
      </c>
      <c r="C1831" s="45" t="n">
        <v>144.9467</v>
      </c>
      <c r="D1831" t="inlineStr">
        <is>
          <t>€/MWh</t>
        </is>
      </c>
      <c r="E1831" s="54" t="n">
        <v>0.144947</v>
      </c>
      <c r="F1831" s="54" t="n">
        <v>0.184352</v>
      </c>
      <c r="G1831" t="inlineStr">
        <is>
          <t>calculado</t>
        </is>
      </c>
      <c r="H1831" t="inlineStr">
        <is>
          <t>IEE 5.1127 % con cuota mínima 1 €/MWh (RDL 7/2026 art. 40.Dos (junio: condición IPC de abril)) + IVA 21 % (RDL 7/2026 art. 42 (junio: condición IPC de abril))</t>
        </is>
      </c>
      <c r="J1831" t="inlineStr">
        <is>
          <t>2026-05-31</t>
        </is>
      </c>
      <c r="K1831" t="inlineStr">
        <is>
          <t>ESIOS 1001 geo 8741</t>
        </is>
      </c>
      <c r="L1831" t="inlineStr">
        <is>
          <t>24 valores; mín 56.04, máx 285.48 €/MWh</t>
        </is>
      </c>
    </row>
    <row r="1832">
      <c r="A1832" s="53" t="n">
        <v>46175</v>
      </c>
      <c r="B1832" t="inlineStr">
        <is>
          <t>2026-06-02</t>
        </is>
      </c>
      <c r="C1832" s="45" t="n">
        <v>128.7508</v>
      </c>
      <c r="D1832" t="inlineStr">
        <is>
          <t>€/MWh</t>
        </is>
      </c>
      <c r="E1832" s="54" t="n">
        <v>0.128751</v>
      </c>
      <c r="F1832" s="54" t="n">
        <v>0.163753</v>
      </c>
      <c r="G1832" t="inlineStr">
        <is>
          <t>calculado</t>
        </is>
      </c>
      <c r="H1832" t="inlineStr">
        <is>
          <t>IEE 5.1127 % con cuota mínima 1 €/MWh (RDL 7/2026 art. 40.Dos (junio: condición IPC de abril)) + IVA 21 % (RDL 7/2026 art. 42 (junio: condición IPC de abril))</t>
        </is>
      </c>
      <c r="J1832" t="inlineStr">
        <is>
          <t>2026-06-01</t>
        </is>
      </c>
      <c r="K1832" t="inlineStr">
        <is>
          <t>ESIOS 1001 geo 8741</t>
        </is>
      </c>
      <c r="L1832" t="inlineStr">
        <is>
          <t>24 valores; mín 58.42, máx 231.09 €/MWh</t>
        </is>
      </c>
    </row>
    <row r="1833">
      <c r="A1833" s="53" t="n">
        <v>46176</v>
      </c>
      <c r="B1833" t="inlineStr">
        <is>
          <t>2026-06-03</t>
        </is>
      </c>
      <c r="C1833" s="45" t="n">
        <v>131.7988</v>
      </c>
      <c r="D1833" t="inlineStr">
        <is>
          <t>€/MWh</t>
        </is>
      </c>
      <c r="E1833" s="54" t="n">
        <v>0.131799</v>
      </c>
      <c r="F1833" s="54" t="n">
        <v>0.16763</v>
      </c>
      <c r="G1833" t="inlineStr">
        <is>
          <t>calculado</t>
        </is>
      </c>
      <c r="H1833" t="inlineStr">
        <is>
          <t>IEE 5.1127 % con cuota mínima 1 €/MWh (RDL 7/2026 art. 40.Dos (junio: condición IPC de abril)) + IVA 21 % (RDL 7/2026 art. 42 (junio: condición IPC de abril))</t>
        </is>
      </c>
      <c r="J1833" t="inlineStr">
        <is>
          <t>2026-06-02</t>
        </is>
      </c>
      <c r="K1833" t="inlineStr">
        <is>
          <t>ESIOS 1001 geo 8741</t>
        </is>
      </c>
      <c r="L1833" t="inlineStr">
        <is>
          <t>24 valores; mín 52.39, máx 286.28 €/MWh</t>
        </is>
      </c>
    </row>
    <row r="1834">
      <c r="A1834" s="53" t="n">
        <v>46177</v>
      </c>
      <c r="B1834" t="inlineStr">
        <is>
          <t>2026-06-04</t>
        </is>
      </c>
      <c r="C1834" s="45" t="n">
        <v>131.7521</v>
      </c>
      <c r="D1834" t="inlineStr">
        <is>
          <t>€/MWh</t>
        </is>
      </c>
      <c r="E1834" s="54" t="n">
        <v>0.131752</v>
      </c>
      <c r="F1834" s="54" t="n">
        <v>0.167571</v>
      </c>
      <c r="G1834" t="inlineStr">
        <is>
          <t>calculado</t>
        </is>
      </c>
      <c r="H1834" t="inlineStr">
        <is>
          <t>IEE 5.1127 % con cuota mínima 1 €/MWh (RDL 7/2026 art. 40.Dos (junio: condición IPC de abril)) + IVA 21 % (RDL 7/2026 art. 42 (junio: condición IPC de abril))</t>
        </is>
      </c>
      <c r="J1834" t="inlineStr">
        <is>
          <t>2026-06-03</t>
        </is>
      </c>
      <c r="K1834" t="inlineStr">
        <is>
          <t>ESIOS 1001 geo 8741</t>
        </is>
      </c>
      <c r="L1834" t="inlineStr">
        <is>
          <t>24 valores; mín 60.53, máx 228.61 €/MWh</t>
        </is>
      </c>
    </row>
    <row r="1835">
      <c r="A1835" s="53" t="n">
        <v>46178</v>
      </c>
      <c r="B1835" t="inlineStr">
        <is>
          <t>2026-06-05</t>
        </is>
      </c>
      <c r="C1835" s="45" t="n">
        <v>137.1217</v>
      </c>
      <c r="D1835" t="inlineStr">
        <is>
          <t>€/MWh</t>
        </is>
      </c>
      <c r="E1835" s="54" t="n">
        <v>0.137122</v>
      </c>
      <c r="F1835" s="54" t="n">
        <v>0.1744</v>
      </c>
      <c r="G1835" t="inlineStr">
        <is>
          <t>calculado</t>
        </is>
      </c>
      <c r="H1835" t="inlineStr">
        <is>
          <t>IEE 5.1127 % con cuota mínima 1 €/MWh (RDL 7/2026 art. 40.Dos (junio: condición IPC de abril)) + IVA 21 % (RDL 7/2026 art. 42 (junio: condición IPC de abril))</t>
        </is>
      </c>
      <c r="J1835" t="inlineStr">
        <is>
          <t>2026-06-04</t>
        </is>
      </c>
      <c r="K1835" t="inlineStr">
        <is>
          <t>ESIOS 1001 geo 8741</t>
        </is>
      </c>
      <c r="L1835" t="inlineStr">
        <is>
          <t>24 valores; mín 57.75, máx 268.14 €/MWh</t>
        </is>
      </c>
    </row>
    <row r="1836">
      <c r="A1836" s="53" t="n">
        <v>46179</v>
      </c>
      <c r="B1836" t="inlineStr">
        <is>
          <t>2026-06-06</t>
        </is>
      </c>
      <c r="C1836" s="45" t="n">
        <v>90.06789999999999</v>
      </c>
      <c r="D1836" t="inlineStr">
        <is>
          <t>€/MWh</t>
        </is>
      </c>
      <c r="E1836" s="54" t="n">
        <v>0.090068</v>
      </c>
      <c r="F1836" s="54" t="n">
        <v>0.114554</v>
      </c>
      <c r="G1836" t="inlineStr">
        <is>
          <t>calculado</t>
        </is>
      </c>
      <c r="H1836" t="inlineStr">
        <is>
          <t>IEE 5.1127 % con cuota mínima 1 €/MWh (RDL 7/2026 art. 40.Dos (junio: condición IPC de abril)) + IVA 21 % (RDL 7/2026 art. 42 (junio: condición IPC de abril))</t>
        </is>
      </c>
      <c r="J1836" t="inlineStr">
        <is>
          <t>2026-06-05</t>
        </is>
      </c>
      <c r="K1836" t="inlineStr">
        <is>
          <t>ESIOS 1001 geo 8741</t>
        </is>
      </c>
      <c r="L1836" t="inlineStr">
        <is>
          <t>24 valores; mín 23.99, máx 159.43 €/MWh</t>
        </is>
      </c>
    </row>
    <row r="1837">
      <c r="A1837" s="53" t="n">
        <v>46180</v>
      </c>
      <c r="B1837" t="inlineStr">
        <is>
          <t>2026-06-07</t>
        </is>
      </c>
      <c r="C1837" s="45" t="n">
        <v>93.4821</v>
      </c>
      <c r="D1837" t="inlineStr">
        <is>
          <t>€/MWh</t>
        </is>
      </c>
      <c r="E1837" s="54" t="n">
        <v>0.093482</v>
      </c>
      <c r="F1837" s="54" t="n">
        <v>0.118896</v>
      </c>
      <c r="G1837" t="inlineStr">
        <is>
          <t>calculado</t>
        </is>
      </c>
      <c r="H1837" t="inlineStr">
        <is>
          <t>IEE 5.1127 % con cuota mínima 1 €/MWh (RDL 7/2026 art. 40.Dos (junio: condición IPC de abril)) + IVA 21 % (RDL 7/2026 art. 42 (junio: condición IPC de abril))</t>
        </is>
      </c>
      <c r="J1837" t="inlineStr">
        <is>
          <t>2026-06-06</t>
        </is>
      </c>
      <c r="K1837" t="inlineStr">
        <is>
          <t>ESIOS 1001 geo 8741</t>
        </is>
      </c>
      <c r="L1837" t="inlineStr">
        <is>
          <t>24 valores; mín 29.00, máx 170.35 €/MWh</t>
        </is>
      </c>
    </row>
    <row r="1838">
      <c r="A1838" s="53" t="n">
        <v>46181</v>
      </c>
      <c r="B1838" t="inlineStr">
        <is>
          <t>2026-06-08</t>
        </is>
      </c>
      <c r="C1838" s="45" t="n">
        <v>134.9537</v>
      </c>
      <c r="D1838" t="inlineStr">
        <is>
          <t>€/MWh</t>
        </is>
      </c>
      <c r="E1838" s="54" t="n">
        <v>0.134954</v>
      </c>
      <c r="F1838" s="54" t="n">
        <v>0.171643</v>
      </c>
      <c r="G1838" t="inlineStr">
        <is>
          <t>calculado</t>
        </is>
      </c>
      <c r="H1838" t="inlineStr">
        <is>
          <t>IEE 5.1127 % con cuota mínima 1 €/MWh (RDL 7/2026 art. 40.Dos (junio: condición IPC de abril)) + IVA 21 % (RDL 7/2026 art. 42 (junio: condición IPC de abril))</t>
        </is>
      </c>
      <c r="J1838" t="inlineStr">
        <is>
          <t>2026-06-07</t>
        </is>
      </c>
      <c r="K1838" t="inlineStr">
        <is>
          <t>ESIOS 1001 geo 8741</t>
        </is>
      </c>
      <c r="L1838" t="inlineStr">
        <is>
          <t>24 valores; mín 56.09, máx 245.91 €/MWh</t>
        </is>
      </c>
    </row>
    <row r="1839">
      <c r="A1839" s="53" t="n">
        <v>46182</v>
      </c>
      <c r="B1839" t="inlineStr">
        <is>
          <t>2026-06-09</t>
        </is>
      </c>
      <c r="C1839" s="45" t="n">
        <v>128.7933</v>
      </c>
      <c r="D1839" t="inlineStr">
        <is>
          <t>€/MWh</t>
        </is>
      </c>
      <c r="E1839" s="54" t="n">
        <v>0.128793</v>
      </c>
      <c r="F1839" s="54" t="n">
        <v>0.163808</v>
      </c>
      <c r="G1839" t="inlineStr">
        <is>
          <t>calculado</t>
        </is>
      </c>
      <c r="H1839" t="inlineStr">
        <is>
          <t>IEE 5.1127 % con cuota mínima 1 €/MWh (RDL 7/2026 art. 40.Dos (junio: condición IPC de abril)) + IVA 21 % (RDL 7/2026 art. 42 (junio: condición IPC de abril))</t>
        </is>
      </c>
      <c r="J1839" t="inlineStr">
        <is>
          <t>2026-06-08</t>
        </is>
      </c>
      <c r="K1839" t="inlineStr">
        <is>
          <t>ESIOS 1001 geo 8741</t>
        </is>
      </c>
      <c r="L1839" t="inlineStr">
        <is>
          <t>24 valores; mín 59.17, máx 265.33 €/MWh</t>
        </is>
      </c>
    </row>
    <row r="1840">
      <c r="A1840" s="53" t="n">
        <v>46183</v>
      </c>
      <c r="B1840" t="inlineStr">
        <is>
          <t>2026-06-10</t>
        </is>
      </c>
      <c r="C1840" s="45" t="n">
        <v>127.0767</v>
      </c>
      <c r="D1840" t="inlineStr">
        <is>
          <t>€/MWh</t>
        </is>
      </c>
      <c r="E1840" s="54" t="n">
        <v>0.127077</v>
      </c>
      <c r="F1840" s="54" t="n">
        <v>0.161624</v>
      </c>
      <c r="G1840" t="inlineStr">
        <is>
          <t>calculado</t>
        </is>
      </c>
      <c r="H1840" t="inlineStr">
        <is>
          <t>IEE 5.1127 % con cuota mínima 1 €/MWh (RDL 7/2026 art. 40.Dos (junio: condición IPC de abril)) + IVA 21 % (RDL 7/2026 art. 42 (junio: condición IPC de abril))</t>
        </is>
      </c>
      <c r="J1840" t="inlineStr">
        <is>
          <t>2026-06-09</t>
        </is>
      </c>
      <c r="K1840" t="inlineStr">
        <is>
          <t>ESIOS 1001 geo 8741</t>
        </is>
      </c>
      <c r="L1840" t="inlineStr">
        <is>
          <t>24 valores; mín 71.66, máx 239.63 €/MWh</t>
        </is>
      </c>
    </row>
    <row r="1841">
      <c r="A1841" s="53" t="n">
        <v>46184</v>
      </c>
      <c r="B1841" t="inlineStr">
        <is>
          <t>2026-06-11</t>
        </is>
      </c>
      <c r="C1841" s="45" t="n">
        <v>123.9762</v>
      </c>
      <c r="D1841" t="inlineStr">
        <is>
          <t>€/MWh</t>
        </is>
      </c>
      <c r="E1841" s="54" t="n">
        <v>0.123976</v>
      </c>
      <c r="F1841" s="54" t="n">
        <v>0.157681</v>
      </c>
      <c r="G1841" t="inlineStr">
        <is>
          <t>calculado</t>
        </is>
      </c>
      <c r="H1841" t="inlineStr">
        <is>
          <t>IEE 5.1127 % con cuota mínima 1 €/MWh (RDL 7/2026 art. 40.Dos (junio: condición IPC de abril)) + IVA 21 % (RDL 7/2026 art. 42 (junio: condición IPC de abril))</t>
        </is>
      </c>
      <c r="J1841" t="inlineStr">
        <is>
          <t>2026-06-10</t>
        </is>
      </c>
      <c r="K1841" t="inlineStr">
        <is>
          <t>ESIOS 1001 geo 8741</t>
        </is>
      </c>
      <c r="L1841" t="inlineStr">
        <is>
          <t>24 valores; mín 70.95, máx 268.22 €/MWh</t>
        </is>
      </c>
    </row>
    <row r="1842">
      <c r="A1842" s="53" t="n">
        <v>46185</v>
      </c>
      <c r="B1842" t="inlineStr">
        <is>
          <t>2026-06-12</t>
        </is>
      </c>
      <c r="C1842" s="45" t="n">
        <v>122.4971</v>
      </c>
      <c r="D1842" t="inlineStr">
        <is>
          <t>€/MWh</t>
        </is>
      </c>
      <c r="E1842" s="54" t="n">
        <v>0.122497</v>
      </c>
      <c r="F1842" s="54" t="n">
        <v>0.1558</v>
      </c>
      <c r="G1842" t="inlineStr">
        <is>
          <t>calculado</t>
        </is>
      </c>
      <c r="H1842" t="inlineStr">
        <is>
          <t>IEE 5.1127 % con cuota mínima 1 €/MWh (RDL 7/2026 art. 40.Dos (junio: condición IPC de abril)) + IVA 21 % (RDL 7/2026 art. 42 (junio: condición IPC de abril))</t>
        </is>
      </c>
      <c r="J1842" t="inlineStr">
        <is>
          <t>2026-06-11</t>
        </is>
      </c>
      <c r="K1842" t="inlineStr">
        <is>
          <t>ESIOS 1001 geo 8741</t>
        </is>
      </c>
      <c r="L1842" t="inlineStr">
        <is>
          <t>24 valores; mín 72.14, máx 272.20 €/MWh</t>
        </is>
      </c>
    </row>
    <row r="1843">
      <c r="A1843" s="53" t="n">
        <v>46186</v>
      </c>
      <c r="B1843" t="inlineStr">
        <is>
          <t>2026-06-13</t>
        </is>
      </c>
      <c r="C1843" s="45" t="n">
        <v>84.77460000000001</v>
      </c>
      <c r="D1843" t="inlineStr">
        <is>
          <t>€/MWh</t>
        </is>
      </c>
      <c r="E1843" s="54" t="n">
        <v>0.084775</v>
      </c>
      <c r="F1843" s="54" t="n">
        <v>0.107822</v>
      </c>
      <c r="G1843" t="inlineStr">
        <is>
          <t>calculado</t>
        </is>
      </c>
      <c r="H1843" t="inlineStr">
        <is>
          <t>IEE 5.1127 % con cuota mínima 1 €/MWh (RDL 7/2026 art. 40.Dos (junio: condición IPC de abril)) + IVA 21 % (RDL 7/2026 art. 42 (junio: condición IPC de abril))</t>
        </is>
      </c>
      <c r="J1843" t="inlineStr">
        <is>
          <t>2026-06-12</t>
        </is>
      </c>
      <c r="K1843" t="inlineStr">
        <is>
          <t>ESIOS 1001 geo 8741</t>
        </is>
      </c>
      <c r="L1843" t="inlineStr">
        <is>
          <t>24 valores; mín 28.76, máx 182.46 €/MWh</t>
        </is>
      </c>
    </row>
    <row r="1844">
      <c r="A1844" s="53" t="n">
        <v>46187</v>
      </c>
      <c r="B1844" t="inlineStr">
        <is>
          <t>2026-06-14</t>
        </is>
      </c>
      <c r="C1844" s="45" t="n">
        <v>92.86709999999999</v>
      </c>
      <c r="D1844" t="inlineStr">
        <is>
          <t>€/MWh</t>
        </is>
      </c>
      <c r="E1844" s="54" t="n">
        <v>0.09286700000000001</v>
      </c>
      <c r="F1844" s="54" t="n">
        <v>0.118114</v>
      </c>
      <c r="G1844" t="inlineStr">
        <is>
          <t>calculado</t>
        </is>
      </c>
      <c r="H1844" t="inlineStr">
        <is>
          <t>IEE 5.1127 % con cuota mínima 1 €/MWh (RDL 7/2026 art. 40.Dos (junio: condición IPC de abril)) + IVA 21 % (RDL 7/2026 art. 42 (junio: condición IPC de abril))</t>
        </is>
      </c>
      <c r="J1844" t="inlineStr">
        <is>
          <t>2026-06-13</t>
        </is>
      </c>
      <c r="K1844" t="inlineStr">
        <is>
          <t>ESIOS 1001 geo 8741</t>
        </is>
      </c>
      <c r="L1844" t="inlineStr">
        <is>
          <t>24 valores; mín 17.07, máx 192.44 €/MWh</t>
        </is>
      </c>
    </row>
    <row r="1845">
      <c r="A1845" s="53" t="n">
        <v>46188</v>
      </c>
      <c r="B1845" t="inlineStr">
        <is>
          <t>2026-06-15</t>
        </is>
      </c>
      <c r="C1845" s="45" t="n">
        <v>146.4613</v>
      </c>
      <c r="D1845" t="inlineStr">
        <is>
          <t>€/MWh</t>
        </is>
      </c>
      <c r="E1845" s="54" t="n">
        <v>0.146461</v>
      </c>
      <c r="F1845" s="54" t="n">
        <v>0.186279</v>
      </c>
      <c r="G1845" t="inlineStr">
        <is>
          <t>calculado</t>
        </is>
      </c>
      <c r="H1845" t="inlineStr">
        <is>
          <t>IEE 5.1127 % con cuota mínima 1 €/MWh (RDL 7/2026 art. 40.Dos (junio: condición IPC de abril)) + IVA 21 % (RDL 7/2026 art. 42 (junio: condición IPC de abril))</t>
        </is>
      </c>
      <c r="J1845" t="inlineStr">
        <is>
          <t>2026-06-14</t>
        </is>
      </c>
      <c r="K1845" t="inlineStr">
        <is>
          <t>ESIOS 1001 geo 8741</t>
        </is>
      </c>
      <c r="L1845" t="inlineStr">
        <is>
          <t>24 valores; mín 28.74, máx 291.44 €/MWh</t>
        </is>
      </c>
    </row>
    <row r="1846">
      <c r="A1846" s="53" t="n">
        <v>46189</v>
      </c>
      <c r="B1846" t="inlineStr">
        <is>
          <t>2026-06-16</t>
        </is>
      </c>
      <c r="C1846" s="45" t="n">
        <v>153.9758</v>
      </c>
      <c r="D1846" t="inlineStr">
        <is>
          <t>€/MWh</t>
        </is>
      </c>
      <c r="E1846" s="54" t="n">
        <v>0.153976</v>
      </c>
      <c r="F1846" s="54" t="n">
        <v>0.195836</v>
      </c>
      <c r="G1846" t="inlineStr">
        <is>
          <t>calculado</t>
        </is>
      </c>
      <c r="H1846" t="inlineStr">
        <is>
          <t>IEE 5.1127 % con cuota mínima 1 €/MWh (RDL 7/2026 art. 40.Dos (junio: condición IPC de abril)) + IVA 21 % (RDL 7/2026 art. 42 (junio: condición IPC de abril))</t>
        </is>
      </c>
      <c r="J1846" t="inlineStr">
        <is>
          <t>2026-06-15</t>
        </is>
      </c>
      <c r="K1846" t="inlineStr">
        <is>
          <t>ESIOS 1001 geo 8741</t>
        </is>
      </c>
      <c r="L1846" t="inlineStr">
        <is>
          <t>24 valores; mín 50.46, máx 279.83 €/MWh</t>
        </is>
      </c>
    </row>
    <row r="1847">
      <c r="A1847" s="53" t="n">
        <v>46190</v>
      </c>
      <c r="B1847" t="inlineStr">
        <is>
          <t>2026-06-17</t>
        </is>
      </c>
      <c r="C1847" s="45" t="n">
        <v>147.8354</v>
      </c>
      <c r="D1847" t="inlineStr">
        <is>
          <t>€/MWh</t>
        </is>
      </c>
      <c r="E1847" s="54" t="n">
        <v>0.147835</v>
      </c>
      <c r="F1847" s="54" t="n">
        <v>0.188026</v>
      </c>
      <c r="G1847" t="inlineStr">
        <is>
          <t>calculado</t>
        </is>
      </c>
      <c r="H1847" t="inlineStr">
        <is>
          <t>IEE 5.1127 % con cuota mínima 1 €/MWh (RDL 7/2026 art. 40.Dos (junio: condición IPC de abril)) + IVA 21 % (RDL 7/2026 art. 42 (junio: condición IPC de abril))</t>
        </is>
      </c>
      <c r="J1847" t="inlineStr">
        <is>
          <t>2026-06-16</t>
        </is>
      </c>
      <c r="K1847" t="inlineStr">
        <is>
          <t>ESIOS 1001 geo 8741</t>
        </is>
      </c>
      <c r="L1847" t="inlineStr">
        <is>
          <t>24 valores; mín 62.64, máx 266.26 €/MWh</t>
        </is>
      </c>
    </row>
    <row r="1848">
      <c r="A1848" s="53" t="n">
        <v>46191</v>
      </c>
      <c r="B1848" t="inlineStr">
        <is>
          <t>2026-06-18</t>
        </is>
      </c>
      <c r="C1848" s="45" t="n">
        <v>150.6846</v>
      </c>
      <c r="D1848" t="inlineStr">
        <is>
          <t>€/MWh</t>
        </is>
      </c>
      <c r="E1848" s="54" t="n">
        <v>0.150685</v>
      </c>
      <c r="F1848" s="54" t="n">
        <v>0.19165</v>
      </c>
      <c r="G1848" t="inlineStr">
        <is>
          <t>calculado</t>
        </is>
      </c>
      <c r="H1848" t="inlineStr">
        <is>
          <t>IEE 5.1127 % con cuota mínima 1 €/MWh (RDL 7/2026 art. 40.Dos (junio: condición IPC de abril)) + IVA 21 % (RDL 7/2026 art. 42 (junio: condición IPC de abril))</t>
        </is>
      </c>
      <c r="J1848" t="inlineStr">
        <is>
          <t>2026-06-17</t>
        </is>
      </c>
      <c r="K1848" t="inlineStr">
        <is>
          <t>ESIOS 1001 geo 8741</t>
        </is>
      </c>
      <c r="L1848" t="inlineStr">
        <is>
          <t>24 valores; mín 51.93, máx 265.14 €/MWh</t>
        </is>
      </c>
    </row>
    <row r="1849">
      <c r="A1849" s="53" t="n">
        <v>46192</v>
      </c>
      <c r="B1849" t="inlineStr">
        <is>
          <t>2026-06-19</t>
        </is>
      </c>
      <c r="C1849" s="45" t="n">
        <v>142.4179</v>
      </c>
      <c r="D1849" t="inlineStr">
        <is>
          <t>€/MWh</t>
        </is>
      </c>
      <c r="E1849" s="54" t="n">
        <v>0.142418</v>
      </c>
      <c r="F1849" s="54" t="n">
        <v>0.181136</v>
      </c>
      <c r="G1849" t="inlineStr">
        <is>
          <t>calculado</t>
        </is>
      </c>
      <c r="H1849" t="inlineStr">
        <is>
          <t>IEE 5.1127 % con cuota mínima 1 €/MWh (RDL 7/2026 art. 40.Dos (junio: condición IPC de abril)) + IVA 21 % (RDL 7/2026 art. 42 (junio: condición IPC de abril))</t>
        </is>
      </c>
      <c r="J1849" t="inlineStr">
        <is>
          <t>2026-06-18</t>
        </is>
      </c>
      <c r="K1849" t="inlineStr">
        <is>
          <t>ESIOS 1001 geo 8741</t>
        </is>
      </c>
      <c r="L1849" t="inlineStr">
        <is>
          <t>24 valores; mín 34.89, máx 265.25 €/MWh</t>
        </is>
      </c>
    </row>
    <row r="1850">
      <c r="A1850" s="53" t="n">
        <v>46193</v>
      </c>
      <c r="B1850" t="inlineStr">
        <is>
          <t>2026-06-20</t>
        </is>
      </c>
      <c r="C1850" s="45" t="n">
        <v>92.4104</v>
      </c>
      <c r="D1850" t="inlineStr">
        <is>
          <t>€/MWh</t>
        </is>
      </c>
      <c r="E1850" s="54" t="n">
        <v>0.09241000000000001</v>
      </c>
      <c r="F1850" s="54" t="n">
        <v>0.117533</v>
      </c>
      <c r="G1850" t="inlineStr">
        <is>
          <t>calculado</t>
        </is>
      </c>
      <c r="H1850" t="inlineStr">
        <is>
          <t>IEE 5.1127 % con cuota mínima 1 €/MWh (RDL 7/2026 art. 40.Dos (junio: condición IPC de abril)) + IVA 21 % (RDL 7/2026 art. 42 (junio: condición IPC de abril))</t>
        </is>
      </c>
      <c r="J1850" t="inlineStr">
        <is>
          <t>2026-06-19</t>
        </is>
      </c>
      <c r="K1850" t="inlineStr">
        <is>
          <t>ESIOS 1001 geo 8741</t>
        </is>
      </c>
      <c r="L1850" t="inlineStr">
        <is>
          <t>24 valores; mín 16.23, máx 170.24 €/MWh</t>
        </is>
      </c>
    </row>
    <row r="1851">
      <c r="A1851" s="53" t="n">
        <v>46194</v>
      </c>
      <c r="B1851" t="inlineStr">
        <is>
          <t>2026-06-21</t>
        </is>
      </c>
      <c r="C1851" s="45" t="n">
        <v>91.7967</v>
      </c>
      <c r="D1851" t="inlineStr">
        <is>
          <t>€/MWh</t>
        </is>
      </c>
      <c r="E1851" s="54" t="n">
        <v>0.091797</v>
      </c>
      <c r="F1851" s="54" t="n">
        <v>0.116753</v>
      </c>
      <c r="G1851" t="inlineStr">
        <is>
          <t>calculado</t>
        </is>
      </c>
      <c r="H1851" t="inlineStr">
        <is>
          <t>IEE 5.1127 % con cuota mínima 1 €/MWh (RDL 7/2026 art. 40.Dos (junio: condición IPC de abril)) + IVA 21 % (RDL 7/2026 art. 42 (junio: condición IPC de abril))</t>
        </is>
      </c>
      <c r="J1851" t="inlineStr">
        <is>
          <t>2026-06-20</t>
        </is>
      </c>
      <c r="K1851" t="inlineStr">
        <is>
          <t>ESIOS 1001 geo 8741</t>
        </is>
      </c>
      <c r="L1851" t="inlineStr">
        <is>
          <t>24 valores; mín 25.92, máx 193.27 €/MWh</t>
        </is>
      </c>
    </row>
    <row r="1852">
      <c r="A1852" s="53" t="n">
        <v>46195</v>
      </c>
      <c r="B1852" t="inlineStr">
        <is>
          <t>2026-06-22</t>
        </is>
      </c>
      <c r="C1852" s="45" t="n">
        <v>160.3117</v>
      </c>
      <c r="D1852" t="inlineStr">
        <is>
          <t>€/MWh</t>
        </is>
      </c>
      <c r="E1852" s="54" t="n">
        <v>0.160312</v>
      </c>
      <c r="F1852" s="54" t="n">
        <v>0.203895</v>
      </c>
      <c r="G1852" t="inlineStr">
        <is>
          <t>calculado</t>
        </is>
      </c>
      <c r="H1852" t="inlineStr">
        <is>
          <t>IEE 5.1127 % con cuota mínima 1 €/MWh (RDL 7/2026 art. 40.Dos (junio: condición IPC de abril)) + IVA 21 % (RDL 7/2026 art. 42 (junio: condición IPC de abril))</t>
        </is>
      </c>
      <c r="J1852" t="inlineStr">
        <is>
          <t>2026-06-21</t>
        </is>
      </c>
      <c r="K1852" t="inlineStr">
        <is>
          <t>ESIOS 1001 geo 8741</t>
        </is>
      </c>
      <c r="L1852" t="inlineStr">
        <is>
          <t>24 valores; mín 82.08, máx 317.80 €/MWh</t>
        </is>
      </c>
    </row>
    <row r="1853">
      <c r="A1853" s="53" t="n">
        <v>46196</v>
      </c>
      <c r="B1853" t="inlineStr">
        <is>
          <t>2026-06-23</t>
        </is>
      </c>
      <c r="C1853" s="45" t="n">
        <v>164.0337</v>
      </c>
      <c r="D1853" t="inlineStr">
        <is>
          <t>€/MWh</t>
        </is>
      </c>
      <c r="E1853" s="54" t="n">
        <v>0.164034</v>
      </c>
      <c r="F1853" s="54" t="n">
        <v>0.208628</v>
      </c>
      <c r="G1853" t="inlineStr">
        <is>
          <t>calculado</t>
        </is>
      </c>
      <c r="H1853" t="inlineStr">
        <is>
          <t>IEE 5.1127 % con cuota mínima 1 €/MWh (RDL 7/2026 art. 40.Dos (junio: condición IPC de abril)) + IVA 21 % (RDL 7/2026 art. 42 (junio: condición IPC de abril))</t>
        </is>
      </c>
      <c r="J1853" t="inlineStr">
        <is>
          <t>2026-06-22</t>
        </is>
      </c>
      <c r="K1853" t="inlineStr">
        <is>
          <t>ESIOS 1001 geo 8741</t>
        </is>
      </c>
      <c r="L1853" t="inlineStr">
        <is>
          <t>24 valores; mín 109.03, máx 299.17 €/MWh</t>
        </is>
      </c>
    </row>
    <row r="1854">
      <c r="A1854" s="53" t="n">
        <v>46197</v>
      </c>
      <c r="B1854" t="inlineStr">
        <is>
          <t>2026-06-24</t>
        </is>
      </c>
      <c r="C1854" s="45" t="n">
        <v>157.1692</v>
      </c>
      <c r="D1854" t="inlineStr">
        <is>
          <t>€/MWh</t>
        </is>
      </c>
      <c r="E1854" s="54" t="n">
        <v>0.157169</v>
      </c>
      <c r="F1854" s="54" t="n">
        <v>0.199898</v>
      </c>
      <c r="G1854" t="inlineStr">
        <is>
          <t>calculado</t>
        </is>
      </c>
      <c r="H1854" t="inlineStr">
        <is>
          <t>IEE 5.1127 % con cuota mínima 1 €/MWh (RDL 7/2026 art. 40.Dos (junio: condición IPC de abril)) + IVA 21 % (RDL 7/2026 art. 42 (junio: condición IPC de abril))</t>
        </is>
      </c>
      <c r="J1854" t="inlineStr">
        <is>
          <t>2026-06-23</t>
        </is>
      </c>
      <c r="K1854" t="inlineStr">
        <is>
          <t>ESIOS 1001 geo 8741</t>
        </is>
      </c>
      <c r="L1854" t="inlineStr">
        <is>
          <t>24 valores; mín 68.59, máx 270.96 €/MWh</t>
        </is>
      </c>
    </row>
    <row r="1855">
      <c r="A1855" s="53" t="n">
        <v>46198</v>
      </c>
      <c r="B1855" t="inlineStr">
        <is>
          <t>2026-06-25</t>
        </is>
      </c>
      <c r="C1855" s="45" t="n">
        <v>146.4242</v>
      </c>
      <c r="D1855" t="inlineStr">
        <is>
          <t>€/MWh</t>
        </is>
      </c>
      <c r="E1855" s="54" t="n">
        <v>0.146424</v>
      </c>
      <c r="F1855" s="54" t="n">
        <v>0.186232</v>
      </c>
      <c r="G1855" t="inlineStr">
        <is>
          <t>calculado</t>
        </is>
      </c>
      <c r="H1855" t="inlineStr">
        <is>
          <t>IEE 5.1127 % con cuota mínima 1 €/MWh (RDL 7/2026 art. 40.Dos (junio: condición IPC de abril)) + IVA 21 % (RDL 7/2026 art. 42 (junio: condición IPC de abril))</t>
        </is>
      </c>
      <c r="J1855" t="inlineStr">
        <is>
          <t>2026-06-24</t>
        </is>
      </c>
      <c r="K1855" t="inlineStr">
        <is>
          <t>ESIOS 1001 geo 8741</t>
        </is>
      </c>
      <c r="L1855" t="inlineStr">
        <is>
          <t>24 valores; mín 40.56, máx 278.71 €/MWh</t>
        </is>
      </c>
    </row>
    <row r="1856">
      <c r="A1856" s="53" t="n">
        <v>46199</v>
      </c>
      <c r="B1856" t="inlineStr">
        <is>
          <t>2026-06-26</t>
        </is>
      </c>
      <c r="C1856" s="45" t="n">
        <v>150.305</v>
      </c>
      <c r="D1856" t="inlineStr">
        <is>
          <t>€/MWh</t>
        </is>
      </c>
      <c r="E1856" s="54" t="n">
        <v>0.150305</v>
      </c>
      <c r="F1856" s="54" t="n">
        <v>0.191167</v>
      </c>
      <c r="G1856" t="inlineStr">
        <is>
          <t>calculado</t>
        </is>
      </c>
      <c r="H1856" t="inlineStr">
        <is>
          <t>IEE 5.1127 % con cuota mínima 1 €/MWh (RDL 7/2026 art. 40.Dos (junio: condición IPC de abril)) + IVA 21 % (RDL 7/2026 art. 42 (junio: condición IPC de abril))</t>
        </is>
      </c>
      <c r="J1856" t="inlineStr">
        <is>
          <t>2026-06-25</t>
        </is>
      </c>
      <c r="K1856" t="inlineStr">
        <is>
          <t>ESIOS 1001 geo 8741</t>
        </is>
      </c>
      <c r="L1856" t="inlineStr">
        <is>
          <t>24 valores; mín 43.89, máx 279.60 €/MWh</t>
        </is>
      </c>
    </row>
    <row r="1857">
      <c r="A1857" s="53" t="n">
        <v>46200</v>
      </c>
      <c r="B1857" t="inlineStr">
        <is>
          <t>2026-06-27</t>
        </is>
      </c>
      <c r="C1857" s="45" t="n">
        <v>97.8817</v>
      </c>
      <c r="D1857" t="inlineStr">
        <is>
          <t>€/MWh</t>
        </is>
      </c>
      <c r="E1857" s="54" t="n">
        <v>0.097882</v>
      </c>
      <c r="F1857" s="54" t="n">
        <v>0.124492</v>
      </c>
      <c r="G1857" t="inlineStr">
        <is>
          <t>calculado</t>
        </is>
      </c>
      <c r="H1857" t="inlineStr">
        <is>
          <t>IEE 5.1127 % con cuota mínima 1 €/MWh (RDL 7/2026 art. 40.Dos (junio: condición IPC de abril)) + IVA 21 % (RDL 7/2026 art. 42 (junio: condición IPC de abril))</t>
        </is>
      </c>
      <c r="J1857" t="inlineStr">
        <is>
          <t>2026-06-26</t>
        </is>
      </c>
      <c r="K1857" t="inlineStr">
        <is>
          <t>ESIOS 1001 geo 8741</t>
        </is>
      </c>
      <c r="L1857" t="inlineStr">
        <is>
          <t>24 valores; mín 17.56, máx 192.46 €/MWh</t>
        </is>
      </c>
    </row>
    <row r="1858">
      <c r="A1858" s="53" t="n">
        <v>46201</v>
      </c>
      <c r="B1858" t="inlineStr">
        <is>
          <t>2026-06-28</t>
        </is>
      </c>
      <c r="C1858" s="45" t="n">
        <v>99.3608</v>
      </c>
      <c r="D1858" t="inlineStr">
        <is>
          <t>€/MWh</t>
        </is>
      </c>
      <c r="E1858" s="54" t="n">
        <v>0.099361</v>
      </c>
      <c r="F1858" s="54" t="n">
        <v>0.126373</v>
      </c>
      <c r="G1858" t="inlineStr">
        <is>
          <t>calculado</t>
        </is>
      </c>
      <c r="H1858" t="inlineStr">
        <is>
          <t>IEE 5.1127 % con cuota mínima 1 €/MWh (RDL 7/2026 art. 40.Dos (junio: condición IPC de abril)) + IVA 21 % (RDL 7/2026 art. 42 (junio: condición IPC de abril))</t>
        </is>
      </c>
      <c r="J1858" t="inlineStr">
        <is>
          <t>2026-06-27</t>
        </is>
      </c>
      <c r="K1858" t="inlineStr">
        <is>
          <t>ESIOS 1001 geo 8741</t>
        </is>
      </c>
      <c r="L1858" t="inlineStr">
        <is>
          <t>24 valores; mín 19.94, máx 180.57 €/MWh</t>
        </is>
      </c>
    </row>
    <row r="1859">
      <c r="A1859" s="53" t="n">
        <v>46202</v>
      </c>
      <c r="B1859" t="inlineStr">
        <is>
          <t>2026-06-29</t>
        </is>
      </c>
      <c r="C1859" s="45" t="n">
        <v>150.4583</v>
      </c>
      <c r="D1859" t="inlineStr">
        <is>
          <t>€/MWh</t>
        </is>
      </c>
      <c r="E1859" s="54" t="n">
        <v>0.150458</v>
      </c>
      <c r="F1859" s="54" t="n">
        <v>0.191362</v>
      </c>
      <c r="G1859" t="inlineStr">
        <is>
          <t>calculado</t>
        </is>
      </c>
      <c r="H1859" t="inlineStr">
        <is>
          <t>IEE 5.1127 % con cuota mínima 1 €/MWh (RDL 7/2026 art. 40.Dos (junio: condición IPC de abril)) + IVA 21 % (RDL 7/2026 art. 42 (junio: condición IPC de abril))</t>
        </is>
      </c>
      <c r="J1859" t="inlineStr">
        <is>
          <t>2026-06-28</t>
        </is>
      </c>
      <c r="K1859" t="inlineStr">
        <is>
          <t>ESIOS 1001 geo 8741</t>
        </is>
      </c>
      <c r="L1859" t="inlineStr">
        <is>
          <t>24 valores; mín 80.98, máx 282.31 €/MWh</t>
        </is>
      </c>
    </row>
    <row r="1860">
      <c r="A1860" s="53" t="n">
        <v>46203</v>
      </c>
      <c r="B1860" t="inlineStr">
        <is>
          <t>2026-06-30</t>
        </is>
      </c>
      <c r="C1860" s="45" t="n">
        <v>154.2212</v>
      </c>
      <c r="D1860" t="inlineStr">
        <is>
          <t>€/MWh</t>
        </is>
      </c>
      <c r="E1860" s="54" t="n">
        <v>0.154221</v>
      </c>
      <c r="F1860" s="54" t="n">
        <v>0.196148</v>
      </c>
      <c r="G1860" t="inlineStr">
        <is>
          <t>calculado</t>
        </is>
      </c>
      <c r="H1860" t="inlineStr">
        <is>
          <t>IEE 5.1127 % con cuota mínima 1 €/MWh (RDL 7/2026 art. 40.Dos (junio: condición IPC de abril)) + IVA 21 % (RDL 7/2026 art. 42 (junio: condición IPC de abril))</t>
        </is>
      </c>
      <c r="J1860" t="inlineStr">
        <is>
          <t>2026-06-29</t>
        </is>
      </c>
      <c r="K1860" t="inlineStr">
        <is>
          <t>ESIOS 1001 geo 8741</t>
        </is>
      </c>
      <c r="L1860" t="inlineStr">
        <is>
          <t>24 valores; mín 98.25, máx 258.91 €/MWh</t>
        </is>
      </c>
    </row>
    <row r="1861">
      <c r="A1861" s="53" t="n">
        <v>46204</v>
      </c>
      <c r="B1861" t="inlineStr">
        <is>
          <t>2026-07-01</t>
        </is>
      </c>
      <c r="C1861" s="45" t="n">
        <v>143.4</v>
      </c>
      <c r="D1861" t="inlineStr">
        <is>
          <t>€/MWh</t>
        </is>
      </c>
      <c r="E1861" s="54" t="n">
        <v>0.1434</v>
      </c>
      <c r="F1861" s="54" t="n">
        <v>0.182385</v>
      </c>
      <c r="G1861" t="inlineStr">
        <is>
          <t>calculado</t>
        </is>
      </c>
      <c r="H1861" t="inlineStr">
        <is>
          <t>IEE 5.1127 % con cuota mínima 1 €/MWh (Ley 38/1992 art. 99 (RDL 18/2026 no reduce el IEE en julio)) + IVA 21 % (Ley 37/1992 art. 90 (RDL 18/2026 no reduce el IVA en julio))</t>
        </is>
      </c>
      <c r="J1861" t="inlineStr">
        <is>
          <t>2026-06-30</t>
        </is>
      </c>
      <c r="K1861" t="inlineStr">
        <is>
          <t>ESIOS 1001 geo 8741</t>
        </is>
      </c>
      <c r="L1861" t="inlineStr">
        <is>
          <t>24 valores; mín 67.28, máx 258.69 €/MWh</t>
        </is>
      </c>
    </row>
    <row r="1862">
      <c r="A1862" s="53" t="n">
        <v>46205</v>
      </c>
      <c r="B1862" t="inlineStr">
        <is>
          <t>2026-07-02</t>
        </is>
      </c>
      <c r="C1862" s="45" t="n">
        <v>136.5488</v>
      </c>
      <c r="D1862" t="inlineStr">
        <is>
          <t>€/MWh</t>
        </is>
      </c>
      <c r="E1862" s="54" t="n">
        <v>0.136549</v>
      </c>
      <c r="F1862" s="54" t="n">
        <v>0.173671</v>
      </c>
      <c r="G1862" t="inlineStr">
        <is>
          <t>calculado</t>
        </is>
      </c>
      <c r="H1862" t="inlineStr">
        <is>
          <t>IEE 5.1127 % con cuota mínima 1 €/MWh (Ley 38/1992 art. 99 (RDL 18/2026 no reduce el IEE en julio)) + IVA 21 % (Ley 37/1992 art. 90 (RDL 18/2026 no reduce el IVA en julio))</t>
        </is>
      </c>
      <c r="J1862" t="inlineStr">
        <is>
          <t>2026-07-01</t>
        </is>
      </c>
      <c r="K1862" t="inlineStr">
        <is>
          <t>ESIOS 1001 geo 8741</t>
        </is>
      </c>
      <c r="L1862" t="inlineStr">
        <is>
          <t>24 valores; mín 70.54, máx 276.38 €/MWh</t>
        </is>
      </c>
    </row>
    <row r="1863">
      <c r="A1863" s="53" t="n">
        <v>46206</v>
      </c>
      <c r="B1863" t="inlineStr">
        <is>
          <t>2026-07-03</t>
        </is>
      </c>
      <c r="C1863" s="45" t="n">
        <v>139.3696</v>
      </c>
      <c r="D1863" t="inlineStr">
        <is>
          <t>€/MWh</t>
        </is>
      </c>
      <c r="E1863" s="54" t="n">
        <v>0.13937</v>
      </c>
      <c r="F1863" s="54" t="n">
        <v>0.177259</v>
      </c>
      <c r="G1863" t="inlineStr">
        <is>
          <t>calculado</t>
        </is>
      </c>
      <c r="H1863" t="inlineStr">
        <is>
          <t>IEE 5.1127 % con cuota mínima 1 €/MWh (Ley 38/1992 art. 99 (RDL 18/2026 no reduce el IEE en julio)) + IVA 21 % (Ley 37/1992 art. 90 (RDL 18/2026 no reduce el IVA en julio))</t>
        </is>
      </c>
      <c r="J1863" t="inlineStr">
        <is>
          <t>2026-07-02</t>
        </is>
      </c>
      <c r="K1863" t="inlineStr">
        <is>
          <t>ESIOS 1001 geo 8741</t>
        </is>
      </c>
      <c r="L1863" t="inlineStr">
        <is>
          <t>24 valores; mín 73.63, máx 278.12 €/MWh</t>
        </is>
      </c>
    </row>
    <row r="1864">
      <c r="A1864" s="53" t="n">
        <v>46207</v>
      </c>
      <c r="B1864" t="inlineStr">
        <is>
          <t>2026-07-04</t>
        </is>
      </c>
      <c r="C1864" s="45" t="n">
        <v>97.24169999999999</v>
      </c>
      <c r="D1864" t="inlineStr">
        <is>
          <t>€/MWh</t>
        </is>
      </c>
      <c r="E1864" s="54" t="n">
        <v>0.097242</v>
      </c>
      <c r="F1864" s="54" t="n">
        <v>0.123678</v>
      </c>
      <c r="G1864" t="inlineStr">
        <is>
          <t>calculado</t>
        </is>
      </c>
      <c r="H1864" t="inlineStr">
        <is>
          <t>IEE 5.1127 % con cuota mínima 1 €/MWh (Ley 38/1992 art. 99 (RDL 18/2026 no reduce el IEE en julio)) + IVA 21 % (Ley 37/1992 art. 90 (RDL 18/2026 no reduce el IVA en julio))</t>
        </is>
      </c>
      <c r="J1864" t="inlineStr">
        <is>
          <t>2026-07-03</t>
        </is>
      </c>
      <c r="K1864" t="inlineStr">
        <is>
          <t>ESIOS 1001 geo 8741</t>
        </is>
      </c>
      <c r="L1864" t="inlineStr">
        <is>
          <t>24 valores; mín 41.33, máx 190.13 €/MWh</t>
        </is>
      </c>
    </row>
    <row r="1865">
      <c r="A1865" s="53" t="n">
        <v>46208</v>
      </c>
      <c r="B1865" t="inlineStr">
        <is>
          <t>2026-07-05</t>
        </is>
      </c>
      <c r="C1865" s="45" t="n">
        <v>104.2133</v>
      </c>
      <c r="D1865" t="inlineStr">
        <is>
          <t>€/MWh</t>
        </is>
      </c>
      <c r="E1865" s="54" t="n">
        <v>0.104213</v>
      </c>
      <c r="F1865" s="54" t="n">
        <v>0.132545</v>
      </c>
      <c r="G1865" t="inlineStr">
        <is>
          <t>calculado</t>
        </is>
      </c>
      <c r="H1865" t="inlineStr">
        <is>
          <t>IEE 5.1127 % con cuota mínima 1 €/MWh (Ley 38/1992 art. 99 (RDL 18/2026 no reduce el IEE en julio)) + IVA 21 % (Ley 37/1992 art. 90 (RDL 18/2026 no reduce el IVA en julio))</t>
        </is>
      </c>
      <c r="J1865" t="inlineStr">
        <is>
          <t>2026-07-04</t>
        </is>
      </c>
      <c r="K1865" t="inlineStr">
        <is>
          <t>ESIOS 1001 geo 8741</t>
        </is>
      </c>
      <c r="L1865" t="inlineStr">
        <is>
          <t>24 valores; mín 26.70, máx 221.72 €/MWh</t>
        </is>
      </c>
    </row>
    <row r="1866">
      <c r="A1866" s="53" t="n">
        <v>46209</v>
      </c>
      <c r="B1866" t="inlineStr">
        <is>
          <t>2026-07-06</t>
        </is>
      </c>
      <c r="C1866" s="45" t="n">
        <v>168.7679</v>
      </c>
      <c r="D1866" t="inlineStr">
        <is>
          <t>€/MWh</t>
        </is>
      </c>
      <c r="E1866" s="54" t="n">
        <v>0.168768</v>
      </c>
      <c r="F1866" s="54" t="n">
        <v>0.21465</v>
      </c>
      <c r="G1866" t="inlineStr">
        <is>
          <t>calculado</t>
        </is>
      </c>
      <c r="H1866" t="inlineStr">
        <is>
          <t>IEE 5.1127 % con cuota mínima 1 €/MWh (Ley 38/1992 art. 99 (RDL 18/2026 no reduce el IEE en julio)) + IVA 21 % (Ley 37/1992 art. 90 (RDL 18/2026 no reduce el IVA en julio))</t>
        </is>
      </c>
      <c r="J1866" t="inlineStr">
        <is>
          <t>2026-07-05</t>
        </is>
      </c>
      <c r="K1866" t="inlineStr">
        <is>
          <t>ESIOS 1001 geo 8741</t>
        </is>
      </c>
      <c r="L1866" t="inlineStr">
        <is>
          <t>24 valores; mín 82.41, máx 304.75 €/MWh</t>
        </is>
      </c>
    </row>
    <row r="1867">
      <c r="A1867" s="53" t="n">
        <v>46210</v>
      </c>
      <c r="B1867" t="inlineStr">
        <is>
          <t>2026-07-07</t>
        </is>
      </c>
      <c r="C1867" s="45" t="n">
        <v>175.5096</v>
      </c>
      <c r="D1867" t="inlineStr">
        <is>
          <t>€/MWh</t>
        </is>
      </c>
      <c r="E1867" s="54" t="n">
        <v>0.17551</v>
      </c>
      <c r="F1867" s="54" t="n">
        <v>0.223224</v>
      </c>
      <c r="G1867" t="inlineStr">
        <is>
          <t>calculado</t>
        </is>
      </c>
      <c r="H1867" t="inlineStr">
        <is>
          <t>IEE 5.1127 % con cuota mínima 1 €/MWh (Ley 38/1992 art. 99 (RDL 18/2026 no reduce el IEE en julio)) + IVA 21 % (Ley 37/1992 art. 90 (RDL 18/2026 no reduce el IVA en julio))</t>
        </is>
      </c>
      <c r="J1867" t="inlineStr">
        <is>
          <t>2026-07-06</t>
        </is>
      </c>
      <c r="K1867" t="inlineStr">
        <is>
          <t>ESIOS 1001 geo 8741</t>
        </is>
      </c>
      <c r="L1867" t="inlineStr">
        <is>
          <t>24 valores; mín 113.57, máx 287.95 €/MWh</t>
        </is>
      </c>
    </row>
    <row r="1868">
      <c r="A1868" s="53" t="n">
        <v>46211</v>
      </c>
      <c r="B1868" t="inlineStr">
        <is>
          <t>2026-07-08</t>
        </is>
      </c>
      <c r="C1868" s="45" t="n">
        <v>173.8513</v>
      </c>
      <c r="D1868" t="inlineStr">
        <is>
          <t>€/MWh</t>
        </is>
      </c>
      <c r="E1868" s="54" t="n">
        <v>0.173851</v>
      </c>
      <c r="F1868" s="54" t="n">
        <v>0.221115</v>
      </c>
      <c r="G1868" t="inlineStr">
        <is>
          <t>calculado</t>
        </is>
      </c>
      <c r="H1868" t="inlineStr">
        <is>
          <t>IEE 5.1127 % con cuota mínima 1 €/MWh (Ley 38/1992 art. 99 (RDL 18/2026 no reduce el IEE en julio)) + IVA 21 % (Ley 37/1992 art. 90 (RDL 18/2026 no reduce el IVA en julio))</t>
        </is>
      </c>
      <c r="J1868" t="inlineStr">
        <is>
          <t>2026-07-07</t>
        </is>
      </c>
      <c r="K1868" t="inlineStr">
        <is>
          <t>ESIOS 1001 geo 8741</t>
        </is>
      </c>
      <c r="L1868" t="inlineStr">
        <is>
          <t>24 valores; mín 79.22, máx 306.14 €/MWh</t>
        </is>
      </c>
    </row>
    <row r="1869">
      <c r="A1869" s="53" t="n">
        <v>46212</v>
      </c>
      <c r="B1869" t="inlineStr">
        <is>
          <t>2026-07-09</t>
        </is>
      </c>
      <c r="C1869" s="45" t="n">
        <v>174.9871</v>
      </c>
      <c r="D1869" t="inlineStr">
        <is>
          <t>€/MWh</t>
        </is>
      </c>
      <c r="E1869" s="54" t="n">
        <v>0.174987</v>
      </c>
      <c r="F1869" s="54" t="n">
        <v>0.22256</v>
      </c>
      <c r="G1869" t="inlineStr">
        <is>
          <t>calculado</t>
        </is>
      </c>
      <c r="H1869" t="inlineStr">
        <is>
          <t>IEE 5.1127 % con cuota mínima 1 €/MWh (Ley 38/1992 art. 99 (RDL 18/2026 no reduce el IEE en julio)) + IVA 21 % (Ley 37/1992 art. 90 (RDL 18/2026 no reduce el IVA en julio))</t>
        </is>
      </c>
      <c r="J1869" t="inlineStr">
        <is>
          <t>2026-07-08</t>
        </is>
      </c>
      <c r="K1869" t="inlineStr">
        <is>
          <t>ESIOS 1001 geo 8741</t>
        </is>
      </c>
      <c r="L1869" t="inlineStr">
        <is>
          <t>24 valores; mín 65.42, máx 311.57 €/MWh</t>
        </is>
      </c>
    </row>
    <row r="1870">
      <c r="A1870" s="53" t="n">
        <v>46213</v>
      </c>
      <c r="B1870" t="inlineStr">
        <is>
          <t>2026-07-10</t>
        </is>
      </c>
      <c r="C1870" s="45" t="n">
        <v>176.1183</v>
      </c>
      <c r="D1870" t="inlineStr">
        <is>
          <t>€/MWh</t>
        </is>
      </c>
      <c r="E1870" s="54" t="n">
        <v>0.176118</v>
      </c>
      <c r="F1870" s="54" t="n">
        <v>0.223998</v>
      </c>
      <c r="G1870" t="inlineStr">
        <is>
          <t>calculado</t>
        </is>
      </c>
      <c r="H1870" t="inlineStr">
        <is>
          <t>IEE 5.1127 % con cuota mínima 1 €/MWh (Ley 38/1992 art. 99 (RDL 18/2026 no reduce el IEE en julio)) + IVA 21 % (Ley 37/1992 art. 90 (RDL 18/2026 no reduce el IVA en julio))</t>
        </is>
      </c>
      <c r="J1870" t="inlineStr">
        <is>
          <t>2026-07-09</t>
        </is>
      </c>
      <c r="K1870" t="inlineStr">
        <is>
          <t>ESIOS 1001 geo 8741</t>
        </is>
      </c>
      <c r="L1870" t="inlineStr">
        <is>
          <t>24 valores; mín 74.40, máx 301.31 €/MWh</t>
        </is>
      </c>
    </row>
    <row r="1871">
      <c r="A1871" s="53" t="n">
        <v>46214</v>
      </c>
      <c r="B1871" t="inlineStr">
        <is>
          <t>2026-07-11</t>
        </is>
      </c>
      <c r="C1871" s="45" t="n">
        <v>116.8696</v>
      </c>
      <c r="D1871" t="inlineStr">
        <is>
          <t>€/MWh</t>
        </is>
      </c>
      <c r="E1871" s="54" t="n">
        <v>0.11687</v>
      </c>
      <c r="F1871" s="54" t="n">
        <v>0.148642</v>
      </c>
      <c r="G1871" t="inlineStr">
        <is>
          <t>calculado</t>
        </is>
      </c>
      <c r="H1871" t="inlineStr">
        <is>
          <t>IEE 5.1127 % con cuota mínima 1 €/MWh (Ley 38/1992 art. 99 (RDL 18/2026 no reduce el IEE en julio)) + IVA 21 % (Ley 37/1992 art. 90 (RDL 18/2026 no reduce el IVA en julio))</t>
        </is>
      </c>
      <c r="J1871" t="inlineStr">
        <is>
          <t>2026-07-10</t>
        </is>
      </c>
      <c r="K1871" t="inlineStr">
        <is>
          <t>ESIOS 1001 geo 8741</t>
        </is>
      </c>
      <c r="L1871" t="inlineStr">
        <is>
          <t>24 valores; mín 13.96, máx 205.06 €/MWh</t>
        </is>
      </c>
    </row>
    <row r="1872">
      <c r="A1872" s="53" t="n">
        <v>46215</v>
      </c>
      <c r="B1872" t="inlineStr">
        <is>
          <t>2026-07-12</t>
        </is>
      </c>
      <c r="C1872" s="45" t="n">
        <v>111.4917</v>
      </c>
      <c r="D1872" t="inlineStr">
        <is>
          <t>€/MWh</t>
        </is>
      </c>
      <c r="E1872" s="54" t="n">
        <v>0.111492</v>
      </c>
      <c r="F1872" s="54" t="n">
        <v>0.141802</v>
      </c>
      <c r="G1872" t="inlineStr">
        <is>
          <t>calculado</t>
        </is>
      </c>
      <c r="H1872" t="inlineStr">
        <is>
          <t>IEE 5.1127 % con cuota mínima 1 €/MWh (Ley 38/1992 art. 99 (RDL 18/2026 no reduce el IEE en julio)) + IVA 21 % (Ley 37/1992 art. 90 (RDL 18/2026 no reduce el IVA en julio))</t>
        </is>
      </c>
      <c r="J1872" t="inlineStr">
        <is>
          <t>2026-07-11</t>
        </is>
      </c>
      <c r="K1872" t="inlineStr">
        <is>
          <t>ESIOS 1001 geo 8741</t>
        </is>
      </c>
      <c r="L1872" t="inlineStr">
        <is>
          <t>24 valores; mín 26.81, máx 208.77 €/MWh</t>
        </is>
      </c>
    </row>
    <row r="1873">
      <c r="A1873" s="53" t="n">
        <v>46216</v>
      </c>
      <c r="B1873" t="inlineStr">
        <is>
          <t>2026-07-13</t>
        </is>
      </c>
      <c r="C1873" s="45" t="n">
        <v>180.6858</v>
      </c>
      <c r="D1873" t="inlineStr">
        <is>
          <t>€/MWh</t>
        </is>
      </c>
      <c r="E1873" s="54" t="n">
        <v>0.180686</v>
      </c>
      <c r="F1873" s="54" t="n">
        <v>0.229808</v>
      </c>
      <c r="G1873" t="inlineStr">
        <is>
          <t>calculado</t>
        </is>
      </c>
      <c r="H1873" t="inlineStr">
        <is>
          <t>IEE 5.1127 % con cuota mínima 1 €/MWh (Ley 38/1992 art. 99 (RDL 18/2026 no reduce el IEE en julio)) + IVA 21 % (Ley 37/1992 art. 90 (RDL 18/2026 no reduce el IVA en julio))</t>
        </is>
      </c>
      <c r="J1873" t="inlineStr">
        <is>
          <t>2026-07-12</t>
        </is>
      </c>
      <c r="K1873" t="inlineStr">
        <is>
          <t>ESIOS 1001 geo 8741</t>
        </is>
      </c>
      <c r="L1873" t="inlineStr">
        <is>
          <t>24 valores; mín 92.58, máx 326.26 €/MWh</t>
        </is>
      </c>
    </row>
    <row r="1874">
      <c r="A1874" s="53" t="n">
        <v>46217</v>
      </c>
      <c r="B1874" t="inlineStr">
        <is>
          <t>2026-07-14</t>
        </is>
      </c>
      <c r="C1874" s="45" t="n">
        <v>181.6337</v>
      </c>
      <c r="D1874" t="inlineStr">
        <is>
          <t>€/MWh</t>
        </is>
      </c>
      <c r="E1874" s="54" t="n">
        <v>0.181634</v>
      </c>
      <c r="F1874" s="54" t="n">
        <v>0.231013</v>
      </c>
      <c r="G1874" t="inlineStr">
        <is>
          <t>calculado</t>
        </is>
      </c>
      <c r="H1874" t="inlineStr">
        <is>
          <t>IEE 5.1127 % con cuota mínima 1 €/MWh (Ley 38/1992 art. 99 (RDL 18/2026 no reduce el IEE en julio)) + IVA 21 % (Ley 37/1992 art. 90 (RDL 18/2026 no reduce el IVA en julio))</t>
        </is>
      </c>
      <c r="J1874" t="inlineStr">
        <is>
          <t>2026-07-13</t>
        </is>
      </c>
      <c r="K1874" t="inlineStr">
        <is>
          <t>ESIOS 1001 geo 8741</t>
        </is>
      </c>
      <c r="L1874" t="inlineStr">
        <is>
          <t>24 valores; mín 94.59, máx 305.10 €/MWh</t>
        </is>
      </c>
    </row>
    <row r="1875">
      <c r="A1875" s="53" t="n">
        <v>46218</v>
      </c>
      <c r="B1875" t="inlineStr">
        <is>
          <t>2026-07-15</t>
        </is>
      </c>
      <c r="C1875" s="45" t="n">
        <v>190.7637</v>
      </c>
      <c r="D1875" t="inlineStr">
        <is>
          <t>€/MWh</t>
        </is>
      </c>
      <c r="E1875" s="54" t="n">
        <v>0.190764</v>
      </c>
      <c r="F1875" s="54" t="n">
        <v>0.242625</v>
      </c>
      <c r="G1875" t="inlineStr">
        <is>
          <t>calculado</t>
        </is>
      </c>
      <c r="H1875" t="inlineStr">
        <is>
          <t>IEE 5.1127 % con cuota mínima 1 €/MWh (Ley 38/1992 art. 99 (RDL 18/2026 no reduce el IEE en julio)) + IVA 21 % (Ley 37/1992 art. 90 (RDL 18/2026 no reduce el IVA en julio))</t>
        </is>
      </c>
      <c r="J1875" t="inlineStr">
        <is>
          <t>2026-07-14</t>
        </is>
      </c>
      <c r="K1875" t="inlineStr">
        <is>
          <t>ESIOS 1001 geo 8741</t>
        </is>
      </c>
      <c r="L1875" t="inlineStr">
        <is>
          <t>24 valores; mín 122.12, máx 326.94 €/MWh</t>
        </is>
      </c>
    </row>
    <row r="1876">
      <c r="A1876" s="53" t="n">
        <v>46219</v>
      </c>
      <c r="B1876" t="inlineStr">
        <is>
          <t>2026-07-16</t>
        </is>
      </c>
      <c r="C1876" s="45" t="n">
        <v>186.4283</v>
      </c>
      <c r="D1876" t="inlineStr">
        <is>
          <t>€/MWh</t>
        </is>
      </c>
      <c r="E1876" s="54" t="n">
        <v>0.186428</v>
      </c>
      <c r="F1876" s="54" t="n">
        <v>0.237111</v>
      </c>
      <c r="G1876" t="inlineStr">
        <is>
          <t>calculado</t>
        </is>
      </c>
      <c r="H1876" t="inlineStr">
        <is>
          <t>IEE 5.1127 % con cuota mínima 1 €/MWh (Ley 38/1992 art. 99 (RDL 18/2026 no reduce el IEE en julio)) + IVA 21 % (Ley 37/1992 art. 90 (RDL 18/2026 no reduce el IVA en julio))</t>
        </is>
      </c>
      <c r="J1876" t="inlineStr">
        <is>
          <t>2026-07-15</t>
        </is>
      </c>
      <c r="K1876" t="inlineStr">
        <is>
          <t>ESIOS 1001 geo 8741</t>
        </is>
      </c>
      <c r="L1876" t="inlineStr">
        <is>
          <t>24 valores; mín 105.95, máx 294.29 €/MWh</t>
        </is>
      </c>
    </row>
    <row r="1877">
      <c r="A1877" s="53" t="n">
        <v>46220</v>
      </c>
      <c r="B1877" t="inlineStr">
        <is>
          <t>2026-07-17</t>
        </is>
      </c>
      <c r="C1877" s="45" t="n">
        <v>192.3529</v>
      </c>
      <c r="D1877" t="inlineStr">
        <is>
          <t>€/MWh</t>
        </is>
      </c>
      <c r="E1877" s="54" t="n">
        <v>0.192353</v>
      </c>
      <c r="F1877" s="54" t="n">
        <v>0.244647</v>
      </c>
      <c r="G1877" t="inlineStr">
        <is>
          <t>calculado</t>
        </is>
      </c>
      <c r="H1877" t="inlineStr">
        <is>
          <t>IEE 5.1127 % con cuota mínima 1 €/MWh (Ley 38/1992 art. 99 (RDL 18/2026 no reduce el IEE en julio)) + IVA 21 % (Ley 37/1992 art. 90 (RDL 18/2026 no reduce el IVA en julio))</t>
        </is>
      </c>
      <c r="J1877" t="inlineStr">
        <is>
          <t>2026-07-16</t>
        </is>
      </c>
      <c r="K1877" t="inlineStr">
        <is>
          <t>ESIOS 1001 geo 8741</t>
        </is>
      </c>
      <c r="L1877" t="inlineStr">
        <is>
          <t>24 valores; mín 131.43, máx 297.06 €/MWh</t>
        </is>
      </c>
    </row>
    <row r="1878">
      <c r="A1878" s="53" t="n">
        <v>46221</v>
      </c>
      <c r="B1878" t="inlineStr">
        <is>
          <t>2026-07-18</t>
        </is>
      </c>
      <c r="C1878" s="45" t="n">
        <v>123.6933</v>
      </c>
      <c r="D1878" t="inlineStr">
        <is>
          <t>€/MWh</t>
        </is>
      </c>
      <c r="E1878" s="54" t="n">
        <v>0.123693</v>
      </c>
      <c r="F1878" s="54" t="n">
        <v>0.157321</v>
      </c>
      <c r="G1878" t="inlineStr">
        <is>
          <t>calculado</t>
        </is>
      </c>
      <c r="H1878" t="inlineStr">
        <is>
          <t>IEE 5.1127 % con cuota mínima 1 €/MWh (Ley 38/1992 art. 99 (RDL 18/2026 no reduce el IEE en julio)) + IVA 21 % (Ley 37/1992 art. 90 (RDL 18/2026 no reduce el IVA en julio))</t>
        </is>
      </c>
      <c r="J1878" t="inlineStr">
        <is>
          <t>2026-07-17</t>
        </is>
      </c>
      <c r="K1878" t="inlineStr">
        <is>
          <t>ESIOS 1001 geo 8741</t>
        </is>
      </c>
      <c r="L1878" t="inlineStr">
        <is>
          <t>24 valores; mín 21.71, máx 204.32 €/MWh</t>
        </is>
      </c>
    </row>
    <row r="1879">
      <c r="A1879" s="53" t="n">
        <v>46222</v>
      </c>
      <c r="B1879" t="inlineStr">
        <is>
          <t>2026-07-19</t>
        </is>
      </c>
      <c r="C1879" s="45" t="n">
        <v>120.5721</v>
      </c>
      <c r="D1879" t="inlineStr">
        <is>
          <t>€/MWh</t>
        </is>
      </c>
      <c r="E1879" s="54" t="n">
        <v>0.120572</v>
      </c>
      <c r="F1879" s="54" t="n">
        <v>0.153351</v>
      </c>
      <c r="G1879" t="inlineStr">
        <is>
          <t>calculado</t>
        </is>
      </c>
      <c r="H1879" t="inlineStr">
        <is>
          <t>IEE 5.1127 % con cuota mínima 1 €/MWh (Ley 38/1992 art. 99 (RDL 18/2026 no reduce el IEE en julio)) + IVA 21 % (Ley 37/1992 art. 90 (RDL 18/2026 no reduce el IVA en julio))</t>
        </is>
      </c>
      <c r="J1879" t="inlineStr">
        <is>
          <t>2026-07-18</t>
        </is>
      </c>
      <c r="K1879" t="inlineStr">
        <is>
          <t>ESIOS 1001 geo 8741</t>
        </is>
      </c>
      <c r="L1879" t="inlineStr">
        <is>
          <t>24 valores; mín 12.34, máx 227.05 €/MWh</t>
        </is>
      </c>
    </row>
    <row r="1880">
      <c r="A1880" s="53" t="n">
        <v>46223</v>
      </c>
      <c r="B1880" t="inlineStr">
        <is>
          <t>2026-07-20</t>
        </is>
      </c>
      <c r="C1880" s="45" t="n">
        <v>185.7054</v>
      </c>
      <c r="D1880" t="inlineStr">
        <is>
          <t>€/MWh</t>
        </is>
      </c>
      <c r="E1880" s="54" t="n">
        <v>0.185705</v>
      </c>
      <c r="F1880" s="54" t="n">
        <v>0.236192</v>
      </c>
      <c r="G1880" t="inlineStr">
        <is>
          <t>calculado</t>
        </is>
      </c>
      <c r="H1880" t="inlineStr">
        <is>
          <t>IEE 5.1127 % con cuota mínima 1 €/MWh (Ley 38/1992 art. 99 (RDL 18/2026 no reduce el IEE en julio)) + IVA 21 % (Ley 37/1992 art. 90 (RDL 18/2026 no reduce el IVA en julio))</t>
        </is>
      </c>
      <c r="J1880" t="inlineStr">
        <is>
          <t>2026-07-19</t>
        </is>
      </c>
      <c r="K1880" t="inlineStr">
        <is>
          <t>ESIOS 1001 geo 8741</t>
        </is>
      </c>
      <c r="L1880" t="inlineStr">
        <is>
          <t>24 valores; mín 89.60, máx 306.94 €/MWh</t>
        </is>
      </c>
    </row>
    <row r="1881">
      <c r="A1881" s="53" t="n">
        <v>46224</v>
      </c>
      <c r="B1881" t="inlineStr">
        <is>
          <t>2026-07-21</t>
        </is>
      </c>
      <c r="C1881" s="45" t="n">
        <v>188.3592</v>
      </c>
      <c r="D1881" t="inlineStr">
        <is>
          <t>€/MWh</t>
        </is>
      </c>
      <c r="E1881" s="54" t="n">
        <v>0.188359</v>
      </c>
      <c r="F1881" s="54" t="n">
        <v>0.239567</v>
      </c>
      <c r="G1881" t="inlineStr">
        <is>
          <t>calculado</t>
        </is>
      </c>
      <c r="H1881" t="inlineStr">
        <is>
          <t>IEE 5.1127 % con cuota mínima 1 €/MWh (Ley 38/1992 art. 99 (RDL 18/2026 no reduce el IEE en julio)) + IVA 21 % (Ley 37/1992 art. 90 (RDL 18/2026 no reduce el IVA en julio))</t>
        </is>
      </c>
      <c r="J1881" t="inlineStr">
        <is>
          <t>2026-07-20</t>
        </is>
      </c>
      <c r="K1881" t="inlineStr">
        <is>
          <t>ESIOS 1001 geo 8741</t>
        </is>
      </c>
      <c r="L1881" t="inlineStr">
        <is>
          <t>24 valores; mín 110.38, máx 300.41 €/MWh</t>
        </is>
      </c>
    </row>
    <row r="1882">
      <c r="A1882" s="53" t="n">
        <v>46225</v>
      </c>
      <c r="B1882" t="inlineStr">
        <is>
          <t>2026-07-22</t>
        </is>
      </c>
      <c r="C1882" s="45" t="n">
        <v>200.945</v>
      </c>
      <c r="D1882" t="inlineStr">
        <is>
          <t>€/MWh</t>
        </is>
      </c>
      <c r="E1882" s="54" t="n">
        <v>0.200945</v>
      </c>
      <c r="F1882" s="54" t="n">
        <v>0.255575</v>
      </c>
      <c r="G1882" t="inlineStr">
        <is>
          <t>calculado</t>
        </is>
      </c>
      <c r="H1882" t="inlineStr">
        <is>
          <t>IEE 5.1127 % con cuota mínima 1 €/MWh (Ley 38/1992 art. 99 (RDL 18/2026 no reduce el IEE en julio)) + IVA 21 % (Ley 37/1992 art. 90 (RDL 18/2026 no reduce el IVA en julio))</t>
        </is>
      </c>
      <c r="J1882" t="inlineStr">
        <is>
          <t>2026-07-21</t>
        </is>
      </c>
      <c r="K1882" t="inlineStr">
        <is>
          <t>ESIOS 1001 geo 8741</t>
        </is>
      </c>
      <c r="L1882" t="inlineStr">
        <is>
          <t>24 valores; mín 113.01, máx 381.29 €/MWh</t>
        </is>
      </c>
    </row>
    <row r="1883">
      <c r="A1883" s="53" t="n">
        <v>46226</v>
      </c>
      <c r="B1883" t="inlineStr">
        <is>
          <t>2026-07-23</t>
        </is>
      </c>
      <c r="C1883" s="45" t="n">
        <v>194.6104</v>
      </c>
      <c r="D1883" t="inlineStr">
        <is>
          <t>€/MWh</t>
        </is>
      </c>
      <c r="E1883" s="54" t="n">
        <v>0.19461</v>
      </c>
      <c r="F1883" s="54" t="n">
        <v>0.247518</v>
      </c>
      <c r="G1883" t="inlineStr">
        <is>
          <t>calculado</t>
        </is>
      </c>
      <c r="H1883" t="inlineStr">
        <is>
          <t>IEE 5.1127 % con cuota mínima 1 €/MWh (Ley 38/1992 art. 99 (RDL 18/2026 no reduce el IEE en julio)) + IVA 21 % (Ley 37/1992 art. 90 (RDL 18/2026 no reduce el IVA en julio))</t>
        </is>
      </c>
      <c r="J1883" t="inlineStr">
        <is>
          <t>2026-07-22</t>
        </is>
      </c>
      <c r="K1883" t="inlineStr">
        <is>
          <t>ESIOS 1001 geo 8741</t>
        </is>
      </c>
      <c r="L1883" t="inlineStr">
        <is>
          <t>24 valores; mín 67.19, máx 393.19 €/MWh</t>
        </is>
      </c>
    </row>
    <row r="1884">
      <c r="A1884" s="53" t="n">
        <v>46227</v>
      </c>
      <c r="B1884" t="inlineStr">
        <is>
          <t>2026-07-24</t>
        </is>
      </c>
      <c r="C1884" s="45" t="n">
        <v>174.0108</v>
      </c>
      <c r="D1884" t="inlineStr">
        <is>
          <t>€/MWh</t>
        </is>
      </c>
      <c r="E1884" s="54" t="n">
        <v>0.174011</v>
      </c>
      <c r="F1884" s="54" t="n">
        <v>0.221318</v>
      </c>
      <c r="G1884" t="inlineStr">
        <is>
          <t>calculado</t>
        </is>
      </c>
      <c r="H1884" t="inlineStr">
        <is>
          <t>IEE 5.1127 % con cuota mínima 1 €/MWh (Ley 38/1992 art. 99 (RDL 18/2026 no reduce el IEE en julio)) + IVA 21 % (Ley 37/1992 art. 90 (RDL 18/2026 no reduce el IVA en julio))</t>
        </is>
      </c>
      <c r="J1884" t="inlineStr">
        <is>
          <t>2026-07-23</t>
        </is>
      </c>
      <c r="K1884" t="inlineStr">
        <is>
          <t>ESIOS 1001 geo 8741</t>
        </is>
      </c>
      <c r="L1884" t="inlineStr">
        <is>
          <t>24 valores; mín 39.73, máx 314.86 €/MWh</t>
        </is>
      </c>
    </row>
    <row r="1885">
      <c r="A1885" s="53" t="n">
        <v>46228</v>
      </c>
      <c r="B1885" t="inlineStr">
        <is>
          <t>2026-07-25</t>
        </is>
      </c>
      <c r="C1885" s="45" t="n">
        <v>118.9867</v>
      </c>
      <c r="D1885" t="inlineStr">
        <is>
          <t>€/MWh</t>
        </is>
      </c>
      <c r="E1885" s="54" t="n">
        <v>0.118987</v>
      </c>
      <c r="F1885" s="54" t="n">
        <v>0.151335</v>
      </c>
      <c r="G1885" t="inlineStr">
        <is>
          <t>calculado</t>
        </is>
      </c>
      <c r="H1885" t="inlineStr">
        <is>
          <t>IEE 5.1127 % con cuota mínima 1 €/MWh (Ley 38/1992 art. 99 (RDL 18/2026 no reduce el IEE en julio)) + IVA 21 % (Ley 37/1992 art. 90 (RDL 18/2026 no reduce el IVA en julio))</t>
        </is>
      </c>
      <c r="J1885" t="inlineStr">
        <is>
          <t>2026-07-24</t>
        </is>
      </c>
      <c r="K1885" t="inlineStr">
        <is>
          <t>ESIOS 1001 geo 8741</t>
        </is>
      </c>
      <c r="L1885" t="inlineStr">
        <is>
          <t>24 valores; mín 27.21, máx 215.39 €/MWh</t>
        </is>
      </c>
    </row>
    <row r="1886">
      <c r="A1886" s="53" t="n">
        <v>46229</v>
      </c>
      <c r="B1886" t="inlineStr">
        <is>
          <t>2026-07-26</t>
        </is>
      </c>
      <c r="C1886" s="45" t="n">
        <v>117.3258</v>
      </c>
      <c r="D1886" t="inlineStr">
        <is>
          <t>€/MWh</t>
        </is>
      </c>
      <c r="E1886" s="54" t="n">
        <v>0.117326</v>
      </c>
      <c r="F1886" s="54" t="n">
        <v>0.149222</v>
      </c>
      <c r="G1886" t="inlineStr">
        <is>
          <t>calculado</t>
        </is>
      </c>
      <c r="H1886" t="inlineStr">
        <is>
          <t>IEE 5.1127 % con cuota mínima 1 €/MWh (Ley 38/1992 art. 99 (RDL 18/2026 no reduce el IEE en julio)) + IVA 21 % (Ley 37/1992 art. 90 (RDL 18/2026 no reduce el IVA en julio))</t>
        </is>
      </c>
      <c r="J1886" t="inlineStr">
        <is>
          <t>2026-07-25</t>
        </is>
      </c>
      <c r="K1886" t="inlineStr">
        <is>
          <t>ESIOS 1001 geo 8741</t>
        </is>
      </c>
      <c r="L1886" t="inlineStr">
        <is>
          <t>24 valores; mín 35.56, máx 234.41 €/MWh</t>
        </is>
      </c>
    </row>
    <row r="1887">
      <c r="A1887" s="53" t="n">
        <v>46230</v>
      </c>
      <c r="B1887" t="inlineStr">
        <is>
          <t>2026-07-27</t>
        </is>
      </c>
      <c r="C1887" s="45" t="n">
        <v>170.6342</v>
      </c>
      <c r="D1887" t="inlineStr">
        <is>
          <t>€/MWh</t>
        </is>
      </c>
      <c r="E1887" s="54" t="n">
        <v>0.170634</v>
      </c>
      <c r="F1887" s="54" t="n">
        <v>0.217023</v>
      </c>
      <c r="G1887" t="inlineStr">
        <is>
          <t>calculado</t>
        </is>
      </c>
      <c r="H1887" t="inlineStr">
        <is>
          <t>IEE 5.1127 % con cuota mínima 1 €/MWh (Ley 38/1992 art. 99 (RDL 18/2026 no reduce el IEE en julio)) + IVA 21 % (Ley 37/1992 art. 90 (RDL 18/2026 no reduce el IVA en julio))</t>
        </is>
      </c>
      <c r="J1887" t="inlineStr">
        <is>
          <t>2026-07-26</t>
        </is>
      </c>
      <c r="K1887" t="inlineStr">
        <is>
          <t>ESIOS 1001 geo 8741</t>
        </is>
      </c>
      <c r="L1887" t="inlineStr">
        <is>
          <t>24 valores; mín 44.51, máx 388.86 €/MWh</t>
        </is>
      </c>
    </row>
    <row r="1888">
      <c r="A1888" s="53" t="n">
        <v>46231</v>
      </c>
      <c r="B1888" t="inlineStr">
        <is>
          <t>2026-07-28</t>
        </is>
      </c>
      <c r="C1888" s="45" t="n">
        <v>180.7838</v>
      </c>
      <c r="D1888" t="inlineStr">
        <is>
          <t>€/MWh</t>
        </is>
      </c>
      <c r="E1888" s="54" t="n">
        <v>0.180784</v>
      </c>
      <c r="F1888" s="54" t="n">
        <v>0.229932</v>
      </c>
      <c r="G1888" t="inlineStr">
        <is>
          <t>calculado</t>
        </is>
      </c>
      <c r="H1888" t="inlineStr">
        <is>
          <t>IEE 5.1127 % con cuota mínima 1 €/MWh (Ley 38/1992 art. 99 (RDL 18/2026 no reduce el IEE en julio)) + IVA 21 % (Ley 37/1992 art. 90 (RDL 18/2026 no reduce el IVA en julio))</t>
        </is>
      </c>
      <c r="J1888" t="inlineStr">
        <is>
          <t>2026-07-27</t>
        </is>
      </c>
      <c r="K1888" t="inlineStr">
        <is>
          <t>ESIOS 1001 geo 8741</t>
        </is>
      </c>
      <c r="L1888" t="inlineStr">
        <is>
          <t>24 valores; mín 26.22, máx 359.82 €/MWh</t>
        </is>
      </c>
    </row>
    <row r="1889">
      <c r="A1889" s="53" t="n">
        <v>46232</v>
      </c>
      <c r="B1889" t="inlineStr">
        <is>
          <t>2026-07-29</t>
        </is>
      </c>
      <c r="C1889" s="45" t="n">
        <v>180.4246</v>
      </c>
      <c r="D1889" t="inlineStr">
        <is>
          <t>€/MWh</t>
        </is>
      </c>
      <c r="E1889" s="54" t="n">
        <v>0.180425</v>
      </c>
      <c r="F1889" s="54" t="n">
        <v>0.229475</v>
      </c>
      <c r="G1889" t="inlineStr">
        <is>
          <t>calculado</t>
        </is>
      </c>
      <c r="H1889" t="inlineStr">
        <is>
          <t>IEE 5.1127 % con cuota mínima 1 €/MWh (Ley 38/1992 art. 99 (RDL 18/2026 no reduce el IEE en julio)) + IVA 21 % (Ley 37/1992 art. 90 (RDL 18/2026 no reduce el IVA en julio))</t>
        </is>
      </c>
      <c r="J1889" t="inlineStr">
        <is>
          <t>2026-07-28</t>
        </is>
      </c>
      <c r="K1889" t="inlineStr">
        <is>
          <t>ESIOS 1001 geo 8741</t>
        </is>
      </c>
      <c r="L1889" t="inlineStr">
        <is>
          <t>24 valores; mín 30.52, máx 360.68 €/MWh</t>
        </is>
      </c>
    </row>
    <row r="1890">
      <c r="A1890" s="53" t="n">
        <v>46233</v>
      </c>
      <c r="B1890" t="inlineStr">
        <is>
          <t>2026-07-30</t>
        </is>
      </c>
      <c r="C1890" s="45" t="n">
        <v>180.2842</v>
      </c>
      <c r="D1890" t="inlineStr">
        <is>
          <t>€/MWh</t>
        </is>
      </c>
      <c r="E1890" s="54" t="n">
        <v>0.180284</v>
      </c>
      <c r="F1890" s="54" t="n">
        <v>0.229297</v>
      </c>
      <c r="G1890" t="inlineStr">
        <is>
          <t>calculado</t>
        </is>
      </c>
      <c r="H1890" t="inlineStr">
        <is>
          <t>IEE 5.1127 % con cuota mínima 1 €/MWh (Ley 38/1992 art. 99 (RDL 18/2026 no reduce el IEE en julio)) + IVA 21 % (Ley 37/1992 art. 90 (RDL 18/2026 no reduce el IVA en julio))</t>
        </is>
      </c>
      <c r="J1890" t="inlineStr">
        <is>
          <t>2026-07-29</t>
        </is>
      </c>
      <c r="K1890" t="inlineStr">
        <is>
          <t>ESIOS 1001 geo 8741</t>
        </is>
      </c>
      <c r="L1890" t="inlineStr">
        <is>
          <t>24 valores; mín 49.15, máx 322.33 €/MWh</t>
        </is>
      </c>
    </row>
    <row r="1891">
      <c r="A1891" s="53" t="n">
        <v>46234</v>
      </c>
      <c r="B1891" t="inlineStr">
        <is>
          <t>2026-07-31</t>
        </is>
      </c>
      <c r="C1891" s="45" t="n">
        <v>191.71</v>
      </c>
      <c r="D1891" t="inlineStr">
        <is>
          <t>€/MWh</t>
        </is>
      </c>
      <c r="E1891" s="54" t="n">
        <v>0.19171</v>
      </c>
      <c r="F1891" s="54" t="n">
        <v>0.243829</v>
      </c>
      <c r="G1891" t="inlineStr">
        <is>
          <t>calculado</t>
        </is>
      </c>
      <c r="H1891" t="inlineStr">
        <is>
          <t>IEE 5.1127 % con cuota mínima 1 €/MWh (Ley 38/1992 art. 99 (RDL 18/2026 no reduce el IEE en julio)) + IVA 21 % (Ley 37/1992 art. 90 (RDL 18/2026 no reduce el IVA en julio))</t>
        </is>
      </c>
      <c r="J1891" t="inlineStr">
        <is>
          <t>2026-07-30</t>
        </is>
      </c>
      <c r="K1891" t="inlineStr">
        <is>
          <t>ESIOS 1001 geo 8741</t>
        </is>
      </c>
      <c r="L1891" t="inlineStr">
        <is>
          <t>24 valores; mín 99.33, máx 297.02 €/MWh</t>
        </is>
      </c>
    </row>
    <row r="1892">
      <c r="A1892" s="53" t="n">
        <v>46235</v>
      </c>
      <c r="B1892" t="inlineStr">
        <is>
          <t>2026-08-01</t>
        </is>
      </c>
      <c r="C1892" s="45" t="n">
        <v>135</v>
      </c>
      <c r="D1892" t="inlineStr">
        <is>
          <t>€/MWh</t>
        </is>
      </c>
      <c r="E1892" s="54" t="n">
        <v>0.135</v>
      </c>
      <c r="F1892" s="54" t="n">
        <v>0.171702</v>
      </c>
      <c r="G1892" t="inlineStr">
        <is>
          <t>calculado</t>
        </is>
      </c>
      <c r="H1892" t="inlineStr">
        <is>
          <t>IEE 5.1127 % con cuota mínima 1 €/MWh (RDL 18/2026 art. 12) + IVA 21 % (RDL 18/2026 art. 10 (agosto: condición IPC de junio))</t>
        </is>
      </c>
      <c r="J1892" t="inlineStr">
        <is>
          <t>2026-07-31</t>
        </is>
      </c>
      <c r="K1892" t="inlineStr">
        <is>
          <t>ESIOS 1001 geo 8741</t>
        </is>
      </c>
      <c r="L1892" t="inlineStr">
        <is>
          <t>24 valores; mín 4.83, máx 239.80 €/MWh</t>
        </is>
      </c>
    </row>
    <row r="1893">
      <c r="A1893" s="53" t="n">
        <v>46236</v>
      </c>
      <c r="B1893" t="inlineStr">
        <is>
          <t>2026-08-02</t>
        </is>
      </c>
      <c r="C1893" s="45" t="n">
        <v>132.0779</v>
      </c>
      <c r="D1893" t="inlineStr">
        <is>
          <t>€/MWh</t>
        </is>
      </c>
      <c r="E1893" s="54" t="n">
        <v>0.132078</v>
      </c>
      <c r="F1893" s="54" t="n">
        <v>0.167985</v>
      </c>
      <c r="G1893" t="inlineStr">
        <is>
          <t>calculado</t>
        </is>
      </c>
      <c r="H1893" t="inlineStr">
        <is>
          <t>IEE 5.1127 % con cuota mínima 1 €/MWh (RDL 18/2026 art. 12) + IVA 21 % (RDL 18/2026 art. 10 (agosto: condición IPC de junio))</t>
        </is>
      </c>
      <c r="J1893" t="inlineStr">
        <is>
          <t>2026-08-01</t>
        </is>
      </c>
      <c r="K1893" t="inlineStr">
        <is>
          <t>ESIOS 1001 geo 8741</t>
        </is>
      </c>
      <c r="L1893" t="inlineStr">
        <is>
          <t>24 valores; mín 9.00, máx 252.24 €/MWh</t>
        </is>
      </c>
    </row>
    <row r="1894">
      <c r="A1894" s="53" t="n">
        <v>46237</v>
      </c>
      <c r="B1894" t="inlineStr">
        <is>
          <t>2026-08-03</t>
        </is>
      </c>
      <c r="C1894" s="45" t="n">
        <v>197.3167</v>
      </c>
      <c r="D1894" t="inlineStr">
        <is>
          <t>€/MWh</t>
        </is>
      </c>
      <c r="E1894" s="54" t="n">
        <v>0.197317</v>
      </c>
      <c r="F1894" s="54" t="n">
        <v>0.25096</v>
      </c>
      <c r="G1894" t="inlineStr">
        <is>
          <t>calculado</t>
        </is>
      </c>
      <c r="H1894" t="inlineStr">
        <is>
          <t>IEE 5.1127 % con cuota mínima 1 €/MWh (RDL 18/2026 art. 12) + IVA 21 % (RDL 18/2026 art. 10 (agosto: condición IPC de junio))</t>
        </is>
      </c>
      <c r="J1894" t="inlineStr">
        <is>
          <t>2026-08-02</t>
        </is>
      </c>
      <c r="K1894" t="inlineStr">
        <is>
          <t>ESIOS 1001 geo 8741</t>
        </is>
      </c>
      <c r="L1894" t="inlineStr">
        <is>
          <t>24 valores; mín 96.97, máx 332.17 €/MWh</t>
        </is>
      </c>
    </row>
    <row r="1895">
      <c r="A1895" s="53" t="n">
        <v>46238</v>
      </c>
      <c r="B1895" t="inlineStr">
        <is>
          <t>2026-08-04</t>
        </is>
      </c>
      <c r="C1895" s="45" t="n">
        <v>190.9283</v>
      </c>
      <c r="D1895" t="inlineStr">
        <is>
          <t>€/MWh</t>
        </is>
      </c>
      <c r="E1895" s="54" t="n">
        <v>0.190928</v>
      </c>
      <c r="F1895" s="54" t="n">
        <v>0.242835</v>
      </c>
      <c r="G1895" t="inlineStr">
        <is>
          <t>calculado</t>
        </is>
      </c>
      <c r="H1895" t="inlineStr">
        <is>
          <t>IEE 5.1127 % con cuota mínima 1 €/MWh (RDL 18/2026 art. 12) + IVA 21 % (RDL 18/2026 art. 10 (agosto: condición IPC de junio))</t>
        </is>
      </c>
      <c r="J1895" t="inlineStr">
        <is>
          <t>2026-08-03</t>
        </is>
      </c>
      <c r="K1895" t="inlineStr">
        <is>
          <t>ESIOS 1001 geo 8741</t>
        </is>
      </c>
      <c r="L1895" t="inlineStr">
        <is>
          <t>24 valores; mín 102.46, máx 316.28 €/MWh</t>
        </is>
      </c>
    </row>
    <row r="1896">
      <c r="A1896" s="53" t="n">
        <v>46239</v>
      </c>
      <c r="B1896" t="inlineStr">
        <is>
          <t>2026-08-05</t>
        </is>
      </c>
      <c r="C1896" s="45" t="n">
        <v>175.6208</v>
      </c>
      <c r="D1896" t="inlineStr">
        <is>
          <t>€/MWh</t>
        </is>
      </c>
      <c r="E1896" s="54" t="n">
        <v>0.175621</v>
      </c>
      <c r="F1896" s="54" t="n">
        <v>0.223366</v>
      </c>
      <c r="G1896" t="inlineStr">
        <is>
          <t>calculado</t>
        </is>
      </c>
      <c r="H1896" t="inlineStr">
        <is>
          <t>IEE 5.1127 % con cuota mínima 1 €/MWh (RDL 18/2026 art. 12) + IVA 21 % (RDL 18/2026 art. 10 (agosto: condición IPC de junio))</t>
        </is>
      </c>
      <c r="J1896" t="inlineStr">
        <is>
          <t>2026-08-04</t>
        </is>
      </c>
      <c r="K1896" t="inlineStr">
        <is>
          <t>ESIOS 1001 geo 8741</t>
        </is>
      </c>
      <c r="L1896" t="inlineStr">
        <is>
          <t>24 valores; mín 37.43, máx 315.43 €/MWh</t>
        </is>
      </c>
    </row>
    <row r="1897">
      <c r="A1897" s="53" t="n">
        <v>46240</v>
      </c>
      <c r="B1897" t="inlineStr">
        <is>
          <t>2026-08-06</t>
        </is>
      </c>
      <c r="C1897" s="45" t="n">
        <v>175.6887</v>
      </c>
      <c r="D1897" t="inlineStr">
        <is>
          <t>€/MWh</t>
        </is>
      </c>
      <c r="E1897" s="54" t="n">
        <v>0.175689</v>
      </c>
      <c r="F1897" s="54" t="n">
        <v>0.223452</v>
      </c>
      <c r="G1897" t="inlineStr">
        <is>
          <t>calculado</t>
        </is>
      </c>
      <c r="H1897" t="inlineStr">
        <is>
          <t>IEE 5.1127 % con cuota mínima 1 €/MWh (RDL 18/2026 art. 12) + IVA 21 % (RDL 18/2026 art. 10 (agosto: condición IPC de junio))</t>
        </is>
      </c>
      <c r="J1897" t="inlineStr">
        <is>
          <t>2026-08-05</t>
        </is>
      </c>
      <c r="K1897" t="inlineStr">
        <is>
          <t>ESIOS 1001 geo 8741</t>
        </is>
      </c>
      <c r="L1897" t="inlineStr">
        <is>
          <t>24 valores; mín 42.49, máx 345.02 €/MWh</t>
        </is>
      </c>
    </row>
    <row r="1898">
      <c r="A1898" s="53" t="n">
        <v>46241</v>
      </c>
      <c r="B1898" t="inlineStr">
        <is>
          <t>2026-08-07</t>
        </is>
      </c>
      <c r="C1898" s="45" t="n">
        <v>176.0637</v>
      </c>
      <c r="D1898" t="inlineStr">
        <is>
          <t>€/MWh</t>
        </is>
      </c>
      <c r="E1898" s="54" t="n">
        <v>0.176064</v>
      </c>
      <c r="F1898" s="54" t="n">
        <v>0.223929</v>
      </c>
      <c r="G1898" t="inlineStr">
        <is>
          <t>calculado</t>
        </is>
      </c>
      <c r="H1898" t="inlineStr">
        <is>
          <t>IEE 5.1127 % con cuota mínima 1 €/MWh (RDL 18/2026 art. 12) + IVA 21 % (RDL 18/2026 art. 10 (agosto: condición IPC de junio))</t>
        </is>
      </c>
      <c r="J1898" t="inlineStr">
        <is>
          <t>2026-08-06</t>
        </is>
      </c>
      <c r="K1898" t="inlineStr">
        <is>
          <t>ESIOS 1001 geo 8741</t>
        </is>
      </c>
      <c r="L1898" t="inlineStr">
        <is>
          <t>24 valores; mín 49.21, máx 337.26 €/MWh</t>
        </is>
      </c>
    </row>
    <row r="1899">
      <c r="A1899" s="53" t="n">
        <v>46242</v>
      </c>
      <c r="B1899" t="inlineStr">
        <is>
          <t>2026-08-08</t>
        </is>
      </c>
      <c r="C1899" s="45" t="n">
        <v>132.9371</v>
      </c>
      <c r="D1899" t="inlineStr">
        <is>
          <t>€/MWh</t>
        </is>
      </c>
      <c r="E1899" s="54" t="n">
        <v>0.132937</v>
      </c>
      <c r="F1899" s="54" t="n">
        <v>0.169078</v>
      </c>
      <c r="G1899" t="inlineStr">
        <is>
          <t>calculado</t>
        </is>
      </c>
      <c r="H1899" t="inlineStr">
        <is>
          <t>IEE 5.1127 % con cuota mínima 1 €/MWh (RDL 18/2026 art. 12) + IVA 21 % (RDL 18/2026 art. 10 (agosto: condición IPC de junio))</t>
        </is>
      </c>
      <c r="J1899" t="inlineStr">
        <is>
          <t>2026-08-07</t>
        </is>
      </c>
      <c r="K1899" t="inlineStr">
        <is>
          <t>ESIOS 1001 geo 8741</t>
        </is>
      </c>
      <c r="L1899" t="inlineStr">
        <is>
          <t>24 valores; mín 3.27, máx 236.36 €/MWh</t>
        </is>
      </c>
    </row>
    <row r="1900">
      <c r="A1900" s="53" t="n">
        <v>46243</v>
      </c>
      <c r="B1900" t="inlineStr">
        <is>
          <t>2026-08-09</t>
        </is>
      </c>
      <c r="C1900" s="45" t="n">
        <v>123.2071</v>
      </c>
      <c r="D1900" t="inlineStr">
        <is>
          <t>€/MWh</t>
        </is>
      </c>
      <c r="E1900" s="54" t="n">
        <v>0.123207</v>
      </c>
      <c r="F1900" s="54" t="n">
        <v>0.156703</v>
      </c>
      <c r="G1900" t="inlineStr">
        <is>
          <t>calculado</t>
        </is>
      </c>
      <c r="H1900" t="inlineStr">
        <is>
          <t>IEE 5.1127 % con cuota mínima 1 €/MWh (RDL 18/2026 art. 12) + IVA 21 % (RDL 18/2026 art. 10 (agosto: condición IPC de junio))</t>
        </is>
      </c>
      <c r="J1900" t="inlineStr">
        <is>
          <t>2026-08-08</t>
        </is>
      </c>
      <c r="K1900" t="inlineStr">
        <is>
          <t>ESIOS 1001 geo 8741</t>
        </is>
      </c>
      <c r="L1900" t="inlineStr">
        <is>
          <t>24 valores; mín 11.72, máx 217.54 €/MWh</t>
        </is>
      </c>
    </row>
    <row r="1901">
      <c r="A1901" s="53" t="n">
        <v>46244</v>
      </c>
      <c r="B1901" t="inlineStr">
        <is>
          <t>2026-08-10</t>
        </is>
      </c>
      <c r="C1901" s="45" t="n">
        <v>181.6313</v>
      </c>
      <c r="D1901" t="inlineStr">
        <is>
          <t>€/MWh</t>
        </is>
      </c>
      <c r="E1901" s="54" t="n">
        <v>0.181631</v>
      </c>
      <c r="F1901" s="54" t="n">
        <v>0.23101</v>
      </c>
      <c r="G1901" t="inlineStr">
        <is>
          <t>calculado</t>
        </is>
      </c>
      <c r="H1901" t="inlineStr">
        <is>
          <t>IEE 5.1127 % con cuota mínima 1 €/MWh (RDL 18/2026 art. 12) + IVA 21 % (RDL 18/2026 art. 10 (agosto: condición IPC de junio))</t>
        </is>
      </c>
      <c r="J1901" t="inlineStr">
        <is>
          <t>2026-08-09</t>
        </is>
      </c>
      <c r="K1901" t="inlineStr">
        <is>
          <t>ESIOS 1001 geo 8741</t>
        </is>
      </c>
      <c r="L1901" t="inlineStr">
        <is>
          <t>24 valores; mín 56.44, máx 347.32 €/MWh</t>
        </is>
      </c>
    </row>
    <row r="1902">
      <c r="A1902" s="53" t="n">
        <v>46245</v>
      </c>
      <c r="B1902" t="inlineStr">
        <is>
          <t>2026-08-11</t>
        </is>
      </c>
      <c r="C1902" s="45" t="n">
        <v>182.385</v>
      </c>
      <c r="D1902" t="inlineStr">
        <is>
          <t>€/MWh</t>
        </is>
      </c>
      <c r="E1902" s="54" t="n">
        <v>0.182385</v>
      </c>
      <c r="F1902" s="54" t="n">
        <v>0.231969</v>
      </c>
      <c r="G1902" t="inlineStr">
        <is>
          <t>calculado</t>
        </is>
      </c>
      <c r="H1902" t="inlineStr">
        <is>
          <t>IEE 5.1127 % con cuota mínima 1 €/MWh (RDL 18/2026 art. 12) + IVA 21 % (RDL 18/2026 art. 10 (agosto: condición IPC de junio))</t>
        </is>
      </c>
      <c r="J1902" t="inlineStr">
        <is>
          <t>2026-08-10</t>
        </is>
      </c>
      <c r="K1902" t="inlineStr">
        <is>
          <t>ESIOS 1001 geo 8741</t>
        </is>
      </c>
      <c r="L1902" t="inlineStr">
        <is>
          <t>24 valores; mín 65.12, máx 355.10 €/MWh</t>
        </is>
      </c>
    </row>
    <row r="1903">
      <c r="A1903" s="53" t="n">
        <v>46246</v>
      </c>
      <c r="B1903" t="inlineStr">
        <is>
          <t>2026-08-12</t>
        </is>
      </c>
      <c r="C1903" s="45" t="n">
        <v>188.0404</v>
      </c>
      <c r="D1903" t="inlineStr">
        <is>
          <t>€/MWh</t>
        </is>
      </c>
      <c r="E1903" s="54" t="n">
        <v>0.18804</v>
      </c>
      <c r="F1903" s="54" t="n">
        <v>0.239162</v>
      </c>
      <c r="G1903" t="inlineStr">
        <is>
          <t>calculado</t>
        </is>
      </c>
      <c r="H1903" t="inlineStr">
        <is>
          <t>IEE 5.1127 % con cuota mínima 1 €/MWh (RDL 18/2026 art. 12) + IVA 21 % (RDL 18/2026 art. 10 (agosto: condición IPC de junio))</t>
        </is>
      </c>
      <c r="J1903" t="inlineStr">
        <is>
          <t>2026-08-11</t>
        </is>
      </c>
      <c r="K1903" t="inlineStr">
        <is>
          <t>ESIOS 1001 geo 8741</t>
        </is>
      </c>
      <c r="L1903" t="inlineStr">
        <is>
          <t>24 valores; mín 63.11, máx 350.13 €/MWh</t>
        </is>
      </c>
    </row>
    <row r="1904">
      <c r="A1904" s="53" t="n">
        <v>46247</v>
      </c>
      <c r="B1904" t="inlineStr">
        <is>
          <t>2026-08-13</t>
        </is>
      </c>
      <c r="C1904" s="45" t="n">
        <v>194.6513</v>
      </c>
      <c r="D1904" t="inlineStr">
        <is>
          <t>€/MWh</t>
        </is>
      </c>
      <c r="E1904" s="54" t="n">
        <v>0.194651</v>
      </c>
      <c r="F1904" s="54" t="n">
        <v>0.24757</v>
      </c>
      <c r="G1904" t="inlineStr">
        <is>
          <t>calculado</t>
        </is>
      </c>
      <c r="H1904" t="inlineStr">
        <is>
          <t>IEE 5.1127 % con cuota mínima 1 €/MWh (RDL 18/2026 art. 12) + IVA 21 % (RDL 18/2026 art. 10 (agosto: condición IPC de junio))</t>
        </is>
      </c>
      <c r="J1904" t="inlineStr">
        <is>
          <t>2026-08-12</t>
        </is>
      </c>
      <c r="K1904" t="inlineStr">
        <is>
          <t>ESIOS 1001 geo 8741</t>
        </is>
      </c>
      <c r="L1904" t="inlineStr">
        <is>
          <t>24 valores; mín 67.85, máx 377.55 €/MWh</t>
        </is>
      </c>
    </row>
    <row r="1905">
      <c r="A1905" s="53" t="n">
        <v>46248</v>
      </c>
      <c r="B1905" t="inlineStr">
        <is>
          <t>2026-08-14</t>
        </is>
      </c>
      <c r="C1905" s="45" t="n">
        <v>190.565</v>
      </c>
      <c r="D1905" t="inlineStr">
        <is>
          <t>€/MWh</t>
        </is>
      </c>
      <c r="E1905" s="54" t="n">
        <v>0.190565</v>
      </c>
      <c r="F1905" s="54" t="n">
        <v>0.242373</v>
      </c>
      <c r="G1905" t="inlineStr">
        <is>
          <t>calculado</t>
        </is>
      </c>
      <c r="H1905" t="inlineStr">
        <is>
          <t>IEE 5.1127 % con cuota mínima 1 €/MWh (RDL 18/2026 art. 12) + IVA 21 % (RDL 18/2026 art. 10 (agosto: condición IPC de junio))</t>
        </is>
      </c>
      <c r="J1905" t="inlineStr">
        <is>
          <t>2026-08-13</t>
        </is>
      </c>
      <c r="K1905" t="inlineStr">
        <is>
          <t>ESIOS 1001 geo 8741</t>
        </is>
      </c>
      <c r="L1905" t="inlineStr">
        <is>
          <t>24 valores; mín 77.47, máx 349.69 €/MWh</t>
        </is>
      </c>
    </row>
    <row r="1906">
      <c r="A1906" s="53" t="n">
        <v>46249</v>
      </c>
      <c r="B1906" t="inlineStr">
        <is>
          <t>2026-08-15</t>
        </is>
      </c>
      <c r="C1906" s="45" t="n">
        <v>140.5908</v>
      </c>
      <c r="D1906" t="inlineStr">
        <is>
          <t>€/MWh</t>
        </is>
      </c>
      <c r="E1906" s="54" t="n">
        <v>0.140591</v>
      </c>
      <c r="F1906" s="54" t="n">
        <v>0.178812</v>
      </c>
      <c r="G1906" t="inlineStr">
        <is>
          <t>calculado</t>
        </is>
      </c>
      <c r="H1906" t="inlineStr">
        <is>
          <t>IEE 5.1127 % con cuota mínima 1 €/MWh (RDL 18/2026 art. 12) + IVA 21 % (RDL 18/2026 art. 10 (agosto: condición IPC de junio))</t>
        </is>
      </c>
      <c r="J1906" t="inlineStr">
        <is>
          <t>2026-08-14</t>
        </is>
      </c>
      <c r="K1906" t="inlineStr">
        <is>
          <t>ESIOS 1001 geo 8741</t>
        </is>
      </c>
      <c r="L1906" t="inlineStr">
        <is>
          <t>24 valores; mín 6.76, máx 256.26 €/MWh</t>
        </is>
      </c>
    </row>
    <row r="1907">
      <c r="A1907" s="53" t="n">
        <v>46250</v>
      </c>
      <c r="B1907" t="inlineStr">
        <is>
          <t>2026-08-16</t>
        </is>
      </c>
      <c r="C1907" s="45" t="n">
        <v>137.73</v>
      </c>
      <c r="D1907" t="inlineStr">
        <is>
          <t>€/MWh</t>
        </is>
      </c>
      <c r="E1907" s="54" t="n">
        <v>0.13773</v>
      </c>
      <c r="F1907" s="54" t="n">
        <v>0.175174</v>
      </c>
      <c r="G1907" t="inlineStr">
        <is>
          <t>calculado</t>
        </is>
      </c>
      <c r="H1907" t="inlineStr">
        <is>
          <t>IEE 5.1127 % con cuota mínima 1 €/MWh (RDL 18/2026 art. 12) + IVA 21 % (RDL 18/2026 art. 10 (agosto: condición IPC de junio))</t>
        </is>
      </c>
      <c r="J1907" t="inlineStr">
        <is>
          <t>2026-08-15</t>
        </is>
      </c>
      <c r="K1907" t="inlineStr">
        <is>
          <t>ESIOS 1001 geo 8741</t>
        </is>
      </c>
      <c r="L1907" t="inlineStr">
        <is>
          <t>24 valores; mín 4.30, máx 252.43 €/MWh</t>
        </is>
      </c>
    </row>
    <row r="1908">
      <c r="A1908" s="53" t="n">
        <v>46251</v>
      </c>
      <c r="B1908" t="inlineStr">
        <is>
          <t>2026-08-17</t>
        </is>
      </c>
      <c r="C1908" s="45" t="n">
        <v>202.4208</v>
      </c>
      <c r="D1908" t="inlineStr">
        <is>
          <t>€/MWh</t>
        </is>
      </c>
      <c r="E1908" s="54" t="n">
        <v>0.202421</v>
      </c>
      <c r="F1908" s="54" t="n">
        <v>0.257452</v>
      </c>
      <c r="G1908" t="inlineStr">
        <is>
          <t>calculado</t>
        </is>
      </c>
      <c r="H1908" t="inlineStr">
        <is>
          <t>IEE 5.1127 % con cuota mínima 1 €/MWh (RDL 18/2026 art. 12) + IVA 21 % (RDL 18/2026 art. 10 (agosto: condición IPC de junio))</t>
        </is>
      </c>
      <c r="J1908" t="inlineStr">
        <is>
          <t>2026-08-16</t>
        </is>
      </c>
      <c r="K1908" t="inlineStr">
        <is>
          <t>ESIOS 1001 geo 8741</t>
        </is>
      </c>
      <c r="L1908" t="inlineStr">
        <is>
          <t>24 valores; mín 104.39, máx 350.93 €/MWh</t>
        </is>
      </c>
    </row>
    <row r="1909">
      <c r="A1909" s="53" t="n">
        <v>46252</v>
      </c>
      <c r="B1909" t="inlineStr">
        <is>
          <t>2026-08-18</t>
        </is>
      </c>
      <c r="C1909" s="45" t="n">
        <v>187.0333</v>
      </c>
      <c r="D1909" t="inlineStr">
        <is>
          <t>€/MWh</t>
        </is>
      </c>
      <c r="E1909" s="54" t="n">
        <v>0.187033</v>
      </c>
      <c r="F1909" s="54" t="n">
        <v>0.237881</v>
      </c>
      <c r="G1909" t="inlineStr">
        <is>
          <t>calculado</t>
        </is>
      </c>
      <c r="H1909" t="inlineStr">
        <is>
          <t>IEE 5.1127 % con cuota mínima 1 €/MWh (RDL 18/2026 art. 12) + IVA 21 % (RDL 18/2026 art. 10 (agosto: condición IPC de junio))</t>
        </is>
      </c>
      <c r="J1909" t="inlineStr">
        <is>
          <t>2026-08-17</t>
        </is>
      </c>
      <c r="K1909" t="inlineStr">
        <is>
          <t>ESIOS 1001 geo 8741</t>
        </is>
      </c>
      <c r="L1909" t="inlineStr">
        <is>
          <t>24 valores; mín 30.39, máx 391.03 €/MWh</t>
        </is>
      </c>
    </row>
    <row r="1910">
      <c r="A1910" s="53" t="n">
        <v>46253</v>
      </c>
      <c r="B1910" t="inlineStr">
        <is>
          <t>2026-08-19</t>
        </is>
      </c>
      <c r="C1910" s="45" t="n">
        <v>180.6775</v>
      </c>
      <c r="D1910" t="inlineStr">
        <is>
          <t>€/MWh</t>
        </is>
      </c>
      <c r="E1910" s="54" t="n">
        <v>0.180678</v>
      </c>
      <c r="F1910" s="54" t="n">
        <v>0.229797</v>
      </c>
      <c r="G1910" t="inlineStr">
        <is>
          <t>calculado</t>
        </is>
      </c>
      <c r="H1910" t="inlineStr">
        <is>
          <t>IEE 5.1127 % con cuota mínima 1 €/MWh (RDL 18/2026 art. 12) + IVA 21 % (RDL 18/2026 art. 10 (agosto: condición IPC de junio))</t>
        </is>
      </c>
      <c r="J1910" t="inlineStr">
        <is>
          <t>2026-08-18</t>
        </is>
      </c>
      <c r="K1910" t="inlineStr">
        <is>
          <t>ESIOS 1001 geo 8741</t>
        </is>
      </c>
      <c r="L1910" t="inlineStr">
        <is>
          <t>24 valores; mín 24.64, máx 330.22 €/MWh</t>
        </is>
      </c>
    </row>
    <row r="1911">
      <c r="A1911" s="53" t="n">
        <v>46254</v>
      </c>
      <c r="B1911" t="inlineStr">
        <is>
          <t>2026-08-20</t>
        </is>
      </c>
      <c r="C1911" s="45" t="n">
        <v>190.7133</v>
      </c>
      <c r="D1911" t="inlineStr">
        <is>
          <t>€/MWh</t>
        </is>
      </c>
      <c r="E1911" s="54" t="n">
        <v>0.190713</v>
      </c>
      <c r="F1911" s="54" t="n">
        <v>0.242561</v>
      </c>
      <c r="G1911" t="inlineStr">
        <is>
          <t>calculado</t>
        </is>
      </c>
      <c r="H1911" t="inlineStr">
        <is>
          <t>IEE 5.1127 % con cuota mínima 1 €/MWh (RDL 18/2026 art. 12) + IVA 21 % (RDL 18/2026 art. 10 (agosto: condición IPC de junio))</t>
        </is>
      </c>
      <c r="J1911" t="inlineStr">
        <is>
          <t>2026-08-19</t>
        </is>
      </c>
      <c r="K1911" t="inlineStr">
        <is>
          <t>ESIOS 1001 geo 8741</t>
        </is>
      </c>
      <c r="L1911" t="inlineStr">
        <is>
          <t>24 valores; mín 88.29, máx 320.01 €/MWh</t>
        </is>
      </c>
    </row>
    <row r="1912">
      <c r="A1912" s="53" t="n">
        <v>46255</v>
      </c>
      <c r="B1912" t="inlineStr">
        <is>
          <t>2026-08-21</t>
        </is>
      </c>
      <c r="C1912" s="45" t="n">
        <v>177.7671</v>
      </c>
      <c r="D1912" t="inlineStr">
        <is>
          <t>€/MWh</t>
        </is>
      </c>
      <c r="E1912" s="54" t="n">
        <v>0.177767</v>
      </c>
      <c r="F1912" s="54" t="n">
        <v>0.226096</v>
      </c>
      <c r="G1912" t="inlineStr">
        <is>
          <t>calculado</t>
        </is>
      </c>
      <c r="H1912" t="inlineStr">
        <is>
          <t>IEE 5.1127 % con cuota mínima 1 €/MWh (RDL 18/2026 art. 12) + IVA 21 % (RDL 18/2026 art. 10 (agosto: condición IPC de junio))</t>
        </is>
      </c>
      <c r="J1912" t="inlineStr">
        <is>
          <t>2026-08-20</t>
        </is>
      </c>
      <c r="K1912" t="inlineStr">
        <is>
          <t>ESIOS 1001 geo 8741</t>
        </is>
      </c>
      <c r="L1912" t="inlineStr">
        <is>
          <t>24 valores; mín 35.03, máx 339.70 €/MWh</t>
        </is>
      </c>
    </row>
    <row r="1913">
      <c r="A1913" s="53" t="n">
        <v>46256</v>
      </c>
      <c r="B1913" t="inlineStr">
        <is>
          <t>2026-08-22</t>
        </is>
      </c>
      <c r="C1913" s="45" t="n">
        <v>131.9137</v>
      </c>
      <c r="D1913" t="inlineStr">
        <is>
          <t>€/MWh</t>
        </is>
      </c>
      <c r="E1913" s="54" t="n">
        <v>0.131914</v>
      </c>
      <c r="F1913" s="54" t="n">
        <v>0.167776</v>
      </c>
      <c r="G1913" t="inlineStr">
        <is>
          <t>calculado</t>
        </is>
      </c>
      <c r="H1913" t="inlineStr">
        <is>
          <t>IEE 5.1127 % con cuota mínima 1 €/MWh (RDL 18/2026 art. 12) + IVA 21 % (RDL 18/2026 art. 10 (agosto: condición IPC de junio))</t>
        </is>
      </c>
      <c r="J1913" t="inlineStr">
        <is>
          <t>2026-08-21</t>
        </is>
      </c>
      <c r="K1913" t="inlineStr">
        <is>
          <t>ESIOS 1001 geo 8741</t>
        </is>
      </c>
      <c r="L1913" t="inlineStr">
        <is>
          <t>24 valores; mín 22.39, máx 237.58 €/MWh</t>
        </is>
      </c>
    </row>
    <row r="1914">
      <c r="A1914" s="53" t="n">
        <v>46257</v>
      </c>
      <c r="B1914" t="inlineStr">
        <is>
          <t>2026-08-23</t>
        </is>
      </c>
      <c r="C1914" s="45" t="n">
        <v>127.9258</v>
      </c>
      <c r="D1914" t="inlineStr">
        <is>
          <t>€/MWh</t>
        </is>
      </c>
      <c r="E1914" s="54" t="n">
        <v>0.127926</v>
      </c>
      <c r="F1914" s="54" t="n">
        <v>0.162704</v>
      </c>
      <c r="G1914" t="inlineStr">
        <is>
          <t>calculado</t>
        </is>
      </c>
      <c r="H1914" t="inlineStr">
        <is>
          <t>IEE 5.1127 % con cuota mínima 1 €/MWh (RDL 18/2026 art. 12) + IVA 21 % (RDL 18/2026 art. 10 (agosto: condición IPC de junio))</t>
        </is>
      </c>
      <c r="J1914" t="inlineStr">
        <is>
          <t>2026-08-22</t>
        </is>
      </c>
      <c r="K1914" t="inlineStr">
        <is>
          <t>ESIOS 1001 geo 8741</t>
        </is>
      </c>
      <c r="L1914" t="inlineStr">
        <is>
          <t>24 valores; mín 26.27, máx 230.07 €/MWh</t>
        </is>
      </c>
    </row>
    <row r="1915">
      <c r="A1915" s="53" t="n">
        <v>46258</v>
      </c>
      <c r="B1915" t="inlineStr">
        <is>
          <t>2026-08-24</t>
        </is>
      </c>
      <c r="C1915" s="45" t="n">
        <v>171.0304</v>
      </c>
      <c r="D1915" t="inlineStr">
        <is>
          <t>€/MWh</t>
        </is>
      </c>
      <c r="E1915" s="54" t="n">
        <v>0.17103</v>
      </c>
      <c r="F1915" s="54" t="n">
        <v>0.217527</v>
      </c>
      <c r="G1915" t="inlineStr">
        <is>
          <t>calculado</t>
        </is>
      </c>
      <c r="H1915" t="inlineStr">
        <is>
          <t>IEE 5.1127 % con cuota mínima 1 €/MWh (RDL 18/2026 art. 12) + IVA 21 % (RDL 18/2026 art. 10 (agosto: condición IPC de junio))</t>
        </is>
      </c>
      <c r="J1915" t="inlineStr">
        <is>
          <t>2026-08-23</t>
        </is>
      </c>
      <c r="K1915" t="inlineStr">
        <is>
          <t>ESIOS 1001 geo 8741</t>
        </is>
      </c>
      <c r="L1915" t="inlineStr">
        <is>
          <t>24 valores; mín 45.81, máx 341.91 €/MWh</t>
        </is>
      </c>
    </row>
    <row r="1916">
      <c r="A1916" s="53" t="n">
        <v>46259</v>
      </c>
      <c r="B1916" t="inlineStr">
        <is>
          <t>2026-08-25</t>
        </is>
      </c>
      <c r="C1916" s="45" t="n">
        <v>183.3304</v>
      </c>
      <c r="D1916" t="inlineStr">
        <is>
          <t>€/MWh</t>
        </is>
      </c>
      <c r="E1916" s="54" t="n">
        <v>0.18333</v>
      </c>
      <c r="F1916" s="54" t="n">
        <v>0.233171</v>
      </c>
      <c r="G1916" t="inlineStr">
        <is>
          <t>calculado</t>
        </is>
      </c>
      <c r="H1916" t="inlineStr">
        <is>
          <t>IEE 5.1127 % con cuota mínima 1 €/MWh (RDL 18/2026 art. 12) + IVA 21 % (RDL 18/2026 art. 10 (agosto: condición IPC de junio))</t>
        </is>
      </c>
      <c r="J1916" t="inlineStr">
        <is>
          <t>2026-08-24</t>
        </is>
      </c>
      <c r="K1916" t="inlineStr">
        <is>
          <t>ESIOS 1001 geo 8741</t>
        </is>
      </c>
      <c r="L1916" t="inlineStr">
        <is>
          <t>24 valores; mín 35.23, máx 364.54 €/MWh</t>
        </is>
      </c>
    </row>
    <row r="1917">
      <c r="A1917" s="53" t="n">
        <v>46260</v>
      </c>
      <c r="B1917" t="inlineStr">
        <is>
          <t>2026-08-26</t>
        </is>
      </c>
      <c r="C1917" s="45" t="n">
        <v>174.9871</v>
      </c>
      <c r="D1917" t="inlineStr">
        <is>
          <t>€/MWh</t>
        </is>
      </c>
      <c r="E1917" s="54" t="n">
        <v>0.174987</v>
      </c>
      <c r="F1917" s="54" t="n">
        <v>0.22256</v>
      </c>
      <c r="G1917" t="inlineStr">
        <is>
          <t>calculado</t>
        </is>
      </c>
      <c r="H1917" t="inlineStr">
        <is>
          <t>IEE 5.1127 % con cuota mínima 1 €/MWh (RDL 18/2026 art. 12) + IVA 21 % (RDL 18/2026 art. 10 (agosto: condición IPC de junio))</t>
        </is>
      </c>
      <c r="J1917" t="inlineStr">
        <is>
          <t>2026-08-25</t>
        </is>
      </c>
      <c r="K1917" t="inlineStr">
        <is>
          <t>ESIOS 1001 geo 8741</t>
        </is>
      </c>
      <c r="L1917" t="inlineStr">
        <is>
          <t>24 valores; mín 34.73, máx 324.84 €/MWh</t>
        </is>
      </c>
    </row>
    <row r="1918">
      <c r="A1918" s="53" t="n">
        <v>46261</v>
      </c>
      <c r="B1918" t="inlineStr">
        <is>
          <t>2026-08-27</t>
        </is>
      </c>
      <c r="C1918" s="45" t="n">
        <v>172.1467</v>
      </c>
      <c r="D1918" t="inlineStr">
        <is>
          <t>€/MWh</t>
        </is>
      </c>
      <c r="E1918" s="54" t="n">
        <v>0.172147</v>
      </c>
      <c r="F1918" s="54" t="n">
        <v>0.218947</v>
      </c>
      <c r="G1918" t="inlineStr">
        <is>
          <t>calculado</t>
        </is>
      </c>
      <c r="H1918" t="inlineStr">
        <is>
          <t>IEE 5.1127 % con cuota mínima 1 €/MWh (RDL 18/2026 art. 12) + IVA 21 % (RDL 18/2026 art. 10 (agosto: condición IPC de junio))</t>
        </is>
      </c>
      <c r="J1918" t="inlineStr">
        <is>
          <t>2026-08-26</t>
        </is>
      </c>
      <c r="K1918" t="inlineStr">
        <is>
          <t>ESIOS 1001 geo 8741</t>
        </is>
      </c>
      <c r="L1918" t="inlineStr">
        <is>
          <t>24 valores; mín 36.19, máx 316.20 €/MWh</t>
        </is>
      </c>
    </row>
    <row r="1919">
      <c r="A1919" s="53" t="n">
        <v>46262</v>
      </c>
      <c r="B1919" t="inlineStr">
        <is>
          <t>2026-08-28</t>
        </is>
      </c>
      <c r="C1919" s="45" t="n">
        <v>171.1917</v>
      </c>
      <c r="D1919" t="inlineStr">
        <is>
          <t>€/MWh</t>
        </is>
      </c>
      <c r="E1919" s="54" t="n">
        <v>0.171192</v>
      </c>
      <c r="F1919" s="54" t="n">
        <v>0.217732</v>
      </c>
      <c r="G1919" t="inlineStr">
        <is>
          <t>calculado</t>
        </is>
      </c>
      <c r="H1919" t="inlineStr">
        <is>
          <t>IEE 5.1127 % con cuota mínima 1 €/MWh (RDL 18/2026 art. 12) + IVA 21 % (RDL 18/2026 art. 10 (agosto: condición IPC de junio))</t>
        </is>
      </c>
      <c r="J1919" t="inlineStr">
        <is>
          <t>2026-08-27</t>
        </is>
      </c>
      <c r="K1919" t="inlineStr">
        <is>
          <t>ESIOS 1001 geo 8741</t>
        </is>
      </c>
      <c r="L1919" t="inlineStr">
        <is>
          <t>24 valores; mín 43.79, máx 358.04 €/MWh</t>
        </is>
      </c>
    </row>
    <row r="1920">
      <c r="A1920" s="53" t="n">
        <v>46263</v>
      </c>
      <c r="B1920" t="inlineStr">
        <is>
          <t>2026-08-29</t>
        </is>
      </c>
      <c r="C1920" s="45" t="n">
        <v>130.4087</v>
      </c>
      <c r="D1920" t="inlineStr">
        <is>
          <t>€/MWh</t>
        </is>
      </c>
      <c r="E1920" s="54" t="n">
        <v>0.130409</v>
      </c>
      <c r="F1920" s="54" t="n">
        <v>0.165862</v>
      </c>
      <c r="G1920" t="inlineStr">
        <is>
          <t>calculado</t>
        </is>
      </c>
      <c r="H1920" t="inlineStr">
        <is>
          <t>IEE 5.1127 % con cuota mínima 1 €/MWh (RDL 18/2026 art. 12) + IVA 21 % (RDL 18/2026 art. 10 (agosto: condición IPC de junio))</t>
        </is>
      </c>
      <c r="J1920" t="inlineStr">
        <is>
          <t>2026-08-28</t>
        </is>
      </c>
      <c r="K1920" t="inlineStr">
        <is>
          <t>ESIOS 1001 geo 8741</t>
        </is>
      </c>
      <c r="L1920" t="inlineStr">
        <is>
          <t>24 valores; mín 5.69, máx 264.69 €/MWh</t>
        </is>
      </c>
    </row>
    <row r="1921">
      <c r="A1921" s="53" t="n">
        <v>46264</v>
      </c>
      <c r="B1921" t="inlineStr">
        <is>
          <t>2026-08-30</t>
        </is>
      </c>
      <c r="C1921" s="45" t="n">
        <v>132.0783</v>
      </c>
      <c r="D1921" t="inlineStr">
        <is>
          <t>€/MWh</t>
        </is>
      </c>
      <c r="E1921" s="54" t="n">
        <v>0.132078</v>
      </c>
      <c r="F1921" s="54" t="n">
        <v>0.167986</v>
      </c>
      <c r="G1921" t="inlineStr">
        <is>
          <t>calculado</t>
        </is>
      </c>
      <c r="H1921" t="inlineStr">
        <is>
          <t>IEE 5.1127 % con cuota mínima 1 €/MWh (RDL 18/2026 art. 12) + IVA 21 % (RDL 18/2026 art. 10 (agosto: condición IPC de junio))</t>
        </is>
      </c>
      <c r="J1921" t="inlineStr">
        <is>
          <t>2026-08-29</t>
        </is>
      </c>
      <c r="K1921" t="inlineStr">
        <is>
          <t>ESIOS 1001 geo 8741</t>
        </is>
      </c>
      <c r="L1921" t="inlineStr">
        <is>
          <t>24 valores; mín 11.34, máx 244.25 €/MWh</t>
        </is>
      </c>
    </row>
    <row r="1922">
      <c r="A1922" s="53" t="n">
        <v>46265</v>
      </c>
      <c r="B1922" t="inlineStr">
        <is>
          <t>2026-08-31</t>
        </is>
      </c>
      <c r="C1922" s="45" t="n">
        <v>172.4783</v>
      </c>
      <c r="D1922" t="inlineStr">
        <is>
          <t>€/MWh</t>
        </is>
      </c>
      <c r="E1922" s="54" t="n">
        <v>0.172478</v>
      </c>
      <c r="F1922" s="54" t="n">
        <v>0.219369</v>
      </c>
      <c r="G1922" t="inlineStr">
        <is>
          <t>calculado</t>
        </is>
      </c>
      <c r="H1922" t="inlineStr">
        <is>
          <t>IEE 5.1127 % con cuota mínima 1 €/MWh (RDL 18/2026 art. 12) + IVA 21 % (RDL 18/2026 art. 10 (agosto: condición IPC de junio))</t>
        </is>
      </c>
      <c r="J1922" t="inlineStr">
        <is>
          <t>2026-08-30</t>
        </is>
      </c>
      <c r="K1922" t="inlineStr">
        <is>
          <t>ESIOS 1001 geo 8741</t>
        </is>
      </c>
      <c r="L1922" t="inlineStr">
        <is>
          <t>24 valores; mín 34.48, máx 356.44 €/MWh</t>
        </is>
      </c>
    </row>
    <row r="1923">
      <c r="A1923" s="53" t="n">
        <v>46266</v>
      </c>
      <c r="B1923" t="inlineStr">
        <is>
          <t>2026-09-01</t>
        </is>
      </c>
      <c r="C1923" s="45" t="n">
        <v>189.6625</v>
      </c>
      <c r="D1923" t="inlineStr">
        <is>
          <t>€/MWh</t>
        </is>
      </c>
      <c r="E1923" s="54" t="n">
        <v>0.189662</v>
      </c>
      <c r="F1923" s="54" t="n">
        <v>0.241225</v>
      </c>
      <c r="G1923" t="inlineStr">
        <is>
          <t>calculado</t>
        </is>
      </c>
      <c r="H1923" t="inlineStr">
        <is>
          <t>IEE 5.1127 % con cuota mínima 1 €/MWh (RDL 18/2026 art. 13) + IVA 21 % (RDL 18/2026 art. 11 (septiembre: condición IPC de julio))</t>
        </is>
      </c>
      <c r="J1923" t="inlineStr">
        <is>
          <t>2026-08-31</t>
        </is>
      </c>
      <c r="K1923" t="inlineStr">
        <is>
          <t>ESIOS 1001 geo 8741</t>
        </is>
      </c>
      <c r="L1923" t="inlineStr">
        <is>
          <t>24 valores; mín 51.31, máx 343.39 €/MWh</t>
        </is>
      </c>
    </row>
    <row r="1924">
      <c r="A1924" s="53" t="n">
        <v>46267</v>
      </c>
      <c r="B1924" t="inlineStr">
        <is>
          <t>2026-09-02</t>
        </is>
      </c>
      <c r="C1924" s="45" t="n">
        <v>203.6296</v>
      </c>
      <c r="D1924" t="inlineStr">
        <is>
          <t>€/MWh</t>
        </is>
      </c>
      <c r="E1924" s="54" t="n">
        <v>0.20363</v>
      </c>
      <c r="F1924" s="54" t="n">
        <v>0.258989</v>
      </c>
      <c r="G1924" t="inlineStr">
        <is>
          <t>calculado</t>
        </is>
      </c>
      <c r="H1924" t="inlineStr">
        <is>
          <t>IEE 5.1127 % con cuota mínima 1 €/MWh (RDL 18/2026 art. 13) + IVA 21 % (RDL 18/2026 art. 11 (septiembre: condición IPC de julio))</t>
        </is>
      </c>
      <c r="J1924" t="inlineStr">
        <is>
          <t>2026-09-01</t>
        </is>
      </c>
      <c r="K1924" t="inlineStr">
        <is>
          <t>ESIOS 1001 geo 8741</t>
        </is>
      </c>
      <c r="L1924" t="inlineStr">
        <is>
          <t>24 valores; mín 88.26, máx 352.17 €/MWh</t>
        </is>
      </c>
    </row>
    <row r="1925">
      <c r="A1925" s="53" t="n">
        <v>46268</v>
      </c>
      <c r="B1925" t="inlineStr">
        <is>
          <t>2026-09-03</t>
        </is>
      </c>
      <c r="C1925" s="45" t="n">
        <v>208.8679</v>
      </c>
      <c r="D1925" t="inlineStr">
        <is>
          <t>€/MWh</t>
        </is>
      </c>
      <c r="E1925" s="54" t="n">
        <v>0.208868</v>
      </c>
      <c r="F1925" s="54" t="n">
        <v>0.265651</v>
      </c>
      <c r="G1925" t="inlineStr">
        <is>
          <t>calculado</t>
        </is>
      </c>
      <c r="H1925" t="inlineStr">
        <is>
          <t>IEE 5.1127 % con cuota mínima 1 €/MWh (RDL 18/2026 art. 13) + IVA 21 % (RDL 18/2026 art. 11 (septiembre: condición IPC de julio))</t>
        </is>
      </c>
      <c r="J1925" t="inlineStr">
        <is>
          <t>2026-09-02</t>
        </is>
      </c>
      <c r="K1925" t="inlineStr">
        <is>
          <t>ESIOS 1001 geo 8741</t>
        </is>
      </c>
      <c r="L1925" t="inlineStr">
        <is>
          <t>24 valores; mín 44.39, máx 430.40 €/MWh</t>
        </is>
      </c>
    </row>
    <row r="1926">
      <c r="A1926" s="53" t="n">
        <v>46269</v>
      </c>
      <c r="B1926" t="inlineStr">
        <is>
          <t>2026-09-04</t>
        </is>
      </c>
      <c r="C1926" s="45" t="n">
        <v>212.7542</v>
      </c>
      <c r="D1926" t="inlineStr">
        <is>
          <t>€/MWh</t>
        </is>
      </c>
      <c r="E1926" s="54" t="n">
        <v>0.212754</v>
      </c>
      <c r="F1926" s="54" t="n">
        <v>0.270594</v>
      </c>
      <c r="G1926" t="inlineStr">
        <is>
          <t>calculado</t>
        </is>
      </c>
      <c r="H1926" t="inlineStr">
        <is>
          <t>IEE 5.1127 % con cuota mínima 1 €/MWh (RDL 18/2026 art. 13) + IVA 21 % (RDL 18/2026 art. 11 (septiembre: condición IPC de julio))</t>
        </is>
      </c>
      <c r="J1926" t="inlineStr">
        <is>
          <t>2026-09-03</t>
        </is>
      </c>
      <c r="K1926" t="inlineStr">
        <is>
          <t>ESIOS 1001 geo 8741</t>
        </is>
      </c>
      <c r="L1926" t="inlineStr">
        <is>
          <t>24 valores; mín 92.59, máx 377.82 €/MWh</t>
        </is>
      </c>
    </row>
    <row r="1927">
      <c r="A1927" s="53" t="n">
        <v>46270</v>
      </c>
      <c r="B1927" t="inlineStr">
        <is>
          <t>2026-09-05</t>
        </is>
      </c>
      <c r="C1927" s="45" t="n">
        <v>149.4683</v>
      </c>
      <c r="D1927" t="inlineStr">
        <is>
          <t>€/MWh</t>
        </is>
      </c>
      <c r="E1927" s="54" t="n">
        <v>0.149468</v>
      </c>
      <c r="F1927" s="54" t="n">
        <v>0.190103</v>
      </c>
      <c r="G1927" t="inlineStr">
        <is>
          <t>calculado</t>
        </is>
      </c>
      <c r="H1927" t="inlineStr">
        <is>
          <t>IEE 5.1127 % con cuota mínima 1 €/MWh (RDL 18/2026 art. 13) + IVA 21 % (RDL 18/2026 art. 11 (septiembre: condición IPC de julio))</t>
        </is>
      </c>
      <c r="J1927" t="inlineStr">
        <is>
          <t>2026-09-04</t>
        </is>
      </c>
      <c r="K1927" t="inlineStr">
        <is>
          <t>ESIOS 1001 geo 8741</t>
        </is>
      </c>
      <c r="L1927" t="inlineStr">
        <is>
          <t>24 valores; mín -10.70, máx 247.84 €/MWh</t>
        </is>
      </c>
    </row>
    <row r="1928">
      <c r="A1928" s="53" t="n">
        <v>46271</v>
      </c>
      <c r="B1928" t="inlineStr">
        <is>
          <t>2026-09-06</t>
        </is>
      </c>
      <c r="C1928" s="45" t="n">
        <v>159.1842</v>
      </c>
      <c r="D1928" t="inlineStr">
        <is>
          <t>€/MWh</t>
        </is>
      </c>
      <c r="E1928" s="54" t="n">
        <v>0.159184</v>
      </c>
      <c r="F1928" s="54" t="n">
        <v>0.202461</v>
      </c>
      <c r="G1928" t="inlineStr">
        <is>
          <t>calculado</t>
        </is>
      </c>
      <c r="H1928" t="inlineStr">
        <is>
          <t>IEE 5.1127 % con cuota mínima 1 €/MWh (RDL 18/2026 art. 13) + IVA 21 % (RDL 18/2026 art. 11 (septiembre: condición IPC de julio))</t>
        </is>
      </c>
      <c r="J1928" t="inlineStr">
        <is>
          <t>2026-09-05</t>
        </is>
      </c>
      <c r="K1928" t="inlineStr">
        <is>
          <t>ESIOS 1001 geo 8741</t>
        </is>
      </c>
      <c r="L1928" t="inlineStr">
        <is>
          <t>24 valores; mín -8.57, máx 301.74 €/MWh</t>
        </is>
      </c>
    </row>
    <row r="1929">
      <c r="A1929" s="53" t="n">
        <v>46272</v>
      </c>
      <c r="B1929" t="inlineStr">
        <is>
          <t>2026-09-07</t>
        </is>
      </c>
      <c r="C1929" s="45" t="n">
        <v>221.1854</v>
      </c>
      <c r="D1929" t="inlineStr">
        <is>
          <t>€/MWh</t>
        </is>
      </c>
      <c r="E1929" s="54" t="n">
        <v>0.221185</v>
      </c>
      <c r="F1929" s="54" t="n">
        <v>0.281318</v>
      </c>
      <c r="G1929" t="inlineStr">
        <is>
          <t>calculado</t>
        </is>
      </c>
      <c r="H1929" t="inlineStr">
        <is>
          <t>IEE 5.1127 % con cuota mínima 1 €/MWh (RDL 18/2026 art. 13) + IVA 21 % (RDL 18/2026 art. 11 (septiembre: condición IPC de julio))</t>
        </is>
      </c>
      <c r="J1929" t="inlineStr">
        <is>
          <t>2026-09-06</t>
        </is>
      </c>
      <c r="K1929" t="inlineStr">
        <is>
          <t>ESIOS 1001 geo 8741</t>
        </is>
      </c>
      <c r="L1929" t="inlineStr">
        <is>
          <t>24 valores; mín 85.44, máx 380.43 €/MWh</t>
        </is>
      </c>
    </row>
    <row r="1930">
      <c r="A1930" s="53" t="n">
        <v>46273</v>
      </c>
      <c r="B1930" t="inlineStr">
        <is>
          <t>2026-09-08</t>
        </is>
      </c>
      <c r="C1930" s="45" t="n">
        <v>204.07</v>
      </c>
      <c r="D1930" t="inlineStr">
        <is>
          <t>€/MWh</t>
        </is>
      </c>
      <c r="E1930" s="54" t="n">
        <v>0.20407</v>
      </c>
      <c r="F1930" s="54" t="n">
        <v>0.259549</v>
      </c>
      <c r="G1930" t="inlineStr">
        <is>
          <t>calculado</t>
        </is>
      </c>
      <c r="H1930" t="inlineStr">
        <is>
          <t>IEE 5.1127 % con cuota mínima 1 €/MWh (RDL 18/2026 art. 13) + IVA 21 % (RDL 18/2026 art. 11 (septiembre: condición IPC de julio))</t>
        </is>
      </c>
      <c r="J1930" t="inlineStr">
        <is>
          <t>2026-09-07</t>
        </is>
      </c>
      <c r="K1930" t="inlineStr">
        <is>
          <t>ESIOS 1001 geo 8741</t>
        </is>
      </c>
      <c r="L1930" t="inlineStr">
        <is>
          <t>24 valores; mín 63.33, máx 343.78 €/MWh</t>
        </is>
      </c>
    </row>
    <row r="1931">
      <c r="A1931" s="53" t="n">
        <v>46274</v>
      </c>
      <c r="B1931" t="inlineStr">
        <is>
          <t>2026-09-09</t>
        </is>
      </c>
      <c r="C1931" s="45" t="n">
        <v>178.3212</v>
      </c>
      <c r="D1931" t="inlineStr">
        <is>
          <t>€/MWh</t>
        </is>
      </c>
      <c r="E1931" s="54" t="n">
        <v>0.178321</v>
      </c>
      <c r="F1931" s="54" t="n">
        <v>0.2268</v>
      </c>
      <c r="G1931" t="inlineStr">
        <is>
          <t>calculado</t>
        </is>
      </c>
      <c r="H1931" t="inlineStr">
        <is>
          <t>IEE 5.1127 % con cuota mínima 1 €/MWh (RDL 18/2026 art. 13) + IVA 21 % (RDL 18/2026 art. 11 (septiembre: condición IPC de julio))</t>
        </is>
      </c>
      <c r="J1931" t="inlineStr">
        <is>
          <t>2026-09-08</t>
        </is>
      </c>
      <c r="K1931" t="inlineStr">
        <is>
          <t>ESIOS 1001 geo 8741</t>
        </is>
      </c>
      <c r="L1931" t="inlineStr">
        <is>
          <t>24 valores; mín 40.69, máx 349.64 €/MWh</t>
        </is>
      </c>
    </row>
    <row r="1932">
      <c r="A1932" s="53" t="n">
        <v>46275</v>
      </c>
      <c r="B1932" t="inlineStr">
        <is>
          <t>2026-09-10</t>
        </is>
      </c>
      <c r="C1932" s="45" t="n">
        <v>196.1221</v>
      </c>
      <c r="D1932" t="inlineStr">
        <is>
          <t>€/MWh</t>
        </is>
      </c>
      <c r="E1932" s="54" t="n">
        <v>0.196122</v>
      </c>
      <c r="F1932" s="54" t="n">
        <v>0.249441</v>
      </c>
      <c r="G1932" t="inlineStr">
        <is>
          <t>calculado</t>
        </is>
      </c>
      <c r="H1932" t="inlineStr">
        <is>
          <t>IEE 5.1127 % con cuota mínima 1 €/MWh (RDL 18/2026 art. 13) + IVA 21 % (RDL 18/2026 art. 11 (septiembre: condición IPC de julio))</t>
        </is>
      </c>
      <c r="J1932" t="inlineStr">
        <is>
          <t>2026-09-09</t>
        </is>
      </c>
      <c r="K1932" t="inlineStr">
        <is>
          <t>ESIOS 1001 geo 8741</t>
        </is>
      </c>
      <c r="L1932" t="inlineStr">
        <is>
          <t>24 valores; mín 33.53, máx 404.89 €/MWh</t>
        </is>
      </c>
    </row>
    <row r="1933">
      <c r="A1933" s="53" t="n">
        <v>46276</v>
      </c>
      <c r="B1933" t="inlineStr">
        <is>
          <t>2026-09-11</t>
        </is>
      </c>
      <c r="C1933" s="45" t="n">
        <v>198.9067</v>
      </c>
      <c r="D1933" t="inlineStr">
        <is>
          <t>€/MWh</t>
        </is>
      </c>
      <c r="E1933" s="54" t="n">
        <v>0.198907</v>
      </c>
      <c r="F1933" s="54" t="n">
        <v>0.252982</v>
      </c>
      <c r="G1933" t="inlineStr">
        <is>
          <t>calculado</t>
        </is>
      </c>
      <c r="H1933" t="inlineStr">
        <is>
          <t>IEE 5.1127 % con cuota mínima 1 €/MWh (RDL 18/2026 art. 13) + IVA 21 % (RDL 18/2026 art. 11 (septiembre: condición IPC de julio))</t>
        </is>
      </c>
      <c r="J1933" t="inlineStr">
        <is>
          <t>2026-09-10</t>
        </is>
      </c>
      <c r="K1933" t="inlineStr">
        <is>
          <t>ESIOS 1001 geo 8741</t>
        </is>
      </c>
      <c r="L1933" t="inlineStr">
        <is>
          <t>24 valores; mín 47.64, máx 371.76 €/MWh</t>
        </is>
      </c>
    </row>
    <row r="1934">
      <c r="A1934" s="53" t="n">
        <v>46277</v>
      </c>
      <c r="B1934" t="inlineStr">
        <is>
          <t>2026-09-12</t>
        </is>
      </c>
      <c r="C1934" s="45" t="n">
        <v>141.5271</v>
      </c>
      <c r="D1934" t="inlineStr">
        <is>
          <t>€/MWh</t>
        </is>
      </c>
      <c r="E1934" s="54" t="n">
        <v>0.141527</v>
      </c>
      <c r="F1934" s="54" t="n">
        <v>0.180003</v>
      </c>
      <c r="G1934" t="inlineStr">
        <is>
          <t>calculado</t>
        </is>
      </c>
      <c r="H1934" t="inlineStr">
        <is>
          <t>IEE 5.1127 % con cuota mínima 1 €/MWh (RDL 18/2026 art. 13) + IVA 21 % (RDL 18/2026 art. 11 (septiembre: condición IPC de julio))</t>
        </is>
      </c>
      <c r="J1934" t="inlineStr">
        <is>
          <t>2026-09-11</t>
        </is>
      </c>
      <c r="K1934" t="inlineStr">
        <is>
          <t>ESIOS 1001 geo 8741</t>
        </is>
      </c>
      <c r="L1934" t="inlineStr">
        <is>
          <t>24 valores; mín 6.42, máx 262.67 €/MWh</t>
        </is>
      </c>
    </row>
    <row r="1935">
      <c r="A1935" s="53" t="n">
        <v>46278</v>
      </c>
      <c r="B1935" t="inlineStr">
        <is>
          <t>2026-09-13</t>
        </is>
      </c>
      <c r="C1935" s="45" t="n">
        <v>145.8183</v>
      </c>
      <c r="D1935" t="inlineStr">
        <is>
          <t>€/MWh</t>
        </is>
      </c>
      <c r="E1935" s="54" t="n">
        <v>0.145818</v>
      </c>
      <c r="F1935" s="54" t="n">
        <v>0.185461</v>
      </c>
      <c r="G1935" t="inlineStr">
        <is>
          <t>calculado</t>
        </is>
      </c>
      <c r="H1935" t="inlineStr">
        <is>
          <t>IEE 5.1127 % con cuota mínima 1 €/MWh (RDL 18/2026 art. 13) + IVA 21 % (RDL 18/2026 art. 11 (septiembre: condición IPC de julio))</t>
        </is>
      </c>
      <c r="J1935" t="inlineStr">
        <is>
          <t>2026-09-12</t>
        </is>
      </c>
      <c r="K1935" t="inlineStr">
        <is>
          <t>ESIOS 1001 geo 8741</t>
        </is>
      </c>
      <c r="L1935" t="inlineStr">
        <is>
          <t>24 valores; mín 1.79, máx 296.90 €/MWh</t>
        </is>
      </c>
    </row>
    <row r="1936">
      <c r="A1936" s="53" t="n">
        <v>46279</v>
      </c>
      <c r="B1936" t="inlineStr">
        <is>
          <t>2026-09-14</t>
        </is>
      </c>
      <c r="C1936" s="45" t="n">
        <v>217.3008</v>
      </c>
      <c r="D1936" t="inlineStr">
        <is>
          <t>€/MWh</t>
        </is>
      </c>
      <c r="E1936" s="54" t="n">
        <v>0.217301</v>
      </c>
      <c r="F1936" s="54" t="n">
        <v>0.276377</v>
      </c>
      <c r="G1936" t="inlineStr">
        <is>
          <t>calculado</t>
        </is>
      </c>
      <c r="H1936" t="inlineStr">
        <is>
          <t>IEE 5.1127 % con cuota mínima 1 €/MWh (RDL 18/2026 art. 13) + IVA 21 % (RDL 18/2026 art. 11 (septiembre: condición IPC de julio))</t>
        </is>
      </c>
      <c r="J1936" t="inlineStr">
        <is>
          <t>2026-09-13</t>
        </is>
      </c>
      <c r="K1936" t="inlineStr">
        <is>
          <t>ESIOS 1001 geo 8741</t>
        </is>
      </c>
      <c r="L1936" t="inlineStr">
        <is>
          <t>24 valores; mín 57.98, máx 431.34 €/MWh</t>
        </is>
      </c>
    </row>
    <row r="1937">
      <c r="A1937" s="53" t="n">
        <v>46280</v>
      </c>
      <c r="B1937" t="inlineStr">
        <is>
          <t>2026-09-15</t>
        </is>
      </c>
      <c r="C1937" s="45" t="n">
        <v>204.985</v>
      </c>
      <c r="D1937" t="inlineStr">
        <is>
          <t>€/MWh</t>
        </is>
      </c>
      <c r="E1937" s="54" t="n">
        <v>0.204985</v>
      </c>
      <c r="F1937" s="54" t="n">
        <v>0.260713</v>
      </c>
      <c r="G1937" t="inlineStr">
        <is>
          <t>calculado</t>
        </is>
      </c>
      <c r="H1937" t="inlineStr">
        <is>
          <t>IEE 5.1127 % con cuota mínima 1 €/MWh (RDL 18/2026 art. 13) + IVA 21 % (RDL 18/2026 art. 11 (septiembre: condición IPC de julio))</t>
        </is>
      </c>
      <c r="J1937" t="inlineStr">
        <is>
          <t>2026-09-14</t>
        </is>
      </c>
      <c r="K1937" t="inlineStr">
        <is>
          <t>ESIOS 1001 geo 8741</t>
        </is>
      </c>
      <c r="L1937" t="inlineStr">
        <is>
          <t>24 valores; mín 60.12, máx 361.88 €/MWh</t>
        </is>
      </c>
    </row>
    <row r="1938">
      <c r="A1938" s="53" t="n">
        <v>46281</v>
      </c>
      <c r="B1938" t="inlineStr">
        <is>
          <t>2026-09-16</t>
        </is>
      </c>
      <c r="C1938" s="45" t="n">
        <v>177.0225</v>
      </c>
      <c r="D1938" t="inlineStr">
        <is>
          <t>€/MWh</t>
        </is>
      </c>
      <c r="E1938" s="54" t="n">
        <v>0.177022</v>
      </c>
      <c r="F1938" s="54" t="n">
        <v>0.225148</v>
      </c>
      <c r="G1938" t="inlineStr">
        <is>
          <t>calculado</t>
        </is>
      </c>
      <c r="H1938" t="inlineStr">
        <is>
          <t>IEE 5.1127 % con cuota mínima 1 €/MWh (RDL 18/2026 art. 13) + IVA 21 % (RDL 18/2026 art. 11 (septiembre: condición IPC de julio))</t>
        </is>
      </c>
      <c r="J1938" t="inlineStr">
        <is>
          <t>2026-09-15</t>
        </is>
      </c>
      <c r="K1938" t="inlineStr">
        <is>
          <t>ESIOS 1001 geo 8741</t>
        </is>
      </c>
      <c r="L1938" t="inlineStr">
        <is>
          <t>24 valores; mín 46.81, máx 339.04 €/MWh</t>
        </is>
      </c>
    </row>
    <row r="1939">
      <c r="A1939" s="53" t="n">
        <v>46282</v>
      </c>
      <c r="B1939" t="inlineStr">
        <is>
          <t>2026-09-17</t>
        </is>
      </c>
      <c r="C1939" s="45" t="n">
        <v>182.4142</v>
      </c>
      <c r="D1939" t="inlineStr">
        <is>
          <t>€/MWh</t>
        </is>
      </c>
      <c r="E1939" s="54" t="n">
        <v>0.182414</v>
      </c>
      <c r="F1939" s="54" t="n">
        <v>0.232006</v>
      </c>
      <c r="G1939" t="inlineStr">
        <is>
          <t>calculado</t>
        </is>
      </c>
      <c r="H1939" t="inlineStr">
        <is>
          <t>IEE 5.1127 % con cuota mínima 1 €/MWh (RDL 18/2026 art. 13) + IVA 21 % (RDL 18/2026 art. 11 (septiembre: condición IPC de julio))</t>
        </is>
      </c>
      <c r="J1939" t="inlineStr">
        <is>
          <t>2026-09-16</t>
        </is>
      </c>
      <c r="K1939" t="inlineStr">
        <is>
          <t>ESIOS 1001 geo 8741</t>
        </is>
      </c>
      <c r="L1939" t="inlineStr">
        <is>
          <t>24 valores; mín 16.22, máx 359.45 €/MWh</t>
        </is>
      </c>
    </row>
    <row r="1940">
      <c r="A1940" s="53" t="n">
        <v>46283</v>
      </c>
      <c r="B1940" t="inlineStr">
        <is>
          <t>2026-09-18</t>
        </is>
      </c>
      <c r="C1940" s="45" t="n">
        <v>178.3537</v>
      </c>
      <c r="D1940" t="inlineStr">
        <is>
          <t>€/MWh</t>
        </is>
      </c>
      <c r="E1940" s="54" t="n">
        <v>0.178354</v>
      </c>
      <c r="F1940" s="54" t="n">
        <v>0.226842</v>
      </c>
      <c r="G1940" t="inlineStr">
        <is>
          <t>calculado</t>
        </is>
      </c>
      <c r="H1940" t="inlineStr">
        <is>
          <t>IEE 5.1127 % con cuota mínima 1 €/MWh (RDL 18/2026 art. 13) + IVA 21 % (RDL 18/2026 art. 11 (septiembre: condición IPC de julio))</t>
        </is>
      </c>
      <c r="J1940" t="inlineStr">
        <is>
          <t>2026-09-17</t>
        </is>
      </c>
      <c r="K1940" t="inlineStr">
        <is>
          <t>ESIOS 1001 geo 8741</t>
        </is>
      </c>
      <c r="L1940" t="inlineStr">
        <is>
          <t>24 valores; mín 20.36, máx 325.59 €/MWh</t>
        </is>
      </c>
    </row>
    <row r="1941">
      <c r="A1941" s="53" t="n">
        <v>46284</v>
      </c>
      <c r="B1941" t="inlineStr">
        <is>
          <t>2026-09-19</t>
        </is>
      </c>
      <c r="C1941" s="45" t="n">
        <v>136.3754</v>
      </c>
      <c r="D1941" t="inlineStr">
        <is>
          <t>€/MWh</t>
        </is>
      </c>
      <c r="E1941" s="54" t="n">
        <v>0.136375</v>
      </c>
      <c r="F1941" s="54" t="n">
        <v>0.173451</v>
      </c>
      <c r="G1941" t="inlineStr">
        <is>
          <t>calculado</t>
        </is>
      </c>
      <c r="H1941" t="inlineStr">
        <is>
          <t>IEE 5.1127 % con cuota mínima 1 €/MWh (RDL 18/2026 art. 13) + IVA 21 % (RDL 18/2026 art. 11 (septiembre: condición IPC de julio))</t>
        </is>
      </c>
      <c r="J1941" t="inlineStr">
        <is>
          <t>2026-09-18</t>
        </is>
      </c>
      <c r="K1941" t="inlineStr">
        <is>
          <t>ESIOS 1001 geo 8741</t>
        </is>
      </c>
      <c r="L1941" t="inlineStr">
        <is>
          <t>24 valores; mín 4.12, máx 263.89 €/MWh</t>
        </is>
      </c>
    </row>
    <row r="1942">
      <c r="A1942" s="53" t="n">
        <v>46285</v>
      </c>
      <c r="B1942" t="inlineStr">
        <is>
          <t>2026-09-20</t>
        </is>
      </c>
      <c r="C1942" s="45" t="n">
        <v>141.3388</v>
      </c>
      <c r="D1942" t="inlineStr">
        <is>
          <t>€/MWh</t>
        </is>
      </c>
      <c r="E1942" s="54" t="n">
        <v>0.141339</v>
      </c>
      <c r="F1942" s="54" t="n">
        <v>0.179764</v>
      </c>
      <c r="G1942" t="inlineStr">
        <is>
          <t>calculado</t>
        </is>
      </c>
      <c r="H1942" t="inlineStr">
        <is>
          <t>IEE 5.1127 % con cuota mínima 1 €/MWh (RDL 18/2026 art. 13) + IVA 21 % (RDL 18/2026 art. 11 (septiembre: condición IPC de julio))</t>
        </is>
      </c>
      <c r="J1942" t="inlineStr">
        <is>
          <t>2026-09-19</t>
        </is>
      </c>
      <c r="K1942" t="inlineStr">
        <is>
          <t>ESIOS 1001 geo 8741</t>
        </is>
      </c>
      <c r="L1942" t="inlineStr">
        <is>
          <t>24 valores; mín 6.85, máx 265.85 €/MWh</t>
        </is>
      </c>
    </row>
    <row r="1943">
      <c r="A1943" s="53" t="n">
        <v>46286</v>
      </c>
      <c r="B1943" t="inlineStr">
        <is>
          <t>2026-09-21</t>
        </is>
      </c>
      <c r="C1943" s="45" t="n">
        <v>196.6471</v>
      </c>
      <c r="D1943" t="inlineStr">
        <is>
          <t>€/MWh</t>
        </is>
      </c>
      <c r="E1943" s="54" t="n">
        <v>0.196647</v>
      </c>
      <c r="F1943" s="54" t="n">
        <v>0.250108</v>
      </c>
      <c r="G1943" t="inlineStr">
        <is>
          <t>calculado</t>
        </is>
      </c>
      <c r="H1943" t="inlineStr">
        <is>
          <t>IEE 5.1127 % con cuota mínima 1 €/MWh (RDL 18/2026 art. 13) + IVA 21 % (RDL 18/2026 art. 11 (septiembre: condición IPC de julio))</t>
        </is>
      </c>
      <c r="J1943" t="inlineStr">
        <is>
          <t>2026-09-20</t>
        </is>
      </c>
      <c r="K1943" t="inlineStr">
        <is>
          <t>ESIOS 1001 geo 8741</t>
        </is>
      </c>
      <c r="L1943" t="inlineStr">
        <is>
          <t>24 valores; mín 18.10, máx 414.83 €/MWh</t>
        </is>
      </c>
    </row>
    <row r="1944">
      <c r="A1944" s="53" t="n">
        <v>46287</v>
      </c>
      <c r="B1944" t="inlineStr">
        <is>
          <t>2026-09-22</t>
        </is>
      </c>
      <c r="C1944" s="45" t="n">
        <v>198.8979</v>
      </c>
      <c r="D1944" t="inlineStr">
        <is>
          <t>€/MWh</t>
        </is>
      </c>
      <c r="E1944" s="54" t="n">
        <v>0.198898</v>
      </c>
      <c r="F1944" s="54" t="n">
        <v>0.252971</v>
      </c>
      <c r="G1944" t="inlineStr">
        <is>
          <t>calculado</t>
        </is>
      </c>
      <c r="H1944" t="inlineStr">
        <is>
          <t>IEE 5.1127 % con cuota mínima 1 €/MWh (RDL 18/2026 art. 13) + IVA 21 % (RDL 18/2026 art. 11 (septiembre: condición IPC de julio))</t>
        </is>
      </c>
      <c r="J1944" t="inlineStr">
        <is>
          <t>2026-09-21</t>
        </is>
      </c>
      <c r="K1944" t="inlineStr">
        <is>
          <t>ESIOS 1001 geo 8741</t>
        </is>
      </c>
      <c r="L1944" t="inlineStr">
        <is>
          <t>24 valores; mín 19.13, máx 411.04 €/MWh</t>
        </is>
      </c>
    </row>
    <row r="1945">
      <c r="A1945" s="53" t="n">
        <v>46288</v>
      </c>
      <c r="B1945" t="inlineStr">
        <is>
          <t>2026-09-23</t>
        </is>
      </c>
      <c r="C1945" s="45" t="n">
        <v>203.0408</v>
      </c>
      <c r="D1945" t="inlineStr">
        <is>
          <t>€/MWh</t>
        </is>
      </c>
      <c r="E1945" s="54" t="n">
        <v>0.203041</v>
      </c>
      <c r="F1945" s="54" t="n">
        <v>0.25824</v>
      </c>
      <c r="G1945" t="inlineStr">
        <is>
          <t>calculado</t>
        </is>
      </c>
      <c r="H1945" t="inlineStr">
        <is>
          <t>IEE 5.1127 % con cuota mínima 1 €/MWh (RDL 18/2026 art. 13) + IVA 21 % (RDL 18/2026 art. 11 (septiembre: condición IPC de julio))</t>
        </is>
      </c>
      <c r="J1945" t="inlineStr">
        <is>
          <t>2026-09-22</t>
        </is>
      </c>
      <c r="K1945" t="inlineStr">
        <is>
          <t>ESIOS 1001 geo 8741</t>
        </is>
      </c>
      <c r="L1945" t="inlineStr">
        <is>
          <t>24 valores; mín 39.64, máx 393.53 €/MWh</t>
        </is>
      </c>
    </row>
    <row r="1946">
      <c r="A1946" s="53" t="n">
        <v>46289</v>
      </c>
      <c r="B1946" t="inlineStr">
        <is>
          <t>2026-09-24</t>
        </is>
      </c>
      <c r="C1946" s="45" t="n">
        <v>194.2642</v>
      </c>
      <c r="D1946" t="inlineStr">
        <is>
          <t>€/MWh</t>
        </is>
      </c>
      <c r="E1946" s="54" t="n">
        <v>0.194264</v>
      </c>
      <c r="F1946" s="54" t="n">
        <v>0.247078</v>
      </c>
      <c r="G1946" t="inlineStr">
        <is>
          <t>calculado</t>
        </is>
      </c>
      <c r="H1946" t="inlineStr">
        <is>
          <t>IEE 5.1127 % con cuota mínima 1 €/MWh (RDL 18/2026 art. 13) + IVA 21 % (RDL 18/2026 art. 11 (septiembre: condición IPC de julio))</t>
        </is>
      </c>
      <c r="J1946" t="inlineStr">
        <is>
          <t>2026-09-23</t>
        </is>
      </c>
      <c r="K1946" t="inlineStr">
        <is>
          <t>ESIOS 1001 geo 8741</t>
        </is>
      </c>
      <c r="L1946" t="inlineStr">
        <is>
          <t>24 valores; mín 49.16, máx 389.22 €/MWh</t>
        </is>
      </c>
    </row>
    <row r="1947">
      <c r="A1947" s="53" t="n">
        <v>46290</v>
      </c>
      <c r="B1947" t="inlineStr">
        <is>
          <t>2026-09-25</t>
        </is>
      </c>
      <c r="C1947" s="45" t="n">
        <v>200.5617</v>
      </c>
      <c r="D1947" t="inlineStr">
        <is>
          <t>€/MWh</t>
        </is>
      </c>
      <c r="E1947" s="54" t="n">
        <v>0.200562</v>
      </c>
      <c r="F1947" s="54" t="n">
        <v>0.255087</v>
      </c>
      <c r="G1947" t="inlineStr">
        <is>
          <t>calculado</t>
        </is>
      </c>
      <c r="H1947" t="inlineStr">
        <is>
          <t>IEE 5.1127 % con cuota mínima 1 €/MWh (RDL 18/2026 art. 13) + IVA 21 % (RDL 18/2026 art. 11 (septiembre: condición IPC de julio))</t>
        </is>
      </c>
      <c r="J1947" t="inlineStr">
        <is>
          <t>2026-09-24</t>
        </is>
      </c>
      <c r="K1947" t="inlineStr">
        <is>
          <t>ESIOS 1001 geo 8741</t>
        </is>
      </c>
      <c r="L1947" t="inlineStr">
        <is>
          <t>24 valores; mín 41.97, máx 390.98 €/MWh</t>
        </is>
      </c>
    </row>
    <row r="1948">
      <c r="A1948" s="53" t="n">
        <v>46291</v>
      </c>
      <c r="B1948" t="inlineStr">
        <is>
          <t>2026-09-26</t>
        </is>
      </c>
      <c r="C1948" s="45" t="n">
        <v>144.6067</v>
      </c>
      <c r="D1948" t="inlineStr">
        <is>
          <t>€/MWh</t>
        </is>
      </c>
      <c r="E1948" s="54" t="n">
        <v>0.144607</v>
      </c>
      <c r="F1948" s="54" t="n">
        <v>0.18392</v>
      </c>
      <c r="G1948" t="inlineStr">
        <is>
          <t>calculado</t>
        </is>
      </c>
      <c r="H1948" t="inlineStr">
        <is>
          <t>IEE 5.1127 % con cuota mínima 1 €/MWh (RDL 18/2026 art. 13) + IVA 21 % (RDL 18/2026 art. 11 (septiembre: condición IPC de julio))</t>
        </is>
      </c>
      <c r="J1948" t="inlineStr">
        <is>
          <t>2026-09-25</t>
        </is>
      </c>
      <c r="K1948" t="inlineStr">
        <is>
          <t>ESIOS 1001 geo 8741</t>
        </is>
      </c>
      <c r="L1948" t="inlineStr">
        <is>
          <t>24 valores; mín -12.63, máx 302.09 €/MWh</t>
        </is>
      </c>
    </row>
    <row r="1949">
      <c r="A1949" s="53" t="n">
        <v>46292</v>
      </c>
      <c r="B1949" t="inlineStr">
        <is>
          <t>2026-09-27</t>
        </is>
      </c>
      <c r="C1949" s="45" t="n">
        <v>138.6546</v>
      </c>
      <c r="D1949" t="inlineStr">
        <is>
          <t>€/MWh</t>
        </is>
      </c>
      <c r="E1949" s="54" t="n">
        <v>0.138655</v>
      </c>
      <c r="F1949" s="54" t="n">
        <v>0.17635</v>
      </c>
      <c r="G1949" t="inlineStr">
        <is>
          <t>calculado</t>
        </is>
      </c>
      <c r="H1949" t="inlineStr">
        <is>
          <t>IEE 5.1127 % con cuota mínima 1 €/MWh (RDL 18/2026 art. 13) + IVA 21 % (RDL 18/2026 art. 11 (septiembre: condición IPC de julio))</t>
        </is>
      </c>
      <c r="J1949" t="inlineStr">
        <is>
          <t>2026-09-26</t>
        </is>
      </c>
      <c r="K1949" t="inlineStr">
        <is>
          <t>ESIOS 1001 geo 8741</t>
        </is>
      </c>
      <c r="L1949" t="inlineStr">
        <is>
          <t>24 valores; mín -0.50, máx 257.60 €/MWh</t>
        </is>
      </c>
    </row>
    <row r="1950">
      <c r="A1950" s="53" t="n">
        <v>46293</v>
      </c>
      <c r="B1950" t="inlineStr">
        <is>
          <t>2026-09-28</t>
        </is>
      </c>
      <c r="C1950" s="45" t="n">
        <v>209.0567</v>
      </c>
      <c r="D1950" t="inlineStr">
        <is>
          <t>€/MWh</t>
        </is>
      </c>
      <c r="E1950" s="54" t="n">
        <v>0.209057</v>
      </c>
      <c r="F1950" s="54" t="n">
        <v>0.265892</v>
      </c>
      <c r="G1950" t="inlineStr">
        <is>
          <t>calculado</t>
        </is>
      </c>
      <c r="H1950" t="inlineStr">
        <is>
          <t>IEE 5.1127 % con cuota mínima 1 €/MWh (RDL 18/2026 art. 13) + IVA 21 % (RDL 18/2026 art. 11 (septiembre: condición IPC de julio))</t>
        </is>
      </c>
      <c r="J1950" t="inlineStr">
        <is>
          <t>2026-09-27</t>
        </is>
      </c>
      <c r="K1950" t="inlineStr">
        <is>
          <t>ESIOS 1001 geo 8741</t>
        </is>
      </c>
      <c r="L1950" t="inlineStr">
        <is>
          <t>24 valores; mín 114.79, máx 345.78 €/MWh</t>
        </is>
      </c>
    </row>
    <row r="1951">
      <c r="A1951" s="53" t="n">
        <v>46294</v>
      </c>
      <c r="B1951" t="inlineStr">
        <is>
          <t>2026-09-29</t>
        </is>
      </c>
      <c r="C1951" s="45" t="n">
        <v>185.9083</v>
      </c>
      <c r="D1951" t="inlineStr">
        <is>
          <t>€/MWh</t>
        </is>
      </c>
      <c r="E1951" s="54" t="n">
        <v>0.185908</v>
      </c>
      <c r="F1951" s="54" t="n">
        <v>0.23645</v>
      </c>
      <c r="G1951" t="inlineStr">
        <is>
          <t>calculado</t>
        </is>
      </c>
      <c r="H1951" t="inlineStr">
        <is>
          <t>IEE 5.1127 % con cuota mínima 1 €/MWh (RDL 18/2026 art. 13) + IVA 21 % (RDL 18/2026 art. 11 (septiembre: condición IPC de julio))</t>
        </is>
      </c>
      <c r="J1951" t="inlineStr">
        <is>
          <t>2026-09-28</t>
        </is>
      </c>
      <c r="K1951" t="inlineStr">
        <is>
          <t>ESIOS 1001 geo 8741</t>
        </is>
      </c>
      <c r="L1951" t="inlineStr">
        <is>
          <t>24 valores; mín 25.20, máx 343.14 €/MWh</t>
        </is>
      </c>
    </row>
    <row r="1952">
      <c r="A1952" s="53" t="n">
        <v>46295</v>
      </c>
      <c r="B1952" t="inlineStr">
        <is>
          <t>2026-09-30</t>
        </is>
      </c>
      <c r="C1952" s="45" t="n">
        <v>200.2938</v>
      </c>
      <c r="D1952" t="inlineStr">
        <is>
          <t>€/MWh</t>
        </is>
      </c>
      <c r="E1952" s="54" t="n">
        <v>0.200294</v>
      </c>
      <c r="F1952" s="54" t="n">
        <v>0.254746</v>
      </c>
      <c r="G1952" t="inlineStr">
        <is>
          <t>calculado</t>
        </is>
      </c>
      <c r="H1952" t="inlineStr">
        <is>
          <t>IEE 5.1127 % con cuota mínima 1 €/MWh (RDL 18/2026 art. 13) + IVA 21 % (RDL 18/2026 art. 11 (septiembre: condición IPC de julio))</t>
        </is>
      </c>
      <c r="J1952" t="inlineStr">
        <is>
          <t>2026-09-29</t>
        </is>
      </c>
      <c r="K1952" t="inlineStr">
        <is>
          <t>ESIOS 1001 geo 8741</t>
        </is>
      </c>
      <c r="L1952" t="inlineStr">
        <is>
          <t>24 valores; mín 100.79, máx 353.26 €/MWh</t>
        </is>
      </c>
    </row>
    <row r="1953">
      <c r="A1953" s="53" t="n">
        <v>46296</v>
      </c>
      <c r="B1953" t="inlineStr">
        <is>
          <t>2026-10-01</t>
        </is>
      </c>
      <c r="C1953" s="45" t="n">
        <v>206.1283</v>
      </c>
      <c r="D1953" t="inlineStr">
        <is>
          <t>€/MWh</t>
        </is>
      </c>
      <c r="E1953" s="54" t="n">
        <v>0.206128</v>
      </c>
      <c r="F1953" s="54" t="n">
        <v>0.262167</v>
      </c>
      <c r="G1953" t="inlineStr">
        <is>
          <t>calculado</t>
        </is>
      </c>
      <c r="H1953" t="inlineStr">
        <is>
          <t>IEE 5.1127 % con cuota mínima 1 €/MWh (Ley 38/1992 art. 99 (RDL 25/2026 no reduce el IEE en octubre)) + IVA 21 % (Ley 37/1992 art. 90 (RDL 25/2026 no reduce el IVA en octubre))</t>
        </is>
      </c>
      <c r="J1953" t="inlineStr">
        <is>
          <t>2026-09-30</t>
        </is>
      </c>
      <c r="K1953" t="inlineStr">
        <is>
          <t>ESIOS 1001 geo 8741</t>
        </is>
      </c>
      <c r="L1953" t="inlineStr">
        <is>
          <t>24 valores; mín 57.96, máx 355.80 €/MWh</t>
        </is>
      </c>
    </row>
    <row r="1954">
      <c r="A1954" s="53" t="n">
        <v>46297</v>
      </c>
      <c r="B1954" t="inlineStr">
        <is>
          <t>2026-10-02</t>
        </is>
      </c>
      <c r="C1954" s="45" t="n">
        <v>220.6492</v>
      </c>
      <c r="D1954" t="inlineStr">
        <is>
          <t>€/MWh</t>
        </is>
      </c>
      <c r="E1954" s="54" t="n">
        <v>0.220649</v>
      </c>
      <c r="F1954" s="54" t="n">
        <v>0.280636</v>
      </c>
      <c r="G1954" t="inlineStr">
        <is>
          <t>calculado</t>
        </is>
      </c>
      <c r="H1954" t="inlineStr">
        <is>
          <t>IEE 5.1127 % con cuota mínima 1 €/MWh (Ley 38/1992 art. 99 (RDL 25/2026 no reduce el IEE en octubre)) + IVA 21 % (Ley 37/1992 art. 90 (RDL 25/2026 no reduce el IVA en octubre))</t>
        </is>
      </c>
      <c r="J1954" t="inlineStr">
        <is>
          <t>2026-10-01</t>
        </is>
      </c>
      <c r="K1954" t="inlineStr">
        <is>
          <t>ESIOS 1001 geo 8741</t>
        </is>
      </c>
      <c r="L1954" t="inlineStr">
        <is>
          <t>24 valores; mín 129.70, máx 379.78 €/MWh</t>
        </is>
      </c>
    </row>
    <row r="1955">
      <c r="A1955" s="53" t="n">
        <v>46298</v>
      </c>
      <c r="B1955" t="inlineStr">
        <is>
          <t>2026-10-03</t>
        </is>
      </c>
      <c r="C1955" s="45" t="n">
        <v>169.3329</v>
      </c>
      <c r="D1955" t="inlineStr">
        <is>
          <t>€/MWh</t>
        </is>
      </c>
      <c r="E1955" s="54" t="n">
        <v>0.169333</v>
      </c>
      <c r="F1955" s="54" t="n">
        <v>0.215368</v>
      </c>
      <c r="G1955" t="inlineStr">
        <is>
          <t>calculado</t>
        </is>
      </c>
      <c r="H1955" t="inlineStr">
        <is>
          <t>IEE 5.1127 % con cuota mínima 1 €/MWh (Ley 38/1992 art. 99 (RDL 25/2026 no reduce el IEE en octubre)) + IVA 21 % (Ley 37/1992 art. 90 (RDL 25/2026 no reduce el IVA en octubre))</t>
        </is>
      </c>
      <c r="J1955" t="inlineStr">
        <is>
          <t>2026-10-02</t>
        </is>
      </c>
      <c r="K1955" t="inlineStr">
        <is>
          <t>ESIOS 1001 geo 8741</t>
        </is>
      </c>
      <c r="L1955" t="inlineStr">
        <is>
          <t>24 valores; mín 48.48, máx 268.21 €/MWh</t>
        </is>
      </c>
    </row>
    <row r="1956">
      <c r="A1956" s="53" t="n">
        <v>46299</v>
      </c>
      <c r="B1956" t="inlineStr">
        <is>
          <t>2026-10-04</t>
        </is>
      </c>
      <c r="C1956" s="45" t="n">
        <v>173.9846</v>
      </c>
      <c r="D1956" t="inlineStr">
        <is>
          <t>€/MWh</t>
        </is>
      </c>
      <c r="E1956" s="54" t="n">
        <v>0.173985</v>
      </c>
      <c r="F1956" s="54" t="n">
        <v>0.221285</v>
      </c>
      <c r="G1956" t="inlineStr">
        <is>
          <t>calculado</t>
        </is>
      </c>
      <c r="H1956" t="inlineStr">
        <is>
          <t>IEE 5.1127 % con cuota mínima 1 €/MWh (Ley 38/1992 art. 99 (RDL 25/2026 no reduce el IEE en octubre)) + IVA 21 % (Ley 37/1992 art. 90 (RDL 25/2026 no reduce el IVA en octubre))</t>
        </is>
      </c>
      <c r="J1956" t="inlineStr">
        <is>
          <t>2026-10-03</t>
        </is>
      </c>
      <c r="K1956" t="inlineStr">
        <is>
          <t>ESIOS 1001 geo 8741</t>
        </is>
      </c>
      <c r="L1956" t="inlineStr">
        <is>
          <t>24 valores; mín 54.89, máx 274.41 €/MWh</t>
        </is>
      </c>
    </row>
    <row r="1957">
      <c r="A1957" s="53" t="n">
        <v>46300</v>
      </c>
      <c r="B1957" t="inlineStr">
        <is>
          <t>2026-10-05</t>
        </is>
      </c>
      <c r="C1957" s="45" t="n">
        <v>222.9813</v>
      </c>
      <c r="D1957" t="inlineStr">
        <is>
          <t>€/MWh</t>
        </is>
      </c>
      <c r="E1957" s="54" t="n">
        <v>0.222981</v>
      </c>
      <c r="F1957" s="54" t="n">
        <v>0.283602</v>
      </c>
      <c r="G1957" t="inlineStr">
        <is>
          <t>calculado</t>
        </is>
      </c>
      <c r="H1957" t="inlineStr">
        <is>
          <t>IEE 5.1127 % con cuota mínima 1 €/MWh (Ley 38/1992 art. 99 (RDL 25/2026 no reduce el IEE en octubre)) + IVA 21 % (Ley 37/1992 art. 90 (RDL 25/2026 no reduce el IVA en octubre))</t>
        </is>
      </c>
      <c r="J1957" t="inlineStr">
        <is>
          <t>2026-10-04</t>
        </is>
      </c>
      <c r="K1957" t="inlineStr">
        <is>
          <t>ESIOS 1001 geo 8741</t>
        </is>
      </c>
      <c r="L1957" t="inlineStr">
        <is>
          <t>24 valores; mín 125.40, máx 368.52 €/MWh</t>
        </is>
      </c>
    </row>
    <row r="1958">
      <c r="A1958" s="53" t="n">
        <v>46301</v>
      </c>
      <c r="B1958" t="inlineStr">
        <is>
          <t>2026-10-06</t>
        </is>
      </c>
      <c r="C1958" s="45" t="n">
        <v>218.2167</v>
      </c>
      <c r="D1958" t="inlineStr">
        <is>
          <t>€/MWh</t>
        </is>
      </c>
      <c r="E1958" s="54" t="n">
        <v>0.218217</v>
      </c>
      <c r="F1958" s="54" t="n">
        <v>0.277542</v>
      </c>
      <c r="G1958" t="inlineStr">
        <is>
          <t>calculado</t>
        </is>
      </c>
      <c r="H1958" t="inlineStr">
        <is>
          <t>IEE 5.1127 % con cuota mínima 1 €/MWh (Ley 38/1992 art. 99 (RDL 25/2026 no reduce el IEE en octubre)) + IVA 21 % (Ley 37/1992 art. 90 (RDL 25/2026 no reduce el IVA en octubre))</t>
        </is>
      </c>
      <c r="J1958" t="inlineStr">
        <is>
          <t>2026-10-05</t>
        </is>
      </c>
      <c r="K1958" t="inlineStr">
        <is>
          <t>ESIOS 1001 geo 8741</t>
        </is>
      </c>
      <c r="L1958" t="inlineStr">
        <is>
          <t>24 valores; mín 138.11, máx 359.84 €/MWh</t>
        </is>
      </c>
    </row>
    <row r="1959">
      <c r="A1959" s="53" t="n">
        <v>46302</v>
      </c>
      <c r="B1959" t="inlineStr">
        <is>
          <t>2026-10-07</t>
        </is>
      </c>
      <c r="C1959" s="45" t="n">
        <v>209.8808</v>
      </c>
      <c r="D1959" t="inlineStr">
        <is>
          <t>€/MWh</t>
        </is>
      </c>
      <c r="E1959" s="54" t="n">
        <v>0.209881</v>
      </c>
      <c r="F1959" s="54" t="n">
        <v>0.26694</v>
      </c>
      <c r="G1959" t="inlineStr">
        <is>
          <t>calculado</t>
        </is>
      </c>
      <c r="H1959" t="inlineStr">
        <is>
          <t>IEE 5.1127 % con cuota mínima 1 €/MWh (Ley 38/1992 art. 99 (RDL 25/2026 no reduce el IEE en octubre)) + IVA 21 % (Ley 37/1992 art. 90 (RDL 25/2026 no reduce el IVA en octubre))</t>
        </is>
      </c>
      <c r="J1959" t="inlineStr">
        <is>
          <t>2026-10-06</t>
        </is>
      </c>
      <c r="K1959" t="inlineStr">
        <is>
          <t>ESIOS 1001 geo 8741</t>
        </is>
      </c>
      <c r="L1959" t="inlineStr">
        <is>
          <t>24 valores; mín 84.94, máx 327.36 €/MWh</t>
        </is>
      </c>
    </row>
    <row r="1960">
      <c r="A1960" s="53" t="n">
        <v>46303</v>
      </c>
      <c r="B1960" t="inlineStr">
        <is>
          <t>2026-10-08</t>
        </is>
      </c>
      <c r="C1960" s="45" t="n">
        <v>183.3517</v>
      </c>
      <c r="D1960" t="inlineStr">
        <is>
          <t>€/MWh</t>
        </is>
      </c>
      <c r="E1960" s="54" t="n">
        <v>0.183352</v>
      </c>
      <c r="F1960" s="54" t="n">
        <v>0.233198</v>
      </c>
      <c r="G1960" t="inlineStr">
        <is>
          <t>calculado</t>
        </is>
      </c>
      <c r="H1960" t="inlineStr">
        <is>
          <t>IEE 5.1127 % con cuota mínima 1 €/MWh (Ley 38/1992 art. 99 (RDL 25/2026 no reduce el IEE en octubre)) + IVA 21 % (Ley 37/1992 art. 90 (RDL 25/2026 no reduce el IVA en octubre))</t>
        </is>
      </c>
      <c r="J1960" t="inlineStr">
        <is>
          <t>2026-10-07</t>
        </is>
      </c>
      <c r="K1960" t="inlineStr">
        <is>
          <t>ESIOS 1001 geo 8741</t>
        </is>
      </c>
      <c r="L1960" t="inlineStr">
        <is>
          <t>24 valores; mín 47.94, máx 342.48 €/MWh</t>
        </is>
      </c>
    </row>
    <row r="1961">
      <c r="A1961" s="53" t="n">
        <v>46304</v>
      </c>
      <c r="B1961" t="inlineStr">
        <is>
          <t>2026-10-09</t>
        </is>
      </c>
      <c r="C1961" s="45" t="n">
        <v>187.8175</v>
      </c>
      <c r="D1961" t="inlineStr">
        <is>
          <t>€/MWh</t>
        </is>
      </c>
      <c r="E1961" s="54" t="n">
        <v>0.187817</v>
      </c>
      <c r="F1961" s="54" t="n">
        <v>0.238878</v>
      </c>
      <c r="G1961" t="inlineStr">
        <is>
          <t>calculado</t>
        </is>
      </c>
      <c r="H1961" t="inlineStr">
        <is>
          <t>IEE 5.1127 % con cuota mínima 1 €/MWh (Ley 38/1992 art. 99 (RDL 25/2026 no reduce el IEE en octubre)) + IVA 21 % (Ley 37/1992 art. 90 (RDL 25/2026 no reduce el IVA en octubre))</t>
        </is>
      </c>
      <c r="J1961" t="inlineStr">
        <is>
          <t>2026-10-08</t>
        </is>
      </c>
      <c r="K1961" t="inlineStr">
        <is>
          <t>ESIOS 1001 geo 8741</t>
        </is>
      </c>
      <c r="L1961" t="inlineStr">
        <is>
          <t>24 valores; mín 51.44, máx 350.48 €/MWh</t>
        </is>
      </c>
    </row>
    <row r="1962">
      <c r="A1962" s="53" t="n">
        <v>46305</v>
      </c>
      <c r="B1962" t="inlineStr">
        <is>
          <t>2026-10-10</t>
        </is>
      </c>
      <c r="C1962" s="45" t="n">
        <v>155.27</v>
      </c>
      <c r="D1962" t="inlineStr">
        <is>
          <t>€/MWh</t>
        </is>
      </c>
      <c r="E1962" s="54" t="n">
        <v>0.15527</v>
      </c>
      <c r="F1962" s="54" t="n">
        <v>0.197482</v>
      </c>
      <c r="G1962" t="inlineStr">
        <is>
          <t>calculado</t>
        </is>
      </c>
      <c r="H1962" t="inlineStr">
        <is>
          <t>IEE 5.1127 % con cuota mínima 1 €/MWh (Ley 38/1992 art. 99 (RDL 25/2026 no reduce el IEE en octubre)) + IVA 21 % (Ley 37/1992 art. 90 (RDL 25/2026 no reduce el IVA en octubre))</t>
        </is>
      </c>
      <c r="J1962" t="inlineStr">
        <is>
          <t>2026-10-09</t>
        </is>
      </c>
      <c r="K1962" t="inlineStr">
        <is>
          <t>ESIOS 1001 geo 8741</t>
        </is>
      </c>
      <c r="L1962" t="inlineStr">
        <is>
          <t>24 valores; mín -2.07, máx 284.46 €/MWh</t>
        </is>
      </c>
    </row>
    <row r="1963">
      <c r="A1963" s="53" t="n">
        <v>46306</v>
      </c>
      <c r="B1963" t="inlineStr">
        <is>
          <t>2026-10-11</t>
        </is>
      </c>
      <c r="C1963" s="45" t="n">
        <v>162.5617</v>
      </c>
      <c r="D1963" t="inlineStr">
        <is>
          <t>€/MWh</t>
        </is>
      </c>
      <c r="E1963" s="54" t="n">
        <v>0.162562</v>
      </c>
      <c r="F1963" s="54" t="n">
        <v>0.206756</v>
      </c>
      <c r="G1963" t="inlineStr">
        <is>
          <t>calculado</t>
        </is>
      </c>
      <c r="H1963" t="inlineStr">
        <is>
          <t>IEE 5.1127 % con cuota mínima 1 €/MWh (Ley 38/1992 art. 99 (RDL 25/2026 no reduce el IEE en octubre)) + IVA 21 % (Ley 37/1992 art. 90 (RDL 25/2026 no reduce el IVA en octubre))</t>
        </is>
      </c>
      <c r="J1963" t="inlineStr">
        <is>
          <t>2026-10-10</t>
        </is>
      </c>
      <c r="K1963" t="inlineStr">
        <is>
          <t>ESIOS 1001 geo 8741</t>
        </is>
      </c>
      <c r="L1963" t="inlineStr">
        <is>
          <t>24 valores; mín -4.64, máx 288.64 €/MWh</t>
        </is>
      </c>
    </row>
    <row r="1964">
      <c r="A1964" s="53" t="n">
        <v>46307</v>
      </c>
      <c r="B1964" t="inlineStr">
        <is>
          <t>2026-10-12</t>
        </is>
      </c>
      <c r="C1964" s="45" t="n">
        <v>166.6871</v>
      </c>
      <c r="D1964" t="inlineStr">
        <is>
          <t>€/MWh</t>
        </is>
      </c>
      <c r="E1964" s="54" t="n">
        <v>0.166687</v>
      </c>
      <c r="F1964" s="54" t="n">
        <v>0.212003</v>
      </c>
      <c r="G1964" t="inlineStr">
        <is>
          <t>calculado</t>
        </is>
      </c>
      <c r="H1964" t="inlineStr">
        <is>
          <t>IEE 5.1127 % con cuota mínima 1 €/MWh (Ley 38/1992 art. 99 (RDL 25/2026 no reduce el IEE en octubre)) + IVA 21 % (Ley 37/1992 art. 90 (RDL 25/2026 no reduce el IVA en octubre))</t>
        </is>
      </c>
      <c r="J1964" t="inlineStr">
        <is>
          <t>2026-10-11</t>
        </is>
      </c>
      <c r="K1964" t="inlineStr">
        <is>
          <t>ESIOS 1001 geo 8741</t>
        </is>
      </c>
      <c r="L1964" t="inlineStr">
        <is>
          <t>24 valores; mín -13.14, máx 308.79 €/MWh</t>
        </is>
      </c>
    </row>
    <row r="1965">
      <c r="A1965" s="53" t="n">
        <v>46308</v>
      </c>
      <c r="B1965" t="inlineStr">
        <is>
          <t>2026-10-13</t>
        </is>
      </c>
      <c r="C1965" s="45" t="n">
        <v>208.2129</v>
      </c>
      <c r="D1965" t="inlineStr">
        <is>
          <t>€/MWh</t>
        </is>
      </c>
      <c r="E1965" s="54" t="n">
        <v>0.208213</v>
      </c>
      <c r="F1965" s="54" t="n">
        <v>0.264818</v>
      </c>
      <c r="G1965" t="inlineStr">
        <is>
          <t>calculado</t>
        </is>
      </c>
      <c r="H1965" t="inlineStr">
        <is>
          <t>IEE 5.1127 % con cuota mínima 1 €/MWh (Ley 38/1992 art. 99 (RDL 25/2026 no reduce el IEE en octubre)) + IVA 21 % (Ley 37/1992 art. 90 (RDL 25/2026 no reduce el IVA en octubre))</t>
        </is>
      </c>
      <c r="J1965" t="inlineStr">
        <is>
          <t>2026-10-12</t>
        </is>
      </c>
      <c r="K1965" t="inlineStr">
        <is>
          <t>ESIOS 1001 geo 8741</t>
        </is>
      </c>
      <c r="L1965" t="inlineStr">
        <is>
          <t>24 valores; mín 33.82, máx 381.77 €/MWh</t>
        </is>
      </c>
    </row>
    <row r="1966">
      <c r="A1966" s="53" t="n">
        <v>46309</v>
      </c>
      <c r="B1966" t="inlineStr">
        <is>
          <t>2026-10-14</t>
        </is>
      </c>
      <c r="C1966" s="45" t="n">
        <v>221.3583</v>
      </c>
      <c r="D1966" t="inlineStr">
        <is>
          <t>€/MWh</t>
        </is>
      </c>
      <c r="E1966" s="54" t="n">
        <v>0.221358</v>
      </c>
      <c r="F1966" s="54" t="n">
        <v>0.281538</v>
      </c>
      <c r="G1966" t="inlineStr">
        <is>
          <t>calculado</t>
        </is>
      </c>
      <c r="H1966" t="inlineStr">
        <is>
          <t>IEE 5.1127 % con cuota mínima 1 €/MWh (Ley 38/1992 art. 99 (RDL 25/2026 no reduce el IEE en octubre)) + IVA 21 % (Ley 37/1992 art. 90 (RDL 25/2026 no reduce el IVA en octubre))</t>
        </is>
      </c>
      <c r="J1966" t="inlineStr">
        <is>
          <t>2026-10-13</t>
        </is>
      </c>
      <c r="K1966" t="inlineStr">
        <is>
          <t>ESIOS 1001 geo 8741</t>
        </is>
      </c>
      <c r="L1966" t="inlineStr">
        <is>
          <t>24 valores; mín 52.01, máx 417.12 €/MWh</t>
        </is>
      </c>
    </row>
    <row r="1967">
      <c r="A1967" s="53" t="n">
        <v>46310</v>
      </c>
      <c r="B1967" t="inlineStr">
        <is>
          <t>2026-10-15</t>
        </is>
      </c>
      <c r="C1967" s="45" t="n">
        <v>220.8688</v>
      </c>
      <c r="D1967" t="inlineStr">
        <is>
          <t>€/MWh</t>
        </is>
      </c>
      <c r="E1967" s="54" t="n">
        <v>0.220869</v>
      </c>
      <c r="F1967" s="54" t="n">
        <v>0.280915</v>
      </c>
      <c r="G1967" t="inlineStr">
        <is>
          <t>calculado</t>
        </is>
      </c>
      <c r="H1967" t="inlineStr">
        <is>
          <t>IEE 5.1127 % con cuota mínima 1 €/MWh (Ley 38/1992 art. 99 (RDL 25/2026 no reduce el IEE en octubre)) + IVA 21 % (Ley 37/1992 art. 90 (RDL 25/2026 no reduce el IVA en octubre))</t>
        </is>
      </c>
      <c r="J1967" t="inlineStr">
        <is>
          <t>2026-10-14</t>
        </is>
      </c>
      <c r="K1967" t="inlineStr">
        <is>
          <t>ESIOS 1001 geo 8741</t>
        </is>
      </c>
      <c r="L1967" t="inlineStr">
        <is>
          <t>24 valores; mín 63.35, máx 394.43 €/MWh</t>
        </is>
      </c>
    </row>
    <row r="1968">
      <c r="A1968" s="53" t="n">
        <v>46311</v>
      </c>
      <c r="B1968" t="inlineStr">
        <is>
          <t>2026-10-16</t>
        </is>
      </c>
      <c r="C1968" s="45" t="n">
        <v>215.3487</v>
      </c>
      <c r="D1968" t="inlineStr">
        <is>
          <t>€/MWh</t>
        </is>
      </c>
      <c r="E1968" s="54" t="n">
        <v>0.215349</v>
      </c>
      <c r="F1968" s="54" t="n">
        <v>0.273894</v>
      </c>
      <c r="G1968" t="inlineStr">
        <is>
          <t>calculado</t>
        </is>
      </c>
      <c r="H1968" t="inlineStr">
        <is>
          <t>IEE 5.1127 % con cuota mínima 1 €/MWh (Ley 38/1992 art. 99 (RDL 25/2026 no reduce el IEE en octubre)) + IVA 21 % (Ley 37/1992 art. 90 (RDL 25/2026 no reduce el IVA en octubre))</t>
        </is>
      </c>
      <c r="J1968" t="inlineStr">
        <is>
          <t>2026-10-15</t>
        </is>
      </c>
      <c r="K1968" t="inlineStr">
        <is>
          <t>ESIOS 1001 geo 8741</t>
        </is>
      </c>
      <c r="L1968" t="inlineStr">
        <is>
          <t>24 valores; mín 73.61, máx 365.87 €/MWh</t>
        </is>
      </c>
    </row>
    <row r="1969">
      <c r="A1969" s="53" t="n">
        <v>46312</v>
      </c>
      <c r="B1969" t="inlineStr">
        <is>
          <t>2026-10-17</t>
        </is>
      </c>
      <c r="C1969" s="45" t="n">
        <v>144.3229</v>
      </c>
      <c r="D1969" t="inlineStr">
        <is>
          <t>€/MWh</t>
        </is>
      </c>
      <c r="E1969" s="54" t="n">
        <v>0.144323</v>
      </c>
      <c r="F1969" s="54" t="n">
        <v>0.183559</v>
      </c>
      <c r="G1969" t="inlineStr">
        <is>
          <t>calculado</t>
        </is>
      </c>
      <c r="H1969" t="inlineStr">
        <is>
          <t>IEE 5.1127 % con cuota mínima 1 €/MWh (Ley 38/1992 art. 99 (RDL 25/2026 no reduce el IEE en octubre)) + IVA 21 % (Ley 37/1992 art. 90 (RDL 25/2026 no reduce el IVA en octubre))</t>
        </is>
      </c>
      <c r="J1969" t="inlineStr">
        <is>
          <t>2026-10-16</t>
        </is>
      </c>
      <c r="K1969" t="inlineStr">
        <is>
          <t>ESIOS 1001 geo 8741</t>
        </is>
      </c>
      <c r="L1969" t="inlineStr">
        <is>
          <t>24 valores; mín 17.81, máx 246.76 €/MWh</t>
        </is>
      </c>
    </row>
    <row r="1970">
      <c r="A1970" s="53" t="n">
        <v>46313</v>
      </c>
      <c r="B1970" t="inlineStr">
        <is>
          <t>2026-10-18</t>
        </is>
      </c>
      <c r="C1970" s="45" t="n">
        <v>139.6846</v>
      </c>
      <c r="D1970" t="inlineStr">
        <is>
          <t>€/MWh</t>
        </is>
      </c>
      <c r="E1970" s="54" t="n">
        <v>0.139685</v>
      </c>
      <c r="F1970" s="54" t="n">
        <v>0.17766</v>
      </c>
      <c r="G1970" t="inlineStr">
        <is>
          <t>calculado</t>
        </is>
      </c>
      <c r="H1970" t="inlineStr">
        <is>
          <t>IEE 5.1127 % con cuota mínima 1 €/MWh (Ley 38/1992 art. 99 (RDL 25/2026 no reduce el IEE en octubre)) + IVA 21 % (Ley 37/1992 art. 90 (RDL 25/2026 no reduce el IVA en octubre))</t>
        </is>
      </c>
      <c r="J1970" t="inlineStr">
        <is>
          <t>2026-10-17</t>
        </is>
      </c>
      <c r="K1970" t="inlineStr">
        <is>
          <t>ESIOS 1001 geo 8741</t>
        </is>
      </c>
      <c r="L1970" t="inlineStr">
        <is>
          <t>24 valores; mín 46.83, máx 259.02 €/MWh</t>
        </is>
      </c>
    </row>
    <row r="1971">
      <c r="A1971" s="53" t="n">
        <v>46314</v>
      </c>
      <c r="B1971" t="inlineStr">
        <is>
          <t>2026-10-19</t>
        </is>
      </c>
      <c r="C1971" s="45" t="n">
        <v>227.3613</v>
      </c>
      <c r="D1971" t="inlineStr">
        <is>
          <t>€/MWh</t>
        </is>
      </c>
      <c r="E1971" s="54" t="n">
        <v>0.227361</v>
      </c>
      <c r="F1971" s="54" t="n">
        <v>0.289173</v>
      </c>
      <c r="G1971" t="inlineStr">
        <is>
          <t>calculado</t>
        </is>
      </c>
      <c r="H1971" t="inlineStr">
        <is>
          <t>IEE 5.1127 % con cuota mínima 1 €/MWh (Ley 38/1992 art. 99 (RDL 25/2026 no reduce el IEE en octubre)) + IVA 21 % (Ley 37/1992 art. 90 (RDL 25/2026 no reduce el IVA en octubre))</t>
        </is>
      </c>
      <c r="J1971" t="inlineStr">
        <is>
          <t>2026-10-18</t>
        </is>
      </c>
      <c r="K1971" t="inlineStr">
        <is>
          <t>ESIOS 1001 geo 8741</t>
        </is>
      </c>
      <c r="L1971" t="inlineStr">
        <is>
          <t>24 valores; mín 129.55, máx 383.21 €/MWh</t>
        </is>
      </c>
    </row>
    <row r="1972">
      <c r="A1972" s="53" t="n">
        <v>46315</v>
      </c>
      <c r="B1972" t="inlineStr">
        <is>
          <t>2026-10-20</t>
        </is>
      </c>
      <c r="C1972" s="45" t="n">
        <v>220.755</v>
      </c>
      <c r="D1972" t="inlineStr">
        <is>
          <t>€/MWh</t>
        </is>
      </c>
      <c r="E1972" s="54" t="n">
        <v>0.220755</v>
      </c>
      <c r="F1972" s="54" t="n">
        <v>0.28077</v>
      </c>
      <c r="G1972" t="inlineStr">
        <is>
          <t>calculado</t>
        </is>
      </c>
      <c r="H1972" t="inlineStr">
        <is>
          <t>IEE 5.1127 % con cuota mínima 1 €/MWh (Ley 38/1992 art. 99 (RDL 25/2026 no reduce el IEE en octubre)) + IVA 21 % (Ley 37/1992 art. 90 (RDL 25/2026 no reduce el IVA en octubre))</t>
        </is>
      </c>
      <c r="J1972" t="inlineStr">
        <is>
          <t>2026-10-19</t>
        </is>
      </c>
      <c r="K1972" t="inlineStr">
        <is>
          <t>ESIOS 1001 geo 8741</t>
        </is>
      </c>
      <c r="L1972" t="inlineStr">
        <is>
          <t>24 valores; mín 48.29, máx 372.29 €/MWh</t>
        </is>
      </c>
    </row>
    <row r="1973">
      <c r="A1973" s="53" t="n">
        <v>46316</v>
      </c>
      <c r="B1973" t="inlineStr">
        <is>
          <t>2026-10-21</t>
        </is>
      </c>
      <c r="C1973" s="45" t="n">
        <v>204.7375</v>
      </c>
      <c r="D1973" t="inlineStr">
        <is>
          <t>€/MWh</t>
        </is>
      </c>
      <c r="E1973" s="54" t="n">
        <v>0.204737</v>
      </c>
      <c r="F1973" s="54" t="n">
        <v>0.260398</v>
      </c>
      <c r="G1973" t="inlineStr">
        <is>
          <t>calculado</t>
        </is>
      </c>
      <c r="H1973" t="inlineStr">
        <is>
          <t>IEE 5.1127 % con cuota mínima 1 €/MWh (Ley 38/1992 art. 99 (RDL 25/2026 no reduce el IEE en octubre)) + IVA 21 % (Ley 37/1992 art. 90 (RDL 25/2026 no reduce el IVA en octubre))</t>
        </is>
      </c>
      <c r="J1973" t="inlineStr">
        <is>
          <t>2026-10-20</t>
        </is>
      </c>
      <c r="K1973" t="inlineStr">
        <is>
          <t>ESIOS 1001 geo 8741</t>
        </is>
      </c>
      <c r="L1973" t="inlineStr">
        <is>
          <t>24 valores; mín 18.37, máx 418.08 €/MWh</t>
        </is>
      </c>
    </row>
    <row r="1974">
      <c r="A1974" s="53" t="n">
        <v>46317</v>
      </c>
      <c r="B1974" t="inlineStr">
        <is>
          <t>2026-10-22</t>
        </is>
      </c>
      <c r="C1974" s="45" t="n">
        <v>207.745</v>
      </c>
      <c r="D1974" t="inlineStr">
        <is>
          <t>€/MWh</t>
        </is>
      </c>
      <c r="E1974" s="54" t="n">
        <v>0.207745</v>
      </c>
      <c r="F1974" s="54" t="n">
        <v>0.264223</v>
      </c>
      <c r="G1974" t="inlineStr">
        <is>
          <t>calculado</t>
        </is>
      </c>
      <c r="H1974" t="inlineStr">
        <is>
          <t>IEE 5.1127 % con cuota mínima 1 €/MWh (Ley 38/1992 art. 99 (RDL 25/2026 no reduce el IEE en octubre)) + IVA 21 % (Ley 37/1992 art. 90 (RDL 25/2026 no reduce el IVA en octubre))</t>
        </is>
      </c>
      <c r="J1974" t="inlineStr">
        <is>
          <t>2026-10-21</t>
        </is>
      </c>
      <c r="K1974" t="inlineStr">
        <is>
          <t>ESIOS 1001 geo 8741</t>
        </is>
      </c>
      <c r="L1974" t="inlineStr">
        <is>
          <t>24 valores; mín 13.14, máx 375.35 €/MWh</t>
        </is>
      </c>
    </row>
    <row r="1975">
      <c r="A1975" s="53" t="n">
        <v>46318</v>
      </c>
      <c r="B1975" t="inlineStr">
        <is>
          <t>2026-10-23</t>
        </is>
      </c>
      <c r="C1975" s="45" t="n">
        <v>194.5429</v>
      </c>
      <c r="D1975" t="inlineStr">
        <is>
          <t>€/MWh</t>
        </is>
      </c>
      <c r="E1975" s="54" t="n">
        <v>0.194543</v>
      </c>
      <c r="F1975" s="54" t="n">
        <v>0.247432</v>
      </c>
      <c r="G1975" t="inlineStr">
        <is>
          <t>calculado</t>
        </is>
      </c>
      <c r="H1975" t="inlineStr">
        <is>
          <t>IEE 5.1127 % con cuota mínima 1 €/MWh (Ley 38/1992 art. 99 (RDL 25/2026 no reduce el IEE en octubre)) + IVA 21 % (Ley 37/1992 art. 90 (RDL 25/2026 no reduce el IVA en octubre))</t>
        </is>
      </c>
      <c r="J1975" t="inlineStr">
        <is>
          <t>2026-10-22</t>
        </is>
      </c>
      <c r="K1975" t="inlineStr">
        <is>
          <t>ESIOS 1001 geo 8741</t>
        </is>
      </c>
      <c r="L1975" t="inlineStr">
        <is>
          <t>24 valores; mín 51.20, máx 377.02 €/MWh</t>
        </is>
      </c>
    </row>
    <row r="1976">
      <c r="A1976" s="53" t="n">
        <v>46319</v>
      </c>
      <c r="B1976" t="inlineStr">
        <is>
          <t>2026-10-24</t>
        </is>
      </c>
      <c r="C1976" s="45" t="n">
        <v>155.3654</v>
      </c>
      <c r="D1976" t="inlineStr">
        <is>
          <t>€/MWh</t>
        </is>
      </c>
      <c r="E1976" s="54" t="n">
        <v>0.155365</v>
      </c>
      <c r="F1976" s="54" t="n">
        <v>0.197604</v>
      </c>
      <c r="G1976" t="inlineStr">
        <is>
          <t>calculado</t>
        </is>
      </c>
      <c r="H1976" t="inlineStr">
        <is>
          <t>IEE 5.1127 % con cuota mínima 1 €/MWh (Ley 38/1992 art. 99 (RDL 25/2026 no reduce el IEE en octubre)) + IVA 21 % (Ley 37/1992 art. 90 (RDL 25/2026 no reduce el IVA en octubre))</t>
        </is>
      </c>
      <c r="J1976" t="inlineStr">
        <is>
          <t>2026-10-23</t>
        </is>
      </c>
      <c r="K1976" t="inlineStr">
        <is>
          <t>ESIOS 1001 geo 8741</t>
        </is>
      </c>
      <c r="L1976" t="inlineStr">
        <is>
          <t>24 valores; mín -4.31, máx 254.77 €/MWh</t>
        </is>
      </c>
    </row>
    <row r="1977">
      <c r="A1977" s="53" t="n">
        <v>46320</v>
      </c>
      <c r="B1977" t="inlineStr">
        <is>
          <t>2026-10-25</t>
        </is>
      </c>
      <c r="C1977" s="45" t="n">
        <v>182.3404</v>
      </c>
      <c r="D1977" t="inlineStr">
        <is>
          <t>€/MWh</t>
        </is>
      </c>
      <c r="E1977" s="54" t="n">
        <v>0.18234</v>
      </c>
      <c r="F1977" s="54" t="n">
        <v>0.231912</v>
      </c>
      <c r="G1977" t="inlineStr">
        <is>
          <t>calculado</t>
        </is>
      </c>
      <c r="H1977" t="inlineStr">
        <is>
          <t>IEE 5.1127 % con cuota mínima 1 €/MWh (Ley 38/1992 art. 99 (RDL 25/2026 no reduce el IEE en octubre)) + IVA 21 % (Ley 37/1992 art. 90 (RDL 25/2026 no reduce el IVA en octubre))</t>
        </is>
      </c>
      <c r="J1977" t="inlineStr">
        <is>
          <t>2026-10-24</t>
        </is>
      </c>
      <c r="K1977" t="inlineStr">
        <is>
          <t>ESIOS 1001 geo 8741</t>
        </is>
      </c>
      <c r="L1977" t="inlineStr">
        <is>
          <t>25 valores; mín 41.38, máx 346.83 €/MWh</t>
        </is>
      </c>
    </row>
    <row r="1978">
      <c r="A1978" s="53" t="n">
        <v>46321</v>
      </c>
      <c r="B1978" t="inlineStr">
        <is>
          <t>2026-10-26</t>
        </is>
      </c>
      <c r="C1978" s="45" t="n">
        <v>227.5042</v>
      </c>
      <c r="D1978" t="inlineStr">
        <is>
          <t>€/MWh</t>
        </is>
      </c>
      <c r="E1978" s="54" t="n">
        <v>0.227504</v>
      </c>
      <c r="F1978" s="54" t="n">
        <v>0.289354</v>
      </c>
      <c r="G1978" t="inlineStr">
        <is>
          <t>calculado</t>
        </is>
      </c>
      <c r="H1978" t="inlineStr">
        <is>
          <t>IEE 5.1127 % con cuota mínima 1 €/MWh (Ley 38/1992 art. 99 (RDL 25/2026 no reduce el IEE en octubre)) + IVA 21 % (Ley 37/1992 art. 90 (RDL 25/2026 no reduce el IVA en octubre))</t>
        </is>
      </c>
      <c r="J1978" t="inlineStr">
        <is>
          <t>2026-10-25</t>
        </is>
      </c>
      <c r="K1978" t="inlineStr">
        <is>
          <t>ESIOS 1001 geo 8741</t>
        </is>
      </c>
      <c r="L1978" t="inlineStr">
        <is>
          <t>24 valores; mín 49.58, máx 405.46 €/MWh</t>
        </is>
      </c>
    </row>
    <row r="1979">
      <c r="A1979" s="53" t="n">
        <v>46322</v>
      </c>
      <c r="B1979" t="inlineStr">
        <is>
          <t>2026-10-27</t>
        </is>
      </c>
      <c r="C1979" s="45" t="n">
        <v>231.6446</v>
      </c>
      <c r="D1979" t="inlineStr">
        <is>
          <t>€/MWh</t>
        </is>
      </c>
      <c r="E1979" s="54" t="n">
        <v>0.231645</v>
      </c>
      <c r="F1979" s="54" t="n">
        <v>0.29462</v>
      </c>
      <c r="G1979" t="inlineStr">
        <is>
          <t>calculado</t>
        </is>
      </c>
      <c r="H1979" t="inlineStr">
        <is>
          <t>IEE 5.1127 % con cuota mínima 1 €/MWh (Ley 38/1992 art. 99 (RDL 25/2026 no reduce el IEE en octubre)) + IVA 21 % (Ley 37/1992 art. 90 (RDL 25/2026 no reduce el IVA en octubre))</t>
        </is>
      </c>
      <c r="J1979" t="inlineStr">
        <is>
          <t>2026-10-26</t>
        </is>
      </c>
      <c r="K1979" t="inlineStr">
        <is>
          <t>ESIOS 1001 geo 8741</t>
        </is>
      </c>
      <c r="L1979" t="inlineStr">
        <is>
          <t>24 valores; mín 103.23, máx 378.15 €/MWh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16" customWidth="1" min="4" max="4"/>
    <col width="13" customWidth="1" min="5" max="5"/>
    <col width="13" customWidth="1" min="6" max="6"/>
    <col width="24" customWidth="1" min="7" max="7"/>
    <col width="55" customWidth="1" min="8" max="8"/>
    <col width="30" customWidth="1" min="9" max="9"/>
    <col width="15" customWidth="1" min="10" max="10"/>
    <col width="30" customWidth="1" min="11" max="11"/>
    <col width="55" customWidth="1" min="12" max="12"/>
  </cols>
  <sheetData>
    <row r="1">
      <c r="A1" s="25" t="inlineStr">
        <is>
          <t>5. Gas natural TUR 2: término variable</t>
        </is>
      </c>
    </row>
    <row r="2">
      <c r="A2" s="2" t="inlineStr">
        <is>
          <t>Fuente: BOE, resoluciones de la DGPEM por las que se publica la tarifa de último recurso de gas natural. Unidad original: c€/kWh (PCS). Frecuencia: trimestral (valor vigente desde la fecha de efectos de cada resolución). Impuestos del dato original: sin impuestos. Conversión: c€/kWh (PCS) ÷ 100 ÷ 0.904 = €/kWh (PCI); con impuestos: (precio + IH gas) × (1 + IVA) vigentes</t>
        </is>
      </c>
    </row>
    <row r="4">
      <c r="A4" t="inlineStr">
        <is>
          <t>Fecha</t>
        </is>
      </c>
      <c r="B4" t="inlineStr">
        <is>
          <t>Periodo</t>
        </is>
      </c>
      <c r="C4" t="inlineStr">
        <is>
          <t>Valor original</t>
        </is>
      </c>
      <c r="D4" t="inlineStr">
        <is>
          <t>Unidad</t>
        </is>
      </c>
      <c r="E4" t="inlineStr">
        <is>
          <t>€/kWh sin impuestos</t>
        </is>
      </c>
      <c r="F4" t="inlineStr">
        <is>
          <t>€/kWh con impuestos</t>
        </is>
      </c>
      <c r="G4" t="inlineStr">
        <is>
          <t>Origen del precio con impuestos</t>
        </is>
      </c>
      <c r="H4" t="inlineStr">
        <is>
          <t>Impuestos aplicados</t>
        </is>
      </c>
      <c r="I4" t="inlineStr">
        <is>
          <t>Pendiente</t>
        </is>
      </c>
      <c r="J4" t="inlineStr">
        <is>
          <t>Fecha de publicación</t>
        </is>
      </c>
      <c r="K4" t="inlineStr">
        <is>
          <t>Referencia (fichero / BOE / PDF)</t>
        </is>
      </c>
      <c r="L4" t="inlineStr">
        <is>
          <t>Nota</t>
        </is>
      </c>
    </row>
    <row r="5">
      <c r="A5" s="53" t="n">
        <v>43831</v>
      </c>
      <c r="B5" t="inlineStr">
        <is>
          <t>2020-01-01</t>
        </is>
      </c>
      <c r="C5" s="45" t="n">
        <v>4.275044</v>
      </c>
      <c r="D5" t="inlineStr">
        <is>
          <t>c€/kWh (PCS)</t>
        </is>
      </c>
      <c r="E5" s="54" t="n">
        <v>0.04729</v>
      </c>
      <c r="F5" s="54" t="n">
        <v>0.060353</v>
      </c>
      <c r="G5" t="inlineStr">
        <is>
          <t>calculado</t>
        </is>
      </c>
      <c r="H5" t="inlineStr">
        <is>
          <t>IH gas natural 0.2340 c€/kWh (Ley 38/1992 art. 50, epígrafe 1.10.1) + IVA 21 % (Ley 37/1992 art. 90)</t>
        </is>
      </c>
      <c r="J5" t="inlineStr">
        <is>
          <t>2019-12-30</t>
        </is>
      </c>
      <c r="K5" t="inlineStr">
        <is>
          <t>BOE-A-2019-18676</t>
        </is>
      </c>
      <c r="L5" t="inlineStr">
        <is>
          <t>TUR.2: Consumo superior a 5.000 kWh/año e inferior o igual a 50.000 kWh/año.; término fijo 8.35 €/cliente/mes; impuestos aplicados los vigentes en la fecha de efectos</t>
        </is>
      </c>
    </row>
    <row r="6">
      <c r="A6" s="53" t="n">
        <v>44013</v>
      </c>
      <c r="B6" t="inlineStr">
        <is>
          <t>2020-07-01</t>
        </is>
      </c>
      <c r="C6" s="45" t="n">
        <v>3.9694</v>
      </c>
      <c r="D6" t="inlineStr">
        <is>
          <t>c€/kWh (PCS)</t>
        </is>
      </c>
      <c r="E6" s="54" t="n">
        <v>0.043909</v>
      </c>
      <c r="F6" s="54" t="n">
        <v>0.056262</v>
      </c>
      <c r="G6" t="inlineStr">
        <is>
          <t>calculado</t>
        </is>
      </c>
      <c r="H6" t="inlineStr">
        <is>
          <t>IH gas natural 0.2340 c€/kWh (Ley 38/1992 art. 50, epígrafe 1.10.1) + IVA 21 % (Ley 37/1992 art. 90)</t>
        </is>
      </c>
      <c r="J6" t="inlineStr">
        <is>
          <t>2020-06-30</t>
        </is>
      </c>
      <c r="K6" t="inlineStr">
        <is>
          <t>BOE-A-2020-6904</t>
        </is>
      </c>
      <c r="L6" t="inlineStr">
        <is>
          <t>TUR.2: Consumo superior a 5.000 kWh/año e inferior o igual a 50.000 a kWh/año.; término fijo 8.35 €/cliente/mes; impuestos aplicados los vigentes en la fecha de efectos</t>
        </is>
      </c>
    </row>
    <row r="7">
      <c r="A7" s="53" t="n">
        <v>44105</v>
      </c>
      <c r="B7" t="inlineStr">
        <is>
          <t>2020-10-01</t>
        </is>
      </c>
      <c r="C7" s="45" t="n">
        <v>3.73238</v>
      </c>
      <c r="D7" t="inlineStr">
        <is>
          <t>c€/kWh (PCS)</t>
        </is>
      </c>
      <c r="E7" s="54" t="n">
        <v>0.041287</v>
      </c>
      <c r="F7" s="54" t="n">
        <v>0.05309</v>
      </c>
      <c r="G7" t="inlineStr">
        <is>
          <t>calculado</t>
        </is>
      </c>
      <c r="H7" t="inlineStr">
        <is>
          <t>IH gas natural 0.2340 c€/kWh (Ley 38/1992 art. 50, epígrafe 1.10.1) + IVA 21 % (Ley 37/1992 art. 90)</t>
        </is>
      </c>
      <c r="J7" t="inlineStr">
        <is>
          <t>2020-09-30</t>
        </is>
      </c>
      <c r="K7" t="inlineStr">
        <is>
          <t>BOE-A-2020-11426</t>
        </is>
      </c>
      <c r="L7" t="inlineStr">
        <is>
          <t>TUR.2: Consumo superior a 5.000 kWh/año e inferior o igual a 50.000 a kWh/año.; término fijo 8.02 €/cliente/mes; impuestos aplicados los vigentes en la fecha de efectos</t>
        </is>
      </c>
    </row>
    <row r="8">
      <c r="A8" s="53" t="n">
        <v>44197</v>
      </c>
      <c r="B8" t="inlineStr">
        <is>
          <t>2021-01-01</t>
        </is>
      </c>
      <c r="C8" s="45" t="n">
        <v>4.036244</v>
      </c>
      <c r="D8" t="inlineStr">
        <is>
          <t>c€/kWh (PCS)</t>
        </is>
      </c>
      <c r="E8" s="54" t="n">
        <v>0.044649</v>
      </c>
      <c r="F8" s="54" t="n">
        <v>0.057157</v>
      </c>
      <c r="G8" t="inlineStr">
        <is>
          <t>calculado</t>
        </is>
      </c>
      <c r="H8" t="inlineStr">
        <is>
          <t>IH gas natural 0.2340 c€/kWh (Ley 38/1992 art. 50, epígrafe 1.10.1) + IVA 21 % (Ley 37/1992 art. 90)</t>
        </is>
      </c>
      <c r="J8" t="inlineStr">
        <is>
          <t>2020-12-29</t>
        </is>
      </c>
      <c r="K8" t="inlineStr">
        <is>
          <t>BOE-A-2020-17207</t>
        </is>
      </c>
      <c r="L8" t="inlineStr">
        <is>
          <t>TUR.2: Consumo superior a 5.000 kWh/año e inferior o igual a 50.000 a kWh/año.; término fijo 8.02 €/cliente/mes; impuestos aplicados los vigentes en la fecha de efectos</t>
        </is>
      </c>
    </row>
    <row r="9">
      <c r="A9" s="53" t="n">
        <v>44378</v>
      </c>
      <c r="B9" t="inlineStr">
        <is>
          <t>2021-07-01</t>
        </is>
      </c>
      <c r="C9" s="45" t="n">
        <v>4.234768</v>
      </c>
      <c r="D9" t="inlineStr">
        <is>
          <t>c€/kWh (PCS)</t>
        </is>
      </c>
      <c r="E9" s="54" t="n">
        <v>0.046845</v>
      </c>
      <c r="F9" s="54" t="n">
        <v>0.059814</v>
      </c>
      <c r="G9" t="inlineStr">
        <is>
          <t>calculado</t>
        </is>
      </c>
      <c r="H9" t="inlineStr">
        <is>
          <t>IH gas natural 0.2340 c€/kWh (Ley 38/1992 art. 50, epígrafe 1.10.1) + IVA 21 % (Ley 37/1992 art. 90)</t>
        </is>
      </c>
      <c r="J9" t="inlineStr">
        <is>
          <t>2021-06-30</t>
        </is>
      </c>
      <c r="K9" t="inlineStr">
        <is>
          <t>BOE-A-2021-10825</t>
        </is>
      </c>
      <c r="L9" t="inlineStr">
        <is>
          <t>TUR.2: Consumo superior a 5.000 kWh/año e inferior o igual a 50.000 a kWh/año.; término fijo 8.02 €/cliente/mes; impuestos aplicados los vigentes en la fecha de efectos</t>
        </is>
      </c>
    </row>
    <row r="10">
      <c r="A10" s="53" t="n">
        <v>44470</v>
      </c>
      <c r="B10" t="inlineStr">
        <is>
          <t>2021-10-01</t>
        </is>
      </c>
      <c r="C10" s="45" t="n">
        <v>4.127554</v>
      </c>
      <c r="D10" t="inlineStr">
        <is>
          <t>c€/kWh (PCS)</t>
        </is>
      </c>
      <c r="E10" s="54" t="n">
        <v>0.045659</v>
      </c>
      <c r="F10" s="54" t="n">
        <v>0.058379</v>
      </c>
      <c r="G10" t="inlineStr">
        <is>
          <t>calculado</t>
        </is>
      </c>
      <c r="H10" t="inlineStr">
        <is>
          <t>IH gas natural 0.2340 c€/kWh (Ley 38/1992 art. 50, epígrafe 1.10.1) + IVA 21 % (Ley 37/1992 art. 90)</t>
        </is>
      </c>
      <c r="J10" t="inlineStr">
        <is>
          <t>2021-09-29</t>
        </is>
      </c>
      <c r="K10" t="inlineStr">
        <is>
          <t>BOE-A-2021-15778</t>
        </is>
      </c>
      <c r="L10" t="inlineStr">
        <is>
          <t>TUR.2: Consumo superior a 5.000 kWh/año e inferior o igual a 15.000 a kWh/año.; término fijo 10.23 €/cliente/mes; impuestos aplicados los vigentes en la fecha de efectos</t>
        </is>
      </c>
    </row>
    <row r="11">
      <c r="A11" s="53" t="n">
        <v>44562</v>
      </c>
      <c r="B11" t="inlineStr">
        <is>
          <t>2022-01-01</t>
        </is>
      </c>
      <c r="C11" s="45" t="n">
        <v>4.520114</v>
      </c>
      <c r="D11" t="inlineStr">
        <is>
          <t>c€/kWh (PCS)</t>
        </is>
      </c>
      <c r="E11" s="54" t="n">
        <v>0.050001</v>
      </c>
      <c r="F11" s="54" t="n">
        <v>0.063634</v>
      </c>
      <c r="G11" t="inlineStr">
        <is>
          <t>calculado</t>
        </is>
      </c>
      <c r="H11" t="inlineStr">
        <is>
          <t>IH gas natural 0.2340 c€/kWh (Ley 38/1992 art. 50, epígrafe 1.10.1) + IVA 21 % (Ley 37/1992 art. 90)</t>
        </is>
      </c>
      <c r="J11" t="inlineStr">
        <is>
          <t>2021-12-25</t>
        </is>
      </c>
      <c r="K11" t="inlineStr">
        <is>
          <t>BOE-A-2021-21356</t>
        </is>
      </c>
      <c r="L11" t="inlineStr">
        <is>
          <t>TUR.2: Consumo superior a 5.000 kWh/año e inferior o igual a 15.000 a kWh/año.; término fijo 10.24 €/cliente/mes; impuestos aplicados los vigentes en la fecha de efectos</t>
        </is>
      </c>
    </row>
    <row r="12">
      <c r="A12" s="53" t="n">
        <v>44652</v>
      </c>
      <c r="B12" t="inlineStr">
        <is>
          <t>2022-04-01</t>
        </is>
      </c>
      <c r="C12" s="45" t="n">
        <v>4.969479</v>
      </c>
      <c r="D12" t="inlineStr">
        <is>
          <t>c€/kWh (PCS)</t>
        </is>
      </c>
      <c r="E12" s="54" t="n">
        <v>0.054972</v>
      </c>
      <c r="F12" s="54" t="n">
        <v>0.069648</v>
      </c>
      <c r="G12" t="inlineStr">
        <is>
          <t>calculado</t>
        </is>
      </c>
      <c r="H12" t="inlineStr">
        <is>
          <t>IH gas natural 0.2340 c€/kWh (Ley 38/1992 art. 50, epígrafe 1.10.1) + IVA 21 % (Ley 37/1992 art. 90)</t>
        </is>
      </c>
      <c r="J12" t="inlineStr">
        <is>
          <t>2022-03-31</t>
        </is>
      </c>
      <c r="K12" t="inlineStr">
        <is>
          <t>BOE-A-2022-5064</t>
        </is>
      </c>
      <c r="L12" t="inlineStr">
        <is>
          <t>TUR.2: Consumo superior a 5.000 kWh/año e inferior o igual a 15.000 kWh/año.; término fijo 10.24 €/cliente/mes; impuestos aplicados los vigentes en la fecha de efectos</t>
        </is>
      </c>
    </row>
    <row r="13">
      <c r="A13" s="53" t="n">
        <v>44743</v>
      </c>
      <c r="B13" t="inlineStr">
        <is>
          <t>2022-07-01</t>
        </is>
      </c>
      <c r="C13" s="45" t="n">
        <v>5.486249</v>
      </c>
      <c r="D13" t="inlineStr">
        <is>
          <t>c€/kWh (PCS)</t>
        </is>
      </c>
      <c r="E13" s="54" t="n">
        <v>0.060689</v>
      </c>
      <c r="F13" s="54" t="n">
        <v>0.07656499999999999</v>
      </c>
      <c r="G13" t="inlineStr">
        <is>
          <t>calculado</t>
        </is>
      </c>
      <c r="H13" t="inlineStr">
        <is>
          <t>IH gas natural 0.2340 c€/kWh (Ley 38/1992 art. 50, epígrafe 1.10.1) + IVA 21 % (Ley 37/1992 art. 90)</t>
        </is>
      </c>
      <c r="J13" t="inlineStr">
        <is>
          <t>2022-06-29</t>
        </is>
      </c>
      <c r="K13" t="inlineStr">
        <is>
          <t>BOE-A-2022-10760</t>
        </is>
      </c>
      <c r="L13" t="inlineStr">
        <is>
          <t>TUR.2: Consumo superior a 5.000 kWh/año e inferior o igual 15.000 kWh/año.; término fijo 10.24 €/cliente/mes; impuestos aplicados los vigentes en la fecha de efectos</t>
        </is>
      </c>
    </row>
    <row r="14">
      <c r="A14" s="53" t="n">
        <v>44835</v>
      </c>
      <c r="B14" t="inlineStr">
        <is>
          <t>2022-10-01</t>
        </is>
      </c>
      <c r="C14" s="45" t="n">
        <v>6.069581</v>
      </c>
      <c r="D14" t="inlineStr">
        <is>
          <t>c€/kWh (PCS)</t>
        </is>
      </c>
      <c r="E14" s="54" t="n">
        <v>0.06714100000000001</v>
      </c>
      <c r="F14" s="54" t="n">
        <v>0.073216</v>
      </c>
      <c r="G14" t="inlineStr">
        <is>
          <t>calculado</t>
        </is>
      </c>
      <c r="H14" t="inlineStr">
        <is>
          <t>IH gas natural 0.2340 c€/kWh (Ley 38/1992 art. 50, epígrafe 1.10.1) + IVA 5 % (RDL 17/2022 art. 5 (prorrogado por RDL 20/2022 art. 1))</t>
        </is>
      </c>
      <c r="J14" t="inlineStr">
        <is>
          <t>2022-09-29</t>
        </is>
      </c>
      <c r="K14" t="inlineStr">
        <is>
          <t>BOE-A-2022-15820</t>
        </is>
      </c>
      <c r="L14" t="inlineStr">
        <is>
          <t>TUR.2: Consumo superior a 5.000 kWh/año e inferior o igual a 15.000 kWh/año.; término fijo 9.52 €/cliente/mes; impuestos aplicados los vigentes en la fecha de efectos</t>
        </is>
      </c>
    </row>
    <row r="15">
      <c r="A15" s="53" t="n">
        <v>44927</v>
      </c>
      <c r="B15" t="inlineStr">
        <is>
          <t>2023-01-01</t>
        </is>
      </c>
      <c r="C15" s="45" t="n">
        <v>6.753009</v>
      </c>
      <c r="D15" t="inlineStr">
        <is>
          <t>c€/kWh (PCS)</t>
        </is>
      </c>
      <c r="E15" s="54" t="n">
        <v>0.074701</v>
      </c>
      <c r="F15" s="54" t="n">
        <v>0.081154</v>
      </c>
      <c r="G15" t="inlineStr">
        <is>
          <t>calculado</t>
        </is>
      </c>
      <c r="H15" t="inlineStr">
        <is>
          <t>IH gas natural 0.2340 c€/kWh (Ley 38/1992 art. 50, epígrafe 1.10.1) + IVA 5 % (RDL 17/2022 art. 5 (prorrogado por RDL 20/2022 art. 1))</t>
        </is>
      </c>
      <c r="J15" t="inlineStr">
        <is>
          <t>2022-12-28</t>
        </is>
      </c>
      <c r="K15" t="inlineStr">
        <is>
          <t>BOE-A-2022-22692</t>
        </is>
      </c>
      <c r="L15" t="inlineStr">
        <is>
          <t>TUR.2: Consumo superior a 5.000 kWh/año e inferior o igual a 15.000 kWh/año.; término fijo 9.52 €/cliente/mes; impuestos aplicados los vigentes en la fecha de efectos</t>
        </is>
      </c>
    </row>
    <row r="16">
      <c r="A16" s="53" t="n">
        <v>45017</v>
      </c>
      <c r="B16" t="inlineStr">
        <is>
          <t>2023-04-01</t>
        </is>
      </c>
      <c r="C16" s="45" t="n">
        <v>4.187549</v>
      </c>
      <c r="D16" t="inlineStr">
        <is>
          <t>c€/kWh (PCS)</t>
        </is>
      </c>
      <c r="E16" s="54" t="n">
        <v>0.046322</v>
      </c>
      <c r="F16" s="54" t="n">
        <v>0.051356</v>
      </c>
      <c r="G16" t="inlineStr">
        <is>
          <t>calculado</t>
        </is>
      </c>
      <c r="H16" t="inlineStr">
        <is>
          <t>IH gas natural 0.2340 c€/kWh (Ley 38/1992 art. 50, epígrafe 1.10.1) + IVA 5 % (RDL 17/2022 art. 5 (prorrogado por RDL 20/2022 art. 1))</t>
        </is>
      </c>
      <c r="J16" t="inlineStr">
        <is>
          <t>2023-03-30</t>
        </is>
      </c>
      <c r="K16" t="inlineStr">
        <is>
          <t>BOE-A-2023-8053</t>
        </is>
      </c>
      <c r="L16" t="inlineStr">
        <is>
          <t>TUR.2: Consumo superior a 5.000 kWh/año e inferior o igual a 15.000 kWh/año.; término fijo 9.48 €/cliente/mes; impuestos aplicados los vigentes en la fecha de efectos</t>
        </is>
      </c>
    </row>
    <row r="17">
      <c r="A17" s="53" t="n">
        <v>45108</v>
      </c>
      <c r="B17" t="inlineStr">
        <is>
          <t>2023-07-01</t>
        </is>
      </c>
      <c r="C17" s="45" t="n">
        <v>4.020647</v>
      </c>
      <c r="D17" t="inlineStr">
        <is>
          <t>c€/kWh (PCS)</t>
        </is>
      </c>
      <c r="E17" s="54" t="n">
        <v>0.044476</v>
      </c>
      <c r="F17" s="54" t="n">
        <v>0.049418</v>
      </c>
      <c r="G17" t="inlineStr">
        <is>
          <t>calculado</t>
        </is>
      </c>
      <c r="H17" t="inlineStr">
        <is>
          <t>IH gas natural 0.2340 c€/kWh (Ley 38/1992 art. 50, epígrafe 1.10.1) + IVA 5 % (RDL 17/2022 art. 5 (prorrogado por RDL 20/2022 art. 1))</t>
        </is>
      </c>
      <c r="J17" t="inlineStr">
        <is>
          <t>2023-06-29</t>
        </is>
      </c>
      <c r="K17" t="inlineStr">
        <is>
          <t>BOE-A-2023-15137</t>
        </is>
      </c>
      <c r="L17" t="inlineStr">
        <is>
          <t>TUR.2: Consumo superior a 5.000 kWh/año e inferior o igual a 15.000 kWh/año.; término fijo 9.48 €/cliente/mes; impuestos aplicados los vigentes en la fecha de efectos; [corregida por BOE-A-2023-15235, publicada el 30/06/2023]</t>
        </is>
      </c>
    </row>
    <row r="18">
      <c r="A18" s="53" t="n">
        <v>45200</v>
      </c>
      <c r="B18" t="inlineStr">
        <is>
          <t>2023-10-01</t>
        </is>
      </c>
      <c r="C18" s="45" t="n">
        <v>4.377103</v>
      </c>
      <c r="D18" t="inlineStr">
        <is>
          <t>c€/kWh (PCS)</t>
        </is>
      </c>
      <c r="E18" s="54" t="n">
        <v>0.048419</v>
      </c>
      <c r="F18" s="54" t="n">
        <v>0.053558</v>
      </c>
      <c r="G18" t="inlineStr">
        <is>
          <t>calculado</t>
        </is>
      </c>
      <c r="H18" t="inlineStr">
        <is>
          <t>IH gas natural 0.2340 c€/kWh (Ley 38/1992 art. 50, epígrafe 1.10.1) + IVA 5 % (RDL 17/2022 art. 5 (prorrogado por RDL 20/2022 art. 1))</t>
        </is>
      </c>
      <c r="J18" t="inlineStr">
        <is>
          <t>2023-09-29</t>
        </is>
      </c>
      <c r="K18" t="inlineStr">
        <is>
          <t>BOE-A-2023-20256</t>
        </is>
      </c>
      <c r="L18" t="inlineStr">
        <is>
          <t>TUR.2: Consumo superior a 5.000 kWh/año e inferior o igual a 15.000 kWh/año.; término fijo 7.12 €/cliente/mes; impuestos aplicados los vigentes en la fecha de efectos</t>
        </is>
      </c>
    </row>
    <row r="19">
      <c r="A19" s="53" t="n">
        <v>45292</v>
      </c>
      <c r="B19" t="inlineStr">
        <is>
          <t>2024-01-01</t>
        </is>
      </c>
      <c r="C19" s="45" t="n">
        <v>4.810889</v>
      </c>
      <c r="D19" t="inlineStr">
        <is>
          <t>c€/kWh (PCS)</t>
        </is>
      </c>
      <c r="E19" s="54" t="n">
        <v>0.053218</v>
      </c>
      <c r="F19" s="54" t="n">
        <v>0.061387</v>
      </c>
      <c r="G19" t="inlineStr">
        <is>
          <t>calculado</t>
        </is>
      </c>
      <c r="H19" t="inlineStr">
        <is>
          <t>IH gas natural 0.2340 c€/kWh (Ley 38/1992 art. 50, epígrafe 1.10.1) + IVA 10 % (RDL 8/2023 art. 21.2)</t>
        </is>
      </c>
      <c r="J19" t="inlineStr">
        <is>
          <t>2023-12-29</t>
        </is>
      </c>
      <c r="K19" t="inlineStr">
        <is>
          <t>BOE-A-2023-26635</t>
        </is>
      </c>
      <c r="L19" t="inlineStr">
        <is>
          <t>TUR.2: Consumo superior a 5.000 kWh/año e inferior o igual a 15.000 kWh/año.; término fijo 7.12 €/cliente/mes; impuestos aplicados los vigentes en la fecha de efectos</t>
        </is>
      </c>
    </row>
    <row r="20">
      <c r="A20" s="53" t="n">
        <v>45383</v>
      </c>
      <c r="B20" t="inlineStr">
        <is>
          <t>2024-04-01</t>
        </is>
      </c>
      <c r="C20" s="45" t="n">
        <v>4.095293</v>
      </c>
      <c r="D20" t="inlineStr">
        <is>
          <t>c€/kWh (PCS)</t>
        </is>
      </c>
      <c r="E20" s="54" t="n">
        <v>0.045302</v>
      </c>
      <c r="F20" s="54" t="n">
        <v>0.057947</v>
      </c>
      <c r="G20" t="inlineStr">
        <is>
          <t>calculado</t>
        </is>
      </c>
      <c r="H20" t="inlineStr">
        <is>
          <t>IH gas natural 0.2340 c€/kWh (Ley 38/1992 art. 50, epígrafe 1.10.1) + IVA 21 % (Ley 37/1992 art. 90 (sin medidas vigentes))</t>
        </is>
      </c>
      <c r="J20" t="inlineStr">
        <is>
          <t>2024-03-29</t>
        </is>
      </c>
      <c r="K20" t="inlineStr">
        <is>
          <t>BOE-A-2024-6302</t>
        </is>
      </c>
      <c r="L20" t="inlineStr">
        <is>
          <t>TUR.2: Consumo superior a 5.000 kWh/año e inferior o igual a 15.000 kWh/año; término fijo 7.12 €/cliente/mes; impuestos aplicados los vigentes en la fecha de efectos</t>
        </is>
      </c>
    </row>
    <row r="21">
      <c r="A21" s="53" t="n">
        <v>45566</v>
      </c>
      <c r="B21" t="inlineStr">
        <is>
          <t>2024-10-01</t>
        </is>
      </c>
      <c r="C21" s="45" t="n">
        <v>5.011868</v>
      </c>
      <c r="D21" t="inlineStr">
        <is>
          <t>c€/kWh (PCS)</t>
        </is>
      </c>
      <c r="E21" s="54" t="n">
        <v>0.055441</v>
      </c>
      <c r="F21" s="54" t="n">
        <v>0.070216</v>
      </c>
      <c r="G21" t="inlineStr">
        <is>
          <t>calculado</t>
        </is>
      </c>
      <c r="H21" t="inlineStr">
        <is>
          <t>IH gas natural 0.2340 c€/kWh (Ley 38/1992 art. 50, epígrafe 1.10.1) + IVA 21 % (Ley 37/1992 art. 90 (sin medidas vigentes))</t>
        </is>
      </c>
      <c r="J21" t="inlineStr">
        <is>
          <t>2024-09-28</t>
        </is>
      </c>
      <c r="K21" t="inlineStr">
        <is>
          <t>BOE-A-2024-19489</t>
        </is>
      </c>
      <c r="L21" t="inlineStr">
        <is>
          <t>TUR.2: Consumo superior a 5.000 kWh/año e inferior o igual a 15.000 kWh/año.; término fijo 5.66 €/cliente/mes; impuestos aplicados los vigentes en la fecha de efectos</t>
        </is>
      </c>
    </row>
    <row r="22">
      <c r="A22" s="53" t="n">
        <v>45658</v>
      </c>
      <c r="B22" t="inlineStr">
        <is>
          <t>2025-01-01</t>
        </is>
      </c>
      <c r="C22" s="45" t="n">
        <v>5.646757</v>
      </c>
      <c r="D22" t="inlineStr">
        <is>
          <t>c€/kWh (PCS)</t>
        </is>
      </c>
      <c r="E22" s="54" t="n">
        <v>0.062464</v>
      </c>
      <c r="F22" s="54" t="n">
        <v>0.07871400000000001</v>
      </c>
      <c r="G22" t="inlineStr">
        <is>
          <t>calculado</t>
        </is>
      </c>
      <c r="H22" t="inlineStr">
        <is>
          <t>IH gas natural 0.2340 c€/kWh (Ley 38/1992 art. 50, epígrafe 1.10.1) + IVA 21 % (Ley 37/1992 art. 90 (sin medidas vigentes))</t>
        </is>
      </c>
      <c r="J22" t="inlineStr">
        <is>
          <t>2024-12-30</t>
        </is>
      </c>
      <c r="K22" t="inlineStr">
        <is>
          <t>BOE-A-2024-27399</t>
        </is>
      </c>
      <c r="L22" t="inlineStr">
        <is>
          <t>TUR.2: Consumo superior a 5.000 kWh/año e inferior o igual a 15.000 kWh/año.; término fijo 5.66 €/cliente/mes; impuestos aplicados los vigentes en la fecha de efectos</t>
        </is>
      </c>
    </row>
    <row r="23">
      <c r="A23" s="53" t="n">
        <v>45748</v>
      </c>
      <c r="B23" t="inlineStr">
        <is>
          <t>2025-04-01</t>
        </is>
      </c>
      <c r="C23" s="45" t="n">
        <v>4.271925</v>
      </c>
      <c r="D23" t="inlineStr">
        <is>
          <t>c€/kWh (PCS)</t>
        </is>
      </c>
      <c r="E23" s="54" t="n">
        <v>0.047256</v>
      </c>
      <c r="F23" s="54" t="n">
        <v>0.060312</v>
      </c>
      <c r="G23" t="inlineStr">
        <is>
          <t>calculado</t>
        </is>
      </c>
      <c r="H23" t="inlineStr">
        <is>
          <t>IH gas natural 0.2340 c€/kWh (Ley 38/1992 art. 50, epígrafe 1.10.1) + IVA 21 % (Ley 37/1992 art. 90 (sin medidas vigentes))</t>
        </is>
      </c>
      <c r="J23" t="inlineStr">
        <is>
          <t>2025-03-31</t>
        </is>
      </c>
      <c r="K23" t="inlineStr">
        <is>
          <t>BOE-A-2025-6378</t>
        </is>
      </c>
      <c r="L23" t="inlineStr">
        <is>
          <t>TUR.2: Consumo superior a 5.000 kWh/año e inferior o igual a 15.000 kWh/año.; término fijo 5.66 €/cliente/mes; impuestos aplicados los vigentes en la fecha de efectos</t>
        </is>
      </c>
    </row>
    <row r="24">
      <c r="A24" s="53" t="n">
        <v>45839</v>
      </c>
      <c r="B24" t="inlineStr">
        <is>
          <t>2025-07-01</t>
        </is>
      </c>
      <c r="C24" s="45" t="n">
        <v>4.018571</v>
      </c>
      <c r="D24" t="inlineStr">
        <is>
          <t>c€/kWh (PCS)</t>
        </is>
      </c>
      <c r="E24" s="54" t="n">
        <v>0.044453</v>
      </c>
      <c r="F24" s="54" t="n">
        <v>0.05692</v>
      </c>
      <c r="G24" t="inlineStr">
        <is>
          <t>calculado</t>
        </is>
      </c>
      <c r="H24" t="inlineStr">
        <is>
          <t>IH gas natural 0.2340 c€/kWh (Ley 38/1992 art. 50, epígrafe 1.10.1) + IVA 21 % (Ley 37/1992 art. 90 (sin medidas vigentes))</t>
        </is>
      </c>
      <c r="J24" t="inlineStr">
        <is>
          <t>2025-06-30</t>
        </is>
      </c>
      <c r="K24" t="inlineStr">
        <is>
          <t>BOE-A-2025-13230</t>
        </is>
      </c>
      <c r="L24" t="inlineStr">
        <is>
          <t>TUR.2: Consumo superior a 5.000 kWh/año e inferior o igual a 15.000 kWh/año.; término fijo 5.66 €/cliente/mes; impuestos aplicados los vigentes en la fecha de efectos</t>
        </is>
      </c>
    </row>
    <row r="25">
      <c r="A25" s="53" t="n">
        <v>45931</v>
      </c>
      <c r="B25" t="inlineStr">
        <is>
          <t>2025-10-01</t>
        </is>
      </c>
      <c r="C25" s="45" t="n">
        <v>4.293925</v>
      </c>
      <c r="D25" t="inlineStr">
        <is>
          <t>c€/kWh (PCS)</t>
        </is>
      </c>
      <c r="E25" s="54" t="n">
        <v>0.047499</v>
      </c>
      <c r="F25" s="54" t="n">
        <v>0.060606</v>
      </c>
      <c r="G25" t="inlineStr">
        <is>
          <t>calculado</t>
        </is>
      </c>
      <c r="H25" t="inlineStr">
        <is>
          <t>IH gas natural 0.2340 c€/kWh (Ley 38/1992 art. 50, epígrafe 1.10.1) + IVA 21 % (Ley 37/1992 art. 90 (sin medidas vigentes))</t>
        </is>
      </c>
      <c r="J25" t="inlineStr">
        <is>
          <t>2025-09-30</t>
        </is>
      </c>
      <c r="K25" t="inlineStr">
        <is>
          <t>BOE-A-2025-19342</t>
        </is>
      </c>
      <c r="L25" t="inlineStr">
        <is>
          <t>TUR.2: Consumo superior a 5.000 kWh/año e inferior o igual a 15.000 kWh/año.; término fijo 8.11 €/cliente/mes; impuestos aplicados los vigentes en la fecha de efectos</t>
        </is>
      </c>
    </row>
    <row r="26">
      <c r="A26" s="53" t="n">
        <v>46023</v>
      </c>
      <c r="B26" t="inlineStr">
        <is>
          <t>2026-01-01</t>
        </is>
      </c>
      <c r="C26" s="45" t="n">
        <v>4.049688</v>
      </c>
      <c r="D26" t="inlineStr">
        <is>
          <t>c€/kWh (PCS)</t>
        </is>
      </c>
      <c r="E26" s="54" t="n">
        <v>0.044797</v>
      </c>
      <c r="F26" s="54" t="n">
        <v>0.057337</v>
      </c>
      <c r="G26" t="inlineStr">
        <is>
          <t>calculado</t>
        </is>
      </c>
      <c r="H26" t="inlineStr">
        <is>
          <t>IH gas natural 0.2340 c€/kWh (Ley 38/1992 art. 50, epígrafe 1.10.1) + IVA 21 % (Ley 37/1992 art. 90 (sin medidas vigentes))</t>
        </is>
      </c>
      <c r="J26" t="inlineStr">
        <is>
          <t>2025-12-27</t>
        </is>
      </c>
      <c r="K26" t="inlineStr">
        <is>
          <t>BOE-A-2025-26707</t>
        </is>
      </c>
      <c r="L26" t="inlineStr">
        <is>
          <t>TUR.2: Consumo superior a 5.000 kWh/año e inferior o igual a 15.000 kWh/año.; término fijo 8.11 €/cliente/mes; impuestos aplicados los vigentes en la fecha de efectos</t>
        </is>
      </c>
    </row>
    <row r="27">
      <c r="A27" s="53" t="n">
        <v>46113</v>
      </c>
      <c r="B27" t="inlineStr">
        <is>
          <t>2026-04-01</t>
        </is>
      </c>
      <c r="C27" s="45" t="n">
        <v>3.613034</v>
      </c>
      <c r="D27" t="inlineStr">
        <is>
          <t>c€/kWh (PCS)</t>
        </is>
      </c>
      <c r="E27" s="54" t="n">
        <v>0.039967</v>
      </c>
      <c r="F27" s="54" t="n">
        <v>0.045278</v>
      </c>
      <c r="G27" t="inlineStr">
        <is>
          <t>calculado</t>
        </is>
      </c>
      <c r="H27" t="inlineStr">
        <is>
          <t>IH gas natural 0.1080 c€/kWh (RDL 7/2026 art. 38) + IVA 10 % (RDL 7/2026 art. 42 (IVA gas natural 10 % hasta 30/06/2026))</t>
        </is>
      </c>
      <c r="J27" t="inlineStr">
        <is>
          <t>2026-03-30</t>
        </is>
      </c>
      <c r="K27" t="inlineStr">
        <is>
          <t>BOE-A-2026-7193</t>
        </is>
      </c>
      <c r="L27" t="inlineStr">
        <is>
          <t>TUR.2: Consumo superior a 5.000 kWh/año e inferior o igual a 15.000 kWh/año.; término fijo 8.11 €/cliente/mes; impuestos aplicados los vigentes en la fecha de efectos</t>
        </is>
      </c>
    </row>
    <row r="28">
      <c r="A28" s="53" t="n">
        <v>46204</v>
      </c>
      <c r="B28" t="inlineStr">
        <is>
          <t>2026-07-01</t>
        </is>
      </c>
      <c r="C28" s="45" t="n">
        <v>4.119908</v>
      </c>
      <c r="D28" t="inlineStr">
        <is>
          <t>c€/kWh (PCS)</t>
        </is>
      </c>
      <c r="E28" s="54" t="n">
        <v>0.045574</v>
      </c>
      <c r="F28" s="54" t="n">
        <v>0.057024</v>
      </c>
      <c r="G28" t="inlineStr">
        <is>
          <t>calculado</t>
        </is>
      </c>
      <c r="H28" t="inlineStr">
        <is>
          <t>IH gas natural 0.1404 c€/kWh (RDL 18/2026 art. 5) + IVA 21 % (Ley 37/1992 art. 90 (RDL 18/2026 no reduce el IVA en julio))</t>
        </is>
      </c>
      <c r="J28" t="inlineStr">
        <is>
          <t>2026-07-01</t>
        </is>
      </c>
      <c r="K28" t="inlineStr">
        <is>
          <t>BOE-A-2026-14233</t>
        </is>
      </c>
      <c r="L28" t="inlineStr">
        <is>
          <t>TUR.2: Consumo superior a 5.000 kWh/año e inferior o igual a 15.000 kWh/año.; término fijo 8.11 €/cliente/mes; impuestos aplicados los vigentes en la fecha de efectos</t>
        </is>
      </c>
    </row>
    <row r="29">
      <c r="A29" s="53" t="n">
        <v>46296</v>
      </c>
      <c r="B29" t="inlineStr">
        <is>
          <t>2026-10-01</t>
        </is>
      </c>
      <c r="C29" s="45" t="n">
        <v>5.042762</v>
      </c>
      <c r="D29" t="inlineStr">
        <is>
          <t>c€/kWh (PCS)</t>
        </is>
      </c>
      <c r="E29" s="54" t="n">
        <v>0.055783</v>
      </c>
      <c r="F29" s="54" t="n">
        <v>0.070629</v>
      </c>
      <c r="G29" t="inlineStr">
        <is>
          <t>calculado</t>
        </is>
      </c>
      <c r="H29" t="inlineStr">
        <is>
          <t>IH gas natural 0.2340 c€/kWh (RDL 25/2026 art. 13) + IVA 21 % (Ley 37/1992 art. 90 (RDL 25/2026 no reduce el IVA en octubre))</t>
        </is>
      </c>
      <c r="J29" t="inlineStr">
        <is>
          <t>2026-10-01</t>
        </is>
      </c>
      <c r="K29" t="inlineStr">
        <is>
          <t>BOE-A-2026-20389</t>
        </is>
      </c>
      <c r="L29" t="inlineStr">
        <is>
          <t>TUR.2: Consumo superior a 5.000 kWh/año e inferior o igual a 15.000 kWh/año.; término fijo 8.17 €/cliente/mes; impuestos aplicados los vigentes en la fecha de efectos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16" customWidth="1" min="4" max="4"/>
    <col width="13" customWidth="1" min="5" max="5"/>
    <col width="13" customWidth="1" min="6" max="6"/>
    <col width="24" customWidth="1" min="7" max="7"/>
    <col width="55" customWidth="1" min="8" max="8"/>
    <col width="30" customWidth="1" min="9" max="9"/>
    <col width="15" customWidth="1" min="10" max="10"/>
    <col width="30" customWidth="1" min="11" max="11"/>
    <col width="55" customWidth="1" min="12" max="12"/>
  </cols>
  <sheetData>
    <row r="1">
      <c r="A1" s="25" t="inlineStr">
        <is>
          <t>6. Gasóleo de calefacción: precio medio en España</t>
        </is>
      </c>
    </row>
    <row r="2">
      <c r="A2" s="2" t="inlineStr">
        <is>
          <t>Fuente: Comisión Europea, Weekly Oil Bulletin (fichero histórico de precios). Unidad original: €/l. Frecuencia: semanal (precio del lunes). Impuestos del dato original: con impuestos (y también sin impuestos). Conversión: €/l ÷ 10.28 kWh/l (PCI)</t>
        </is>
      </c>
    </row>
    <row r="4">
      <c r="A4" t="inlineStr">
        <is>
          <t>Fecha</t>
        </is>
      </c>
      <c r="B4" t="inlineStr">
        <is>
          <t>Periodo</t>
        </is>
      </c>
      <c r="C4" t="inlineStr">
        <is>
          <t>Valor original</t>
        </is>
      </c>
      <c r="D4" t="inlineStr">
        <is>
          <t>Unidad</t>
        </is>
      </c>
      <c r="E4" t="inlineStr">
        <is>
          <t>€/kWh sin impuestos</t>
        </is>
      </c>
      <c r="F4" t="inlineStr">
        <is>
          <t>€/kWh con impuestos</t>
        </is>
      </c>
      <c r="G4" t="inlineStr">
        <is>
          <t>Origen del precio con impuestos</t>
        </is>
      </c>
      <c r="H4" t="inlineStr">
        <is>
          <t>Impuestos aplicados</t>
        </is>
      </c>
      <c r="I4" t="inlineStr">
        <is>
          <t>Pendiente</t>
        </is>
      </c>
      <c r="J4" t="inlineStr">
        <is>
          <t>Fecha de publicación</t>
        </is>
      </c>
      <c r="K4" t="inlineStr">
        <is>
          <t>Referencia (fichero / BOE / PDF)</t>
        </is>
      </c>
      <c r="L4" t="inlineStr">
        <is>
          <t>Nota</t>
        </is>
      </c>
    </row>
    <row r="5">
      <c r="A5" s="53" t="n">
        <v>43836</v>
      </c>
      <c r="B5" t="inlineStr">
        <is>
          <t>2020-01-06</t>
        </is>
      </c>
      <c r="C5" s="45" t="n">
        <v>0.80608</v>
      </c>
      <c r="D5" t="inlineStr">
        <is>
          <t>€/l</t>
        </is>
      </c>
      <c r="E5" s="54" t="n">
        <v>0.055396</v>
      </c>
      <c r="F5" s="54" t="n">
        <v>0.078412</v>
      </c>
      <c r="G5" t="inlineStr">
        <is>
          <t>original (el Boletín publica con y sin impuestos)</t>
        </is>
      </c>
      <c r="H5" t="inlineStr">
        <is>
          <t>IVA e impuesto sobre hidrocarburos incluidos por la fuente</t>
        </is>
      </c>
      <c r="K5" t="inlineStr">
        <is>
          <t>Weekly_Oil_Bulletin_Prices_History_maticni_4web.xlsx</t>
        </is>
      </c>
    </row>
    <row r="6">
      <c r="A6" s="53" t="n">
        <v>43843</v>
      </c>
      <c r="B6" t="inlineStr">
        <is>
          <t>2020-01-13</t>
        </is>
      </c>
      <c r="C6" s="45" t="n">
        <v>0.79527</v>
      </c>
      <c r="D6" t="inlineStr">
        <is>
          <t>€/l</t>
        </is>
      </c>
      <c r="E6" s="54" t="n">
        <v>0.054527</v>
      </c>
      <c r="F6" s="54" t="n">
        <v>0.077361</v>
      </c>
      <c r="G6" t="inlineStr">
        <is>
          <t>original (el Boletín publica con y sin impuestos)</t>
        </is>
      </c>
      <c r="H6" t="inlineStr">
        <is>
          <t>IVA e impuesto sobre hidrocarburos incluidos por la fuente</t>
        </is>
      </c>
      <c r="K6" t="inlineStr">
        <is>
          <t>Weekly_Oil_Bulletin_Prices_History_maticni_4web.xlsx</t>
        </is>
      </c>
    </row>
    <row r="7">
      <c r="A7" s="53" t="n">
        <v>43850</v>
      </c>
      <c r="B7" t="inlineStr">
        <is>
          <t>2020-01-20</t>
        </is>
      </c>
      <c r="C7" s="45" t="n">
        <v>0.77917</v>
      </c>
      <c r="D7" t="inlineStr">
        <is>
          <t>€/l</t>
        </is>
      </c>
      <c r="E7" s="54" t="n">
        <v>0.053232</v>
      </c>
      <c r="F7" s="54" t="n">
        <v>0.075795</v>
      </c>
      <c r="G7" t="inlineStr">
        <is>
          <t>original (el Boletín publica con y sin impuestos)</t>
        </is>
      </c>
      <c r="H7" t="inlineStr">
        <is>
          <t>IVA e impuesto sobre hidrocarburos incluidos por la fuente</t>
        </is>
      </c>
      <c r="K7" t="inlineStr">
        <is>
          <t>Weekly_Oil_Bulletin_Prices_History_maticni_4web.xlsx</t>
        </is>
      </c>
    </row>
    <row r="8">
      <c r="A8" s="53" t="n">
        <v>43857</v>
      </c>
      <c r="B8" t="inlineStr">
        <is>
          <t>2020-01-27</t>
        </is>
      </c>
      <c r="C8" s="45" t="n">
        <v>0.76383</v>
      </c>
      <c r="D8" t="inlineStr">
        <is>
          <t>€/l</t>
        </is>
      </c>
      <c r="E8" s="54" t="n">
        <v>0.051999</v>
      </c>
      <c r="F8" s="54" t="n">
        <v>0.07430299999999999</v>
      </c>
      <c r="G8" t="inlineStr">
        <is>
          <t>original (el Boletín publica con y sin impuestos)</t>
        </is>
      </c>
      <c r="H8" t="inlineStr">
        <is>
          <t>IVA e impuesto sobre hidrocarburos incluidos por la fuente</t>
        </is>
      </c>
      <c r="K8" t="inlineStr">
        <is>
          <t>Weekly_Oil_Bulletin_Prices_History_maticni_4web.xlsx</t>
        </is>
      </c>
    </row>
    <row r="9">
      <c r="A9" s="53" t="n">
        <v>43864</v>
      </c>
      <c r="B9" t="inlineStr">
        <is>
          <t>2020-02-03</t>
        </is>
      </c>
      <c r="C9" s="45" t="n">
        <v>0.73937</v>
      </c>
      <c r="D9" t="inlineStr">
        <is>
          <t>€/l</t>
        </is>
      </c>
      <c r="E9" s="54" t="n">
        <v>0.050033</v>
      </c>
      <c r="F9" s="54" t="n">
        <v>0.071923</v>
      </c>
      <c r="G9" t="inlineStr">
        <is>
          <t>original (el Boletín publica con y sin impuestos)</t>
        </is>
      </c>
      <c r="H9" t="inlineStr">
        <is>
          <t>IVA e impuesto sobre hidrocarburos incluidos por la fuente</t>
        </is>
      </c>
      <c r="K9" t="inlineStr">
        <is>
          <t>Weekly_Oil_Bulletin_Prices_History_maticni_4web.xlsx</t>
        </is>
      </c>
    </row>
    <row r="10">
      <c r="A10" s="53" t="n">
        <v>43871</v>
      </c>
      <c r="B10" t="inlineStr">
        <is>
          <t>2020-02-10</t>
        </is>
      </c>
      <c r="C10" s="45" t="n">
        <v>0.70978</v>
      </c>
      <c r="D10" t="inlineStr">
        <is>
          <t>€/l</t>
        </is>
      </c>
      <c r="E10" s="54" t="n">
        <v>0.047655</v>
      </c>
      <c r="F10" s="54" t="n">
        <v>0.069045</v>
      </c>
      <c r="G10" t="inlineStr">
        <is>
          <t>original (el Boletín publica con y sin impuestos)</t>
        </is>
      </c>
      <c r="H10" t="inlineStr">
        <is>
          <t>IVA e impuesto sobre hidrocarburos incluidos por la fuente</t>
        </is>
      </c>
      <c r="K10" t="inlineStr">
        <is>
          <t>Weekly_Oil_Bulletin_Prices_History_maticni_4web.xlsx</t>
        </is>
      </c>
    </row>
    <row r="11">
      <c r="A11" s="53" t="n">
        <v>43878</v>
      </c>
      <c r="B11" t="inlineStr">
        <is>
          <t>2020-02-17</t>
        </is>
      </c>
      <c r="C11" s="45" t="n">
        <v>0.7106</v>
      </c>
      <c r="D11" t="inlineStr">
        <is>
          <t>€/l</t>
        </is>
      </c>
      <c r="E11" s="54" t="n">
        <v>0.04772</v>
      </c>
      <c r="F11" s="54" t="n">
        <v>0.06912500000000001</v>
      </c>
      <c r="G11" t="inlineStr">
        <is>
          <t>original (el Boletín publica con y sin impuestos)</t>
        </is>
      </c>
      <c r="H11" t="inlineStr">
        <is>
          <t>IVA e impuesto sobre hidrocarburos incluidos por la fuente</t>
        </is>
      </c>
      <c r="K11" t="inlineStr">
        <is>
          <t>Weekly_Oil_Bulletin_Prices_History_maticni_4web.xlsx</t>
        </is>
      </c>
    </row>
    <row r="12">
      <c r="A12" s="53" t="n">
        <v>43885</v>
      </c>
      <c r="B12" t="inlineStr">
        <is>
          <t>2020-02-24</t>
        </is>
      </c>
      <c r="C12" s="45" t="n">
        <v>0.71487</v>
      </c>
      <c r="D12" t="inlineStr">
        <is>
          <t>€/l</t>
        </is>
      </c>
      <c r="E12" s="54" t="n">
        <v>0.048063</v>
      </c>
      <c r="F12" s="54" t="n">
        <v>0.06954</v>
      </c>
      <c r="G12" t="inlineStr">
        <is>
          <t>original (el Boletín publica con y sin impuestos)</t>
        </is>
      </c>
      <c r="H12" t="inlineStr">
        <is>
          <t>IVA e impuesto sobre hidrocarburos incluidos por la fuente</t>
        </is>
      </c>
      <c r="K12" t="inlineStr">
        <is>
          <t>Weekly_Oil_Bulletin_Prices_History_maticni_4web.xlsx</t>
        </is>
      </c>
    </row>
    <row r="13">
      <c r="A13" s="53" t="n">
        <v>43892</v>
      </c>
      <c r="B13" t="inlineStr">
        <is>
          <t>2020-03-02</t>
        </is>
      </c>
      <c r="C13" s="45" t="n">
        <v>0.68404</v>
      </c>
      <c r="D13" t="inlineStr">
        <is>
          <t>€/l</t>
        </is>
      </c>
      <c r="E13" s="54" t="n">
        <v>0.045585</v>
      </c>
      <c r="F13" s="54" t="n">
        <v>0.066541</v>
      </c>
      <c r="G13" t="inlineStr">
        <is>
          <t>original (el Boletín publica con y sin impuestos)</t>
        </is>
      </c>
      <c r="H13" t="inlineStr">
        <is>
          <t>IVA e impuesto sobre hidrocarburos incluidos por la fuente</t>
        </is>
      </c>
      <c r="K13" t="inlineStr">
        <is>
          <t>Weekly_Oil_Bulletin_Prices_History_maticni_4web.xlsx</t>
        </is>
      </c>
    </row>
    <row r="14">
      <c r="A14" s="53" t="n">
        <v>43899</v>
      </c>
      <c r="B14" t="inlineStr">
        <is>
          <t>2020-03-09</t>
        </is>
      </c>
      <c r="C14" s="45" t="n">
        <v>0.65824</v>
      </c>
      <c r="D14" t="inlineStr">
        <is>
          <t>€/l</t>
        </is>
      </c>
      <c r="E14" s="54" t="n">
        <v>0.043511</v>
      </c>
      <c r="F14" s="54" t="n">
        <v>0.064031</v>
      </c>
      <c r="G14" t="inlineStr">
        <is>
          <t>original (el Boletín publica con y sin impuestos)</t>
        </is>
      </c>
      <c r="H14" t="inlineStr">
        <is>
          <t>IVA e impuesto sobre hidrocarburos incluidos por la fuente</t>
        </is>
      </c>
      <c r="K14" t="inlineStr">
        <is>
          <t>Weekly_Oil_Bulletin_Prices_History_maticni_4web.xlsx</t>
        </is>
      </c>
    </row>
    <row r="15">
      <c r="A15" s="53" t="n">
        <v>43906</v>
      </c>
      <c r="B15" t="inlineStr">
        <is>
          <t>2020-03-16</t>
        </is>
      </c>
      <c r="C15" s="45" t="n">
        <v>0.59722</v>
      </c>
      <c r="D15" t="inlineStr">
        <is>
          <t>€/l</t>
        </is>
      </c>
      <c r="E15" s="54" t="n">
        <v>0.038605</v>
      </c>
      <c r="F15" s="54" t="n">
        <v>0.058095</v>
      </c>
      <c r="G15" t="inlineStr">
        <is>
          <t>original (el Boletín publica con y sin impuestos)</t>
        </is>
      </c>
      <c r="H15" t="inlineStr">
        <is>
          <t>IVA e impuesto sobre hidrocarburos incluidos por la fuente</t>
        </is>
      </c>
      <c r="K15" t="inlineStr">
        <is>
          <t>Weekly_Oil_Bulletin_Prices_History_maticni_4web.xlsx</t>
        </is>
      </c>
    </row>
    <row r="16">
      <c r="A16" s="53" t="n">
        <v>43913</v>
      </c>
      <c r="B16" t="inlineStr">
        <is>
          <t>2020-03-23</t>
        </is>
      </c>
      <c r="C16" s="45" t="n">
        <v>0.56374</v>
      </c>
      <c r="D16" t="inlineStr">
        <is>
          <t>€/l</t>
        </is>
      </c>
      <c r="E16" s="54" t="n">
        <v>0.035913</v>
      </c>
      <c r="F16" s="54" t="n">
        <v>0.054839</v>
      </c>
      <c r="G16" t="inlineStr">
        <is>
          <t>original (el Boletín publica con y sin impuestos)</t>
        </is>
      </c>
      <c r="H16" t="inlineStr">
        <is>
          <t>IVA e impuesto sobre hidrocarburos incluidos por la fuente</t>
        </is>
      </c>
      <c r="K16" t="inlineStr">
        <is>
          <t>Weekly_Oil_Bulletin_Prices_History_maticni_4web.xlsx</t>
        </is>
      </c>
    </row>
    <row r="17">
      <c r="A17" s="53" t="n">
        <v>43920</v>
      </c>
      <c r="B17" t="inlineStr">
        <is>
          <t>2020-03-30</t>
        </is>
      </c>
      <c r="C17" s="45" t="n">
        <v>0.54609</v>
      </c>
      <c r="D17" t="inlineStr">
        <is>
          <t>€/l</t>
        </is>
      </c>
      <c r="E17" s="54" t="n">
        <v>0.034494</v>
      </c>
      <c r="F17" s="54" t="n">
        <v>0.053122</v>
      </c>
      <c r="G17" t="inlineStr">
        <is>
          <t>original (el Boletín publica con y sin impuestos)</t>
        </is>
      </c>
      <c r="H17" t="inlineStr">
        <is>
          <t>IVA e impuesto sobre hidrocarburos incluidos por la fuente</t>
        </is>
      </c>
      <c r="K17" t="inlineStr">
        <is>
          <t>Weekly_Oil_Bulletin_Prices_History_maticni_4web.xlsx</t>
        </is>
      </c>
    </row>
    <row r="18">
      <c r="A18" s="53" t="n">
        <v>43927</v>
      </c>
      <c r="B18" t="inlineStr">
        <is>
          <t>2020-04-06</t>
        </is>
      </c>
      <c r="C18" s="45" t="n">
        <v>0.53344</v>
      </c>
      <c r="D18" t="inlineStr">
        <is>
          <t>€/l</t>
        </is>
      </c>
      <c r="E18" s="54" t="n">
        <v>0.033478</v>
      </c>
      <c r="F18" s="54" t="n">
        <v>0.051891</v>
      </c>
      <c r="G18" t="inlineStr">
        <is>
          <t>original (el Boletín publica con y sin impuestos)</t>
        </is>
      </c>
      <c r="H18" t="inlineStr">
        <is>
          <t>IVA e impuesto sobre hidrocarburos incluidos por la fuente</t>
        </is>
      </c>
      <c r="K18" t="inlineStr">
        <is>
          <t>Weekly_Oil_Bulletin_Prices_History_maticni_4web.xlsx</t>
        </is>
      </c>
    </row>
    <row r="19">
      <c r="A19" s="53" t="n">
        <v>43941</v>
      </c>
      <c r="B19" t="inlineStr">
        <is>
          <t>2020-04-20</t>
        </is>
      </c>
      <c r="C19" s="45" t="n">
        <v>0.49534</v>
      </c>
      <c r="D19" t="inlineStr">
        <is>
          <t>€/l</t>
        </is>
      </c>
      <c r="E19" s="54" t="n">
        <v>0.030414</v>
      </c>
      <c r="F19" s="54" t="n">
        <v>0.048185</v>
      </c>
      <c r="G19" t="inlineStr">
        <is>
          <t>original (el Boletín publica con y sin impuestos)</t>
        </is>
      </c>
      <c r="H19" t="inlineStr">
        <is>
          <t>IVA e impuesto sobre hidrocarburos incluidos por la fuente</t>
        </is>
      </c>
      <c r="K19" t="inlineStr">
        <is>
          <t>Weekly_Oil_Bulletin_Prices_History_maticni_4web.xlsx</t>
        </is>
      </c>
    </row>
    <row r="20">
      <c r="A20" s="53" t="n">
        <v>43948</v>
      </c>
      <c r="B20" t="inlineStr">
        <is>
          <t>2020-04-27</t>
        </is>
      </c>
      <c r="C20" s="45" t="n">
        <v>0.46548</v>
      </c>
      <c r="D20" t="inlineStr">
        <is>
          <t>€/l</t>
        </is>
      </c>
      <c r="E20" s="54" t="n">
        <v>0.028014</v>
      </c>
      <c r="F20" s="54" t="n">
        <v>0.04528</v>
      </c>
      <c r="G20" t="inlineStr">
        <is>
          <t>original (el Boletín publica con y sin impuestos)</t>
        </is>
      </c>
      <c r="H20" t="inlineStr">
        <is>
          <t>IVA e impuesto sobre hidrocarburos incluidos por la fuente</t>
        </is>
      </c>
      <c r="K20" t="inlineStr">
        <is>
          <t>Weekly_Oil_Bulletin_Prices_History_maticni_4web.xlsx</t>
        </is>
      </c>
    </row>
    <row r="21">
      <c r="A21" s="53" t="n">
        <v>43955</v>
      </c>
      <c r="B21" t="inlineStr">
        <is>
          <t>2020-05-04</t>
        </is>
      </c>
      <c r="C21" s="45" t="n">
        <v>0.45445</v>
      </c>
      <c r="D21" t="inlineStr">
        <is>
          <t>€/l</t>
        </is>
      </c>
      <c r="E21" s="54" t="n">
        <v>0.027127</v>
      </c>
      <c r="F21" s="54" t="n">
        <v>0.044207</v>
      </c>
      <c r="G21" t="inlineStr">
        <is>
          <t>original (el Boletín publica con y sin impuestos)</t>
        </is>
      </c>
      <c r="H21" t="inlineStr">
        <is>
          <t>IVA e impuesto sobre hidrocarburos incluidos por la fuente</t>
        </is>
      </c>
      <c r="K21" t="inlineStr">
        <is>
          <t>Weekly_Oil_Bulletin_Prices_History_maticni_4web.xlsx</t>
        </is>
      </c>
    </row>
    <row r="22">
      <c r="A22" s="53" t="n">
        <v>43962</v>
      </c>
      <c r="B22" t="inlineStr">
        <is>
          <t>2020-05-11</t>
        </is>
      </c>
      <c r="C22" s="45" t="n">
        <v>0.4575</v>
      </c>
      <c r="D22" t="inlineStr">
        <is>
          <t>€/l</t>
        </is>
      </c>
      <c r="E22" s="54" t="n">
        <v>0.027373</v>
      </c>
      <c r="F22" s="54" t="n">
        <v>0.044504</v>
      </c>
      <c r="G22" t="inlineStr">
        <is>
          <t>original (el Boletín publica con y sin impuestos)</t>
        </is>
      </c>
      <c r="H22" t="inlineStr">
        <is>
          <t>IVA e impuesto sobre hidrocarburos incluidos por la fuente</t>
        </is>
      </c>
      <c r="K22" t="inlineStr">
        <is>
          <t>Weekly_Oil_Bulletin_Prices_History_maticni_4web.xlsx</t>
        </is>
      </c>
    </row>
    <row r="23">
      <c r="A23" s="53" t="n">
        <v>43969</v>
      </c>
      <c r="B23" t="inlineStr">
        <is>
          <t>2020-05-18</t>
        </is>
      </c>
      <c r="C23" s="45" t="n">
        <v>0.46739</v>
      </c>
      <c r="D23" t="inlineStr">
        <is>
          <t>€/l</t>
        </is>
      </c>
      <c r="E23" s="54" t="n">
        <v>0.028167</v>
      </c>
      <c r="F23" s="54" t="n">
        <v>0.045466</v>
      </c>
      <c r="G23" t="inlineStr">
        <is>
          <t>original (el Boletín publica con y sin impuestos)</t>
        </is>
      </c>
      <c r="H23" t="inlineStr">
        <is>
          <t>IVA e impuesto sobre hidrocarburos incluidos por la fuente</t>
        </is>
      </c>
      <c r="K23" t="inlineStr">
        <is>
          <t>Weekly_Oil_Bulletin_Prices_History_maticni_4web.xlsx</t>
        </is>
      </c>
    </row>
    <row r="24">
      <c r="A24" s="53" t="n">
        <v>43976</v>
      </c>
      <c r="B24" t="inlineStr">
        <is>
          <t>2020-05-25</t>
        </is>
      </c>
      <c r="C24" s="45" t="n">
        <v>0.47499</v>
      </c>
      <c r="D24" t="inlineStr">
        <is>
          <t>€/l</t>
        </is>
      </c>
      <c r="E24" s="54" t="n">
        <v>0.028778</v>
      </c>
      <c r="F24" s="54" t="n">
        <v>0.046205</v>
      </c>
      <c r="G24" t="inlineStr">
        <is>
          <t>original (el Boletín publica con y sin impuestos)</t>
        </is>
      </c>
      <c r="H24" t="inlineStr">
        <is>
          <t>IVA e impuesto sobre hidrocarburos incluidos por la fuente</t>
        </is>
      </c>
      <c r="K24" t="inlineStr">
        <is>
          <t>Weekly_Oil_Bulletin_Prices_History_maticni_4web.xlsx</t>
        </is>
      </c>
    </row>
    <row r="25">
      <c r="A25" s="53" t="n">
        <v>43983</v>
      </c>
      <c r="B25" t="inlineStr">
        <is>
          <t>2020-06-01</t>
        </is>
      </c>
      <c r="C25" s="45" t="n">
        <v>0.48305</v>
      </c>
      <c r="D25" t="inlineStr">
        <is>
          <t>€/l</t>
        </is>
      </c>
      <c r="E25" s="54" t="n">
        <v>0.029426</v>
      </c>
      <c r="F25" s="54" t="n">
        <v>0.046989</v>
      </c>
      <c r="G25" t="inlineStr">
        <is>
          <t>original (el Boletín publica con y sin impuestos)</t>
        </is>
      </c>
      <c r="H25" t="inlineStr">
        <is>
          <t>IVA e impuesto sobre hidrocarburos incluidos por la fuente</t>
        </is>
      </c>
      <c r="K25" t="inlineStr">
        <is>
          <t>Weekly_Oil_Bulletin_Prices_History_maticni_4web.xlsx</t>
        </is>
      </c>
    </row>
    <row r="26">
      <c r="A26" s="53" t="n">
        <v>43990</v>
      </c>
      <c r="B26" t="inlineStr">
        <is>
          <t>2020-06-08</t>
        </is>
      </c>
      <c r="C26" s="45" t="n">
        <v>0.5038</v>
      </c>
      <c r="D26" t="inlineStr">
        <is>
          <t>€/l</t>
        </is>
      </c>
      <c r="E26" s="54" t="n">
        <v>0.031094</v>
      </c>
      <c r="F26" s="54" t="n">
        <v>0.049008</v>
      </c>
      <c r="G26" t="inlineStr">
        <is>
          <t>original (el Boletín publica con y sin impuestos)</t>
        </is>
      </c>
      <c r="H26" t="inlineStr">
        <is>
          <t>IVA e impuesto sobre hidrocarburos incluidos por la fuente</t>
        </is>
      </c>
      <c r="K26" t="inlineStr">
        <is>
          <t>Weekly_Oil_Bulletin_Prices_History_maticni_4web.xlsx</t>
        </is>
      </c>
    </row>
    <row r="27">
      <c r="A27" s="53" t="n">
        <v>43997</v>
      </c>
      <c r="B27" t="inlineStr">
        <is>
          <t>2020-06-15</t>
        </is>
      </c>
      <c r="C27" s="45" t="n">
        <v>0.52493</v>
      </c>
      <c r="D27" t="inlineStr">
        <is>
          <t>€/l</t>
        </is>
      </c>
      <c r="E27" s="54" t="n">
        <v>0.032794</v>
      </c>
      <c r="F27" s="54" t="n">
        <v>0.051063</v>
      </c>
      <c r="G27" t="inlineStr">
        <is>
          <t>original (el Boletín publica con y sin impuestos)</t>
        </is>
      </c>
      <c r="H27" t="inlineStr">
        <is>
          <t>IVA e impuesto sobre hidrocarburos incluidos por la fuente</t>
        </is>
      </c>
      <c r="K27" t="inlineStr">
        <is>
          <t>Weekly_Oil_Bulletin_Prices_History_maticni_4web.xlsx</t>
        </is>
      </c>
    </row>
    <row r="28">
      <c r="A28" s="53" t="n">
        <v>44004</v>
      </c>
      <c r="B28" t="inlineStr">
        <is>
          <t>2020-06-22</t>
        </is>
      </c>
      <c r="C28" s="45" t="n">
        <v>0.52876</v>
      </c>
      <c r="D28" t="inlineStr">
        <is>
          <t>€/l</t>
        </is>
      </c>
      <c r="E28" s="54" t="n">
        <v>0.033101</v>
      </c>
      <c r="F28" s="54" t="n">
        <v>0.051436</v>
      </c>
      <c r="G28" t="inlineStr">
        <is>
          <t>original (el Boletín publica con y sin impuestos)</t>
        </is>
      </c>
      <c r="H28" t="inlineStr">
        <is>
          <t>IVA e impuesto sobre hidrocarburos incluidos por la fuente</t>
        </is>
      </c>
      <c r="K28" t="inlineStr">
        <is>
          <t>Weekly_Oil_Bulletin_Prices_History_maticni_4web.xlsx</t>
        </is>
      </c>
    </row>
    <row r="29">
      <c r="A29" s="53" t="n">
        <v>44011</v>
      </c>
      <c r="B29" t="inlineStr">
        <is>
          <t>2020-06-29</t>
        </is>
      </c>
      <c r="C29" s="45" t="n">
        <v>0.53653</v>
      </c>
      <c r="D29" t="inlineStr">
        <is>
          <t>€/l</t>
        </is>
      </c>
      <c r="E29" s="54" t="n">
        <v>0.033726</v>
      </c>
      <c r="F29" s="54" t="n">
        <v>0.052192</v>
      </c>
      <c r="G29" t="inlineStr">
        <is>
          <t>original (el Boletín publica con y sin impuestos)</t>
        </is>
      </c>
      <c r="H29" t="inlineStr">
        <is>
          <t>IVA e impuesto sobre hidrocarburos incluidos por la fuente</t>
        </is>
      </c>
      <c r="K29" t="inlineStr">
        <is>
          <t>Weekly_Oil_Bulletin_Prices_History_maticni_4web.xlsx</t>
        </is>
      </c>
    </row>
    <row r="30">
      <c r="A30" s="53" t="n">
        <v>44018</v>
      </c>
      <c r="B30" t="inlineStr">
        <is>
          <t>2020-07-06</t>
        </is>
      </c>
      <c r="C30" s="45" t="n">
        <v>0.54571</v>
      </c>
      <c r="D30" t="inlineStr">
        <is>
          <t>€/l</t>
        </is>
      </c>
      <c r="E30" s="54" t="n">
        <v>0.034464</v>
      </c>
      <c r="F30" s="54" t="n">
        <v>0.053085</v>
      </c>
      <c r="G30" t="inlineStr">
        <is>
          <t>original (el Boletín publica con y sin impuestos)</t>
        </is>
      </c>
      <c r="H30" t="inlineStr">
        <is>
          <t>IVA e impuesto sobre hidrocarburos incluidos por la fuente</t>
        </is>
      </c>
      <c r="K30" t="inlineStr">
        <is>
          <t>Weekly_Oil_Bulletin_Prices_History_maticni_4web.xlsx</t>
        </is>
      </c>
    </row>
    <row r="31">
      <c r="A31" s="53" t="n">
        <v>44025</v>
      </c>
      <c r="B31" t="inlineStr">
        <is>
          <t>2020-07-13</t>
        </is>
      </c>
      <c r="C31" s="45" t="n">
        <v>0.55763</v>
      </c>
      <c r="D31" t="inlineStr">
        <is>
          <t>€/l</t>
        </is>
      </c>
      <c r="E31" s="54" t="n">
        <v>0.035422</v>
      </c>
      <c r="F31" s="54" t="n">
        <v>0.054244</v>
      </c>
      <c r="G31" t="inlineStr">
        <is>
          <t>original (el Boletín publica con y sin impuestos)</t>
        </is>
      </c>
      <c r="H31" t="inlineStr">
        <is>
          <t>IVA e impuesto sobre hidrocarburos incluidos por la fuente</t>
        </is>
      </c>
      <c r="K31" t="inlineStr">
        <is>
          <t>Weekly_Oil_Bulletin_Prices_History_maticni_4web.xlsx</t>
        </is>
      </c>
    </row>
    <row r="32">
      <c r="A32" s="53" t="n">
        <v>44032</v>
      </c>
      <c r="B32" t="inlineStr">
        <is>
          <t>2020-07-20</t>
        </is>
      </c>
      <c r="C32" s="45" t="n">
        <v>0.54938</v>
      </c>
      <c r="D32" t="inlineStr">
        <is>
          <t>€/l</t>
        </is>
      </c>
      <c r="E32" s="54" t="n">
        <v>0.034759</v>
      </c>
      <c r="F32" s="54" t="n">
        <v>0.053442</v>
      </c>
      <c r="G32" t="inlineStr">
        <is>
          <t>original (el Boletín publica con y sin impuestos)</t>
        </is>
      </c>
      <c r="H32" t="inlineStr">
        <is>
          <t>IVA e impuesto sobre hidrocarburos incluidos por la fuente</t>
        </is>
      </c>
      <c r="K32" t="inlineStr">
        <is>
          <t>Weekly_Oil_Bulletin_Prices_History_maticni_4web.xlsx</t>
        </is>
      </c>
    </row>
    <row r="33">
      <c r="A33" s="53" t="n">
        <v>44039</v>
      </c>
      <c r="B33" t="inlineStr">
        <is>
          <t>2020-07-27</t>
        </is>
      </c>
      <c r="C33" s="45" t="n">
        <v>0.55369</v>
      </c>
      <c r="D33" t="inlineStr">
        <is>
          <t>€/l</t>
        </is>
      </c>
      <c r="E33" s="54" t="n">
        <v>0.035106</v>
      </c>
      <c r="F33" s="54" t="n">
        <v>0.053861</v>
      </c>
      <c r="G33" t="inlineStr">
        <is>
          <t>original (el Boletín publica con y sin impuestos)</t>
        </is>
      </c>
      <c r="H33" t="inlineStr">
        <is>
          <t>IVA e impuesto sobre hidrocarburos incluidos por la fuente</t>
        </is>
      </c>
      <c r="K33" t="inlineStr">
        <is>
          <t>Weekly_Oil_Bulletin_Prices_History_maticni_4web.xlsx</t>
        </is>
      </c>
    </row>
    <row r="34">
      <c r="A34" s="53" t="n">
        <v>44046</v>
      </c>
      <c r="B34" t="inlineStr">
        <is>
          <t>2020-08-03</t>
        </is>
      </c>
      <c r="C34" s="45" t="n">
        <v>0.55204</v>
      </c>
      <c r="D34" t="inlineStr">
        <is>
          <t>€/l</t>
        </is>
      </c>
      <c r="E34" s="54" t="n">
        <v>0.034973</v>
      </c>
      <c r="F34" s="54" t="n">
        <v>0.0537</v>
      </c>
      <c r="G34" t="inlineStr">
        <is>
          <t>original (el Boletín publica con y sin impuestos)</t>
        </is>
      </c>
      <c r="H34" t="inlineStr">
        <is>
          <t>IVA e impuesto sobre hidrocarburos incluidos por la fuente</t>
        </is>
      </c>
      <c r="K34" t="inlineStr">
        <is>
          <t>Weekly_Oil_Bulletin_Prices_History_maticni_4web.xlsx</t>
        </is>
      </c>
    </row>
    <row r="35">
      <c r="A35" s="53" t="n">
        <v>44053</v>
      </c>
      <c r="B35" t="inlineStr">
        <is>
          <t>2020-08-10</t>
        </is>
      </c>
      <c r="C35" s="45" t="n">
        <v>0.54803</v>
      </c>
      <c r="D35" t="inlineStr">
        <is>
          <t>€/l</t>
        </is>
      </c>
      <c r="E35" s="54" t="n">
        <v>0.034651</v>
      </c>
      <c r="F35" s="54" t="n">
        <v>0.05331</v>
      </c>
      <c r="G35" t="inlineStr">
        <is>
          <t>original (el Boletín publica con y sin impuestos)</t>
        </is>
      </c>
      <c r="H35" t="inlineStr">
        <is>
          <t>IVA e impuesto sobre hidrocarburos incluidos por la fuente</t>
        </is>
      </c>
      <c r="K35" t="inlineStr">
        <is>
          <t>Weekly_Oil_Bulletin_Prices_History_maticni_4web.xlsx</t>
        </is>
      </c>
    </row>
    <row r="36">
      <c r="A36" s="53" t="n">
        <v>44060</v>
      </c>
      <c r="B36" t="inlineStr">
        <is>
          <t>2020-08-17</t>
        </is>
      </c>
      <c r="C36" s="45" t="n">
        <v>0.5514</v>
      </c>
      <c r="D36" t="inlineStr">
        <is>
          <t>€/l</t>
        </is>
      </c>
      <c r="E36" s="54" t="n">
        <v>0.034921</v>
      </c>
      <c r="F36" s="54" t="n">
        <v>0.053638</v>
      </c>
      <c r="G36" t="inlineStr">
        <is>
          <t>original (el Boletín publica con y sin impuestos)</t>
        </is>
      </c>
      <c r="H36" t="inlineStr">
        <is>
          <t>IVA e impuesto sobre hidrocarburos incluidos por la fuente</t>
        </is>
      </c>
      <c r="K36" t="inlineStr">
        <is>
          <t>Weekly_Oil_Bulletin_Prices_History_maticni_4web.xlsx</t>
        </is>
      </c>
    </row>
    <row r="37">
      <c r="A37" s="53" t="n">
        <v>44067</v>
      </c>
      <c r="B37" t="inlineStr">
        <is>
          <t>2020-08-24</t>
        </is>
      </c>
      <c r="C37" s="45" t="n">
        <v>0.5462</v>
      </c>
      <c r="D37" t="inlineStr">
        <is>
          <t>€/l</t>
        </is>
      </c>
      <c r="E37" s="54" t="n">
        <v>0.034503</v>
      </c>
      <c r="F37" s="54" t="n">
        <v>0.053132</v>
      </c>
      <c r="G37" t="inlineStr">
        <is>
          <t>original (el Boletín publica con y sin impuestos)</t>
        </is>
      </c>
      <c r="H37" t="inlineStr">
        <is>
          <t>IVA e impuesto sobre hidrocarburos incluidos por la fuente</t>
        </is>
      </c>
      <c r="K37" t="inlineStr">
        <is>
          <t>Weekly_Oil_Bulletin_Prices_History_maticni_4web.xlsx</t>
        </is>
      </c>
    </row>
    <row r="38">
      <c r="A38" s="53" t="n">
        <v>44074</v>
      </c>
      <c r="B38" t="inlineStr">
        <is>
          <t>2020-08-31</t>
        </is>
      </c>
      <c r="C38" s="45" t="n">
        <v>0.54023</v>
      </c>
      <c r="D38" t="inlineStr">
        <is>
          <t>€/l</t>
        </is>
      </c>
      <c r="E38" s="54" t="n">
        <v>0.034023</v>
      </c>
      <c r="F38" s="54" t="n">
        <v>0.052552</v>
      </c>
      <c r="G38" t="inlineStr">
        <is>
          <t>original (el Boletín publica con y sin impuestos)</t>
        </is>
      </c>
      <c r="H38" t="inlineStr">
        <is>
          <t>IVA e impuesto sobre hidrocarburos incluidos por la fuente</t>
        </is>
      </c>
      <c r="K38" t="inlineStr">
        <is>
          <t>Weekly_Oil_Bulletin_Prices_History_maticni_4web.xlsx</t>
        </is>
      </c>
    </row>
    <row r="39">
      <c r="A39" s="53" t="n">
        <v>44081</v>
      </c>
      <c r="B39" t="inlineStr">
        <is>
          <t>2020-09-07</t>
        </is>
      </c>
      <c r="C39" s="45" t="n">
        <v>0.53454</v>
      </c>
      <c r="D39" t="inlineStr">
        <is>
          <t>€/l</t>
        </is>
      </c>
      <c r="E39" s="54" t="n">
        <v>0.033566</v>
      </c>
      <c r="F39" s="54" t="n">
        <v>0.051998</v>
      </c>
      <c r="G39" t="inlineStr">
        <is>
          <t>original (el Boletín publica con y sin impuestos)</t>
        </is>
      </c>
      <c r="H39" t="inlineStr">
        <is>
          <t>IVA e impuesto sobre hidrocarburos incluidos por la fuente</t>
        </is>
      </c>
      <c r="K39" t="inlineStr">
        <is>
          <t>Weekly_Oil_Bulletin_Prices_History_maticni_4web.xlsx</t>
        </is>
      </c>
    </row>
    <row r="40">
      <c r="A40" s="53" t="n">
        <v>44088</v>
      </c>
      <c r="B40" t="inlineStr">
        <is>
          <t>2020-09-14</t>
        </is>
      </c>
      <c r="C40" s="45" t="n">
        <v>0.51918</v>
      </c>
      <c r="D40" t="inlineStr">
        <is>
          <t>€/l</t>
        </is>
      </c>
      <c r="E40" s="54" t="n">
        <v>0.032331</v>
      </c>
      <c r="F40" s="54" t="n">
        <v>0.050504</v>
      </c>
      <c r="G40" t="inlineStr">
        <is>
          <t>original (el Boletín publica con y sin impuestos)</t>
        </is>
      </c>
      <c r="H40" t="inlineStr">
        <is>
          <t>IVA e impuesto sobre hidrocarburos incluidos por la fuente</t>
        </is>
      </c>
      <c r="K40" t="inlineStr">
        <is>
          <t>Weekly_Oil_Bulletin_Prices_History_maticni_4web.xlsx</t>
        </is>
      </c>
    </row>
    <row r="41">
      <c r="A41" s="53" t="n">
        <v>44095</v>
      </c>
      <c r="B41" t="inlineStr">
        <is>
          <t>2020-09-21</t>
        </is>
      </c>
      <c r="C41" s="45" t="n">
        <v>0.50887</v>
      </c>
      <c r="D41" t="inlineStr">
        <is>
          <t>€/l</t>
        </is>
      </c>
      <c r="E41" s="54" t="n">
        <v>0.031502</v>
      </c>
      <c r="F41" s="54" t="n">
        <v>0.049501</v>
      </c>
      <c r="G41" t="inlineStr">
        <is>
          <t>original (el Boletín publica con y sin impuestos)</t>
        </is>
      </c>
      <c r="H41" t="inlineStr">
        <is>
          <t>IVA e impuesto sobre hidrocarburos incluidos por la fuente</t>
        </is>
      </c>
      <c r="K41" t="inlineStr">
        <is>
          <t>Weekly_Oil_Bulletin_Prices_History_maticni_4web.xlsx</t>
        </is>
      </c>
    </row>
    <row r="42">
      <c r="A42" s="53" t="n">
        <v>44102</v>
      </c>
      <c r="B42" t="inlineStr">
        <is>
          <t>2020-09-28</t>
        </is>
      </c>
      <c r="C42" s="45" t="n">
        <v>0.5111</v>
      </c>
      <c r="D42" t="inlineStr">
        <is>
          <t>€/l</t>
        </is>
      </c>
      <c r="E42" s="54" t="n">
        <v>0.031682</v>
      </c>
      <c r="F42" s="54" t="n">
        <v>0.049718</v>
      </c>
      <c r="G42" t="inlineStr">
        <is>
          <t>original (el Boletín publica con y sin impuestos)</t>
        </is>
      </c>
      <c r="H42" t="inlineStr">
        <is>
          <t>IVA e impuesto sobre hidrocarburos incluidos por la fuente</t>
        </is>
      </c>
      <c r="K42" t="inlineStr">
        <is>
          <t>Weekly_Oil_Bulletin_Prices_History_maticni_4web.xlsx</t>
        </is>
      </c>
    </row>
    <row r="43">
      <c r="A43" s="53" t="n">
        <v>44109</v>
      </c>
      <c r="B43" t="inlineStr">
        <is>
          <t>2020-10-05</t>
        </is>
      </c>
      <c r="C43" s="45" t="n">
        <v>0.51226</v>
      </c>
      <c r="D43" t="inlineStr">
        <is>
          <t>€/l</t>
        </is>
      </c>
      <c r="E43" s="54" t="n">
        <v>0.031775</v>
      </c>
      <c r="F43" s="54" t="n">
        <v>0.049831</v>
      </c>
      <c r="G43" t="inlineStr">
        <is>
          <t>original (el Boletín publica con y sin impuestos)</t>
        </is>
      </c>
      <c r="H43" t="inlineStr">
        <is>
          <t>IVA e impuesto sobre hidrocarburos incluidos por la fuente</t>
        </is>
      </c>
      <c r="K43" t="inlineStr">
        <is>
          <t>Weekly_Oil_Bulletin_Prices_History_maticni_4web.xlsx</t>
        </is>
      </c>
    </row>
    <row r="44">
      <c r="A44" s="53" t="n">
        <v>44116</v>
      </c>
      <c r="B44" t="inlineStr">
        <is>
          <t>2020-10-12</t>
        </is>
      </c>
      <c r="C44" s="45" t="n">
        <v>0.5159</v>
      </c>
      <c r="D44" t="inlineStr">
        <is>
          <t>€/l</t>
        </is>
      </c>
      <c r="E44" s="54" t="n">
        <v>0.032067</v>
      </c>
      <c r="F44" s="54" t="n">
        <v>0.050185</v>
      </c>
      <c r="G44" t="inlineStr">
        <is>
          <t>original (el Boletín publica con y sin impuestos)</t>
        </is>
      </c>
      <c r="H44" t="inlineStr">
        <is>
          <t>IVA e impuesto sobre hidrocarburos incluidos por la fuente</t>
        </is>
      </c>
      <c r="K44" t="inlineStr">
        <is>
          <t>Weekly_Oil_Bulletin_Prices_History_maticni_4web.xlsx</t>
        </is>
      </c>
    </row>
    <row r="45">
      <c r="A45" s="53" t="n">
        <v>44123</v>
      </c>
      <c r="B45" t="inlineStr">
        <is>
          <t>2020-10-19</t>
        </is>
      </c>
      <c r="C45" s="45" t="n">
        <v>0.52178</v>
      </c>
      <c r="D45" t="inlineStr">
        <is>
          <t>€/l</t>
        </is>
      </c>
      <c r="E45" s="54" t="n">
        <v>0.03254</v>
      </c>
      <c r="F45" s="54" t="n">
        <v>0.050757</v>
      </c>
      <c r="G45" t="inlineStr">
        <is>
          <t>original (el Boletín publica con y sin impuestos)</t>
        </is>
      </c>
      <c r="H45" t="inlineStr">
        <is>
          <t>IVA e impuesto sobre hidrocarburos incluidos por la fuente</t>
        </is>
      </c>
      <c r="K45" t="inlineStr">
        <is>
          <t>Weekly_Oil_Bulletin_Prices_History_maticni_4web.xlsx</t>
        </is>
      </c>
    </row>
    <row r="46">
      <c r="A46" s="53" t="n">
        <v>44130</v>
      </c>
      <c r="B46" t="inlineStr">
        <is>
          <t>2020-10-26</t>
        </is>
      </c>
      <c r="C46" s="45" t="n">
        <v>0.5153</v>
      </c>
      <c r="D46" t="inlineStr">
        <is>
          <t>€/l</t>
        </is>
      </c>
      <c r="E46" s="54" t="n">
        <v>0.032019</v>
      </c>
      <c r="F46" s="54" t="n">
        <v>0.050126</v>
      </c>
      <c r="G46" t="inlineStr">
        <is>
          <t>original (el Boletín publica con y sin impuestos)</t>
        </is>
      </c>
      <c r="H46" t="inlineStr">
        <is>
          <t>IVA e impuesto sobre hidrocarburos incluidos por la fuente</t>
        </is>
      </c>
      <c r="K46" t="inlineStr">
        <is>
          <t>Weekly_Oil_Bulletin_Prices_History_maticni_4web.xlsx</t>
        </is>
      </c>
    </row>
    <row r="47">
      <c r="A47" s="53" t="n">
        <v>44137</v>
      </c>
      <c r="B47" t="inlineStr">
        <is>
          <t>2020-11-02</t>
        </is>
      </c>
      <c r="C47" s="45" t="n">
        <v>0.50951</v>
      </c>
      <c r="D47" t="inlineStr">
        <is>
          <t>€/l</t>
        </is>
      </c>
      <c r="E47" s="54" t="n">
        <v>0.031554</v>
      </c>
      <c r="F47" s="54" t="n">
        <v>0.049563</v>
      </c>
      <c r="G47" t="inlineStr">
        <is>
          <t>original (el Boletín publica con y sin impuestos)</t>
        </is>
      </c>
      <c r="H47" t="inlineStr">
        <is>
          <t>IVA e impuesto sobre hidrocarburos incluidos por la fuente</t>
        </is>
      </c>
      <c r="K47" t="inlineStr">
        <is>
          <t>Weekly_Oil_Bulletin_Prices_History_maticni_4web.xlsx</t>
        </is>
      </c>
    </row>
    <row r="48">
      <c r="A48" s="53" t="n">
        <v>44144</v>
      </c>
      <c r="B48" t="inlineStr">
        <is>
          <t>2020-11-09</t>
        </is>
      </c>
      <c r="C48" s="45" t="n">
        <v>0.50858</v>
      </c>
      <c r="D48" t="inlineStr">
        <is>
          <t>€/l</t>
        </is>
      </c>
      <c r="E48" s="54" t="n">
        <v>0.031479</v>
      </c>
      <c r="F48" s="54" t="n">
        <v>0.049473</v>
      </c>
      <c r="G48" t="inlineStr">
        <is>
          <t>original (el Boletín publica con y sin impuestos)</t>
        </is>
      </c>
      <c r="H48" t="inlineStr">
        <is>
          <t>IVA e impuesto sobre hidrocarburos incluidos por la fuente</t>
        </is>
      </c>
      <c r="K48" t="inlineStr">
        <is>
          <t>Weekly_Oil_Bulletin_Prices_History_maticni_4web.xlsx</t>
        </is>
      </c>
    </row>
    <row r="49">
      <c r="A49" s="53" t="n">
        <v>44151</v>
      </c>
      <c r="B49" t="inlineStr">
        <is>
          <t>2020-11-16</t>
        </is>
      </c>
      <c r="C49" s="45" t="n">
        <v>0.5216499999999999</v>
      </c>
      <c r="D49" t="inlineStr">
        <is>
          <t>€/l</t>
        </is>
      </c>
      <c r="E49" s="54" t="n">
        <v>0.03253</v>
      </c>
      <c r="F49" s="54" t="n">
        <v>0.050744</v>
      </c>
      <c r="G49" t="inlineStr">
        <is>
          <t>original (el Boletín publica con y sin impuestos)</t>
        </is>
      </c>
      <c r="H49" t="inlineStr">
        <is>
          <t>IVA e impuesto sobre hidrocarburos incluidos por la fuente</t>
        </is>
      </c>
      <c r="K49" t="inlineStr">
        <is>
          <t>Weekly_Oil_Bulletin_Prices_History_maticni_4web.xlsx</t>
        </is>
      </c>
    </row>
    <row r="50">
      <c r="A50" s="53" t="n">
        <v>44158</v>
      </c>
      <c r="B50" t="inlineStr">
        <is>
          <t>2020-11-23</t>
        </is>
      </c>
      <c r="C50" s="45" t="n">
        <v>0.52497</v>
      </c>
      <c r="D50" t="inlineStr">
        <is>
          <t>€/l</t>
        </is>
      </c>
      <c r="E50" s="54" t="n">
        <v>0.032797</v>
      </c>
      <c r="F50" s="54" t="n">
        <v>0.051067</v>
      </c>
      <c r="G50" t="inlineStr">
        <is>
          <t>original (el Boletín publica con y sin impuestos)</t>
        </is>
      </c>
      <c r="H50" t="inlineStr">
        <is>
          <t>IVA e impuesto sobre hidrocarburos incluidos por la fuente</t>
        </is>
      </c>
      <c r="K50" t="inlineStr">
        <is>
          <t>Weekly_Oil_Bulletin_Prices_History_maticni_4web.xlsx</t>
        </is>
      </c>
    </row>
    <row r="51">
      <c r="A51" s="53" t="n">
        <v>44165</v>
      </c>
      <c r="B51" t="inlineStr">
        <is>
          <t>2020-11-30</t>
        </is>
      </c>
      <c r="C51" s="45" t="n">
        <v>0.5518999999999999</v>
      </c>
      <c r="D51" t="inlineStr">
        <is>
          <t>€/l</t>
        </is>
      </c>
      <c r="E51" s="54" t="n">
        <v>0.034962</v>
      </c>
      <c r="F51" s="54" t="n">
        <v>0.053687</v>
      </c>
      <c r="G51" t="inlineStr">
        <is>
          <t>original (el Boletín publica con y sin impuestos)</t>
        </is>
      </c>
      <c r="H51" t="inlineStr">
        <is>
          <t>IVA e impuesto sobre hidrocarburos incluidos por la fuente</t>
        </is>
      </c>
      <c r="K51" t="inlineStr">
        <is>
          <t>Weekly_Oil_Bulletin_Prices_History_maticni_4web.xlsx</t>
        </is>
      </c>
    </row>
    <row r="52">
      <c r="A52" s="53" t="n">
        <v>44172</v>
      </c>
      <c r="B52" t="inlineStr">
        <is>
          <t>2020-12-07</t>
        </is>
      </c>
      <c r="C52" s="45" t="n">
        <v>0.5518999999999999</v>
      </c>
      <c r="D52" t="inlineStr">
        <is>
          <t>€/l</t>
        </is>
      </c>
      <c r="E52" s="54" t="n">
        <v>0.034962</v>
      </c>
      <c r="F52" s="54" t="n">
        <v>0.053687</v>
      </c>
      <c r="G52" t="inlineStr">
        <is>
          <t>original (el Boletín publica con y sin impuestos)</t>
        </is>
      </c>
      <c r="H52" t="inlineStr">
        <is>
          <t>IVA e impuesto sobre hidrocarburos incluidos por la fuente</t>
        </is>
      </c>
      <c r="K52" t="inlineStr">
        <is>
          <t>Weekly_Oil_Bulletin_Prices_History_maticni_4web.xlsx</t>
        </is>
      </c>
    </row>
    <row r="53">
      <c r="A53" s="53" t="n">
        <v>44179</v>
      </c>
      <c r="B53" t="inlineStr">
        <is>
          <t>2020-12-14</t>
        </is>
      </c>
      <c r="C53" s="45" t="n">
        <v>0.56989</v>
      </c>
      <c r="D53" t="inlineStr">
        <is>
          <t>€/l</t>
        </is>
      </c>
      <c r="E53" s="54" t="n">
        <v>0.036408</v>
      </c>
      <c r="F53" s="54" t="n">
        <v>0.055437</v>
      </c>
      <c r="G53" t="inlineStr">
        <is>
          <t>original (el Boletín publica con y sin impuestos)</t>
        </is>
      </c>
      <c r="H53" t="inlineStr">
        <is>
          <t>IVA e impuesto sobre hidrocarburos incluidos por la fuente</t>
        </is>
      </c>
      <c r="K53" t="inlineStr">
        <is>
          <t>Weekly_Oil_Bulletin_Prices_History_maticni_4web.xlsx</t>
        </is>
      </c>
    </row>
    <row r="54">
      <c r="A54" s="53" t="n">
        <v>44186</v>
      </c>
      <c r="B54" t="inlineStr">
        <is>
          <t>2020-12-21</t>
        </is>
      </c>
      <c r="C54" s="45" t="n">
        <v>0.58011</v>
      </c>
      <c r="D54" t="inlineStr">
        <is>
          <t>€/l</t>
        </is>
      </c>
      <c r="E54" s="54" t="n">
        <v>0.03723</v>
      </c>
      <c r="F54" s="54" t="n">
        <v>0.056431</v>
      </c>
      <c r="G54" t="inlineStr">
        <is>
          <t>original (el Boletín publica con y sin impuestos)</t>
        </is>
      </c>
      <c r="H54" t="inlineStr">
        <is>
          <t>IVA e impuesto sobre hidrocarburos incluidos por la fuente</t>
        </is>
      </c>
      <c r="K54" t="inlineStr">
        <is>
          <t>Weekly_Oil_Bulletin_Prices_History_maticni_4web.xlsx</t>
        </is>
      </c>
    </row>
    <row r="55">
      <c r="A55" s="53" t="n">
        <v>44207</v>
      </c>
      <c r="B55" t="inlineStr">
        <is>
          <t>2021-01-11</t>
        </is>
      </c>
      <c r="C55" s="45" t="n">
        <v>0.5928600000000001</v>
      </c>
      <c r="D55" t="inlineStr">
        <is>
          <t>€/l</t>
        </is>
      </c>
      <c r="E55" s="54" t="n">
        <v>0.038255</v>
      </c>
      <c r="F55" s="54" t="n">
        <v>0.057671</v>
      </c>
      <c r="G55" t="inlineStr">
        <is>
          <t>original (el Boletín publica con y sin impuestos)</t>
        </is>
      </c>
      <c r="H55" t="inlineStr">
        <is>
          <t>IVA e impuesto sobre hidrocarburos incluidos por la fuente</t>
        </is>
      </c>
      <c r="K55" t="inlineStr">
        <is>
          <t>Weekly_Oil_Bulletin_Prices_History_maticni_4web.xlsx</t>
        </is>
      </c>
    </row>
    <row r="56">
      <c r="A56" s="53" t="n">
        <v>44214</v>
      </c>
      <c r="B56" t="inlineStr">
        <is>
          <t>2021-01-18</t>
        </is>
      </c>
      <c r="C56" s="45" t="n">
        <v>0.60686</v>
      </c>
      <c r="D56" t="inlineStr">
        <is>
          <t>€/l</t>
        </is>
      </c>
      <c r="E56" s="54" t="n">
        <v>0.03938</v>
      </c>
      <c r="F56" s="54" t="n">
        <v>0.059033</v>
      </c>
      <c r="G56" t="inlineStr">
        <is>
          <t>original (el Boletín publica con y sin impuestos)</t>
        </is>
      </c>
      <c r="H56" t="inlineStr">
        <is>
          <t>IVA e impuesto sobre hidrocarburos incluidos por la fuente</t>
        </is>
      </c>
      <c r="K56" t="inlineStr">
        <is>
          <t>Weekly_Oil_Bulletin_Prices_History_maticni_4web.xlsx</t>
        </is>
      </c>
    </row>
    <row r="57">
      <c r="A57" s="53" t="n">
        <v>44221</v>
      </c>
      <c r="B57" t="inlineStr">
        <is>
          <t>2021-01-25</t>
        </is>
      </c>
      <c r="C57" s="45" t="n">
        <v>0.6222</v>
      </c>
      <c r="D57" t="inlineStr">
        <is>
          <t>€/l</t>
        </is>
      </c>
      <c r="E57" s="54" t="n">
        <v>0.040613</v>
      </c>
      <c r="F57" s="54" t="n">
        <v>0.060525</v>
      </c>
      <c r="G57" t="inlineStr">
        <is>
          <t>original (el Boletín publica con y sin impuestos)</t>
        </is>
      </c>
      <c r="H57" t="inlineStr">
        <is>
          <t>IVA e impuesto sobre hidrocarburos incluidos por la fuente</t>
        </is>
      </c>
      <c r="K57" t="inlineStr">
        <is>
          <t>Weekly_Oil_Bulletin_Prices_History_maticni_4web.xlsx</t>
        </is>
      </c>
    </row>
    <row r="58">
      <c r="A58" s="53" t="n">
        <v>44228</v>
      </c>
      <c r="B58" t="inlineStr">
        <is>
          <t>2021-02-01</t>
        </is>
      </c>
      <c r="C58" s="45" t="n">
        <v>0.61396</v>
      </c>
      <c r="D58" t="inlineStr">
        <is>
          <t>€/l</t>
        </is>
      </c>
      <c r="E58" s="54" t="n">
        <v>0.03995</v>
      </c>
      <c r="F58" s="54" t="n">
        <v>0.059724</v>
      </c>
      <c r="G58" t="inlineStr">
        <is>
          <t>original (el Boletín publica con y sin impuestos)</t>
        </is>
      </c>
      <c r="H58" t="inlineStr">
        <is>
          <t>IVA e impuesto sobre hidrocarburos incluidos por la fuente</t>
        </is>
      </c>
      <c r="K58" t="inlineStr">
        <is>
          <t>Weekly_Oil_Bulletin_Prices_History_maticni_4web.xlsx</t>
        </is>
      </c>
    </row>
    <row r="59">
      <c r="A59" s="53" t="n">
        <v>44235</v>
      </c>
      <c r="B59" t="inlineStr">
        <is>
          <t>2021-02-08</t>
        </is>
      </c>
      <c r="C59" s="45" t="n">
        <v>0.62677</v>
      </c>
      <c r="D59" t="inlineStr">
        <is>
          <t>€/l</t>
        </is>
      </c>
      <c r="E59" s="54" t="n">
        <v>0.040981</v>
      </c>
      <c r="F59" s="54" t="n">
        <v>0.06097</v>
      </c>
      <c r="G59" t="inlineStr">
        <is>
          <t>original (el Boletín publica con y sin impuestos)</t>
        </is>
      </c>
      <c r="H59" t="inlineStr">
        <is>
          <t>IVA e impuesto sobre hidrocarburos incluidos por la fuente</t>
        </is>
      </c>
      <c r="K59" t="inlineStr">
        <is>
          <t>Weekly_Oil_Bulletin_Prices_History_maticni_4web.xlsx</t>
        </is>
      </c>
    </row>
    <row r="60">
      <c r="A60" s="53" t="n">
        <v>44242</v>
      </c>
      <c r="B60" t="inlineStr">
        <is>
          <t>2021-02-15</t>
        </is>
      </c>
      <c r="C60" s="45" t="n">
        <v>0.64481</v>
      </c>
      <c r="D60" t="inlineStr">
        <is>
          <t>€/l</t>
        </is>
      </c>
      <c r="E60" s="54" t="n">
        <v>0.042431</v>
      </c>
      <c r="F60" s="54" t="n">
        <v>0.062725</v>
      </c>
      <c r="G60" t="inlineStr">
        <is>
          <t>original (el Boletín publica con y sin impuestos)</t>
        </is>
      </c>
      <c r="H60" t="inlineStr">
        <is>
          <t>IVA e impuesto sobre hidrocarburos incluidos por la fuente</t>
        </is>
      </c>
      <c r="K60" t="inlineStr">
        <is>
          <t>Weekly_Oil_Bulletin_Prices_History_maticni_4web.xlsx</t>
        </is>
      </c>
    </row>
    <row r="61">
      <c r="A61" s="53" t="n">
        <v>44249</v>
      </c>
      <c r="B61" t="inlineStr">
        <is>
          <t>2021-02-22</t>
        </is>
      </c>
      <c r="C61" s="45" t="n">
        <v>0.6521</v>
      </c>
      <c r="D61" t="inlineStr">
        <is>
          <t>€/l</t>
        </is>
      </c>
      <c r="E61" s="54" t="n">
        <v>0.043018</v>
      </c>
      <c r="F61" s="54" t="n">
        <v>0.063434</v>
      </c>
      <c r="G61" t="inlineStr">
        <is>
          <t>original (el Boletín publica con y sin impuestos)</t>
        </is>
      </c>
      <c r="H61" t="inlineStr">
        <is>
          <t>IVA e impuesto sobre hidrocarburos incluidos por la fuente</t>
        </is>
      </c>
      <c r="K61" t="inlineStr">
        <is>
          <t>Weekly_Oil_Bulletin_Prices_History_maticni_4web.xlsx</t>
        </is>
      </c>
    </row>
    <row r="62">
      <c r="A62" s="53" t="n">
        <v>44256</v>
      </c>
      <c r="B62" t="inlineStr">
        <is>
          <t>2021-03-01</t>
        </is>
      </c>
      <c r="C62" s="45" t="n">
        <v>0.67086</v>
      </c>
      <c r="D62" t="inlineStr">
        <is>
          <t>€/l</t>
        </is>
      </c>
      <c r="E62" s="54" t="n">
        <v>0.044525</v>
      </c>
      <c r="F62" s="54" t="n">
        <v>0.065259</v>
      </c>
      <c r="G62" t="inlineStr">
        <is>
          <t>original (el Boletín publica con y sin impuestos)</t>
        </is>
      </c>
      <c r="H62" t="inlineStr">
        <is>
          <t>IVA e impuesto sobre hidrocarburos incluidos por la fuente</t>
        </is>
      </c>
      <c r="K62" t="inlineStr">
        <is>
          <t>Weekly_Oil_Bulletin_Prices_History_maticni_4web.xlsx</t>
        </is>
      </c>
    </row>
    <row r="63">
      <c r="A63" s="53" t="n">
        <v>44263</v>
      </c>
      <c r="B63" t="inlineStr">
        <is>
          <t>2021-03-08</t>
        </is>
      </c>
      <c r="C63" s="45" t="n">
        <v>0.67492</v>
      </c>
      <c r="D63" t="inlineStr">
        <is>
          <t>€/l</t>
        </is>
      </c>
      <c r="E63" s="54" t="n">
        <v>0.044852</v>
      </c>
      <c r="F63" s="54" t="n">
        <v>0.065654</v>
      </c>
      <c r="G63" t="inlineStr">
        <is>
          <t>original (el Boletín publica con y sin impuestos)</t>
        </is>
      </c>
      <c r="H63" t="inlineStr">
        <is>
          <t>IVA e impuesto sobre hidrocarburos incluidos por la fuente</t>
        </is>
      </c>
      <c r="K63" t="inlineStr">
        <is>
          <t>Weekly_Oil_Bulletin_Prices_History_maticni_4web.xlsx</t>
        </is>
      </c>
    </row>
    <row r="64">
      <c r="A64" s="53" t="n">
        <v>44270</v>
      </c>
      <c r="B64" t="inlineStr">
        <is>
          <t>2021-03-15</t>
        </is>
      </c>
      <c r="C64" s="45" t="n">
        <v>0.68887</v>
      </c>
      <c r="D64" t="inlineStr">
        <is>
          <t>€/l</t>
        </is>
      </c>
      <c r="E64" s="54" t="n">
        <v>0.045973</v>
      </c>
      <c r="F64" s="54" t="n">
        <v>0.067011</v>
      </c>
      <c r="G64" t="inlineStr">
        <is>
          <t>original (el Boletín publica con y sin impuestos)</t>
        </is>
      </c>
      <c r="H64" t="inlineStr">
        <is>
          <t>IVA e impuesto sobre hidrocarburos incluidos por la fuente</t>
        </is>
      </c>
      <c r="K64" t="inlineStr">
        <is>
          <t>Weekly_Oil_Bulletin_Prices_History_maticni_4web.xlsx</t>
        </is>
      </c>
    </row>
    <row r="65">
      <c r="A65" s="53" t="n">
        <v>44277</v>
      </c>
      <c r="B65" t="inlineStr">
        <is>
          <t>2021-03-22</t>
        </is>
      </c>
      <c r="C65" s="45" t="n">
        <v>0.68411</v>
      </c>
      <c r="D65" t="inlineStr">
        <is>
          <t>€/l</t>
        </is>
      </c>
      <c r="E65" s="54" t="n">
        <v>0.04559</v>
      </c>
      <c r="F65" s="54" t="n">
        <v>0.066548</v>
      </c>
      <c r="G65" t="inlineStr">
        <is>
          <t>original (el Boletín publica con y sin impuestos)</t>
        </is>
      </c>
      <c r="H65" t="inlineStr">
        <is>
          <t>IVA e impuesto sobre hidrocarburos incluidos por la fuente</t>
        </is>
      </c>
      <c r="K65" t="inlineStr">
        <is>
          <t>Weekly_Oil_Bulletin_Prices_History_maticni_4web.xlsx</t>
        </is>
      </c>
    </row>
    <row r="66">
      <c r="A66" s="53" t="n">
        <v>44284</v>
      </c>
      <c r="B66" t="inlineStr">
        <is>
          <t>2021-03-29</t>
        </is>
      </c>
      <c r="C66" s="45" t="n">
        <v>0.6688</v>
      </c>
      <c r="D66" t="inlineStr">
        <is>
          <t>€/l</t>
        </is>
      </c>
      <c r="E66" s="54" t="n">
        <v>0.04436</v>
      </c>
      <c r="F66" s="54" t="n">
        <v>0.065058</v>
      </c>
      <c r="G66" t="inlineStr">
        <is>
          <t>original (el Boletín publica con y sin impuestos)</t>
        </is>
      </c>
      <c r="H66" t="inlineStr">
        <is>
          <t>IVA e impuesto sobre hidrocarburos incluidos por la fuente</t>
        </is>
      </c>
      <c r="K66" t="inlineStr">
        <is>
          <t>Weekly_Oil_Bulletin_Prices_History_maticni_4web.xlsx</t>
        </is>
      </c>
    </row>
    <row r="67">
      <c r="A67" s="53" t="n">
        <v>44298</v>
      </c>
      <c r="B67" t="inlineStr">
        <is>
          <t>2021-04-12</t>
        </is>
      </c>
      <c r="C67" s="45" t="n">
        <v>0.66731</v>
      </c>
      <c r="D67" t="inlineStr">
        <is>
          <t>€/l</t>
        </is>
      </c>
      <c r="E67" s="54" t="n">
        <v>0.04424</v>
      </c>
      <c r="F67" s="54" t="n">
        <v>0.064913</v>
      </c>
      <c r="G67" t="inlineStr">
        <is>
          <t>original (el Boletín publica con y sin impuestos)</t>
        </is>
      </c>
      <c r="H67" t="inlineStr">
        <is>
          <t>IVA e impuesto sobre hidrocarburos incluidos por la fuente</t>
        </is>
      </c>
      <c r="K67" t="inlineStr">
        <is>
          <t>Weekly_Oil_Bulletin_Prices_History_maticni_4web.xlsx</t>
        </is>
      </c>
    </row>
    <row r="68">
      <c r="A68" s="53" t="n">
        <v>44305</v>
      </c>
      <c r="B68" t="inlineStr">
        <is>
          <t>2021-04-19</t>
        </is>
      </c>
      <c r="C68" s="45" t="n">
        <v>0.67232</v>
      </c>
      <c r="D68" t="inlineStr">
        <is>
          <t>€/l</t>
        </is>
      </c>
      <c r="E68" s="54" t="n">
        <v>0.044643</v>
      </c>
      <c r="F68" s="54" t="n">
        <v>0.065401</v>
      </c>
      <c r="G68" t="inlineStr">
        <is>
          <t>original (el Boletín publica con y sin impuestos)</t>
        </is>
      </c>
      <c r="H68" t="inlineStr">
        <is>
          <t>IVA e impuesto sobre hidrocarburos incluidos por la fuente</t>
        </is>
      </c>
      <c r="K68" t="inlineStr">
        <is>
          <t>Weekly_Oil_Bulletin_Prices_History_maticni_4web.xlsx</t>
        </is>
      </c>
    </row>
    <row r="69">
      <c r="A69" s="53" t="n">
        <v>44312</v>
      </c>
      <c r="B69" t="inlineStr">
        <is>
          <t>2021-04-26</t>
        </is>
      </c>
      <c r="C69" s="45" t="n">
        <v>0.67258</v>
      </c>
      <c r="D69" t="inlineStr">
        <is>
          <t>€/l</t>
        </is>
      </c>
      <c r="E69" s="54" t="n">
        <v>0.044663</v>
      </c>
      <c r="F69" s="54" t="n">
        <v>0.065426</v>
      </c>
      <c r="G69" t="inlineStr">
        <is>
          <t>original (el Boletín publica con y sin impuestos)</t>
        </is>
      </c>
      <c r="H69" t="inlineStr">
        <is>
          <t>IVA e impuesto sobre hidrocarburos incluidos por la fuente</t>
        </is>
      </c>
      <c r="K69" t="inlineStr">
        <is>
          <t>Weekly_Oil_Bulletin_Prices_History_maticni_4web.xlsx</t>
        </is>
      </c>
    </row>
    <row r="70">
      <c r="A70" s="53" t="n">
        <v>44319</v>
      </c>
      <c r="B70" t="inlineStr">
        <is>
          <t>2021-05-03</t>
        </is>
      </c>
      <c r="C70" s="45" t="n">
        <v>0.67266</v>
      </c>
      <c r="D70" t="inlineStr">
        <is>
          <t>€/l</t>
        </is>
      </c>
      <c r="E70" s="54" t="n">
        <v>0.04467</v>
      </c>
      <c r="F70" s="54" t="n">
        <v>0.06543400000000001</v>
      </c>
      <c r="G70" t="inlineStr">
        <is>
          <t>original (el Boletín publica con y sin impuestos)</t>
        </is>
      </c>
      <c r="H70" t="inlineStr">
        <is>
          <t>IVA e impuesto sobre hidrocarburos incluidos por la fuente</t>
        </is>
      </c>
      <c r="K70" t="inlineStr">
        <is>
          <t>Weekly_Oil_Bulletin_Prices_History_maticni_4web.xlsx</t>
        </is>
      </c>
    </row>
    <row r="71">
      <c r="A71" s="53" t="n">
        <v>44326</v>
      </c>
      <c r="B71" t="inlineStr">
        <is>
          <t>2021-05-10</t>
        </is>
      </c>
      <c r="C71" s="45" t="n">
        <v>0.68635</v>
      </c>
      <c r="D71" t="inlineStr">
        <is>
          <t>€/l</t>
        </is>
      </c>
      <c r="E71" s="54" t="n">
        <v>0.04577</v>
      </c>
      <c r="F71" s="54" t="n">
        <v>0.06676600000000001</v>
      </c>
      <c r="G71" t="inlineStr">
        <is>
          <t>original (el Boletín publica con y sin impuestos)</t>
        </is>
      </c>
      <c r="H71" t="inlineStr">
        <is>
          <t>IVA e impuesto sobre hidrocarburos incluidos por la fuente</t>
        </is>
      </c>
      <c r="K71" t="inlineStr">
        <is>
          <t>Weekly_Oil_Bulletin_Prices_History_maticni_4web.xlsx</t>
        </is>
      </c>
    </row>
    <row r="72">
      <c r="A72" s="53" t="n">
        <v>44333</v>
      </c>
      <c r="B72" t="inlineStr">
        <is>
          <t>2021-05-17</t>
        </is>
      </c>
      <c r="C72" s="45" t="n">
        <v>0.69631</v>
      </c>
      <c r="D72" t="inlineStr">
        <is>
          <t>€/l</t>
        </is>
      </c>
      <c r="E72" s="54" t="n">
        <v>0.046571</v>
      </c>
      <c r="F72" s="54" t="n">
        <v>0.067734</v>
      </c>
      <c r="G72" t="inlineStr">
        <is>
          <t>original (el Boletín publica con y sin impuestos)</t>
        </is>
      </c>
      <c r="H72" t="inlineStr">
        <is>
          <t>IVA e impuesto sobre hidrocarburos incluidos por la fuente</t>
        </is>
      </c>
      <c r="K72" t="inlineStr">
        <is>
          <t>Weekly_Oil_Bulletin_Prices_History_maticni_4web.xlsx</t>
        </is>
      </c>
    </row>
    <row r="73">
      <c r="A73" s="53" t="n">
        <v>44340</v>
      </c>
      <c r="B73" t="inlineStr">
        <is>
          <t>2021-05-24</t>
        </is>
      </c>
      <c r="C73" s="45" t="n">
        <v>0.69109</v>
      </c>
      <c r="D73" t="inlineStr">
        <is>
          <t>€/l</t>
        </is>
      </c>
      <c r="E73" s="54" t="n">
        <v>0.046152</v>
      </c>
      <c r="F73" s="54" t="n">
        <v>0.067227</v>
      </c>
      <c r="G73" t="inlineStr">
        <is>
          <t>original (el Boletín publica con y sin impuestos)</t>
        </is>
      </c>
      <c r="H73" t="inlineStr">
        <is>
          <t>IVA e impuesto sobre hidrocarburos incluidos por la fuente</t>
        </is>
      </c>
      <c r="K73" t="inlineStr">
        <is>
          <t>Weekly_Oil_Bulletin_Prices_History_maticni_4web.xlsx</t>
        </is>
      </c>
    </row>
    <row r="74">
      <c r="A74" s="53" t="n">
        <v>44347</v>
      </c>
      <c r="B74" t="inlineStr">
        <is>
          <t>2021-05-31</t>
        </is>
      </c>
      <c r="C74" s="45" t="n">
        <v>0.68704</v>
      </c>
      <c r="D74" t="inlineStr">
        <is>
          <t>€/l</t>
        </is>
      </c>
      <c r="E74" s="54" t="n">
        <v>0.045826</v>
      </c>
      <c r="F74" s="54" t="n">
        <v>0.066833</v>
      </c>
      <c r="G74" t="inlineStr">
        <is>
          <t>original (el Boletín publica con y sin impuestos)</t>
        </is>
      </c>
      <c r="H74" t="inlineStr">
        <is>
          <t>IVA e impuesto sobre hidrocarburos incluidos por la fuente</t>
        </is>
      </c>
      <c r="K74" t="inlineStr">
        <is>
          <t>Weekly_Oil_Bulletin_Prices_History_maticni_4web.xlsx</t>
        </is>
      </c>
    </row>
    <row r="75">
      <c r="A75" s="53" t="n">
        <v>44354</v>
      </c>
      <c r="B75" t="inlineStr">
        <is>
          <t>2021-06-07</t>
        </is>
      </c>
      <c r="C75" s="45" t="n">
        <v>0.69389</v>
      </c>
      <c r="D75" t="inlineStr">
        <is>
          <t>€/l</t>
        </is>
      </c>
      <c r="E75" s="54" t="n">
        <v>0.046376</v>
      </c>
      <c r="F75" s="54" t="n">
        <v>0.067499</v>
      </c>
      <c r="G75" t="inlineStr">
        <is>
          <t>original (el Boletín publica con y sin impuestos)</t>
        </is>
      </c>
      <c r="H75" t="inlineStr">
        <is>
          <t>IVA e impuesto sobre hidrocarburos incluidos por la fuente</t>
        </is>
      </c>
      <c r="K75" t="inlineStr">
        <is>
          <t>Weekly_Oil_Bulletin_Prices_History_maticni_4web.xlsx</t>
        </is>
      </c>
    </row>
    <row r="76">
      <c r="A76" s="53" t="n">
        <v>44361</v>
      </c>
      <c r="B76" t="inlineStr">
        <is>
          <t>2021-06-14</t>
        </is>
      </c>
      <c r="C76" s="45" t="n">
        <v>0.70879</v>
      </c>
      <c r="D76" t="inlineStr">
        <is>
          <t>€/l</t>
        </is>
      </c>
      <c r="E76" s="54" t="n">
        <v>0.047575</v>
      </c>
      <c r="F76" s="54" t="n">
        <v>0.068948</v>
      </c>
      <c r="G76" t="inlineStr">
        <is>
          <t>original (el Boletín publica con y sin impuestos)</t>
        </is>
      </c>
      <c r="H76" t="inlineStr">
        <is>
          <t>IVA e impuesto sobre hidrocarburos incluidos por la fuente</t>
        </is>
      </c>
      <c r="K76" t="inlineStr">
        <is>
          <t>Weekly_Oil_Bulletin_Prices_History_maticni_4web.xlsx</t>
        </is>
      </c>
    </row>
    <row r="77">
      <c r="A77" s="53" t="n">
        <v>44368</v>
      </c>
      <c r="B77" t="inlineStr">
        <is>
          <t>2021-06-21</t>
        </is>
      </c>
      <c r="C77" s="45" t="n">
        <v>0.72453</v>
      </c>
      <c r="D77" t="inlineStr">
        <is>
          <t>€/l</t>
        </is>
      </c>
      <c r="E77" s="54" t="n">
        <v>0.04884</v>
      </c>
      <c r="F77" s="54" t="n">
        <v>0.07048</v>
      </c>
      <c r="G77" t="inlineStr">
        <is>
          <t>original (el Boletín publica con y sin impuestos)</t>
        </is>
      </c>
      <c r="H77" t="inlineStr">
        <is>
          <t>IVA e impuesto sobre hidrocarburos incluidos por la fuente</t>
        </is>
      </c>
      <c r="K77" t="inlineStr">
        <is>
          <t>Weekly_Oil_Bulletin_Prices_History_maticni_4web.xlsx</t>
        </is>
      </c>
    </row>
    <row r="78">
      <c r="A78" s="53" t="n">
        <v>44375</v>
      </c>
      <c r="B78" t="inlineStr">
        <is>
          <t>2021-06-28</t>
        </is>
      </c>
      <c r="C78" s="45" t="n">
        <v>0.73141</v>
      </c>
      <c r="D78" t="inlineStr">
        <is>
          <t>€/l</t>
        </is>
      </c>
      <c r="E78" s="54" t="n">
        <v>0.049393</v>
      </c>
      <c r="F78" s="54" t="n">
        <v>0.071149</v>
      </c>
      <c r="G78" t="inlineStr">
        <is>
          <t>original (el Boletín publica con y sin impuestos)</t>
        </is>
      </c>
      <c r="H78" t="inlineStr">
        <is>
          <t>IVA e impuesto sobre hidrocarburos incluidos por la fuente</t>
        </is>
      </c>
      <c r="K78" t="inlineStr">
        <is>
          <t>Weekly_Oil_Bulletin_Prices_History_maticni_4web.xlsx</t>
        </is>
      </c>
    </row>
    <row r="79">
      <c r="A79" s="53" t="n">
        <v>44382</v>
      </c>
      <c r="B79" t="inlineStr">
        <is>
          <t>2021-07-05</t>
        </is>
      </c>
      <c r="C79" s="45" t="n">
        <v>0.73912</v>
      </c>
      <c r="D79" t="inlineStr">
        <is>
          <t>€/l</t>
        </is>
      </c>
      <c r="E79" s="54" t="n">
        <v>0.050013</v>
      </c>
      <c r="F79" s="54" t="n">
        <v>0.071899</v>
      </c>
      <c r="G79" t="inlineStr">
        <is>
          <t>original (el Boletín publica con y sin impuestos)</t>
        </is>
      </c>
      <c r="H79" t="inlineStr">
        <is>
          <t>IVA e impuesto sobre hidrocarburos incluidos por la fuente</t>
        </is>
      </c>
      <c r="K79" t="inlineStr">
        <is>
          <t>Weekly_Oil_Bulletin_Prices_History_maticni_4web.xlsx</t>
        </is>
      </c>
    </row>
    <row r="80">
      <c r="A80" s="53" t="n">
        <v>44389</v>
      </c>
      <c r="B80" t="inlineStr">
        <is>
          <t>2021-07-12</t>
        </is>
      </c>
      <c r="C80" s="45" t="n">
        <v>0.73759</v>
      </c>
      <c r="D80" t="inlineStr">
        <is>
          <t>€/l</t>
        </is>
      </c>
      <c r="E80" s="54" t="n">
        <v>0.04989</v>
      </c>
      <c r="F80" s="54" t="n">
        <v>0.07174999999999999</v>
      </c>
      <c r="G80" t="inlineStr">
        <is>
          <t>original (el Boletín publica con y sin impuestos)</t>
        </is>
      </c>
      <c r="H80" t="inlineStr">
        <is>
          <t>IVA e impuesto sobre hidrocarburos incluidos por la fuente</t>
        </is>
      </c>
      <c r="K80" t="inlineStr">
        <is>
          <t>Weekly_Oil_Bulletin_Prices_History_maticni_4web.xlsx</t>
        </is>
      </c>
    </row>
    <row r="81">
      <c r="A81" s="53" t="n">
        <v>44396</v>
      </c>
      <c r="B81" t="inlineStr">
        <is>
          <t>2021-07-19</t>
        </is>
      </c>
      <c r="C81" s="45" t="n">
        <v>0.73983</v>
      </c>
      <c r="D81" t="inlineStr">
        <is>
          <t>€/l</t>
        </is>
      </c>
      <c r="E81" s="54" t="n">
        <v>0.05007</v>
      </c>
      <c r="F81" s="54" t="n">
        <v>0.071968</v>
      </c>
      <c r="G81" t="inlineStr">
        <is>
          <t>original (el Boletín publica con y sin impuestos)</t>
        </is>
      </c>
      <c r="H81" t="inlineStr">
        <is>
          <t>IVA e impuesto sobre hidrocarburos incluidos por la fuente</t>
        </is>
      </c>
      <c r="K81" t="inlineStr">
        <is>
          <t>Weekly_Oil_Bulletin_Prices_History_maticni_4web.xlsx</t>
        </is>
      </c>
    </row>
    <row r="82">
      <c r="A82" s="53" t="n">
        <v>44403</v>
      </c>
      <c r="B82" t="inlineStr">
        <is>
          <t>2021-07-26</t>
        </is>
      </c>
      <c r="C82" s="45" t="n">
        <v>0.72572</v>
      </c>
      <c r="D82" t="inlineStr">
        <is>
          <t>€/l</t>
        </is>
      </c>
      <c r="E82" s="54" t="n">
        <v>0.048936</v>
      </c>
      <c r="F82" s="54" t="n">
        <v>0.070595</v>
      </c>
      <c r="G82" t="inlineStr">
        <is>
          <t>original (el Boletín publica con y sin impuestos)</t>
        </is>
      </c>
      <c r="H82" t="inlineStr">
        <is>
          <t>IVA e impuesto sobre hidrocarburos incluidos por la fuente</t>
        </is>
      </c>
      <c r="K82" t="inlineStr">
        <is>
          <t>Weekly_Oil_Bulletin_Prices_History_maticni_4web.xlsx</t>
        </is>
      </c>
    </row>
    <row r="83">
      <c r="A83" s="53" t="n">
        <v>44410</v>
      </c>
      <c r="B83" t="inlineStr">
        <is>
          <t>2021-08-02</t>
        </is>
      </c>
      <c r="C83" s="45" t="n">
        <v>0.74765</v>
      </c>
      <c r="D83" t="inlineStr">
        <is>
          <t>€/l</t>
        </is>
      </c>
      <c r="E83" s="54" t="n">
        <v>0.050698</v>
      </c>
      <c r="F83" s="54" t="n">
        <v>0.072729</v>
      </c>
      <c r="G83" t="inlineStr">
        <is>
          <t>original (el Boletín publica con y sin impuestos)</t>
        </is>
      </c>
      <c r="H83" t="inlineStr">
        <is>
          <t>IVA e impuesto sobre hidrocarburos incluidos por la fuente</t>
        </is>
      </c>
      <c r="K83" t="inlineStr">
        <is>
          <t>Weekly_Oil_Bulletin_Prices_History_maticni_4web.xlsx</t>
        </is>
      </c>
    </row>
    <row r="84">
      <c r="A84" s="53" t="n">
        <v>44417</v>
      </c>
      <c r="B84" t="inlineStr">
        <is>
          <t>2021-08-09</t>
        </is>
      </c>
      <c r="C84" s="45" t="n">
        <v>0.75486</v>
      </c>
      <c r="D84" t="inlineStr">
        <is>
          <t>€/l</t>
        </is>
      </c>
      <c r="E84" s="54" t="n">
        <v>0.051278</v>
      </c>
      <c r="F84" s="54" t="n">
        <v>0.07343</v>
      </c>
      <c r="G84" t="inlineStr">
        <is>
          <t>original (el Boletín publica con y sin impuestos)</t>
        </is>
      </c>
      <c r="H84" t="inlineStr">
        <is>
          <t>IVA e impuesto sobre hidrocarburos incluidos por la fuente</t>
        </is>
      </c>
      <c r="K84" t="inlineStr">
        <is>
          <t>Weekly_Oil_Bulletin_Prices_History_maticni_4web.xlsx</t>
        </is>
      </c>
    </row>
    <row r="85">
      <c r="A85" s="53" t="n">
        <v>44424</v>
      </c>
      <c r="B85" t="inlineStr">
        <is>
          <t>2021-08-16</t>
        </is>
      </c>
      <c r="C85" s="45" t="n">
        <v>0.73811</v>
      </c>
      <c r="D85" t="inlineStr">
        <is>
          <t>€/l</t>
        </is>
      </c>
      <c r="E85" s="54" t="n">
        <v>0.049932</v>
      </c>
      <c r="F85" s="54" t="n">
        <v>0.071801</v>
      </c>
      <c r="G85" t="inlineStr">
        <is>
          <t>original (el Boletín publica con y sin impuestos)</t>
        </is>
      </c>
      <c r="H85" t="inlineStr">
        <is>
          <t>IVA e impuesto sobre hidrocarburos incluidos por la fuente</t>
        </is>
      </c>
      <c r="K85" t="inlineStr">
        <is>
          <t>Weekly_Oil_Bulletin_Prices_History_maticni_4web.xlsx</t>
        </is>
      </c>
    </row>
    <row r="86">
      <c r="A86" s="53" t="n">
        <v>44431</v>
      </c>
      <c r="B86" t="inlineStr">
        <is>
          <t>2021-08-23</t>
        </is>
      </c>
      <c r="C86" s="45" t="n">
        <v>0.72475</v>
      </c>
      <c r="D86" t="inlineStr">
        <is>
          <t>€/l</t>
        </is>
      </c>
      <c r="E86" s="54" t="n">
        <v>0.048858</v>
      </c>
      <c r="F86" s="54" t="n">
        <v>0.07050099999999999</v>
      </c>
      <c r="G86" t="inlineStr">
        <is>
          <t>original (el Boletín publica con y sin impuestos)</t>
        </is>
      </c>
      <c r="H86" t="inlineStr">
        <is>
          <t>IVA e impuesto sobre hidrocarburos incluidos por la fuente</t>
        </is>
      </c>
      <c r="K86" t="inlineStr">
        <is>
          <t>Weekly_Oil_Bulletin_Prices_History_maticni_4web.xlsx</t>
        </is>
      </c>
    </row>
    <row r="87">
      <c r="A87" s="53" t="n">
        <v>44438</v>
      </c>
      <c r="B87" t="inlineStr">
        <is>
          <t>2021-08-30</t>
        </is>
      </c>
      <c r="C87" s="45" t="n">
        <v>0.72293</v>
      </c>
      <c r="D87" t="inlineStr">
        <is>
          <t>€/l</t>
        </is>
      </c>
      <c r="E87" s="54" t="n">
        <v>0.048711</v>
      </c>
      <c r="F87" s="54" t="n">
        <v>0.070324</v>
      </c>
      <c r="G87" t="inlineStr">
        <is>
          <t>original (el Boletín publica con y sin impuestos)</t>
        </is>
      </c>
      <c r="H87" t="inlineStr">
        <is>
          <t>IVA e impuesto sobre hidrocarburos incluidos por la fuente</t>
        </is>
      </c>
      <c r="K87" t="inlineStr">
        <is>
          <t>Weekly_Oil_Bulletin_Prices_History_maticni_4web.xlsx</t>
        </is>
      </c>
    </row>
    <row r="88">
      <c r="A88" s="53" t="n">
        <v>44445</v>
      </c>
      <c r="B88" t="inlineStr">
        <is>
          <t>2021-09-06</t>
        </is>
      </c>
      <c r="C88" s="45" t="n">
        <v>0.74097</v>
      </c>
      <c r="D88" t="inlineStr">
        <is>
          <t>€/l</t>
        </is>
      </c>
      <c r="E88" s="54" t="n">
        <v>0.050161</v>
      </c>
      <c r="F88" s="54" t="n">
        <v>0.072079</v>
      </c>
      <c r="G88" t="inlineStr">
        <is>
          <t>original (el Boletín publica con y sin impuestos)</t>
        </is>
      </c>
      <c r="H88" t="inlineStr">
        <is>
          <t>IVA e impuesto sobre hidrocarburos incluidos por la fuente</t>
        </is>
      </c>
      <c r="K88" t="inlineStr">
        <is>
          <t>Weekly_Oil_Bulletin_Prices_History_maticni_4web.xlsx</t>
        </is>
      </c>
    </row>
    <row r="89">
      <c r="A89" s="53" t="n">
        <v>44452</v>
      </c>
      <c r="B89" t="inlineStr">
        <is>
          <t>2021-09-13</t>
        </is>
      </c>
      <c r="C89" s="45" t="n">
        <v>0.74438</v>
      </c>
      <c r="D89" t="inlineStr">
        <is>
          <t>€/l</t>
        </is>
      </c>
      <c r="E89" s="54" t="n">
        <v>0.050436</v>
      </c>
      <c r="F89" s="54" t="n">
        <v>0.072411</v>
      </c>
      <c r="G89" t="inlineStr">
        <is>
          <t>original (el Boletín publica con y sin impuestos)</t>
        </is>
      </c>
      <c r="H89" t="inlineStr">
        <is>
          <t>IVA e impuesto sobre hidrocarburos incluidos por la fuente</t>
        </is>
      </c>
      <c r="K89" t="inlineStr">
        <is>
          <t>Weekly_Oil_Bulletin_Prices_History_maticni_4web.xlsx</t>
        </is>
      </c>
    </row>
    <row r="90">
      <c r="A90" s="53" t="n">
        <v>44459</v>
      </c>
      <c r="B90" t="inlineStr">
        <is>
          <t>2021-09-20</t>
        </is>
      </c>
      <c r="C90" s="45" t="n">
        <v>0.75847</v>
      </c>
      <c r="D90" t="inlineStr">
        <is>
          <t>€/l</t>
        </is>
      </c>
      <c r="E90" s="54" t="n">
        <v>0.051568</v>
      </c>
      <c r="F90" s="54" t="n">
        <v>0.073781</v>
      </c>
      <c r="G90" t="inlineStr">
        <is>
          <t>original (el Boletín publica con y sin impuestos)</t>
        </is>
      </c>
      <c r="H90" t="inlineStr">
        <is>
          <t>IVA e impuesto sobre hidrocarburos incluidos por la fuente</t>
        </is>
      </c>
      <c r="K90" t="inlineStr">
        <is>
          <t>Weekly_Oil_Bulletin_Prices_History_maticni_4web.xlsx</t>
        </is>
      </c>
    </row>
    <row r="91">
      <c r="A91" s="53" t="n">
        <v>44466</v>
      </c>
      <c r="B91" t="inlineStr">
        <is>
          <t>2021-09-27</t>
        </is>
      </c>
      <c r="C91" s="45" t="n">
        <v>0.77062</v>
      </c>
      <c r="D91" t="inlineStr">
        <is>
          <t>€/l</t>
        </is>
      </c>
      <c r="E91" s="54" t="n">
        <v>0.052546</v>
      </c>
      <c r="F91" s="54" t="n">
        <v>0.074963</v>
      </c>
      <c r="G91" t="inlineStr">
        <is>
          <t>original (el Boletín publica con y sin impuestos)</t>
        </is>
      </c>
      <c r="H91" t="inlineStr">
        <is>
          <t>IVA e impuesto sobre hidrocarburos incluidos por la fuente</t>
        </is>
      </c>
      <c r="K91" t="inlineStr">
        <is>
          <t>Weekly_Oil_Bulletin_Prices_History_maticni_4web.xlsx</t>
        </is>
      </c>
    </row>
    <row r="92">
      <c r="A92" s="53" t="n">
        <v>44473</v>
      </c>
      <c r="B92" t="inlineStr">
        <is>
          <t>2021-10-04</t>
        </is>
      </c>
      <c r="C92" s="45" t="n">
        <v>0.79243</v>
      </c>
      <c r="D92" t="inlineStr">
        <is>
          <t>€/l</t>
        </is>
      </c>
      <c r="E92" s="54" t="n">
        <v>0.054299</v>
      </c>
      <c r="F92" s="54" t="n">
        <v>0.077085</v>
      </c>
      <c r="G92" t="inlineStr">
        <is>
          <t>original (el Boletín publica con y sin impuestos)</t>
        </is>
      </c>
      <c r="H92" t="inlineStr">
        <is>
          <t>IVA e impuesto sobre hidrocarburos incluidos por la fuente</t>
        </is>
      </c>
      <c r="K92" t="inlineStr">
        <is>
          <t>Weekly_Oil_Bulletin_Prices_History_maticni_4web.xlsx</t>
        </is>
      </c>
    </row>
    <row r="93">
      <c r="A93" s="53" t="n">
        <v>44480</v>
      </c>
      <c r="B93" t="inlineStr">
        <is>
          <t>2021-10-11</t>
        </is>
      </c>
      <c r="C93" s="45" t="n">
        <v>0.82552</v>
      </c>
      <c r="D93" t="inlineStr">
        <is>
          <t>€/l</t>
        </is>
      </c>
      <c r="E93" s="54" t="n">
        <v>0.056959</v>
      </c>
      <c r="F93" s="54" t="n">
        <v>0.080304</v>
      </c>
      <c r="G93" t="inlineStr">
        <is>
          <t>original (el Boletín publica con y sin impuestos)</t>
        </is>
      </c>
      <c r="H93" t="inlineStr">
        <is>
          <t>IVA e impuesto sobre hidrocarburos incluidos por la fuente</t>
        </is>
      </c>
      <c r="K93" t="inlineStr">
        <is>
          <t>Weekly_Oil_Bulletin_Prices_History_maticni_4web.xlsx</t>
        </is>
      </c>
    </row>
    <row r="94">
      <c r="A94" s="53" t="n">
        <v>44487</v>
      </c>
      <c r="B94" t="inlineStr">
        <is>
          <t>2021-10-18</t>
        </is>
      </c>
      <c r="C94" s="45" t="n">
        <v>0.84169</v>
      </c>
      <c r="D94" t="inlineStr">
        <is>
          <t>€/l</t>
        </is>
      </c>
      <c r="E94" s="54" t="n">
        <v>0.058259</v>
      </c>
      <c r="F94" s="54" t="n">
        <v>0.081876</v>
      </c>
      <c r="G94" t="inlineStr">
        <is>
          <t>original (el Boletín publica con y sin impuestos)</t>
        </is>
      </c>
      <c r="H94" t="inlineStr">
        <is>
          <t>IVA e impuesto sobre hidrocarburos incluidos por la fuente</t>
        </is>
      </c>
      <c r="K94" t="inlineStr">
        <is>
          <t>Weekly_Oil_Bulletin_Prices_History_maticni_4web.xlsx</t>
        </is>
      </c>
    </row>
    <row r="95">
      <c r="A95" s="53" t="n">
        <v>44494</v>
      </c>
      <c r="B95" t="inlineStr">
        <is>
          <t>2021-10-25</t>
        </is>
      </c>
      <c r="C95" s="45" t="n">
        <v>0.85488</v>
      </c>
      <c r="D95" t="inlineStr">
        <is>
          <t>€/l</t>
        </is>
      </c>
      <c r="E95" s="54" t="n">
        <v>0.059319</v>
      </c>
      <c r="F95" s="54" t="n">
        <v>0.08316</v>
      </c>
      <c r="G95" t="inlineStr">
        <is>
          <t>original (el Boletín publica con y sin impuestos)</t>
        </is>
      </c>
      <c r="H95" t="inlineStr">
        <is>
          <t>IVA e impuesto sobre hidrocarburos incluidos por la fuente</t>
        </is>
      </c>
      <c r="K95" t="inlineStr">
        <is>
          <t>Weekly_Oil_Bulletin_Prices_History_maticni_4web.xlsx</t>
        </is>
      </c>
    </row>
    <row r="96">
      <c r="A96" s="53" t="n">
        <v>44501</v>
      </c>
      <c r="B96" t="inlineStr">
        <is>
          <t>2021-11-01</t>
        </is>
      </c>
      <c r="C96" s="45" t="n">
        <v>0.85956</v>
      </c>
      <c r="D96" t="inlineStr">
        <is>
          <t>€/l</t>
        </is>
      </c>
      <c r="E96" s="54" t="n">
        <v>0.059696</v>
      </c>
      <c r="F96" s="54" t="n">
        <v>0.08361499999999999</v>
      </c>
      <c r="G96" t="inlineStr">
        <is>
          <t>original (el Boletín publica con y sin impuestos)</t>
        </is>
      </c>
      <c r="H96" t="inlineStr">
        <is>
          <t>IVA e impuesto sobre hidrocarburos incluidos por la fuente</t>
        </is>
      </c>
      <c r="K96" t="inlineStr">
        <is>
          <t>Weekly_Oil_Bulletin_Prices_History_maticni_4web.xlsx</t>
        </is>
      </c>
    </row>
    <row r="97">
      <c r="A97" s="53" t="n">
        <v>44508</v>
      </c>
      <c r="B97" t="inlineStr">
        <is>
          <t>2021-11-08</t>
        </is>
      </c>
      <c r="C97" s="45" t="n">
        <v>0.85506</v>
      </c>
      <c r="D97" t="inlineStr">
        <is>
          <t>€/l</t>
        </is>
      </c>
      <c r="E97" s="54" t="n">
        <v>0.059334</v>
      </c>
      <c r="F97" s="54" t="n">
        <v>0.083177</v>
      </c>
      <c r="G97" t="inlineStr">
        <is>
          <t>original (el Boletín publica con y sin impuestos)</t>
        </is>
      </c>
      <c r="H97" t="inlineStr">
        <is>
          <t>IVA e impuesto sobre hidrocarburos incluidos por la fuente</t>
        </is>
      </c>
      <c r="K97" t="inlineStr">
        <is>
          <t>Weekly_Oil_Bulletin_Prices_History_maticni_4web.xlsx</t>
        </is>
      </c>
    </row>
    <row r="98">
      <c r="A98" s="53" t="n">
        <v>44515</v>
      </c>
      <c r="B98" t="inlineStr">
        <is>
          <t>2021-11-15</t>
        </is>
      </c>
      <c r="C98" s="45" t="n">
        <v>0.86148</v>
      </c>
      <c r="D98" t="inlineStr">
        <is>
          <t>€/l</t>
        </is>
      </c>
      <c r="E98" s="54" t="n">
        <v>0.05985</v>
      </c>
      <c r="F98" s="54" t="n">
        <v>0.083802</v>
      </c>
      <c r="G98" t="inlineStr">
        <is>
          <t>original (el Boletín publica con y sin impuestos)</t>
        </is>
      </c>
      <c r="H98" t="inlineStr">
        <is>
          <t>IVA e impuesto sobre hidrocarburos incluidos por la fuente</t>
        </is>
      </c>
      <c r="K98" t="inlineStr">
        <is>
          <t>Weekly_Oil_Bulletin_Prices_History_maticni_4web.xlsx</t>
        </is>
      </c>
    </row>
    <row r="99">
      <c r="A99" s="53" t="n">
        <v>44522</v>
      </c>
      <c r="B99" t="inlineStr">
        <is>
          <t>2021-11-22</t>
        </is>
      </c>
      <c r="C99" s="45" t="n">
        <v>0.84922</v>
      </c>
      <c r="D99" t="inlineStr">
        <is>
          <t>€/l</t>
        </is>
      </c>
      <c r="E99" s="54" t="n">
        <v>0.058864</v>
      </c>
      <c r="F99" s="54" t="n">
        <v>0.082609</v>
      </c>
      <c r="G99" t="inlineStr">
        <is>
          <t>original (el Boletín publica con y sin impuestos)</t>
        </is>
      </c>
      <c r="H99" t="inlineStr">
        <is>
          <t>IVA e impuesto sobre hidrocarburos incluidos por la fuente</t>
        </is>
      </c>
      <c r="K99" t="inlineStr">
        <is>
          <t>Weekly_Oil_Bulletin_Prices_History_maticni_4web.xlsx</t>
        </is>
      </c>
    </row>
    <row r="100">
      <c r="A100" s="53" t="n">
        <v>44529</v>
      </c>
      <c r="B100" t="inlineStr">
        <is>
          <t>2021-11-29</t>
        </is>
      </c>
      <c r="C100" s="45" t="n">
        <v>0.84961</v>
      </c>
      <c r="D100" t="inlineStr">
        <is>
          <t>€/l</t>
        </is>
      </c>
      <c r="E100" s="54" t="n">
        <v>0.058896</v>
      </c>
      <c r="F100" s="54" t="n">
        <v>0.082647</v>
      </c>
      <c r="G100" t="inlineStr">
        <is>
          <t>original (el Boletín publica con y sin impuestos)</t>
        </is>
      </c>
      <c r="H100" t="inlineStr">
        <is>
          <t>IVA e impuesto sobre hidrocarburos incluidos por la fuente</t>
        </is>
      </c>
      <c r="K100" t="inlineStr">
        <is>
          <t>Weekly_Oil_Bulletin_Prices_History_maticni_4web.xlsx</t>
        </is>
      </c>
    </row>
    <row r="101">
      <c r="A101" s="53" t="n">
        <v>44536</v>
      </c>
      <c r="B101" t="inlineStr">
        <is>
          <t>2021-12-06</t>
        </is>
      </c>
      <c r="C101" s="45" t="n">
        <v>0.83029</v>
      </c>
      <c r="D101" t="inlineStr">
        <is>
          <t>€/l</t>
        </is>
      </c>
      <c r="E101" s="54" t="n">
        <v>0.057342</v>
      </c>
      <c r="F101" s="54" t="n">
        <v>0.08076800000000001</v>
      </c>
      <c r="G101" t="inlineStr">
        <is>
          <t>original (el Boletín publica con y sin impuestos)</t>
        </is>
      </c>
      <c r="H101" t="inlineStr">
        <is>
          <t>IVA e impuesto sobre hidrocarburos incluidos por la fuente</t>
        </is>
      </c>
      <c r="K101" t="inlineStr">
        <is>
          <t>Weekly_Oil_Bulletin_Prices_History_maticni_4web.xlsx</t>
        </is>
      </c>
    </row>
    <row r="102">
      <c r="A102" s="53" t="n">
        <v>44543</v>
      </c>
      <c r="B102" t="inlineStr">
        <is>
          <t>2021-12-13</t>
        </is>
      </c>
      <c r="C102" s="45" t="n">
        <v>0.80954</v>
      </c>
      <c r="D102" t="inlineStr">
        <is>
          <t>€/l</t>
        </is>
      </c>
      <c r="E102" s="54" t="n">
        <v>0.055674</v>
      </c>
      <c r="F102" s="54" t="n">
        <v>0.078749</v>
      </c>
      <c r="G102" t="inlineStr">
        <is>
          <t>original (el Boletín publica con y sin impuestos)</t>
        </is>
      </c>
      <c r="H102" t="inlineStr">
        <is>
          <t>IVA e impuesto sobre hidrocarburos incluidos por la fuente</t>
        </is>
      </c>
      <c r="K102" t="inlineStr">
        <is>
          <t>Weekly_Oil_Bulletin_Prices_History_maticni_4web.xlsx</t>
        </is>
      </c>
    </row>
    <row r="103">
      <c r="A103" s="53" t="n">
        <v>44550</v>
      </c>
      <c r="B103" t="inlineStr">
        <is>
          <t>2021-12-20</t>
        </is>
      </c>
      <c r="C103" s="45" t="n">
        <v>0.81475</v>
      </c>
      <c r="D103" t="inlineStr">
        <is>
          <t>€/l</t>
        </is>
      </c>
      <c r="E103" s="54" t="n">
        <v>0.056093</v>
      </c>
      <c r="F103" s="54" t="n">
        <v>0.07925599999999999</v>
      </c>
      <c r="G103" t="inlineStr">
        <is>
          <t>original (el Boletín publica con y sin impuestos)</t>
        </is>
      </c>
      <c r="H103" t="inlineStr">
        <is>
          <t>IVA e impuesto sobre hidrocarburos incluidos por la fuente</t>
        </is>
      </c>
      <c r="K103" t="inlineStr">
        <is>
          <t>Weekly_Oil_Bulletin_Prices_History_maticni_4web.xlsx</t>
        </is>
      </c>
    </row>
    <row r="104">
      <c r="A104" s="53" t="n">
        <v>44564</v>
      </c>
      <c r="B104" t="inlineStr">
        <is>
          <t>2022-01-03</t>
        </is>
      </c>
      <c r="C104" s="45" t="n">
        <v>0.83003</v>
      </c>
      <c r="D104" t="inlineStr">
        <is>
          <t>€/l</t>
        </is>
      </c>
      <c r="E104" s="54" t="n">
        <v>0.057322</v>
      </c>
      <c r="F104" s="54" t="n">
        <v>0.08074199999999999</v>
      </c>
      <c r="G104" t="inlineStr">
        <is>
          <t>original (el Boletín publica con y sin impuestos)</t>
        </is>
      </c>
      <c r="H104" t="inlineStr">
        <is>
          <t>IVA e impuesto sobre hidrocarburos incluidos por la fuente</t>
        </is>
      </c>
      <c r="K104" t="inlineStr">
        <is>
          <t>Weekly_Oil_Bulletin_Prices_History_maticni_4web.xlsx</t>
        </is>
      </c>
    </row>
    <row r="105">
      <c r="A105" s="53" t="n">
        <v>44571</v>
      </c>
      <c r="B105" t="inlineStr">
        <is>
          <t>2022-01-10</t>
        </is>
      </c>
      <c r="C105" s="45" t="n">
        <v>0.85828</v>
      </c>
      <c r="D105" t="inlineStr">
        <is>
          <t>€/l</t>
        </is>
      </c>
      <c r="E105" s="54" t="n">
        <v>0.059592</v>
      </c>
      <c r="F105" s="54" t="n">
        <v>0.08348999999999999</v>
      </c>
      <c r="G105" t="inlineStr">
        <is>
          <t>original (el Boletín publica con y sin impuestos)</t>
        </is>
      </c>
      <c r="H105" t="inlineStr">
        <is>
          <t>IVA e impuesto sobre hidrocarburos incluidos por la fuente</t>
        </is>
      </c>
      <c r="K105" t="inlineStr">
        <is>
          <t>Weekly_Oil_Bulletin_Prices_History_maticni_4web.xlsx</t>
        </is>
      </c>
    </row>
    <row r="106">
      <c r="A106" s="53" t="n">
        <v>44578</v>
      </c>
      <c r="B106" t="inlineStr">
        <is>
          <t>2022-01-17</t>
        </is>
      </c>
      <c r="C106" s="45" t="n">
        <v>0.8692800000000001</v>
      </c>
      <c r="D106" t="inlineStr">
        <is>
          <t>€/l</t>
        </is>
      </c>
      <c r="E106" s="54" t="n">
        <v>0.060477</v>
      </c>
      <c r="F106" s="54" t="n">
        <v>0.08456</v>
      </c>
      <c r="G106" t="inlineStr">
        <is>
          <t>original (el Boletín publica con y sin impuestos)</t>
        </is>
      </c>
      <c r="H106" t="inlineStr">
        <is>
          <t>IVA e impuesto sobre hidrocarburos incluidos por la fuente</t>
        </is>
      </c>
      <c r="K106" t="inlineStr">
        <is>
          <t>Weekly_Oil_Bulletin_Prices_History_maticni_4web.xlsx</t>
        </is>
      </c>
    </row>
    <row r="107">
      <c r="A107" s="53" t="n">
        <v>44585</v>
      </c>
      <c r="B107" t="inlineStr">
        <is>
          <t>2022-01-24</t>
        </is>
      </c>
      <c r="C107" s="45" t="n">
        <v>0.90894</v>
      </c>
      <c r="D107" t="inlineStr">
        <is>
          <t>€/l</t>
        </is>
      </c>
      <c r="E107" s="54" t="n">
        <v>0.063665</v>
      </c>
      <c r="F107" s="54" t="n">
        <v>0.088418</v>
      </c>
      <c r="G107" t="inlineStr">
        <is>
          <t>original (el Boletín publica con y sin impuestos)</t>
        </is>
      </c>
      <c r="H107" t="inlineStr">
        <is>
          <t>IVA e impuesto sobre hidrocarburos incluidos por la fuente</t>
        </is>
      </c>
      <c r="K107" t="inlineStr">
        <is>
          <t>Weekly_Oil_Bulletin_Prices_History_maticni_4web.xlsx</t>
        </is>
      </c>
    </row>
    <row r="108">
      <c r="A108" s="53" t="n">
        <v>44592</v>
      </c>
      <c r="B108" t="inlineStr">
        <is>
          <t>2022-01-31</t>
        </is>
      </c>
      <c r="C108" s="45" t="n">
        <v>0.91521</v>
      </c>
      <c r="D108" t="inlineStr">
        <is>
          <t>€/l</t>
        </is>
      </c>
      <c r="E108" s="54" t="n">
        <v>0.064169</v>
      </c>
      <c r="F108" s="54" t="n">
        <v>0.089028</v>
      </c>
      <c r="G108" t="inlineStr">
        <is>
          <t>original (el Boletín publica con y sin impuestos)</t>
        </is>
      </c>
      <c r="H108" t="inlineStr">
        <is>
          <t>IVA e impuesto sobre hidrocarburos incluidos por la fuente</t>
        </is>
      </c>
      <c r="K108" t="inlineStr">
        <is>
          <t>Weekly_Oil_Bulletin_Prices_History_maticni_4web.xlsx</t>
        </is>
      </c>
    </row>
    <row r="109">
      <c r="A109" s="53" t="n">
        <v>44599</v>
      </c>
      <c r="B109" t="inlineStr">
        <is>
          <t>2022-02-07</t>
        </is>
      </c>
      <c r="C109" s="45" t="n">
        <v>0.95056</v>
      </c>
      <c r="D109" t="inlineStr">
        <is>
          <t>€/l</t>
        </is>
      </c>
      <c r="E109" s="54" t="n">
        <v>0.067012</v>
      </c>
      <c r="F109" s="54" t="n">
        <v>0.09246699999999999</v>
      </c>
      <c r="G109" t="inlineStr">
        <is>
          <t>original (el Boletín publica con y sin impuestos)</t>
        </is>
      </c>
      <c r="H109" t="inlineStr">
        <is>
          <t>IVA e impuesto sobre hidrocarburos incluidos por la fuente</t>
        </is>
      </c>
      <c r="K109" t="inlineStr">
        <is>
          <t>Weekly_Oil_Bulletin_Prices_History_maticni_4web.xlsx</t>
        </is>
      </c>
    </row>
    <row r="110">
      <c r="A110" s="53" t="n">
        <v>44606</v>
      </c>
      <c r="B110" t="inlineStr">
        <is>
          <t>2022-02-14</t>
        </is>
      </c>
      <c r="C110" s="45" t="n">
        <v>0.9544899999999999</v>
      </c>
      <c r="D110" t="inlineStr">
        <is>
          <t>€/l</t>
        </is>
      </c>
      <c r="E110" s="54" t="n">
        <v>0.067327</v>
      </c>
      <c r="F110" s="54" t="n">
        <v>0.092849</v>
      </c>
      <c r="G110" t="inlineStr">
        <is>
          <t>original (el Boletín publica con y sin impuestos)</t>
        </is>
      </c>
      <c r="H110" t="inlineStr">
        <is>
          <t>IVA e impuesto sobre hidrocarburos incluidos por la fuente</t>
        </is>
      </c>
      <c r="K110" t="inlineStr">
        <is>
          <t>Weekly_Oil_Bulletin_Prices_History_maticni_4web.xlsx</t>
        </is>
      </c>
    </row>
    <row r="111">
      <c r="A111" s="53" t="n">
        <v>44613</v>
      </c>
      <c r="B111" t="inlineStr">
        <is>
          <t>2022-02-21</t>
        </is>
      </c>
      <c r="C111" s="45" t="n">
        <v>0.97344</v>
      </c>
      <c r="D111" t="inlineStr">
        <is>
          <t>€/l</t>
        </is>
      </c>
      <c r="E111" s="54" t="n">
        <v>0.068851</v>
      </c>
      <c r="F111" s="54" t="n">
        <v>0.094693</v>
      </c>
      <c r="G111" t="inlineStr">
        <is>
          <t>original (el Boletín publica con y sin impuestos)</t>
        </is>
      </c>
      <c r="H111" t="inlineStr">
        <is>
          <t>IVA e impuesto sobre hidrocarburos incluidos por la fuente</t>
        </is>
      </c>
      <c r="K111" t="inlineStr">
        <is>
          <t>Weekly_Oil_Bulletin_Prices_History_maticni_4web.xlsx</t>
        </is>
      </c>
    </row>
    <row r="112">
      <c r="A112" s="53" t="n">
        <v>44620</v>
      </c>
      <c r="B112" t="inlineStr">
        <is>
          <t>2022-02-28</t>
        </is>
      </c>
      <c r="C112" s="45" t="n">
        <v>0.9951</v>
      </c>
      <c r="D112" t="inlineStr">
        <is>
          <t>€/l</t>
        </is>
      </c>
      <c r="E112" s="54" t="n">
        <v>0.070592</v>
      </c>
      <c r="F112" s="54" t="n">
        <v>0.0968</v>
      </c>
      <c r="G112" t="inlineStr">
        <is>
          <t>original (el Boletín publica con y sin impuestos)</t>
        </is>
      </c>
      <c r="H112" t="inlineStr">
        <is>
          <t>IVA e impuesto sobre hidrocarburos incluidos por la fuente</t>
        </is>
      </c>
      <c r="K112" t="inlineStr">
        <is>
          <t>Weekly_Oil_Bulletin_Prices_History_maticni_4web.xlsx</t>
        </is>
      </c>
    </row>
    <row r="113">
      <c r="A113" s="53" t="n">
        <v>44627</v>
      </c>
      <c r="B113" t="inlineStr">
        <is>
          <t>2022-03-07</t>
        </is>
      </c>
      <c r="C113" s="45" t="n">
        <v>1.17502</v>
      </c>
      <c r="D113" t="inlineStr">
        <is>
          <t>€/l</t>
        </is>
      </c>
      <c r="E113" s="54" t="n">
        <v>0.08505600000000001</v>
      </c>
      <c r="F113" s="54" t="n">
        <v>0.114302</v>
      </c>
      <c r="G113" t="inlineStr">
        <is>
          <t>original (el Boletín publica con y sin impuestos)</t>
        </is>
      </c>
      <c r="H113" t="inlineStr">
        <is>
          <t>IVA e impuesto sobre hidrocarburos incluidos por la fuente</t>
        </is>
      </c>
      <c r="K113" t="inlineStr">
        <is>
          <t>Weekly_Oil_Bulletin_Prices_History_maticni_4web.xlsx</t>
        </is>
      </c>
    </row>
    <row r="114">
      <c r="A114" s="53" t="n">
        <v>44634</v>
      </c>
      <c r="B114" t="inlineStr">
        <is>
          <t>2022-03-14</t>
        </is>
      </c>
      <c r="C114" s="45" t="n">
        <v>1.39336</v>
      </c>
      <c r="D114" t="inlineStr">
        <is>
          <t>€/l</t>
        </is>
      </c>
      <c r="E114" s="54" t="n">
        <v>0.10261</v>
      </c>
      <c r="F114" s="54" t="n">
        <v>0.135541</v>
      </c>
      <c r="G114" t="inlineStr">
        <is>
          <t>original (el Boletín publica con y sin impuestos)</t>
        </is>
      </c>
      <c r="H114" t="inlineStr">
        <is>
          <t>IVA e impuesto sobre hidrocarburos incluidos por la fuente</t>
        </is>
      </c>
      <c r="K114" t="inlineStr">
        <is>
          <t>Weekly_Oil_Bulletin_Prices_History_maticni_4web.xlsx</t>
        </is>
      </c>
    </row>
    <row r="115">
      <c r="A115" s="53" t="n">
        <v>44641</v>
      </c>
      <c r="B115" t="inlineStr">
        <is>
          <t>2022-03-21</t>
        </is>
      </c>
      <c r="C115" s="45" t="n">
        <v>1.33909</v>
      </c>
      <c r="D115" t="inlineStr">
        <is>
          <t>€/l</t>
        </is>
      </c>
      <c r="E115" s="54" t="n">
        <v>0.098247</v>
      </c>
      <c r="F115" s="54" t="n">
        <v>0.130262</v>
      </c>
      <c r="G115" t="inlineStr">
        <is>
          <t>original (el Boletín publica con y sin impuestos)</t>
        </is>
      </c>
      <c r="H115" t="inlineStr">
        <is>
          <t>IVA e impuesto sobre hidrocarburos incluidos por la fuente</t>
        </is>
      </c>
      <c r="K115" t="inlineStr">
        <is>
          <t>Weekly_Oil_Bulletin_Prices_History_maticni_4web.xlsx</t>
        </is>
      </c>
    </row>
    <row r="116">
      <c r="A116" s="53" t="n">
        <v>44648</v>
      </c>
      <c r="B116" t="inlineStr">
        <is>
          <t>2022-03-28</t>
        </is>
      </c>
      <c r="C116" s="45" t="n">
        <v>1.39098</v>
      </c>
      <c r="D116" t="inlineStr">
        <is>
          <t>€/l</t>
        </is>
      </c>
      <c r="E116" s="54" t="n">
        <v>0.102418</v>
      </c>
      <c r="F116" s="54" t="n">
        <v>0.135309</v>
      </c>
      <c r="G116" t="inlineStr">
        <is>
          <t>original (el Boletín publica con y sin impuestos)</t>
        </is>
      </c>
      <c r="H116" t="inlineStr">
        <is>
          <t>IVA e impuesto sobre hidrocarburos incluidos por la fuente</t>
        </is>
      </c>
      <c r="K116" t="inlineStr">
        <is>
          <t>Weekly_Oil_Bulletin_Prices_History_maticni_4web.xlsx</t>
        </is>
      </c>
    </row>
    <row r="117">
      <c r="A117" s="53" t="n">
        <v>44655</v>
      </c>
      <c r="B117" t="inlineStr">
        <is>
          <t>2022-04-04</t>
        </is>
      </c>
      <c r="C117" s="45" t="n">
        <v>1.31533</v>
      </c>
      <c r="D117" t="inlineStr">
        <is>
          <t>€/l</t>
        </is>
      </c>
      <c r="E117" s="54" t="n">
        <v>0.09633700000000001</v>
      </c>
      <c r="F117" s="54" t="n">
        <v>0.12795</v>
      </c>
      <c r="G117" t="inlineStr">
        <is>
          <t>original (el Boletín publica con y sin impuestos)</t>
        </is>
      </c>
      <c r="H117" t="inlineStr">
        <is>
          <t>IVA e impuesto sobre hidrocarburos incluidos por la fuente</t>
        </is>
      </c>
      <c r="K117" t="inlineStr">
        <is>
          <t>Weekly_Oil_Bulletin_Prices_History_maticni_4web.xlsx</t>
        </is>
      </c>
      <c r="L117" t="inlineStr">
        <is>
          <t>precio antes de la bonificación de 20 c€/l (RDL 6/2022), que el Boletín no descuenta</t>
        </is>
      </c>
    </row>
    <row r="118">
      <c r="A118" s="53" t="n">
        <v>44662</v>
      </c>
      <c r="B118" t="inlineStr">
        <is>
          <t>2022-04-11</t>
        </is>
      </c>
      <c r="C118" s="45" t="n">
        <v>1.3144</v>
      </c>
      <c r="D118" t="inlineStr">
        <is>
          <t>€/l</t>
        </is>
      </c>
      <c r="E118" s="54" t="n">
        <v>0.096262</v>
      </c>
      <c r="F118" s="54" t="n">
        <v>0.12786</v>
      </c>
      <c r="G118" t="inlineStr">
        <is>
          <t>original (el Boletín publica con y sin impuestos)</t>
        </is>
      </c>
      <c r="H118" t="inlineStr">
        <is>
          <t>IVA e impuesto sobre hidrocarburos incluidos por la fuente</t>
        </is>
      </c>
      <c r="K118" t="inlineStr">
        <is>
          <t>Weekly_Oil_Bulletin_Prices_History_maticni_4web.xlsx</t>
        </is>
      </c>
      <c r="L118" t="inlineStr">
        <is>
          <t>precio antes de la bonificación de 20 c€/l (RDL 6/2022), que el Boletín no descuenta</t>
        </is>
      </c>
    </row>
    <row r="119">
      <c r="A119" s="53" t="n">
        <v>44676</v>
      </c>
      <c r="B119" t="inlineStr">
        <is>
          <t>2022-04-25</t>
        </is>
      </c>
      <c r="C119" s="45" t="n">
        <v>1.37468</v>
      </c>
      <c r="D119" t="inlineStr">
        <is>
          <t>€/l</t>
        </is>
      </c>
      <c r="E119" s="54" t="n">
        <v>0.101108</v>
      </c>
      <c r="F119" s="54" t="n">
        <v>0.133724</v>
      </c>
      <c r="G119" t="inlineStr">
        <is>
          <t>original (el Boletín publica con y sin impuestos)</t>
        </is>
      </c>
      <c r="H119" t="inlineStr">
        <is>
          <t>IVA e impuesto sobre hidrocarburos incluidos por la fuente</t>
        </is>
      </c>
      <c r="K119" t="inlineStr">
        <is>
          <t>Weekly_Oil_Bulletin_Prices_History_maticni_4web.xlsx</t>
        </is>
      </c>
      <c r="L119" t="inlineStr">
        <is>
          <t>precio antes de la bonificación de 20 c€/l (RDL 6/2022), que el Boletín no descuenta</t>
        </is>
      </c>
    </row>
    <row r="120">
      <c r="A120" s="53" t="n">
        <v>44683</v>
      </c>
      <c r="B120" t="inlineStr">
        <is>
          <t>2022-05-02</t>
        </is>
      </c>
      <c r="C120" s="45" t="n">
        <v>1.35215</v>
      </c>
      <c r="D120" t="inlineStr">
        <is>
          <t>€/l</t>
        </is>
      </c>
      <c r="E120" s="54" t="n">
        <v>0.099297</v>
      </c>
      <c r="F120" s="54" t="n">
        <v>0.131532</v>
      </c>
      <c r="G120" t="inlineStr">
        <is>
          <t>original (el Boletín publica con y sin impuestos)</t>
        </is>
      </c>
      <c r="H120" t="inlineStr">
        <is>
          <t>IVA e impuesto sobre hidrocarburos incluidos por la fuente</t>
        </is>
      </c>
      <c r="K120" t="inlineStr">
        <is>
          <t>Weekly_Oil_Bulletin_Prices_History_maticni_4web.xlsx</t>
        </is>
      </c>
      <c r="L120" t="inlineStr">
        <is>
          <t>precio antes de la bonificación de 20 c€/l (RDL 6/2022), que el Boletín no descuenta</t>
        </is>
      </c>
    </row>
    <row r="121">
      <c r="A121" s="53" t="n">
        <v>44690</v>
      </c>
      <c r="B121" t="inlineStr">
        <is>
          <t>2022-05-09</t>
        </is>
      </c>
      <c r="C121" s="45" t="n">
        <v>1.39274</v>
      </c>
      <c r="D121" t="inlineStr">
        <is>
          <t>€/l</t>
        </is>
      </c>
      <c r="E121" s="54" t="n">
        <v>0.102559</v>
      </c>
      <c r="F121" s="54" t="n">
        <v>0.135481</v>
      </c>
      <c r="G121" t="inlineStr">
        <is>
          <t>original (el Boletín publica con y sin impuestos)</t>
        </is>
      </c>
      <c r="H121" t="inlineStr">
        <is>
          <t>IVA e impuesto sobre hidrocarburos incluidos por la fuente</t>
        </is>
      </c>
      <c r="K121" t="inlineStr">
        <is>
          <t>Weekly_Oil_Bulletin_Prices_History_maticni_4web.xlsx</t>
        </is>
      </c>
      <c r="L121" t="inlineStr">
        <is>
          <t>precio antes de la bonificación de 20 c€/l (RDL 6/2022), que el Boletín no descuenta</t>
        </is>
      </c>
    </row>
    <row r="122">
      <c r="A122" s="53" t="n">
        <v>44697</v>
      </c>
      <c r="B122" t="inlineStr">
        <is>
          <t>2022-05-16</t>
        </is>
      </c>
      <c r="C122" s="45" t="n">
        <v>1.35456</v>
      </c>
      <c r="D122" t="inlineStr">
        <is>
          <t>€/l</t>
        </is>
      </c>
      <c r="E122" s="54" t="n">
        <v>0.09949</v>
      </c>
      <c r="F122" s="54" t="n">
        <v>0.131767</v>
      </c>
      <c r="G122" t="inlineStr">
        <is>
          <t>original (el Boletín publica con y sin impuestos)</t>
        </is>
      </c>
      <c r="H122" t="inlineStr">
        <is>
          <t>IVA e impuesto sobre hidrocarburos incluidos por la fuente</t>
        </is>
      </c>
      <c r="K122" t="inlineStr">
        <is>
          <t>Weekly_Oil_Bulletin_Prices_History_maticni_4web.xlsx</t>
        </is>
      </c>
      <c r="L122" t="inlineStr">
        <is>
          <t>precio antes de la bonificación de 20 c€/l (RDL 6/2022), que el Boletín no descuenta</t>
        </is>
      </c>
    </row>
    <row r="123">
      <c r="A123" s="53" t="n">
        <v>44704</v>
      </c>
      <c r="B123" t="inlineStr">
        <is>
          <t>2022-05-23</t>
        </is>
      </c>
      <c r="C123" s="45" t="n">
        <v>1.33562</v>
      </c>
      <c r="D123" t="inlineStr">
        <is>
          <t>€/l</t>
        </is>
      </c>
      <c r="E123" s="54" t="n">
        <v>0.097968</v>
      </c>
      <c r="F123" s="54" t="n">
        <v>0.129924</v>
      </c>
      <c r="G123" t="inlineStr">
        <is>
          <t>original (el Boletín publica con y sin impuestos)</t>
        </is>
      </c>
      <c r="H123" t="inlineStr">
        <is>
          <t>IVA e impuesto sobre hidrocarburos incluidos por la fuente</t>
        </is>
      </c>
      <c r="K123" t="inlineStr">
        <is>
          <t>Weekly_Oil_Bulletin_Prices_History_maticni_4web.xlsx</t>
        </is>
      </c>
      <c r="L123" t="inlineStr">
        <is>
          <t>precio antes de la bonificación de 20 c€/l (RDL 6/2022), que el Boletín no descuenta</t>
        </is>
      </c>
    </row>
    <row r="124">
      <c r="A124" s="53" t="n">
        <v>44711</v>
      </c>
      <c r="B124" t="inlineStr">
        <is>
          <t>2022-05-30</t>
        </is>
      </c>
      <c r="C124" s="45" t="n">
        <v>1.36892</v>
      </c>
      <c r="D124" t="inlineStr">
        <is>
          <t>€/l</t>
        </is>
      </c>
      <c r="E124" s="54" t="n">
        <v>0.100645</v>
      </c>
      <c r="F124" s="54" t="n">
        <v>0.133163</v>
      </c>
      <c r="G124" t="inlineStr">
        <is>
          <t>original (el Boletín publica con y sin impuestos)</t>
        </is>
      </c>
      <c r="H124" t="inlineStr">
        <is>
          <t>IVA e impuesto sobre hidrocarburos incluidos por la fuente</t>
        </is>
      </c>
      <c r="K124" t="inlineStr">
        <is>
          <t>Weekly_Oil_Bulletin_Prices_History_maticni_4web.xlsx</t>
        </is>
      </c>
      <c r="L124" t="inlineStr">
        <is>
          <t>precio antes de la bonificación de 20 c€/l (RDL 6/2022), que el Boletín no descuenta</t>
        </is>
      </c>
    </row>
    <row r="125">
      <c r="A125" s="53" t="n">
        <v>44718</v>
      </c>
      <c r="B125" t="inlineStr">
        <is>
          <t>2022-06-06</t>
        </is>
      </c>
      <c r="C125" s="45" t="n">
        <v>1.43242</v>
      </c>
      <c r="D125" t="inlineStr">
        <is>
          <t>€/l</t>
        </is>
      </c>
      <c r="E125" s="54" t="n">
        <v>0.10575</v>
      </c>
      <c r="F125" s="54" t="n">
        <v>0.13934</v>
      </c>
      <c r="G125" t="inlineStr">
        <is>
          <t>original (el Boletín publica con y sin impuestos)</t>
        </is>
      </c>
      <c r="H125" t="inlineStr">
        <is>
          <t>IVA e impuesto sobre hidrocarburos incluidos por la fuente</t>
        </is>
      </c>
      <c r="K125" t="inlineStr">
        <is>
          <t>Weekly_Oil_Bulletin_Prices_History_maticni_4web.xlsx</t>
        </is>
      </c>
      <c r="L125" t="inlineStr">
        <is>
          <t>precio antes de la bonificación de 20 c€/l (RDL 6/2022), que el Boletín no descuenta</t>
        </is>
      </c>
    </row>
    <row r="126">
      <c r="A126" s="53" t="n">
        <v>44725</v>
      </c>
      <c r="B126" t="inlineStr">
        <is>
          <t>2022-06-13</t>
        </is>
      </c>
      <c r="C126" s="45" t="n">
        <v>1.52343</v>
      </c>
      <c r="D126" t="inlineStr">
        <is>
          <t>€/l</t>
        </is>
      </c>
      <c r="E126" s="54" t="n">
        <v>0.113066</v>
      </c>
      <c r="F126" s="54" t="n">
        <v>0.148194</v>
      </c>
      <c r="G126" t="inlineStr">
        <is>
          <t>original (el Boletín publica con y sin impuestos)</t>
        </is>
      </c>
      <c r="H126" t="inlineStr">
        <is>
          <t>IVA e impuesto sobre hidrocarburos incluidos por la fuente</t>
        </is>
      </c>
      <c r="K126" t="inlineStr">
        <is>
          <t>Weekly_Oil_Bulletin_Prices_History_maticni_4web.xlsx</t>
        </is>
      </c>
      <c r="L126" t="inlineStr">
        <is>
          <t>precio antes de la bonificación de 20 c€/l (RDL 6/2022), que el Boletín no descuenta</t>
        </is>
      </c>
    </row>
    <row r="127">
      <c r="A127" s="53" t="n">
        <v>44732</v>
      </c>
      <c r="B127" t="inlineStr">
        <is>
          <t>2022-06-20</t>
        </is>
      </c>
      <c r="C127" s="45" t="n">
        <v>1.59373</v>
      </c>
      <c r="D127" t="inlineStr">
        <is>
          <t>€/l</t>
        </is>
      </c>
      <c r="E127" s="54" t="n">
        <v>0.118718</v>
      </c>
      <c r="F127" s="54" t="n">
        <v>0.155032</v>
      </c>
      <c r="G127" t="inlineStr">
        <is>
          <t>original (el Boletín publica con y sin impuestos)</t>
        </is>
      </c>
      <c r="H127" t="inlineStr">
        <is>
          <t>IVA e impuesto sobre hidrocarburos incluidos por la fuente</t>
        </is>
      </c>
      <c r="K127" t="inlineStr">
        <is>
          <t>Weekly_Oil_Bulletin_Prices_History_maticni_4web.xlsx</t>
        </is>
      </c>
      <c r="L127" t="inlineStr">
        <is>
          <t>precio antes de la bonificación de 20 c€/l (RDL 6/2022), que el Boletín no descuenta</t>
        </is>
      </c>
    </row>
    <row r="128">
      <c r="A128" s="53" t="n">
        <v>44739</v>
      </c>
      <c r="B128" t="inlineStr">
        <is>
          <t>2022-06-27</t>
        </is>
      </c>
      <c r="C128" s="45" t="n">
        <v>1.58552</v>
      </c>
      <c r="D128" t="inlineStr">
        <is>
          <t>€/l</t>
        </is>
      </c>
      <c r="E128" s="54" t="n">
        <v>0.118058</v>
      </c>
      <c r="F128" s="54" t="n">
        <v>0.154233</v>
      </c>
      <c r="G128" t="inlineStr">
        <is>
          <t>original (el Boletín publica con y sin impuestos)</t>
        </is>
      </c>
      <c r="H128" t="inlineStr">
        <is>
          <t>IVA e impuesto sobre hidrocarburos incluidos por la fuente</t>
        </is>
      </c>
      <c r="K128" t="inlineStr">
        <is>
          <t>Weekly_Oil_Bulletin_Prices_History_maticni_4web.xlsx</t>
        </is>
      </c>
      <c r="L128" t="inlineStr">
        <is>
          <t>precio antes de la bonificación de 20 c€/l (RDL 6/2022), que el Boletín no descuenta</t>
        </is>
      </c>
    </row>
    <row r="129">
      <c r="A129" s="53" t="n">
        <v>44746</v>
      </c>
      <c r="B129" t="inlineStr">
        <is>
          <t>2022-07-04</t>
        </is>
      </c>
      <c r="C129" s="45" t="n">
        <v>1.56265</v>
      </c>
      <c r="D129" t="inlineStr">
        <is>
          <t>€/l</t>
        </is>
      </c>
      <c r="E129" s="54" t="n">
        <v>0.11622</v>
      </c>
      <c r="F129" s="54" t="n">
        <v>0.152009</v>
      </c>
      <c r="G129" t="inlineStr">
        <is>
          <t>original (el Boletín publica con y sin impuestos)</t>
        </is>
      </c>
      <c r="H129" t="inlineStr">
        <is>
          <t>IVA e impuesto sobre hidrocarburos incluidos por la fuente</t>
        </is>
      </c>
      <c r="K129" t="inlineStr">
        <is>
          <t>Weekly_Oil_Bulletin_Prices_History_maticni_4web.xlsx</t>
        </is>
      </c>
      <c r="L129" t="inlineStr">
        <is>
          <t>precio antes de la bonificación de 20 c€/l (RDL 6/2022), que el Boletín no descuenta</t>
        </is>
      </c>
    </row>
    <row r="130">
      <c r="A130" s="53" t="n">
        <v>44753</v>
      </c>
      <c r="B130" t="inlineStr">
        <is>
          <t>2022-07-11</t>
        </is>
      </c>
      <c r="C130" s="45" t="n">
        <v>1.502</v>
      </c>
      <c r="D130" t="inlineStr">
        <is>
          <t>€/l</t>
        </is>
      </c>
      <c r="E130" s="54" t="n">
        <v>0.111343</v>
      </c>
      <c r="F130" s="54" t="n">
        <v>0.146109</v>
      </c>
      <c r="G130" t="inlineStr">
        <is>
          <t>original (el Boletín publica con y sin impuestos)</t>
        </is>
      </c>
      <c r="H130" t="inlineStr">
        <is>
          <t>IVA e impuesto sobre hidrocarburos incluidos por la fuente</t>
        </is>
      </c>
      <c r="K130" t="inlineStr">
        <is>
          <t>Weekly_Oil_Bulletin_Prices_History_maticni_4web.xlsx</t>
        </is>
      </c>
      <c r="L130" t="inlineStr">
        <is>
          <t>precio antes de la bonificación de 20 c€/l (RDL 6/2022), que el Boletín no descuenta</t>
        </is>
      </c>
    </row>
    <row r="131">
      <c r="A131" s="53" t="n">
        <v>44760</v>
      </c>
      <c r="B131" t="inlineStr">
        <is>
          <t>2022-07-18</t>
        </is>
      </c>
      <c r="C131" s="45" t="n">
        <v>1.47744</v>
      </c>
      <c r="D131" t="inlineStr">
        <is>
          <t>€/l</t>
        </is>
      </c>
      <c r="E131" s="54" t="n">
        <v>0.109369</v>
      </c>
      <c r="F131" s="54" t="n">
        <v>0.14372</v>
      </c>
      <c r="G131" t="inlineStr">
        <is>
          <t>original (el Boletín publica con y sin impuestos)</t>
        </is>
      </c>
      <c r="H131" t="inlineStr">
        <is>
          <t>IVA e impuesto sobre hidrocarburos incluidos por la fuente</t>
        </is>
      </c>
      <c r="K131" t="inlineStr">
        <is>
          <t>Weekly_Oil_Bulletin_Prices_History_maticni_4web.xlsx</t>
        </is>
      </c>
      <c r="L131" t="inlineStr">
        <is>
          <t>precio antes de la bonificación de 20 c€/l (RDL 6/2022), que el Boletín no descuenta</t>
        </is>
      </c>
    </row>
    <row r="132">
      <c r="A132" s="53" t="n">
        <v>44767</v>
      </c>
      <c r="B132" t="inlineStr">
        <is>
          <t>2022-07-25</t>
        </is>
      </c>
      <c r="C132" s="45" t="n">
        <v>1.43536</v>
      </c>
      <c r="D132" t="inlineStr">
        <is>
          <t>€/l</t>
        </is>
      </c>
      <c r="E132" s="54" t="n">
        <v>0.105986</v>
      </c>
      <c r="F132" s="54" t="n">
        <v>0.139626</v>
      </c>
      <c r="G132" t="inlineStr">
        <is>
          <t>original (el Boletín publica con y sin impuestos)</t>
        </is>
      </c>
      <c r="H132" t="inlineStr">
        <is>
          <t>IVA e impuesto sobre hidrocarburos incluidos por la fuente</t>
        </is>
      </c>
      <c r="K132" t="inlineStr">
        <is>
          <t>Weekly_Oil_Bulletin_Prices_History_maticni_4web.xlsx</t>
        </is>
      </c>
      <c r="L132" t="inlineStr">
        <is>
          <t>precio antes de la bonificación de 20 c€/l (RDL 6/2022), que el Boletín no descuenta</t>
        </is>
      </c>
    </row>
    <row r="133">
      <c r="A133" s="53" t="n">
        <v>44774</v>
      </c>
      <c r="B133" t="inlineStr">
        <is>
          <t>2022-08-01</t>
        </is>
      </c>
      <c r="C133" s="45" t="n">
        <v>1.39948</v>
      </c>
      <c r="D133" t="inlineStr">
        <is>
          <t>€/l</t>
        </is>
      </c>
      <c r="E133" s="54" t="n">
        <v>0.103102</v>
      </c>
      <c r="F133" s="54" t="n">
        <v>0.136136</v>
      </c>
      <c r="G133" t="inlineStr">
        <is>
          <t>original (el Boletín publica con y sin impuestos)</t>
        </is>
      </c>
      <c r="H133" t="inlineStr">
        <is>
          <t>IVA e impuesto sobre hidrocarburos incluidos por la fuente</t>
        </is>
      </c>
      <c r="K133" t="inlineStr">
        <is>
          <t>Weekly_Oil_Bulletin_Prices_History_maticni_4web.xlsx</t>
        </is>
      </c>
      <c r="L133" t="inlineStr">
        <is>
          <t>precio antes de la bonificación de 20 c€/l (RDL 6/2022), que el Boletín no descuenta</t>
        </is>
      </c>
    </row>
    <row r="134">
      <c r="A134" s="53" t="n">
        <v>44781</v>
      </c>
      <c r="B134" t="inlineStr">
        <is>
          <t>2022-08-08</t>
        </is>
      </c>
      <c r="C134" s="45" t="n">
        <v>1.34603</v>
      </c>
      <c r="D134" t="inlineStr">
        <is>
          <t>€/l</t>
        </is>
      </c>
      <c r="E134" s="54" t="n">
        <v>0.098804</v>
      </c>
      <c r="F134" s="54" t="n">
        <v>0.130937</v>
      </c>
      <c r="G134" t="inlineStr">
        <is>
          <t>original (el Boletín publica con y sin impuestos)</t>
        </is>
      </c>
      <c r="H134" t="inlineStr">
        <is>
          <t>IVA e impuesto sobre hidrocarburos incluidos por la fuente</t>
        </is>
      </c>
      <c r="K134" t="inlineStr">
        <is>
          <t>Weekly_Oil_Bulletin_Prices_History_maticni_4web.xlsx</t>
        </is>
      </c>
      <c r="L134" t="inlineStr">
        <is>
          <t>precio antes de la bonificación de 20 c€/l (RDL 6/2022), que el Boletín no descuenta</t>
        </is>
      </c>
    </row>
    <row r="135">
      <c r="A135" s="53" t="n">
        <v>44788</v>
      </c>
      <c r="B135" t="inlineStr">
        <is>
          <t>2022-08-15</t>
        </is>
      </c>
      <c r="C135" s="45" t="n">
        <v>1.2529</v>
      </c>
      <c r="D135" t="inlineStr">
        <is>
          <t>€/l</t>
        </is>
      </c>
      <c r="E135" s="54" t="n">
        <v>0.091317</v>
      </c>
      <c r="F135" s="54" t="n">
        <v>0.121877</v>
      </c>
      <c r="G135" t="inlineStr">
        <is>
          <t>original (el Boletín publica con y sin impuestos)</t>
        </is>
      </c>
      <c r="H135" t="inlineStr">
        <is>
          <t>IVA e impuesto sobre hidrocarburos incluidos por la fuente</t>
        </is>
      </c>
      <c r="K135" t="inlineStr">
        <is>
          <t>Weekly_Oil_Bulletin_Prices_History_maticni_4web.xlsx</t>
        </is>
      </c>
      <c r="L135" t="inlineStr">
        <is>
          <t>precio antes de la bonificación de 20 c€/l (RDL 6/2022), que el Boletín no descuenta</t>
        </is>
      </c>
    </row>
    <row r="136">
      <c r="A136" s="53" t="n">
        <v>44795</v>
      </c>
      <c r="B136" t="inlineStr">
        <is>
          <t>2022-08-22</t>
        </is>
      </c>
      <c r="C136" s="45" t="n">
        <v>1.33146</v>
      </c>
      <c r="D136" t="inlineStr">
        <is>
          <t>€/l</t>
        </is>
      </c>
      <c r="E136" s="54" t="n">
        <v>0.097633</v>
      </c>
      <c r="F136" s="54" t="n">
        <v>0.129519</v>
      </c>
      <c r="G136" t="inlineStr">
        <is>
          <t>original (el Boletín publica con y sin impuestos)</t>
        </is>
      </c>
      <c r="H136" t="inlineStr">
        <is>
          <t>IVA e impuesto sobre hidrocarburos incluidos por la fuente</t>
        </is>
      </c>
      <c r="K136" t="inlineStr">
        <is>
          <t>Weekly_Oil_Bulletin_Prices_History_maticni_4web.xlsx</t>
        </is>
      </c>
      <c r="L136" t="inlineStr">
        <is>
          <t>precio antes de la bonificación de 20 c€/l (RDL 6/2022), que el Boletín no descuenta</t>
        </is>
      </c>
    </row>
    <row r="137">
      <c r="A137" s="53" t="n">
        <v>44802</v>
      </c>
      <c r="B137" t="inlineStr">
        <is>
          <t>2022-08-29</t>
        </is>
      </c>
      <c r="C137" s="45" t="n">
        <v>1.36769</v>
      </c>
      <c r="D137" t="inlineStr">
        <is>
          <t>€/l</t>
        </is>
      </c>
      <c r="E137" s="54" t="n">
        <v>0.100546</v>
      </c>
      <c r="F137" s="54" t="n">
        <v>0.133044</v>
      </c>
      <c r="G137" t="inlineStr">
        <is>
          <t>original (el Boletín publica con y sin impuestos)</t>
        </is>
      </c>
      <c r="H137" t="inlineStr">
        <is>
          <t>IVA e impuesto sobre hidrocarburos incluidos por la fuente</t>
        </is>
      </c>
      <c r="K137" t="inlineStr">
        <is>
          <t>Weekly_Oil_Bulletin_Prices_History_maticni_4web.xlsx</t>
        </is>
      </c>
      <c r="L137" t="inlineStr">
        <is>
          <t>precio antes de la bonificación de 20 c€/l (RDL 6/2022), que el Boletín no descuenta</t>
        </is>
      </c>
    </row>
    <row r="138">
      <c r="A138" s="53" t="n">
        <v>44809</v>
      </c>
      <c r="B138" t="inlineStr">
        <is>
          <t>2022-09-05</t>
        </is>
      </c>
      <c r="C138" s="45" t="n">
        <v>1.39512</v>
      </c>
      <c r="D138" t="inlineStr">
        <is>
          <t>€/l</t>
        </is>
      </c>
      <c r="E138" s="54" t="n">
        <v>0.102751</v>
      </c>
      <c r="F138" s="54" t="n">
        <v>0.135712</v>
      </c>
      <c r="G138" t="inlineStr">
        <is>
          <t>original (el Boletín publica con y sin impuestos)</t>
        </is>
      </c>
      <c r="H138" t="inlineStr">
        <is>
          <t>IVA e impuesto sobre hidrocarburos incluidos por la fuente</t>
        </is>
      </c>
      <c r="K138" t="inlineStr">
        <is>
          <t>Weekly_Oil_Bulletin_Prices_History_maticni_4web.xlsx</t>
        </is>
      </c>
      <c r="L138" t="inlineStr">
        <is>
          <t>precio antes de la bonificación de 20 c€/l (RDL 6/2022), que el Boletín no descuenta</t>
        </is>
      </c>
    </row>
    <row r="139">
      <c r="A139" s="53" t="n">
        <v>44816</v>
      </c>
      <c r="B139" t="inlineStr">
        <is>
          <t>2022-09-12</t>
        </is>
      </c>
      <c r="C139" s="45" t="n">
        <v>1.37868</v>
      </c>
      <c r="D139" t="inlineStr">
        <is>
          <t>€/l</t>
        </is>
      </c>
      <c r="E139" s="54" t="n">
        <v>0.101429</v>
      </c>
      <c r="F139" s="54" t="n">
        <v>0.134113</v>
      </c>
      <c r="G139" t="inlineStr">
        <is>
          <t>original (el Boletín publica con y sin impuestos)</t>
        </is>
      </c>
      <c r="H139" t="inlineStr">
        <is>
          <t>IVA e impuesto sobre hidrocarburos incluidos por la fuente</t>
        </is>
      </c>
      <c r="K139" t="inlineStr">
        <is>
          <t>Weekly_Oil_Bulletin_Prices_History_maticni_4web.xlsx</t>
        </is>
      </c>
      <c r="L139" t="inlineStr">
        <is>
          <t>precio antes de la bonificación de 20 c€/l (RDL 6/2022), que el Boletín no descuenta</t>
        </is>
      </c>
    </row>
    <row r="140">
      <c r="A140" s="53" t="n">
        <v>44823</v>
      </c>
      <c r="B140" t="inlineStr">
        <is>
          <t>2022-09-19</t>
        </is>
      </c>
      <c r="C140" s="45" t="n">
        <v>1.32178</v>
      </c>
      <c r="D140" t="inlineStr">
        <is>
          <t>€/l</t>
        </is>
      </c>
      <c r="E140" s="54" t="n">
        <v>0.096855</v>
      </c>
      <c r="F140" s="54" t="n">
        <v>0.128578</v>
      </c>
      <c r="G140" t="inlineStr">
        <is>
          <t>original (el Boletín publica con y sin impuestos)</t>
        </is>
      </c>
      <c r="H140" t="inlineStr">
        <is>
          <t>IVA e impuesto sobre hidrocarburos incluidos por la fuente</t>
        </is>
      </c>
      <c r="K140" t="inlineStr">
        <is>
          <t>Weekly_Oil_Bulletin_Prices_History_maticni_4web.xlsx</t>
        </is>
      </c>
      <c r="L140" t="inlineStr">
        <is>
          <t>precio antes de la bonificación de 20 c€/l (RDL 6/2022), que el Boletín no descuenta</t>
        </is>
      </c>
    </row>
    <row r="141">
      <c r="A141" s="53" t="n">
        <v>44830</v>
      </c>
      <c r="B141" t="inlineStr">
        <is>
          <t>2022-09-26</t>
        </is>
      </c>
      <c r="C141" s="45" t="n">
        <v>1.30729</v>
      </c>
      <c r="D141" t="inlineStr">
        <is>
          <t>€/l</t>
        </is>
      </c>
      <c r="E141" s="54" t="n">
        <v>0.09569</v>
      </c>
      <c r="F141" s="54" t="n">
        <v>0.127168</v>
      </c>
      <c r="G141" t="inlineStr">
        <is>
          <t>original (el Boletín publica con y sin impuestos)</t>
        </is>
      </c>
      <c r="H141" t="inlineStr">
        <is>
          <t>IVA e impuesto sobre hidrocarburos incluidos por la fuente</t>
        </is>
      </c>
      <c r="K141" t="inlineStr">
        <is>
          <t>Weekly_Oil_Bulletin_Prices_History_maticni_4web.xlsx</t>
        </is>
      </c>
      <c r="L141" t="inlineStr">
        <is>
          <t>precio antes de la bonificación de 20 c€/l (RDL 6/2022), que el Boletín no descuenta</t>
        </is>
      </c>
    </row>
    <row r="142">
      <c r="A142" s="53" t="n">
        <v>44837</v>
      </c>
      <c r="B142" t="inlineStr">
        <is>
          <t>2022-10-03</t>
        </is>
      </c>
      <c r="C142" s="45" t="n">
        <v>1.30996</v>
      </c>
      <c r="D142" t="inlineStr">
        <is>
          <t>€/l</t>
        </is>
      </c>
      <c r="E142" s="54" t="n">
        <v>0.095905</v>
      </c>
      <c r="F142" s="54" t="n">
        <v>0.127428</v>
      </c>
      <c r="G142" t="inlineStr">
        <is>
          <t>original (el Boletín publica con y sin impuestos)</t>
        </is>
      </c>
      <c r="H142" t="inlineStr">
        <is>
          <t>IVA e impuesto sobre hidrocarburos incluidos por la fuente</t>
        </is>
      </c>
      <c r="K142" t="inlineStr">
        <is>
          <t>Weekly_Oil_Bulletin_Prices_History_maticni_4web.xlsx</t>
        </is>
      </c>
      <c r="L142" t="inlineStr">
        <is>
          <t>precio antes de la bonificación de 20 c€/l (RDL 6/2022), que el Boletín no descuenta</t>
        </is>
      </c>
    </row>
    <row r="143">
      <c r="A143" s="53" t="n">
        <v>44844</v>
      </c>
      <c r="B143" t="inlineStr">
        <is>
          <t>2022-10-10</t>
        </is>
      </c>
      <c r="C143" s="45" t="n">
        <v>1.39122</v>
      </c>
      <c r="D143" t="inlineStr">
        <is>
          <t>€/l</t>
        </is>
      </c>
      <c r="E143" s="54" t="n">
        <v>0.102438</v>
      </c>
      <c r="F143" s="54" t="n">
        <v>0.135333</v>
      </c>
      <c r="G143" t="inlineStr">
        <is>
          <t>original (el Boletín publica con y sin impuestos)</t>
        </is>
      </c>
      <c r="H143" t="inlineStr">
        <is>
          <t>IVA e impuesto sobre hidrocarburos incluidos por la fuente</t>
        </is>
      </c>
      <c r="K143" t="inlineStr">
        <is>
          <t>Weekly_Oil_Bulletin_Prices_History_maticni_4web.xlsx</t>
        </is>
      </c>
      <c r="L143" t="inlineStr">
        <is>
          <t>precio antes de la bonificación de 20 c€/l (RDL 6/2022), que el Boletín no descuenta</t>
        </is>
      </c>
    </row>
    <row r="144">
      <c r="A144" s="53" t="n">
        <v>44851</v>
      </c>
      <c r="B144" t="inlineStr">
        <is>
          <t>2022-10-17</t>
        </is>
      </c>
      <c r="C144" s="45" t="n">
        <v>1.48107</v>
      </c>
      <c r="D144" t="inlineStr">
        <is>
          <t>€/l</t>
        </is>
      </c>
      <c r="E144" s="54" t="n">
        <v>0.109661</v>
      </c>
      <c r="F144" s="54" t="n">
        <v>0.144073</v>
      </c>
      <c r="G144" t="inlineStr">
        <is>
          <t>original (el Boletín publica con y sin impuestos)</t>
        </is>
      </c>
      <c r="H144" t="inlineStr">
        <is>
          <t>IVA e impuesto sobre hidrocarburos incluidos por la fuente</t>
        </is>
      </c>
      <c r="K144" t="inlineStr">
        <is>
          <t>Weekly_Oil_Bulletin_Prices_History_maticni_4web.xlsx</t>
        </is>
      </c>
      <c r="L144" t="inlineStr">
        <is>
          <t>precio antes de la bonificación de 20 c€/l (RDL 6/2022), que el Boletín no descuenta</t>
        </is>
      </c>
    </row>
    <row r="145">
      <c r="A145" s="53" t="n">
        <v>44858</v>
      </c>
      <c r="B145" t="inlineStr">
        <is>
          <t>2022-10-24</t>
        </is>
      </c>
      <c r="C145" s="45" t="n">
        <v>1.43834</v>
      </c>
      <c r="D145" t="inlineStr">
        <is>
          <t>€/l</t>
        </is>
      </c>
      <c r="E145" s="54" t="n">
        <v>0.106226</v>
      </c>
      <c r="F145" s="54" t="n">
        <v>0.139916</v>
      </c>
      <c r="G145" t="inlineStr">
        <is>
          <t>original (el Boletín publica con y sin impuestos)</t>
        </is>
      </c>
      <c r="H145" t="inlineStr">
        <is>
          <t>IVA e impuesto sobre hidrocarburos incluidos por la fuente</t>
        </is>
      </c>
      <c r="K145" t="inlineStr">
        <is>
          <t>Weekly_Oil_Bulletin_Prices_History_maticni_4web.xlsx</t>
        </is>
      </c>
      <c r="L145" t="inlineStr">
        <is>
          <t>precio antes de la bonificación de 20 c€/l (RDL 6/2022), que el Boletín no descuenta</t>
        </is>
      </c>
    </row>
    <row r="146">
      <c r="A146" s="53" t="n">
        <v>44865</v>
      </c>
      <c r="B146" t="inlineStr">
        <is>
          <t>2022-10-31</t>
        </is>
      </c>
      <c r="C146" s="45" t="n">
        <v>1.41815</v>
      </c>
      <c r="D146" t="inlineStr">
        <is>
          <t>€/l</t>
        </is>
      </c>
      <c r="E146" s="54" t="n">
        <v>0.104602</v>
      </c>
      <c r="F146" s="54" t="n">
        <v>0.137952</v>
      </c>
      <c r="G146" t="inlineStr">
        <is>
          <t>original (el Boletín publica con y sin impuestos)</t>
        </is>
      </c>
      <c r="H146" t="inlineStr">
        <is>
          <t>IVA e impuesto sobre hidrocarburos incluidos por la fuente</t>
        </is>
      </c>
      <c r="K146" t="inlineStr">
        <is>
          <t>Weekly_Oil_Bulletin_Prices_History_maticni_4web.xlsx</t>
        </is>
      </c>
      <c r="L146" t="inlineStr">
        <is>
          <t>precio antes de la bonificación de 20 c€/l (RDL 6/2022), que el Boletín no descuenta</t>
        </is>
      </c>
    </row>
    <row r="147">
      <c r="A147" s="53" t="n">
        <v>44872</v>
      </c>
      <c r="B147" t="inlineStr">
        <is>
          <t>2022-11-07</t>
        </is>
      </c>
      <c r="C147" s="45" t="n">
        <v>1.39363</v>
      </c>
      <c r="D147" t="inlineStr">
        <is>
          <t>€/l</t>
        </is>
      </c>
      <c r="E147" s="54" t="n">
        <v>0.102631</v>
      </c>
      <c r="F147" s="54" t="n">
        <v>0.135567</v>
      </c>
      <c r="G147" t="inlineStr">
        <is>
          <t>original (el Boletín publica con y sin impuestos)</t>
        </is>
      </c>
      <c r="H147" t="inlineStr">
        <is>
          <t>IVA e impuesto sobre hidrocarburos incluidos por la fuente</t>
        </is>
      </c>
      <c r="K147" t="inlineStr">
        <is>
          <t>Weekly_Oil_Bulletin_Prices_History_maticni_4web.xlsx</t>
        </is>
      </c>
      <c r="L147" t="inlineStr">
        <is>
          <t>precio antes de la bonificación de 20 c€/l (RDL 6/2022), que el Boletín no descuenta</t>
        </is>
      </c>
    </row>
    <row r="148">
      <c r="A148" s="53" t="n">
        <v>44879</v>
      </c>
      <c r="B148" t="inlineStr">
        <is>
          <t>2022-11-14</t>
        </is>
      </c>
      <c r="C148" s="45" t="n">
        <v>1.37473</v>
      </c>
      <c r="D148" t="inlineStr">
        <is>
          <t>€/l</t>
        </is>
      </c>
      <c r="E148" s="54" t="n">
        <v>0.101112</v>
      </c>
      <c r="F148" s="54" t="n">
        <v>0.133729</v>
      </c>
      <c r="G148" t="inlineStr">
        <is>
          <t>original (el Boletín publica con y sin impuestos)</t>
        </is>
      </c>
      <c r="H148" t="inlineStr">
        <is>
          <t>IVA e impuesto sobre hidrocarburos incluidos por la fuente</t>
        </is>
      </c>
      <c r="K148" t="inlineStr">
        <is>
          <t>Weekly_Oil_Bulletin_Prices_History_maticni_4web.xlsx</t>
        </is>
      </c>
      <c r="L148" t="inlineStr">
        <is>
          <t>precio antes de la bonificación de 20 c€/l (RDL 6/2022), que el Boletín no descuenta</t>
        </is>
      </c>
    </row>
    <row r="149">
      <c r="A149" s="53" t="n">
        <v>44886</v>
      </c>
      <c r="B149" t="inlineStr">
        <is>
          <t>2022-11-21</t>
        </is>
      </c>
      <c r="C149" s="45" t="n">
        <v>1.29361</v>
      </c>
      <c r="D149" t="inlineStr">
        <is>
          <t>€/l</t>
        </is>
      </c>
      <c r="E149" s="54" t="n">
        <v>0.09458999999999999</v>
      </c>
      <c r="F149" s="54" t="n">
        <v>0.125838</v>
      </c>
      <c r="G149" t="inlineStr">
        <is>
          <t>original (el Boletín publica con y sin impuestos)</t>
        </is>
      </c>
      <c r="H149" t="inlineStr">
        <is>
          <t>IVA e impuesto sobre hidrocarburos incluidos por la fuente</t>
        </is>
      </c>
      <c r="K149" t="inlineStr">
        <is>
          <t>Weekly_Oil_Bulletin_Prices_History_maticni_4web.xlsx</t>
        </is>
      </c>
      <c r="L149" t="inlineStr">
        <is>
          <t>precio antes de la bonificación de 20 c€/l (RDL 6/2022), que el Boletín no descuenta</t>
        </is>
      </c>
    </row>
    <row r="150">
      <c r="A150" s="53" t="n">
        <v>44893</v>
      </c>
      <c r="B150" t="inlineStr">
        <is>
          <t>2022-11-28</t>
        </is>
      </c>
      <c r="C150" s="45" t="n">
        <v>1.26091</v>
      </c>
      <c r="D150" t="inlineStr">
        <is>
          <t>€/l</t>
        </is>
      </c>
      <c r="E150" s="54" t="n">
        <v>0.091961</v>
      </c>
      <c r="F150" s="54" t="n">
        <v>0.122657</v>
      </c>
      <c r="G150" t="inlineStr">
        <is>
          <t>original (el Boletín publica con y sin impuestos)</t>
        </is>
      </c>
      <c r="H150" t="inlineStr">
        <is>
          <t>IVA e impuesto sobre hidrocarburos incluidos por la fuente</t>
        </is>
      </c>
      <c r="K150" t="inlineStr">
        <is>
          <t>Weekly_Oil_Bulletin_Prices_History_maticni_4web.xlsx</t>
        </is>
      </c>
      <c r="L150" t="inlineStr">
        <is>
          <t>precio antes de la bonificación de 20 c€/l (RDL 6/2022), que el Boletín no descuenta</t>
        </is>
      </c>
    </row>
    <row r="151">
      <c r="A151" s="53" t="n">
        <v>44900</v>
      </c>
      <c r="B151" t="inlineStr">
        <is>
          <t>2022-12-05</t>
        </is>
      </c>
      <c r="C151" s="45" t="n">
        <v>1.21915</v>
      </c>
      <c r="D151" t="inlineStr">
        <is>
          <t>€/l</t>
        </is>
      </c>
      <c r="E151" s="54" t="n">
        <v>0.088604</v>
      </c>
      <c r="F151" s="54" t="n">
        <v>0.118594</v>
      </c>
      <c r="G151" t="inlineStr">
        <is>
          <t>original (el Boletín publica con y sin impuestos)</t>
        </is>
      </c>
      <c r="H151" t="inlineStr">
        <is>
          <t>IVA e impuesto sobre hidrocarburos incluidos por la fuente</t>
        </is>
      </c>
      <c r="K151" t="inlineStr">
        <is>
          <t>Weekly_Oil_Bulletin_Prices_History_maticni_4web.xlsx</t>
        </is>
      </c>
      <c r="L151" t="inlineStr">
        <is>
          <t>precio antes de la bonificación de 20 c€/l (RDL 6/2022), que el Boletín no descuenta</t>
        </is>
      </c>
    </row>
    <row r="152">
      <c r="A152" s="53" t="n">
        <v>44907</v>
      </c>
      <c r="B152" t="inlineStr">
        <is>
          <t>2022-12-12</t>
        </is>
      </c>
      <c r="C152" s="45" t="n">
        <v>1.16563</v>
      </c>
      <c r="D152" t="inlineStr">
        <is>
          <t>€/l</t>
        </is>
      </c>
      <c r="E152" s="54" t="n">
        <v>0.084302</v>
      </c>
      <c r="F152" s="54" t="n">
        <v>0.113388</v>
      </c>
      <c r="G152" t="inlineStr">
        <is>
          <t>original (el Boletín publica con y sin impuestos)</t>
        </is>
      </c>
      <c r="H152" t="inlineStr">
        <is>
          <t>IVA e impuesto sobre hidrocarburos incluidos por la fuente</t>
        </is>
      </c>
      <c r="K152" t="inlineStr">
        <is>
          <t>Weekly_Oil_Bulletin_Prices_History_maticni_4web.xlsx</t>
        </is>
      </c>
      <c r="L152" t="inlineStr">
        <is>
          <t>precio antes de la bonificación de 20 c€/l (RDL 6/2022), que el Boletín no descuenta</t>
        </is>
      </c>
    </row>
    <row r="153">
      <c r="A153" s="53" t="n">
        <v>44914</v>
      </c>
      <c r="B153" t="inlineStr">
        <is>
          <t>2022-12-19</t>
        </is>
      </c>
      <c r="C153" s="45" t="n">
        <v>1.15579</v>
      </c>
      <c r="D153" t="inlineStr">
        <is>
          <t>€/l</t>
        </is>
      </c>
      <c r="E153" s="54" t="n">
        <v>0.083511</v>
      </c>
      <c r="F153" s="54" t="n">
        <v>0.112431</v>
      </c>
      <c r="G153" t="inlineStr">
        <is>
          <t>original (el Boletín publica con y sin impuestos)</t>
        </is>
      </c>
      <c r="H153" t="inlineStr">
        <is>
          <t>IVA e impuesto sobre hidrocarburos incluidos por la fuente</t>
        </is>
      </c>
      <c r="K153" t="inlineStr">
        <is>
          <t>Weekly_Oil_Bulletin_Prices_History_maticni_4web.xlsx</t>
        </is>
      </c>
      <c r="L153" t="inlineStr">
        <is>
          <t>precio antes de la bonificación de 20 c€/l (RDL 6/2022), que el Boletín no descuenta</t>
        </is>
      </c>
    </row>
    <row r="154">
      <c r="A154" s="53" t="n">
        <v>44921</v>
      </c>
      <c r="B154" t="inlineStr">
        <is>
          <t>2022-12-26</t>
        </is>
      </c>
      <c r="C154" s="45" t="n">
        <v>1.13629</v>
      </c>
      <c r="D154" t="inlineStr">
        <is>
          <t>€/l</t>
        </is>
      </c>
      <c r="E154" s="54" t="n">
        <v>0.081943</v>
      </c>
      <c r="F154" s="54" t="n">
        <v>0.110534</v>
      </c>
      <c r="G154" t="inlineStr">
        <is>
          <t>original (el Boletín publica con y sin impuestos)</t>
        </is>
      </c>
      <c r="H154" t="inlineStr">
        <is>
          <t>IVA e impuesto sobre hidrocarburos incluidos por la fuente</t>
        </is>
      </c>
      <c r="K154" t="inlineStr">
        <is>
          <t>Weekly_Oil_Bulletin_Prices_History_maticni_4web.xlsx</t>
        </is>
      </c>
      <c r="L154" t="inlineStr">
        <is>
          <t>precio antes de la bonificación de 20 c€/l (RDL 6/2022), que el Boletín no descuenta</t>
        </is>
      </c>
    </row>
    <row r="155">
      <c r="A155" s="53" t="n">
        <v>44928</v>
      </c>
      <c r="B155" t="inlineStr">
        <is>
          <t>2023-01-02</t>
        </is>
      </c>
      <c r="C155" s="45" t="n">
        <v>1.18091</v>
      </c>
      <c r="D155" t="inlineStr">
        <is>
          <t>€/l</t>
        </is>
      </c>
      <c r="E155" s="54" t="n">
        <v>0.08552999999999999</v>
      </c>
      <c r="F155" s="54" t="n">
        <v>0.114875</v>
      </c>
      <c r="G155" t="inlineStr">
        <is>
          <t>original (el Boletín publica con y sin impuestos)</t>
        </is>
      </c>
      <c r="H155" t="inlineStr">
        <is>
          <t>IVA e impuesto sobre hidrocarburos incluidos por la fuente</t>
        </is>
      </c>
      <c r="K155" t="inlineStr">
        <is>
          <t>Weekly_Oil_Bulletin_Prices_History_maticni_4web.xlsx</t>
        </is>
      </c>
    </row>
    <row r="156">
      <c r="A156" s="53" t="n">
        <v>44935</v>
      </c>
      <c r="B156" t="inlineStr">
        <is>
          <t>2023-01-09</t>
        </is>
      </c>
      <c r="C156" s="45" t="n">
        <v>1.19221</v>
      </c>
      <c r="D156" t="inlineStr">
        <is>
          <t>€/l</t>
        </is>
      </c>
      <c r="E156" s="54" t="n">
        <v>0.086439</v>
      </c>
      <c r="F156" s="54" t="n">
        <v>0.115974</v>
      </c>
      <c r="G156" t="inlineStr">
        <is>
          <t>original (el Boletín publica con y sin impuestos)</t>
        </is>
      </c>
      <c r="H156" t="inlineStr">
        <is>
          <t>IVA e impuesto sobre hidrocarburos incluidos por la fuente</t>
        </is>
      </c>
      <c r="K156" t="inlineStr">
        <is>
          <t>Weekly_Oil_Bulletin_Prices_History_maticni_4web.xlsx</t>
        </is>
      </c>
    </row>
    <row r="157">
      <c r="A157" s="53" t="n">
        <v>44942</v>
      </c>
      <c r="B157" t="inlineStr">
        <is>
          <t>2023-01-16</t>
        </is>
      </c>
      <c r="C157" s="45" t="n">
        <v>1.16273</v>
      </c>
      <c r="D157" t="inlineStr">
        <is>
          <t>€/l</t>
        </is>
      </c>
      <c r="E157" s="54" t="n">
        <v>0.084068</v>
      </c>
      <c r="F157" s="54" t="n">
        <v>0.113106</v>
      </c>
      <c r="G157" t="inlineStr">
        <is>
          <t>original (el Boletín publica con y sin impuestos)</t>
        </is>
      </c>
      <c r="H157" t="inlineStr">
        <is>
          <t>IVA e impuesto sobre hidrocarburos incluidos por la fuente</t>
        </is>
      </c>
      <c r="K157" t="inlineStr">
        <is>
          <t>Weekly_Oil_Bulletin_Prices_History_maticni_4web.xlsx</t>
        </is>
      </c>
    </row>
    <row r="158">
      <c r="A158" s="53" t="n">
        <v>44949</v>
      </c>
      <c r="B158" t="inlineStr">
        <is>
          <t>2023-01-23</t>
        </is>
      </c>
      <c r="C158" s="45" t="n">
        <v>1.15649</v>
      </c>
      <c r="D158" t="inlineStr">
        <is>
          <t>€/l</t>
        </is>
      </c>
      <c r="E158" s="54" t="n">
        <v>0.083567</v>
      </c>
      <c r="F158" s="54" t="n">
        <v>0.112499</v>
      </c>
      <c r="G158" t="inlineStr">
        <is>
          <t>original (el Boletín publica con y sin impuestos)</t>
        </is>
      </c>
      <c r="H158" t="inlineStr">
        <is>
          <t>IVA e impuesto sobre hidrocarburos incluidos por la fuente</t>
        </is>
      </c>
      <c r="K158" t="inlineStr">
        <is>
          <t>Weekly_Oil_Bulletin_Prices_History_maticni_4web.xlsx</t>
        </is>
      </c>
    </row>
    <row r="159">
      <c r="A159" s="53" t="n">
        <v>44956</v>
      </c>
      <c r="B159" t="inlineStr">
        <is>
          <t>2023-01-30</t>
        </is>
      </c>
      <c r="C159" s="45" t="n">
        <v>1.16875</v>
      </c>
      <c r="D159" t="inlineStr">
        <is>
          <t>€/l</t>
        </is>
      </c>
      <c r="E159" s="54" t="n">
        <v>0.084553</v>
      </c>
      <c r="F159" s="54" t="n">
        <v>0.113692</v>
      </c>
      <c r="G159" t="inlineStr">
        <is>
          <t>original (el Boletín publica con y sin impuestos)</t>
        </is>
      </c>
      <c r="H159" t="inlineStr">
        <is>
          <t>IVA e impuesto sobre hidrocarburos incluidos por la fuente</t>
        </is>
      </c>
      <c r="K159" t="inlineStr">
        <is>
          <t>Weekly_Oil_Bulletin_Prices_History_maticni_4web.xlsx</t>
        </is>
      </c>
    </row>
    <row r="160">
      <c r="A160" s="53" t="n">
        <v>44963</v>
      </c>
      <c r="B160" t="inlineStr">
        <is>
          <t>2023-02-06</t>
        </is>
      </c>
      <c r="C160" s="45" t="n">
        <v>1.11096</v>
      </c>
      <c r="D160" t="inlineStr">
        <is>
          <t>€/l</t>
        </is>
      </c>
      <c r="E160" s="54" t="n">
        <v>0.07990700000000001</v>
      </c>
      <c r="F160" s="54" t="n">
        <v>0.10807</v>
      </c>
      <c r="G160" t="inlineStr">
        <is>
          <t>original (el Boletín publica con y sin impuestos)</t>
        </is>
      </c>
      <c r="H160" t="inlineStr">
        <is>
          <t>IVA e impuesto sobre hidrocarburos incluidos por la fuente</t>
        </is>
      </c>
      <c r="K160" t="inlineStr">
        <is>
          <t>Weekly_Oil_Bulletin_Prices_History_maticni_4web.xlsx</t>
        </is>
      </c>
    </row>
    <row r="161">
      <c r="A161" s="53" t="n">
        <v>44970</v>
      </c>
      <c r="B161" t="inlineStr">
        <is>
          <t>2023-02-13</t>
        </is>
      </c>
      <c r="C161" s="45" t="n">
        <v>1.09291</v>
      </c>
      <c r="D161" t="inlineStr">
        <is>
          <t>€/l</t>
        </is>
      </c>
      <c r="E161" s="54" t="n">
        <v>0.078455</v>
      </c>
      <c r="F161" s="54" t="n">
        <v>0.106314</v>
      </c>
      <c r="G161" t="inlineStr">
        <is>
          <t>original (el Boletín publica con y sin impuestos)</t>
        </is>
      </c>
      <c r="H161" t="inlineStr">
        <is>
          <t>IVA e impuesto sobre hidrocarburos incluidos por la fuente</t>
        </is>
      </c>
      <c r="K161" t="inlineStr">
        <is>
          <t>Weekly_Oil_Bulletin_Prices_History_maticni_4web.xlsx</t>
        </is>
      </c>
    </row>
    <row r="162">
      <c r="A162" s="53" t="n">
        <v>44977</v>
      </c>
      <c r="B162" t="inlineStr">
        <is>
          <t>2023-02-20</t>
        </is>
      </c>
      <c r="C162" s="45" t="n">
        <v>1.09651</v>
      </c>
      <c r="D162" t="inlineStr">
        <is>
          <t>€/l</t>
        </is>
      </c>
      <c r="E162" s="54" t="n">
        <v>0.078745</v>
      </c>
      <c r="F162" s="54" t="n">
        <v>0.106664</v>
      </c>
      <c r="G162" t="inlineStr">
        <is>
          <t>original (el Boletín publica con y sin impuestos)</t>
        </is>
      </c>
      <c r="H162" t="inlineStr">
        <is>
          <t>IVA e impuesto sobre hidrocarburos incluidos por la fuente</t>
        </is>
      </c>
      <c r="K162" t="inlineStr">
        <is>
          <t>Weekly_Oil_Bulletin_Prices_History_maticni_4web.xlsx</t>
        </is>
      </c>
    </row>
    <row r="163">
      <c r="A163" s="53" t="n">
        <v>44984</v>
      </c>
      <c r="B163" t="inlineStr">
        <is>
          <t>2023-02-27</t>
        </is>
      </c>
      <c r="C163" s="45" t="n">
        <v>1.07139</v>
      </c>
      <c r="D163" t="inlineStr">
        <is>
          <t>€/l</t>
        </is>
      </c>
      <c r="E163" s="54" t="n">
        <v>0.076726</v>
      </c>
      <c r="F163" s="54" t="n">
        <v>0.104221</v>
      </c>
      <c r="G163" t="inlineStr">
        <is>
          <t>original (el Boletín publica con y sin impuestos)</t>
        </is>
      </c>
      <c r="H163" t="inlineStr">
        <is>
          <t>IVA e impuesto sobre hidrocarburos incluidos por la fuente</t>
        </is>
      </c>
      <c r="K163" t="inlineStr">
        <is>
          <t>Weekly_Oil_Bulletin_Prices_History_maticni_4web.xlsx</t>
        </is>
      </c>
    </row>
    <row r="164">
      <c r="A164" s="53" t="n">
        <v>44991</v>
      </c>
      <c r="B164" t="inlineStr">
        <is>
          <t>2023-03-06</t>
        </is>
      </c>
      <c r="C164" s="45" t="n">
        <v>1.09768</v>
      </c>
      <c r="D164" t="inlineStr">
        <is>
          <t>€/l</t>
        </is>
      </c>
      <c r="E164" s="54" t="n">
        <v>0.07883900000000001</v>
      </c>
      <c r="F164" s="54" t="n">
        <v>0.106778</v>
      </c>
      <c r="G164" t="inlineStr">
        <is>
          <t>original (el Boletín publica con y sin impuestos)</t>
        </is>
      </c>
      <c r="H164" t="inlineStr">
        <is>
          <t>IVA e impuesto sobre hidrocarburos incluidos por la fuente</t>
        </is>
      </c>
      <c r="K164" t="inlineStr">
        <is>
          <t>Weekly_Oil_Bulletin_Prices_History_maticni_4web.xlsx</t>
        </is>
      </c>
    </row>
    <row r="165">
      <c r="A165" s="53" t="n">
        <v>44998</v>
      </c>
      <c r="B165" t="inlineStr">
        <is>
          <t>2023-03-13</t>
        </is>
      </c>
      <c r="C165" s="45" t="n">
        <v>1.08547</v>
      </c>
      <c r="D165" t="inlineStr">
        <is>
          <t>€/l</t>
        </is>
      </c>
      <c r="E165" s="54" t="n">
        <v>0.077857</v>
      </c>
      <c r="F165" s="54" t="n">
        <v>0.10559</v>
      </c>
      <c r="G165" t="inlineStr">
        <is>
          <t>original (el Boletín publica con y sin impuestos)</t>
        </is>
      </c>
      <c r="H165" t="inlineStr">
        <is>
          <t>IVA e impuesto sobre hidrocarburos incluidos por la fuente</t>
        </is>
      </c>
      <c r="K165" t="inlineStr">
        <is>
          <t>Weekly_Oil_Bulletin_Prices_History_maticni_4web.xlsx</t>
        </is>
      </c>
    </row>
    <row r="166">
      <c r="A166" s="53" t="n">
        <v>45005</v>
      </c>
      <c r="B166" t="inlineStr">
        <is>
          <t>2023-03-20</t>
        </is>
      </c>
      <c r="C166" s="45" t="n">
        <v>1.05801</v>
      </c>
      <c r="D166" t="inlineStr">
        <is>
          <t>€/l</t>
        </is>
      </c>
      <c r="E166" s="54" t="n">
        <v>0.07565</v>
      </c>
      <c r="F166" s="54" t="n">
        <v>0.102919</v>
      </c>
      <c r="G166" t="inlineStr">
        <is>
          <t>original (el Boletín publica con y sin impuestos)</t>
        </is>
      </c>
      <c r="H166" t="inlineStr">
        <is>
          <t>IVA e impuesto sobre hidrocarburos incluidos por la fuente</t>
        </is>
      </c>
      <c r="K166" t="inlineStr">
        <is>
          <t>Weekly_Oil_Bulletin_Prices_History_maticni_4web.xlsx</t>
        </is>
      </c>
    </row>
    <row r="167">
      <c r="A167" s="53" t="n">
        <v>45012</v>
      </c>
      <c r="B167" t="inlineStr">
        <is>
          <t>2023-03-27</t>
        </is>
      </c>
      <c r="C167" s="45" t="n">
        <v>1.03832</v>
      </c>
      <c r="D167" t="inlineStr">
        <is>
          <t>€/l</t>
        </is>
      </c>
      <c r="E167" s="54" t="n">
        <v>0.07406699999999999</v>
      </c>
      <c r="F167" s="54" t="n">
        <v>0.101004</v>
      </c>
      <c r="G167" t="inlineStr">
        <is>
          <t>original (el Boletín publica con y sin impuestos)</t>
        </is>
      </c>
      <c r="H167" t="inlineStr">
        <is>
          <t>IVA e impuesto sobre hidrocarburos incluidos por la fuente</t>
        </is>
      </c>
      <c r="K167" t="inlineStr">
        <is>
          <t>Weekly_Oil_Bulletin_Prices_History_maticni_4web.xlsx</t>
        </is>
      </c>
    </row>
    <row r="168">
      <c r="A168" s="53" t="n">
        <v>45019</v>
      </c>
      <c r="B168" t="inlineStr">
        <is>
          <t>2023-04-03</t>
        </is>
      </c>
      <c r="C168" s="45" t="n">
        <v>1.02077</v>
      </c>
      <c r="D168" t="inlineStr">
        <is>
          <t>€/l</t>
        </is>
      </c>
      <c r="E168" s="54" t="n">
        <v>0.072656</v>
      </c>
      <c r="F168" s="54" t="n">
        <v>0.099297</v>
      </c>
      <c r="G168" t="inlineStr">
        <is>
          <t>original (el Boletín publica con y sin impuestos)</t>
        </is>
      </c>
      <c r="H168" t="inlineStr">
        <is>
          <t>IVA e impuesto sobre hidrocarburos incluidos por la fuente</t>
        </is>
      </c>
      <c r="K168" t="inlineStr">
        <is>
          <t>Weekly_Oil_Bulletin_Prices_History_maticni_4web.xlsx</t>
        </is>
      </c>
    </row>
    <row r="169">
      <c r="A169" s="53" t="n">
        <v>45026</v>
      </c>
      <c r="B169" t="inlineStr">
        <is>
          <t>2023-04-10</t>
        </is>
      </c>
      <c r="C169" s="45" t="n">
        <v>1.0106</v>
      </c>
      <c r="D169" t="inlineStr">
        <is>
          <t>€/l</t>
        </is>
      </c>
      <c r="E169" s="54" t="n">
        <v>0.071839</v>
      </c>
      <c r="F169" s="54" t="n">
        <v>0.09830700000000001</v>
      </c>
      <c r="G169" t="inlineStr">
        <is>
          <t>original (el Boletín publica con y sin impuestos)</t>
        </is>
      </c>
      <c r="H169" t="inlineStr">
        <is>
          <t>IVA e impuesto sobre hidrocarburos incluidos por la fuente</t>
        </is>
      </c>
      <c r="K169" t="inlineStr">
        <is>
          <t>Weekly_Oil_Bulletin_Prices_History_maticni_4web.xlsx</t>
        </is>
      </c>
    </row>
    <row r="170">
      <c r="A170" s="53" t="n">
        <v>45033</v>
      </c>
      <c r="B170" t="inlineStr">
        <is>
          <t>2023-04-17</t>
        </is>
      </c>
      <c r="C170" s="45" t="n">
        <v>1.01488</v>
      </c>
      <c r="D170" t="inlineStr">
        <is>
          <t>€/l</t>
        </is>
      </c>
      <c r="E170" s="54" t="n">
        <v>0.072182</v>
      </c>
      <c r="F170" s="54" t="n">
        <v>0.09872400000000001</v>
      </c>
      <c r="G170" t="inlineStr">
        <is>
          <t>original (el Boletín publica con y sin impuestos)</t>
        </is>
      </c>
      <c r="H170" t="inlineStr">
        <is>
          <t>IVA e impuesto sobre hidrocarburos incluidos por la fuente</t>
        </is>
      </c>
      <c r="K170" t="inlineStr">
        <is>
          <t>Weekly_Oil_Bulletin_Prices_History_maticni_4web.xlsx</t>
        </is>
      </c>
    </row>
    <row r="171">
      <c r="A171" s="53" t="n">
        <v>45040</v>
      </c>
      <c r="B171" t="inlineStr">
        <is>
          <t>2023-04-24</t>
        </is>
      </c>
      <c r="C171" s="45" t="n">
        <v>0.98125</v>
      </c>
      <c r="D171" t="inlineStr">
        <is>
          <t>€/l</t>
        </is>
      </c>
      <c r="E171" s="54" t="n">
        <v>0.069479</v>
      </c>
      <c r="F171" s="54" t="n">
        <v>0.095452</v>
      </c>
      <c r="G171" t="inlineStr">
        <is>
          <t>original (el Boletín publica con y sin impuestos)</t>
        </is>
      </c>
      <c r="H171" t="inlineStr">
        <is>
          <t>IVA e impuesto sobre hidrocarburos incluidos por la fuente</t>
        </is>
      </c>
      <c r="K171" t="inlineStr">
        <is>
          <t>Weekly_Oil_Bulletin_Prices_History_maticni_4web.xlsx</t>
        </is>
      </c>
    </row>
    <row r="172">
      <c r="A172" s="53" t="n">
        <v>45047</v>
      </c>
      <c r="B172" t="inlineStr">
        <is>
          <t>2023-05-01</t>
        </is>
      </c>
      <c r="C172" s="45" t="n">
        <v>0.9556</v>
      </c>
      <c r="D172" t="inlineStr">
        <is>
          <t>€/l</t>
        </is>
      </c>
      <c r="E172" s="54" t="n">
        <v>0.067416</v>
      </c>
      <c r="F172" s="54" t="n">
        <v>0.092957</v>
      </c>
      <c r="G172" t="inlineStr">
        <is>
          <t>original (el Boletín publica con y sin impuestos)</t>
        </is>
      </c>
      <c r="H172" t="inlineStr">
        <is>
          <t>IVA e impuesto sobre hidrocarburos incluidos por la fuente</t>
        </is>
      </c>
      <c r="K172" t="inlineStr">
        <is>
          <t>Weekly_Oil_Bulletin_Prices_History_maticni_4web.xlsx</t>
        </is>
      </c>
    </row>
    <row r="173">
      <c r="A173" s="53" t="n">
        <v>45054</v>
      </c>
      <c r="B173" t="inlineStr">
        <is>
          <t>2023-05-08</t>
        </is>
      </c>
      <c r="C173" s="45" t="n">
        <v>0.91411</v>
      </c>
      <c r="D173" t="inlineStr">
        <is>
          <t>€/l</t>
        </is>
      </c>
      <c r="E173" s="54" t="n">
        <v>0.064081</v>
      </c>
      <c r="F173" s="54" t="n">
        <v>0.088921</v>
      </c>
      <c r="G173" t="inlineStr">
        <is>
          <t>original (el Boletín publica con y sin impuestos)</t>
        </is>
      </c>
      <c r="H173" t="inlineStr">
        <is>
          <t>IVA e impuesto sobre hidrocarburos incluidos por la fuente</t>
        </is>
      </c>
      <c r="K173" t="inlineStr">
        <is>
          <t>Weekly_Oil_Bulletin_Prices_History_maticni_4web.xlsx</t>
        </is>
      </c>
    </row>
    <row r="174">
      <c r="A174" s="53" t="n">
        <v>45061</v>
      </c>
      <c r="B174" t="inlineStr">
        <is>
          <t>2023-05-15</t>
        </is>
      </c>
      <c r="C174" s="45" t="n">
        <v>0.91818</v>
      </c>
      <c r="D174" t="inlineStr">
        <is>
          <t>€/l</t>
        </is>
      </c>
      <c r="E174" s="54" t="n">
        <v>0.06440899999999999</v>
      </c>
      <c r="F174" s="54" t="n">
        <v>0.08931699999999999</v>
      </c>
      <c r="G174" t="inlineStr">
        <is>
          <t>original (el Boletín publica con y sin impuestos)</t>
        </is>
      </c>
      <c r="H174" t="inlineStr">
        <is>
          <t>IVA e impuesto sobre hidrocarburos incluidos por la fuente</t>
        </is>
      </c>
      <c r="K174" t="inlineStr">
        <is>
          <t>Weekly_Oil_Bulletin_Prices_History_maticni_4web.xlsx</t>
        </is>
      </c>
    </row>
    <row r="175">
      <c r="A175" s="53" t="n">
        <v>45068</v>
      </c>
      <c r="B175" t="inlineStr">
        <is>
          <t>2023-05-22</t>
        </is>
      </c>
      <c r="C175" s="45" t="n">
        <v>0.92173</v>
      </c>
      <c r="D175" t="inlineStr">
        <is>
          <t>€/l</t>
        </is>
      </c>
      <c r="E175" s="54" t="n">
        <v>0.064694</v>
      </c>
      <c r="F175" s="54" t="n">
        <v>0.08966200000000001</v>
      </c>
      <c r="G175" t="inlineStr">
        <is>
          <t>original (el Boletín publica con y sin impuestos)</t>
        </is>
      </c>
      <c r="H175" t="inlineStr">
        <is>
          <t>IVA e impuesto sobre hidrocarburos incluidos por la fuente</t>
        </is>
      </c>
      <c r="K175" t="inlineStr">
        <is>
          <t>Weekly_Oil_Bulletin_Prices_History_maticni_4web.xlsx</t>
        </is>
      </c>
    </row>
    <row r="176">
      <c r="A176" s="53" t="n">
        <v>45075</v>
      </c>
      <c r="B176" t="inlineStr">
        <is>
          <t>2023-05-29</t>
        </is>
      </c>
      <c r="C176" s="45" t="n">
        <v>0.91759</v>
      </c>
      <c r="D176" t="inlineStr">
        <is>
          <t>€/l</t>
        </is>
      </c>
      <c r="E176" s="54" t="n">
        <v>0.064361</v>
      </c>
      <c r="F176" s="54" t="n">
        <v>0.08926000000000001</v>
      </c>
      <c r="G176" t="inlineStr">
        <is>
          <t>original (el Boletín publica con y sin impuestos)</t>
        </is>
      </c>
      <c r="H176" t="inlineStr">
        <is>
          <t>IVA e impuesto sobre hidrocarburos incluidos por la fuente</t>
        </is>
      </c>
      <c r="K176" t="inlineStr">
        <is>
          <t>Weekly_Oil_Bulletin_Prices_History_maticni_4web.xlsx</t>
        </is>
      </c>
    </row>
    <row r="177">
      <c r="A177" s="53" t="n">
        <v>45082</v>
      </c>
      <c r="B177" t="inlineStr">
        <is>
          <t>2023-06-05</t>
        </is>
      </c>
      <c r="C177" s="45" t="n">
        <v>0.9093599999999999</v>
      </c>
      <c r="D177" t="inlineStr">
        <is>
          <t>€/l</t>
        </is>
      </c>
      <c r="E177" s="54" t="n">
        <v>0.06369900000000001</v>
      </c>
      <c r="F177" s="54" t="n">
        <v>0.088459</v>
      </c>
      <c r="G177" t="inlineStr">
        <is>
          <t>original (el Boletín publica con y sin impuestos)</t>
        </is>
      </c>
      <c r="H177" t="inlineStr">
        <is>
          <t>IVA e impuesto sobre hidrocarburos incluidos por la fuente</t>
        </is>
      </c>
      <c r="K177" t="inlineStr">
        <is>
          <t>Weekly_Oil_Bulletin_Prices_History_maticni_4web.xlsx</t>
        </is>
      </c>
    </row>
    <row r="178">
      <c r="A178" s="53" t="n">
        <v>45089</v>
      </c>
      <c r="B178" t="inlineStr">
        <is>
          <t>2023-06-12</t>
        </is>
      </c>
      <c r="C178" s="45" t="n">
        <v>0.92955</v>
      </c>
      <c r="D178" t="inlineStr">
        <is>
          <t>€/l</t>
        </is>
      </c>
      <c r="E178" s="54" t="n">
        <v>0.06532200000000001</v>
      </c>
      <c r="F178" s="54" t="n">
        <v>0.090423</v>
      </c>
      <c r="G178" t="inlineStr">
        <is>
          <t>original (el Boletín publica con y sin impuestos)</t>
        </is>
      </c>
      <c r="H178" t="inlineStr">
        <is>
          <t>IVA e impuesto sobre hidrocarburos incluidos por la fuente</t>
        </is>
      </c>
      <c r="K178" t="inlineStr">
        <is>
          <t>Weekly_Oil_Bulletin_Prices_History_maticni_4web.xlsx</t>
        </is>
      </c>
    </row>
    <row r="179">
      <c r="A179" s="53" t="n">
        <v>45096</v>
      </c>
      <c r="B179" t="inlineStr">
        <is>
          <t>2023-06-19</t>
        </is>
      </c>
      <c r="C179" s="45" t="n">
        <v>0.93464</v>
      </c>
      <c r="D179" t="inlineStr">
        <is>
          <t>€/l</t>
        </is>
      </c>
      <c r="E179" s="54" t="n">
        <v>0.065732</v>
      </c>
      <c r="F179" s="54" t="n">
        <v>0.090918</v>
      </c>
      <c r="G179" t="inlineStr">
        <is>
          <t>original (el Boletín publica con y sin impuestos)</t>
        </is>
      </c>
      <c r="H179" t="inlineStr">
        <is>
          <t>IVA e impuesto sobre hidrocarburos incluidos por la fuente</t>
        </is>
      </c>
      <c r="K179" t="inlineStr">
        <is>
          <t>Weekly_Oil_Bulletin_Prices_History_maticni_4web.xlsx</t>
        </is>
      </c>
    </row>
    <row r="180">
      <c r="A180" s="53" t="n">
        <v>45103</v>
      </c>
      <c r="B180" t="inlineStr">
        <is>
          <t>2023-06-26</t>
        </is>
      </c>
      <c r="C180" s="45" t="n">
        <v>0.9337299999999999</v>
      </c>
      <c r="D180" t="inlineStr">
        <is>
          <t>€/l</t>
        </is>
      </c>
      <c r="E180" s="54" t="n">
        <v>0.065659</v>
      </c>
      <c r="F180" s="54" t="n">
        <v>0.09082999999999999</v>
      </c>
      <c r="G180" t="inlineStr">
        <is>
          <t>original (el Boletín publica con y sin impuestos)</t>
        </is>
      </c>
      <c r="H180" t="inlineStr">
        <is>
          <t>IVA e impuesto sobre hidrocarburos incluidos por la fuente</t>
        </is>
      </c>
      <c r="K180" t="inlineStr">
        <is>
          <t>Weekly_Oil_Bulletin_Prices_History_maticni_4web.xlsx</t>
        </is>
      </c>
    </row>
    <row r="181">
      <c r="A181" s="53" t="n">
        <v>45110</v>
      </c>
      <c r="B181" t="inlineStr">
        <is>
          <t>2023-07-03</t>
        </is>
      </c>
      <c r="C181" s="45" t="n">
        <v>0.91849</v>
      </c>
      <c r="D181" t="inlineStr">
        <is>
          <t>€/l</t>
        </is>
      </c>
      <c r="E181" s="54" t="n">
        <v>0.064433</v>
      </c>
      <c r="F181" s="54" t="n">
        <v>0.089347</v>
      </c>
      <c r="G181" t="inlineStr">
        <is>
          <t>original (el Boletín publica con y sin impuestos)</t>
        </is>
      </c>
      <c r="H181" t="inlineStr">
        <is>
          <t>IVA e impuesto sobre hidrocarburos incluidos por la fuente</t>
        </is>
      </c>
      <c r="K181" t="inlineStr">
        <is>
          <t>Weekly_Oil_Bulletin_Prices_History_maticni_4web.xlsx</t>
        </is>
      </c>
    </row>
    <row r="182">
      <c r="A182" s="53" t="n">
        <v>45117</v>
      </c>
      <c r="B182" t="inlineStr">
        <is>
          <t>2023-07-10</t>
        </is>
      </c>
      <c r="C182" s="45" t="n">
        <v>0.93953</v>
      </c>
      <c r="D182" t="inlineStr">
        <is>
          <t>€/l</t>
        </is>
      </c>
      <c r="E182" s="54" t="n">
        <v>0.066125</v>
      </c>
      <c r="F182" s="54" t="n">
        <v>0.091394</v>
      </c>
      <c r="G182" t="inlineStr">
        <is>
          <t>original (el Boletín publica con y sin impuestos)</t>
        </is>
      </c>
      <c r="H182" t="inlineStr">
        <is>
          <t>IVA e impuesto sobre hidrocarburos incluidos por la fuente</t>
        </is>
      </c>
      <c r="K182" t="inlineStr">
        <is>
          <t>Weekly_Oil_Bulletin_Prices_History_maticni_4web.xlsx</t>
        </is>
      </c>
    </row>
    <row r="183">
      <c r="A183" s="53" t="n">
        <v>45124</v>
      </c>
      <c r="B183" t="inlineStr">
        <is>
          <t>2023-07-17</t>
        </is>
      </c>
      <c r="C183" s="45" t="n">
        <v>0.9558</v>
      </c>
      <c r="D183" t="inlineStr">
        <is>
          <t>€/l</t>
        </is>
      </c>
      <c r="E183" s="54" t="n">
        <v>0.06743300000000001</v>
      </c>
      <c r="F183" s="54" t="n">
        <v>0.092977</v>
      </c>
      <c r="G183" t="inlineStr">
        <is>
          <t>original (el Boletín publica con y sin impuestos)</t>
        </is>
      </c>
      <c r="H183" t="inlineStr">
        <is>
          <t>IVA e impuesto sobre hidrocarburos incluidos por la fuente</t>
        </is>
      </c>
      <c r="K183" t="inlineStr">
        <is>
          <t>Weekly_Oil_Bulletin_Prices_History_maticni_4web.xlsx</t>
        </is>
      </c>
    </row>
    <row r="184">
      <c r="A184" s="53" t="n">
        <v>45131</v>
      </c>
      <c r="B184" t="inlineStr">
        <is>
          <t>2023-07-24</t>
        </is>
      </c>
      <c r="C184" s="45" t="n">
        <v>0.95634</v>
      </c>
      <c r="D184" t="inlineStr">
        <is>
          <t>€/l</t>
        </is>
      </c>
      <c r="E184" s="54" t="n">
        <v>0.06747599999999999</v>
      </c>
      <c r="F184" s="54" t="n">
        <v>0.093029</v>
      </c>
      <c r="G184" t="inlineStr">
        <is>
          <t>original (el Boletín publica con y sin impuestos)</t>
        </is>
      </c>
      <c r="H184" t="inlineStr">
        <is>
          <t>IVA e impuesto sobre hidrocarburos incluidos por la fuente</t>
        </is>
      </c>
      <c r="K184" t="inlineStr">
        <is>
          <t>Weekly_Oil_Bulletin_Prices_History_maticni_4web.xlsx</t>
        </is>
      </c>
    </row>
    <row r="185">
      <c r="A185" s="53" t="n">
        <v>45138</v>
      </c>
      <c r="B185" t="inlineStr">
        <is>
          <t>2023-07-31</t>
        </is>
      </c>
      <c r="C185" s="45" t="n">
        <v>0.99693</v>
      </c>
      <c r="D185" t="inlineStr">
        <is>
          <t>€/l</t>
        </is>
      </c>
      <c r="E185" s="54" t="n">
        <v>0.070739</v>
      </c>
      <c r="F185" s="54" t="n">
        <v>0.09697799999999999</v>
      </c>
      <c r="G185" t="inlineStr">
        <is>
          <t>original (el Boletín publica con y sin impuestos)</t>
        </is>
      </c>
      <c r="H185" t="inlineStr">
        <is>
          <t>IVA e impuesto sobre hidrocarburos incluidos por la fuente</t>
        </is>
      </c>
      <c r="K185" t="inlineStr">
        <is>
          <t>Weekly_Oil_Bulletin_Prices_History_maticni_4web.xlsx</t>
        </is>
      </c>
    </row>
    <row r="186">
      <c r="A186" s="53" t="n">
        <v>45145</v>
      </c>
      <c r="B186" t="inlineStr">
        <is>
          <t>2023-08-07</t>
        </is>
      </c>
      <c r="C186" s="45" t="n">
        <v>1.05714</v>
      </c>
      <c r="D186" t="inlineStr">
        <is>
          <t>€/l</t>
        </is>
      </c>
      <c r="E186" s="54" t="n">
        <v>0.07557999999999999</v>
      </c>
      <c r="F186" s="54" t="n">
        <v>0.102835</v>
      </c>
      <c r="G186" t="inlineStr">
        <is>
          <t>original (el Boletín publica con y sin impuestos)</t>
        </is>
      </c>
      <c r="H186" t="inlineStr">
        <is>
          <t>IVA e impuesto sobre hidrocarburos incluidos por la fuente</t>
        </is>
      </c>
      <c r="K186" t="inlineStr">
        <is>
          <t>Weekly_Oil_Bulletin_Prices_History_maticni_4web.xlsx</t>
        </is>
      </c>
    </row>
    <row r="187">
      <c r="A187" s="53" t="n">
        <v>45152</v>
      </c>
      <c r="B187" t="inlineStr">
        <is>
          <t>2023-08-14</t>
        </is>
      </c>
      <c r="C187" s="45" t="n">
        <v>1.10123</v>
      </c>
      <c r="D187" t="inlineStr">
        <is>
          <t>€/l</t>
        </is>
      </c>
      <c r="E187" s="54" t="n">
        <v>0.079125</v>
      </c>
      <c r="F187" s="54" t="n">
        <v>0.107124</v>
      </c>
      <c r="G187" t="inlineStr">
        <is>
          <t>original (el Boletín publica con y sin impuestos)</t>
        </is>
      </c>
      <c r="H187" t="inlineStr">
        <is>
          <t>IVA e impuesto sobre hidrocarburos incluidos por la fuente</t>
        </is>
      </c>
      <c r="K187" t="inlineStr">
        <is>
          <t>Weekly_Oil_Bulletin_Prices_History_maticni_4web.xlsx</t>
        </is>
      </c>
    </row>
    <row r="188">
      <c r="A188" s="53" t="n">
        <v>45159</v>
      </c>
      <c r="B188" t="inlineStr">
        <is>
          <t>2023-08-21</t>
        </is>
      </c>
      <c r="C188" s="45" t="n">
        <v>1.11044</v>
      </c>
      <c r="D188" t="inlineStr">
        <is>
          <t>€/l</t>
        </is>
      </c>
      <c r="E188" s="54" t="n">
        <v>0.07986500000000001</v>
      </c>
      <c r="F188" s="54" t="n">
        <v>0.108019</v>
      </c>
      <c r="G188" t="inlineStr">
        <is>
          <t>original (el Boletín publica con y sin impuestos)</t>
        </is>
      </c>
      <c r="H188" t="inlineStr">
        <is>
          <t>IVA e impuesto sobre hidrocarburos incluidos por la fuente</t>
        </is>
      </c>
      <c r="K188" t="inlineStr">
        <is>
          <t>Weekly_Oil_Bulletin_Prices_History_maticni_4web.xlsx</t>
        </is>
      </c>
    </row>
    <row r="189">
      <c r="A189" s="53" t="n">
        <v>45166</v>
      </c>
      <c r="B189" t="inlineStr">
        <is>
          <t>2023-08-28</t>
        </is>
      </c>
      <c r="C189" s="45" t="n">
        <v>1.12836</v>
      </c>
      <c r="D189" t="inlineStr">
        <is>
          <t>€/l</t>
        </is>
      </c>
      <c r="E189" s="54" t="n">
        <v>0.081305</v>
      </c>
      <c r="F189" s="54" t="n">
        <v>0.109763</v>
      </c>
      <c r="G189" t="inlineStr">
        <is>
          <t>original (el Boletín publica con y sin impuestos)</t>
        </is>
      </c>
      <c r="H189" t="inlineStr">
        <is>
          <t>IVA e impuesto sobre hidrocarburos incluidos por la fuente</t>
        </is>
      </c>
      <c r="K189" t="inlineStr">
        <is>
          <t>Weekly_Oil_Bulletin_Prices_History_maticni_4web.xlsx</t>
        </is>
      </c>
    </row>
    <row r="190">
      <c r="A190" s="53" t="n">
        <v>45173</v>
      </c>
      <c r="B190" t="inlineStr">
        <is>
          <t>2023-09-04</t>
        </is>
      </c>
      <c r="C190" s="45" t="n">
        <v>1.10523</v>
      </c>
      <c r="D190" t="inlineStr">
        <is>
          <t>€/l</t>
        </is>
      </c>
      <c r="E190" s="54" t="n">
        <v>0.079446</v>
      </c>
      <c r="F190" s="54" t="n">
        <v>0.107513</v>
      </c>
      <c r="G190" t="inlineStr">
        <is>
          <t>original (el Boletín publica con y sin impuestos)</t>
        </is>
      </c>
      <c r="H190" t="inlineStr">
        <is>
          <t>IVA e impuesto sobre hidrocarburos incluidos por la fuente</t>
        </is>
      </c>
      <c r="K190" t="inlineStr">
        <is>
          <t>Weekly_Oil_Bulletin_Prices_History_maticni_4web.xlsx</t>
        </is>
      </c>
    </row>
    <row r="191">
      <c r="A191" s="53" t="n">
        <v>45180</v>
      </c>
      <c r="B191" t="inlineStr">
        <is>
          <t>2023-09-11</t>
        </is>
      </c>
      <c r="C191" s="45" t="n">
        <v>1.14398</v>
      </c>
      <c r="D191" t="inlineStr">
        <is>
          <t>€/l</t>
        </is>
      </c>
      <c r="E191" s="54" t="n">
        <v>0.082561</v>
      </c>
      <c r="F191" s="54" t="n">
        <v>0.111282</v>
      </c>
      <c r="G191" t="inlineStr">
        <is>
          <t>original (el Boletín publica con y sin impuestos)</t>
        </is>
      </c>
      <c r="H191" t="inlineStr">
        <is>
          <t>IVA e impuesto sobre hidrocarburos incluidos por la fuente</t>
        </is>
      </c>
      <c r="K191" t="inlineStr">
        <is>
          <t>Weekly_Oil_Bulletin_Prices_History_maticni_4web.xlsx</t>
        </is>
      </c>
    </row>
    <row r="192">
      <c r="A192" s="53" t="n">
        <v>45187</v>
      </c>
      <c r="B192" t="inlineStr">
        <is>
          <t>2023-09-18</t>
        </is>
      </c>
      <c r="C192" s="45" t="n">
        <v>1.16832</v>
      </c>
      <c r="D192" t="inlineStr">
        <is>
          <t>€/l</t>
        </is>
      </c>
      <c r="E192" s="54" t="n">
        <v>0.084518</v>
      </c>
      <c r="F192" s="54" t="n">
        <v>0.11365</v>
      </c>
      <c r="G192" t="inlineStr">
        <is>
          <t>original (el Boletín publica con y sin impuestos)</t>
        </is>
      </c>
      <c r="H192" t="inlineStr">
        <is>
          <t>IVA e impuesto sobre hidrocarburos incluidos por la fuente</t>
        </is>
      </c>
      <c r="K192" t="inlineStr">
        <is>
          <t>Weekly_Oil_Bulletin_Prices_History_maticni_4web.xlsx</t>
        </is>
      </c>
    </row>
    <row r="193">
      <c r="A193" s="53" t="n">
        <v>45194</v>
      </c>
      <c r="B193" t="inlineStr">
        <is>
          <t>2023-09-25</t>
        </is>
      </c>
      <c r="C193" s="45" t="n">
        <v>1.17301</v>
      </c>
      <c r="D193" t="inlineStr">
        <is>
          <t>€/l</t>
        </is>
      </c>
      <c r="E193" s="54" t="n">
        <v>0.084895</v>
      </c>
      <c r="F193" s="54" t="n">
        <v>0.114106</v>
      </c>
      <c r="G193" t="inlineStr">
        <is>
          <t>original (el Boletín publica con y sin impuestos)</t>
        </is>
      </c>
      <c r="H193" t="inlineStr">
        <is>
          <t>IVA e impuesto sobre hidrocarburos incluidos por la fuente</t>
        </is>
      </c>
      <c r="K193" t="inlineStr">
        <is>
          <t>Weekly_Oil_Bulletin_Prices_History_maticni_4web.xlsx</t>
        </is>
      </c>
    </row>
    <row r="194">
      <c r="A194" s="53" t="n">
        <v>45201</v>
      </c>
      <c r="B194" t="inlineStr">
        <is>
          <t>2023-10-02</t>
        </is>
      </c>
      <c r="C194" s="45" t="n">
        <v>1.18461</v>
      </c>
      <c r="D194" t="inlineStr">
        <is>
          <t>€/l</t>
        </is>
      </c>
      <c r="E194" s="54" t="n">
        <v>0.085828</v>
      </c>
      <c r="F194" s="54" t="n">
        <v>0.115234</v>
      </c>
      <c r="G194" t="inlineStr">
        <is>
          <t>original (el Boletín publica con y sin impuestos)</t>
        </is>
      </c>
      <c r="H194" t="inlineStr">
        <is>
          <t>IVA e impuesto sobre hidrocarburos incluidos por la fuente</t>
        </is>
      </c>
      <c r="K194" t="inlineStr">
        <is>
          <t>Weekly_Oil_Bulletin_Prices_History_maticni_4web.xlsx</t>
        </is>
      </c>
    </row>
    <row r="195">
      <c r="A195" s="53" t="n">
        <v>45208</v>
      </c>
      <c r="B195" t="inlineStr">
        <is>
          <t>2023-10-09</t>
        </is>
      </c>
      <c r="C195" s="45" t="n">
        <v>1.15444</v>
      </c>
      <c r="D195" t="inlineStr">
        <is>
          <t>€/l</t>
        </is>
      </c>
      <c r="E195" s="54" t="n">
        <v>0.083402</v>
      </c>
      <c r="F195" s="54" t="n">
        <v>0.1123</v>
      </c>
      <c r="G195" t="inlineStr">
        <is>
          <t>original (el Boletín publica con y sin impuestos)</t>
        </is>
      </c>
      <c r="H195" t="inlineStr">
        <is>
          <t>IVA e impuesto sobre hidrocarburos incluidos por la fuente</t>
        </is>
      </c>
      <c r="K195" t="inlineStr">
        <is>
          <t>Weekly_Oil_Bulletin_Prices_History_maticni_4web.xlsx</t>
        </is>
      </c>
    </row>
    <row r="196">
      <c r="A196" s="53" t="n">
        <v>45215</v>
      </c>
      <c r="B196" t="inlineStr">
        <is>
          <t>2023-10-16</t>
        </is>
      </c>
      <c r="C196" s="45" t="n">
        <v>1.13476</v>
      </c>
      <c r="D196" t="inlineStr">
        <is>
          <t>€/l</t>
        </is>
      </c>
      <c r="E196" s="54" t="n">
        <v>0.08182</v>
      </c>
      <c r="F196" s="54" t="n">
        <v>0.110385</v>
      </c>
      <c r="G196" t="inlineStr">
        <is>
          <t>original (el Boletín publica con y sin impuestos)</t>
        </is>
      </c>
      <c r="H196" t="inlineStr">
        <is>
          <t>IVA e impuesto sobre hidrocarburos incluidos por la fuente</t>
        </is>
      </c>
      <c r="K196" t="inlineStr">
        <is>
          <t>Weekly_Oil_Bulletin_Prices_History_maticni_4web.xlsx</t>
        </is>
      </c>
    </row>
    <row r="197">
      <c r="A197" s="53" t="n">
        <v>45222</v>
      </c>
      <c r="B197" t="inlineStr">
        <is>
          <t>2023-10-23</t>
        </is>
      </c>
      <c r="C197" s="45" t="n">
        <v>1.15586</v>
      </c>
      <c r="D197" t="inlineStr">
        <is>
          <t>€/l</t>
        </is>
      </c>
      <c r="E197" s="54" t="n">
        <v>0.08351699999999999</v>
      </c>
      <c r="F197" s="54" t="n">
        <v>0.112438</v>
      </c>
      <c r="G197" t="inlineStr">
        <is>
          <t>original (el Boletín publica con y sin impuestos)</t>
        </is>
      </c>
      <c r="H197" t="inlineStr">
        <is>
          <t>IVA e impuesto sobre hidrocarburos incluidos por la fuente</t>
        </is>
      </c>
      <c r="K197" t="inlineStr">
        <is>
          <t>Weekly_Oil_Bulletin_Prices_History_maticni_4web.xlsx</t>
        </is>
      </c>
    </row>
    <row r="198">
      <c r="A198" s="53" t="n">
        <v>45229</v>
      </c>
      <c r="B198" t="inlineStr">
        <is>
          <t>2023-10-30</t>
        </is>
      </c>
      <c r="C198" s="45" t="n">
        <v>1.14506</v>
      </c>
      <c r="D198" t="inlineStr">
        <is>
          <t>€/l</t>
        </is>
      </c>
      <c r="E198" s="54" t="n">
        <v>0.082648</v>
      </c>
      <c r="F198" s="54" t="n">
        <v>0.111387</v>
      </c>
      <c r="G198" t="inlineStr">
        <is>
          <t>original (el Boletín publica con y sin impuestos)</t>
        </is>
      </c>
      <c r="H198" t="inlineStr">
        <is>
          <t>IVA e impuesto sobre hidrocarburos incluidos por la fuente</t>
        </is>
      </c>
      <c r="K198" t="inlineStr">
        <is>
          <t>Weekly_Oil_Bulletin_Prices_History_maticni_4web.xlsx</t>
        </is>
      </c>
    </row>
    <row r="199">
      <c r="A199" s="53" t="n">
        <v>45236</v>
      </c>
      <c r="B199" t="inlineStr">
        <is>
          <t>2023-11-06</t>
        </is>
      </c>
      <c r="C199" s="45" t="n">
        <v>1.12467</v>
      </c>
      <c r="D199" t="inlineStr">
        <is>
          <t>€/l</t>
        </is>
      </c>
      <c r="E199" s="54" t="n">
        <v>0.081009</v>
      </c>
      <c r="F199" s="54" t="n">
        <v>0.109404</v>
      </c>
      <c r="G199" t="inlineStr">
        <is>
          <t>original (el Boletín publica con y sin impuestos)</t>
        </is>
      </c>
      <c r="H199" t="inlineStr">
        <is>
          <t>IVA e impuesto sobre hidrocarburos incluidos por la fuente</t>
        </is>
      </c>
      <c r="K199" t="inlineStr">
        <is>
          <t>Weekly_Oil_Bulletin_Prices_History_maticni_4web.xlsx</t>
        </is>
      </c>
    </row>
    <row r="200">
      <c r="A200" s="53" t="n">
        <v>45243</v>
      </c>
      <c r="B200" t="inlineStr">
        <is>
          <t>2023-11-13</t>
        </is>
      </c>
      <c r="C200" s="45" t="n">
        <v>1.08772</v>
      </c>
      <c r="D200" t="inlineStr">
        <is>
          <t>€/l</t>
        </is>
      </c>
      <c r="E200" s="54" t="n">
        <v>0.078038</v>
      </c>
      <c r="F200" s="54" t="n">
        <v>0.105809</v>
      </c>
      <c r="G200" t="inlineStr">
        <is>
          <t>original (el Boletín publica con y sin impuestos)</t>
        </is>
      </c>
      <c r="H200" t="inlineStr">
        <is>
          <t>IVA e impuesto sobre hidrocarburos incluidos por la fuente</t>
        </is>
      </c>
      <c r="K200" t="inlineStr">
        <is>
          <t>Weekly_Oil_Bulletin_Prices_History_maticni_4web.xlsx</t>
        </is>
      </c>
    </row>
    <row r="201">
      <c r="A201" s="53" t="n">
        <v>45250</v>
      </c>
      <c r="B201" t="inlineStr">
        <is>
          <t>2023-11-20</t>
        </is>
      </c>
      <c r="C201" s="45" t="n">
        <v>1.05626</v>
      </c>
      <c r="D201" t="inlineStr">
        <is>
          <t>€/l</t>
        </is>
      </c>
      <c r="E201" s="54" t="n">
        <v>0.07550900000000001</v>
      </c>
      <c r="F201" s="54" t="n">
        <v>0.102749</v>
      </c>
      <c r="G201" t="inlineStr">
        <is>
          <t>original (el Boletín publica con y sin impuestos)</t>
        </is>
      </c>
      <c r="H201" t="inlineStr">
        <is>
          <t>IVA e impuesto sobre hidrocarburos incluidos por la fuente</t>
        </is>
      </c>
      <c r="K201" t="inlineStr">
        <is>
          <t>Weekly_Oil_Bulletin_Prices_History_maticni_4web.xlsx</t>
        </is>
      </c>
    </row>
    <row r="202">
      <c r="A202" s="53" t="n">
        <v>45257</v>
      </c>
      <c r="B202" t="inlineStr">
        <is>
          <t>2023-11-27</t>
        </is>
      </c>
      <c r="C202" s="45" t="n">
        <v>1.05096</v>
      </c>
      <c r="D202" t="inlineStr">
        <is>
          <t>€/l</t>
        </is>
      </c>
      <c r="E202" s="54" t="n">
        <v>0.075083</v>
      </c>
      <c r="F202" s="54" t="n">
        <v>0.102233</v>
      </c>
      <c r="G202" t="inlineStr">
        <is>
          <t>original (el Boletín publica con y sin impuestos)</t>
        </is>
      </c>
      <c r="H202" t="inlineStr">
        <is>
          <t>IVA e impuesto sobre hidrocarburos incluidos por la fuente</t>
        </is>
      </c>
      <c r="K202" t="inlineStr">
        <is>
          <t>Weekly_Oil_Bulletin_Prices_History_maticni_4web.xlsx</t>
        </is>
      </c>
    </row>
    <row r="203">
      <c r="A203" s="53" t="n">
        <v>45264</v>
      </c>
      <c r="B203" t="inlineStr">
        <is>
          <t>2023-12-04</t>
        </is>
      </c>
      <c r="C203" s="45" t="n">
        <v>1.06238</v>
      </c>
      <c r="D203" t="inlineStr">
        <is>
          <t>€/l</t>
        </is>
      </c>
      <c r="E203" s="54" t="n">
        <v>0.076001</v>
      </c>
      <c r="F203" s="54" t="n">
        <v>0.103344</v>
      </c>
      <c r="G203" t="inlineStr">
        <is>
          <t>original (el Boletín publica con y sin impuestos)</t>
        </is>
      </c>
      <c r="H203" t="inlineStr">
        <is>
          <t>IVA e impuesto sobre hidrocarburos incluidos por la fuente</t>
        </is>
      </c>
      <c r="K203" t="inlineStr">
        <is>
          <t>Weekly_Oil_Bulletin_Prices_History_maticni_4web.xlsx</t>
        </is>
      </c>
    </row>
    <row r="204">
      <c r="A204" s="53" t="n">
        <v>45271</v>
      </c>
      <c r="B204" t="inlineStr">
        <is>
          <t>2023-12-11</t>
        </is>
      </c>
      <c r="C204" s="45" t="n">
        <v>1.02556</v>
      </c>
      <c r="D204" t="inlineStr">
        <is>
          <t>€/l</t>
        </is>
      </c>
      <c r="E204" s="54" t="n">
        <v>0.07304099999999999</v>
      </c>
      <c r="F204" s="54" t="n">
        <v>0.099763</v>
      </c>
      <c r="G204" t="inlineStr">
        <is>
          <t>original (el Boletín publica con y sin impuestos)</t>
        </is>
      </c>
      <c r="H204" t="inlineStr">
        <is>
          <t>IVA e impuesto sobre hidrocarburos incluidos por la fuente</t>
        </is>
      </c>
      <c r="K204" t="inlineStr">
        <is>
          <t>Weekly_Oil_Bulletin_Prices_History_maticni_4web.xlsx</t>
        </is>
      </c>
    </row>
    <row r="205">
      <c r="A205" s="53" t="n">
        <v>45278</v>
      </c>
      <c r="B205" t="inlineStr">
        <is>
          <t>2023-12-18</t>
        </is>
      </c>
      <c r="C205" s="45" t="n">
        <v>0.99703</v>
      </c>
      <c r="D205" t="inlineStr">
        <is>
          <t>€/l</t>
        </is>
      </c>
      <c r="E205" s="54" t="n">
        <v>0.070747</v>
      </c>
      <c r="F205" s="54" t="n">
        <v>0.096987</v>
      </c>
      <c r="G205" t="inlineStr">
        <is>
          <t>original (el Boletín publica con y sin impuestos)</t>
        </is>
      </c>
      <c r="H205" t="inlineStr">
        <is>
          <t>IVA e impuesto sobre hidrocarburos incluidos por la fuente</t>
        </is>
      </c>
      <c r="K205" t="inlineStr">
        <is>
          <t>Weekly_Oil_Bulletin_Prices_History_maticni_4web.xlsx</t>
        </is>
      </c>
    </row>
    <row r="206">
      <c r="A206" s="53" t="n">
        <v>45285</v>
      </c>
      <c r="B206" t="inlineStr">
        <is>
          <t>2023-12-25</t>
        </is>
      </c>
      <c r="C206" s="45" t="n">
        <v>0.9936700000000001</v>
      </c>
      <c r="D206" t="inlineStr">
        <is>
          <t>€/l</t>
        </is>
      </c>
      <c r="E206" s="54" t="n">
        <v>0.070477</v>
      </c>
      <c r="F206" s="54" t="n">
        <v>0.096661</v>
      </c>
      <c r="G206" t="inlineStr">
        <is>
          <t>original (el Boletín publica con y sin impuestos)</t>
        </is>
      </c>
      <c r="H206" t="inlineStr">
        <is>
          <t>IVA e impuesto sobre hidrocarburos incluidos por la fuente</t>
        </is>
      </c>
      <c r="K206" t="inlineStr">
        <is>
          <t>Weekly_Oil_Bulletin_Prices_History_maticni_4web.xlsx</t>
        </is>
      </c>
    </row>
    <row r="207">
      <c r="A207" s="53" t="n">
        <v>45292</v>
      </c>
      <c r="B207" t="inlineStr">
        <is>
          <t>2024-01-01</t>
        </is>
      </c>
      <c r="C207" s="45" t="n">
        <v>0.98288</v>
      </c>
      <c r="D207" t="inlineStr">
        <is>
          <t>€/l</t>
        </is>
      </c>
      <c r="E207" s="54" t="n">
        <v>0.06961000000000001</v>
      </c>
      <c r="F207" s="54" t="n">
        <v>0.095611</v>
      </c>
      <c r="G207" t="inlineStr">
        <is>
          <t>original (el Boletín publica con y sin impuestos)</t>
        </is>
      </c>
      <c r="H207" t="inlineStr">
        <is>
          <t>IVA e impuesto sobre hidrocarburos incluidos por la fuente</t>
        </is>
      </c>
      <c r="K207" t="inlineStr">
        <is>
          <t>Weekly_Oil_Bulletin_Prices_History_maticni_4web.xlsx</t>
        </is>
      </c>
    </row>
    <row r="208">
      <c r="A208" s="53" t="n">
        <v>45299</v>
      </c>
      <c r="B208" t="inlineStr">
        <is>
          <t>2024-01-08</t>
        </is>
      </c>
      <c r="C208" s="45" t="n">
        <v>0.99387</v>
      </c>
      <c r="D208" t="inlineStr">
        <is>
          <t>€/l</t>
        </is>
      </c>
      <c r="E208" s="54" t="n">
        <v>0.070493</v>
      </c>
      <c r="F208" s="54" t="n">
        <v>0.09668</v>
      </c>
      <c r="G208" t="inlineStr">
        <is>
          <t>original (el Boletín publica con y sin impuestos)</t>
        </is>
      </c>
      <c r="H208" t="inlineStr">
        <is>
          <t>IVA e impuesto sobre hidrocarburos incluidos por la fuente</t>
        </is>
      </c>
      <c r="K208" t="inlineStr">
        <is>
          <t>Weekly_Oil_Bulletin_Prices_History_maticni_4web.xlsx</t>
        </is>
      </c>
    </row>
    <row r="209">
      <c r="A209" s="53" t="n">
        <v>45306</v>
      </c>
      <c r="B209" t="inlineStr">
        <is>
          <t>2024-01-15</t>
        </is>
      </c>
      <c r="C209" s="45" t="n">
        <v>0.9985000000000001</v>
      </c>
      <c r="D209" t="inlineStr">
        <is>
          <t>€/l</t>
        </is>
      </c>
      <c r="E209" s="54" t="n">
        <v>0.070866</v>
      </c>
      <c r="F209" s="54" t="n">
        <v>0.09712999999999999</v>
      </c>
      <c r="G209" t="inlineStr">
        <is>
          <t>original (el Boletín publica con y sin impuestos)</t>
        </is>
      </c>
      <c r="H209" t="inlineStr">
        <is>
          <t>IVA e impuesto sobre hidrocarburos incluidos por la fuente</t>
        </is>
      </c>
      <c r="K209" t="inlineStr">
        <is>
          <t>Weekly_Oil_Bulletin_Prices_History_maticni_4web.xlsx</t>
        </is>
      </c>
    </row>
    <row r="210">
      <c r="A210" s="53" t="n">
        <v>45313</v>
      </c>
      <c r="B210" t="inlineStr">
        <is>
          <t>2024-01-22</t>
        </is>
      </c>
      <c r="C210" s="45" t="n">
        <v>1.00982</v>
      </c>
      <c r="D210" t="inlineStr">
        <is>
          <t>€/l</t>
        </is>
      </c>
      <c r="E210" s="54" t="n">
        <v>0.07177500000000001</v>
      </c>
      <c r="F210" s="54" t="n">
        <v>0.098232</v>
      </c>
      <c r="G210" t="inlineStr">
        <is>
          <t>original (el Boletín publica con y sin impuestos)</t>
        </is>
      </c>
      <c r="H210" t="inlineStr">
        <is>
          <t>IVA e impuesto sobre hidrocarburos incluidos por la fuente</t>
        </is>
      </c>
      <c r="K210" t="inlineStr">
        <is>
          <t>Weekly_Oil_Bulletin_Prices_History_maticni_4web.xlsx</t>
        </is>
      </c>
    </row>
    <row r="211">
      <c r="A211" s="53" t="n">
        <v>45320</v>
      </c>
      <c r="B211" t="inlineStr">
        <is>
          <t>2024-01-29</t>
        </is>
      </c>
      <c r="C211" s="45" t="n">
        <v>1.01799</v>
      </c>
      <c r="D211" t="inlineStr">
        <is>
          <t>€/l</t>
        </is>
      </c>
      <c r="E211" s="54" t="n">
        <v>0.072432</v>
      </c>
      <c r="F211" s="54" t="n">
        <v>0.099026</v>
      </c>
      <c r="G211" t="inlineStr">
        <is>
          <t>original (el Boletín publica con y sin impuestos)</t>
        </is>
      </c>
      <c r="H211" t="inlineStr">
        <is>
          <t>IVA e impuesto sobre hidrocarburos incluidos por la fuente</t>
        </is>
      </c>
      <c r="K211" t="inlineStr">
        <is>
          <t>Weekly_Oil_Bulletin_Prices_History_maticni_4web.xlsx</t>
        </is>
      </c>
    </row>
    <row r="212">
      <c r="A212" s="53" t="n">
        <v>45327</v>
      </c>
      <c r="B212" t="inlineStr">
        <is>
          <t>2024-02-05</t>
        </is>
      </c>
      <c r="C212" s="45" t="n">
        <v>1.04274</v>
      </c>
      <c r="D212" t="inlineStr">
        <is>
          <t>€/l</t>
        </is>
      </c>
      <c r="E212" s="54" t="n">
        <v>0.074422</v>
      </c>
      <c r="F212" s="54" t="n">
        <v>0.101434</v>
      </c>
      <c r="G212" t="inlineStr">
        <is>
          <t>original (el Boletín publica con y sin impuestos)</t>
        </is>
      </c>
      <c r="H212" t="inlineStr">
        <is>
          <t>IVA e impuesto sobre hidrocarburos incluidos por la fuente</t>
        </is>
      </c>
      <c r="K212" t="inlineStr">
        <is>
          <t>Weekly_Oil_Bulletin_Prices_History_maticni_4web.xlsx</t>
        </is>
      </c>
    </row>
    <row r="213">
      <c r="A213" s="53" t="n">
        <v>45334</v>
      </c>
      <c r="B213" t="inlineStr">
        <is>
          <t>2024-02-12</t>
        </is>
      </c>
      <c r="C213" s="45" t="n">
        <v>1.05457</v>
      </c>
      <c r="D213" t="inlineStr">
        <is>
          <t>€/l</t>
        </is>
      </c>
      <c r="E213" s="54" t="n">
        <v>0.075374</v>
      </c>
      <c r="F213" s="54" t="n">
        <v>0.102585</v>
      </c>
      <c r="G213" t="inlineStr">
        <is>
          <t>original (el Boletín publica con y sin impuestos)</t>
        </is>
      </c>
      <c r="H213" t="inlineStr">
        <is>
          <t>IVA e impuesto sobre hidrocarburos incluidos por la fuente</t>
        </is>
      </c>
      <c r="K213" t="inlineStr">
        <is>
          <t>Weekly_Oil_Bulletin_Prices_History_maticni_4web.xlsx</t>
        </is>
      </c>
    </row>
    <row r="214">
      <c r="A214" s="53" t="n">
        <v>45341</v>
      </c>
      <c r="B214" t="inlineStr">
        <is>
          <t>2024-02-19</t>
        </is>
      </c>
      <c r="C214" s="45" t="n">
        <v>1.07281</v>
      </c>
      <c r="D214" t="inlineStr">
        <is>
          <t>€/l</t>
        </is>
      </c>
      <c r="E214" s="54" t="n">
        <v>0.076839</v>
      </c>
      <c r="F214" s="54" t="n">
        <v>0.104359</v>
      </c>
      <c r="G214" t="inlineStr">
        <is>
          <t>original (el Boletín publica con y sin impuestos)</t>
        </is>
      </c>
      <c r="H214" t="inlineStr">
        <is>
          <t>IVA e impuesto sobre hidrocarburos incluidos por la fuente</t>
        </is>
      </c>
      <c r="K214" t="inlineStr">
        <is>
          <t>Weekly_Oil_Bulletin_Prices_History_maticni_4web.xlsx</t>
        </is>
      </c>
    </row>
    <row r="215">
      <c r="A215" s="53" t="n">
        <v>45348</v>
      </c>
      <c r="B215" t="inlineStr">
        <is>
          <t>2024-02-26</t>
        </is>
      </c>
      <c r="C215" s="45" t="n">
        <v>1.05828</v>
      </c>
      <c r="D215" t="inlineStr">
        <is>
          <t>€/l</t>
        </is>
      </c>
      <c r="E215" s="54" t="n">
        <v>0.075671</v>
      </c>
      <c r="F215" s="54" t="n">
        <v>0.102946</v>
      </c>
      <c r="G215" t="inlineStr">
        <is>
          <t>original (el Boletín publica con y sin impuestos)</t>
        </is>
      </c>
      <c r="H215" t="inlineStr">
        <is>
          <t>IVA e impuesto sobre hidrocarburos incluidos por la fuente</t>
        </is>
      </c>
      <c r="K215" t="inlineStr">
        <is>
          <t>Weekly_Oil_Bulletin_Prices_History_maticni_4web.xlsx</t>
        </is>
      </c>
    </row>
    <row r="216">
      <c r="A216" s="53" t="n">
        <v>45355</v>
      </c>
      <c r="B216" t="inlineStr">
        <is>
          <t>2024-03-04</t>
        </is>
      </c>
      <c r="C216" s="45" t="n">
        <v>1.05536</v>
      </c>
      <c r="D216" t="inlineStr">
        <is>
          <t>€/l</t>
        </is>
      </c>
      <c r="E216" s="54" t="n">
        <v>0.075437</v>
      </c>
      <c r="F216" s="54" t="n">
        <v>0.102661</v>
      </c>
      <c r="G216" t="inlineStr">
        <is>
          <t>original (el Boletín publica con y sin impuestos)</t>
        </is>
      </c>
      <c r="H216" t="inlineStr">
        <is>
          <t>IVA e impuesto sobre hidrocarburos incluidos por la fuente</t>
        </is>
      </c>
      <c r="K216" t="inlineStr">
        <is>
          <t>Weekly_Oil_Bulletin_Prices_History_maticni_4web.xlsx</t>
        </is>
      </c>
    </row>
    <row r="217">
      <c r="A217" s="53" t="n">
        <v>45362</v>
      </c>
      <c r="B217" t="inlineStr">
        <is>
          <t>2024-03-11</t>
        </is>
      </c>
      <c r="C217" s="45" t="n">
        <v>1.0406</v>
      </c>
      <c r="D217" t="inlineStr">
        <is>
          <t>€/l</t>
        </is>
      </c>
      <c r="E217" s="54" t="n">
        <v>0.07425</v>
      </c>
      <c r="F217" s="54" t="n">
        <v>0.101226</v>
      </c>
      <c r="G217" t="inlineStr">
        <is>
          <t>original (el Boletín publica con y sin impuestos)</t>
        </is>
      </c>
      <c r="H217" t="inlineStr">
        <is>
          <t>IVA e impuesto sobre hidrocarburos incluidos por la fuente</t>
        </is>
      </c>
      <c r="K217" t="inlineStr">
        <is>
          <t>Weekly_Oil_Bulletin_Prices_History_maticni_4web.xlsx</t>
        </is>
      </c>
    </row>
    <row r="218">
      <c r="A218" s="53" t="n">
        <v>45369</v>
      </c>
      <c r="B218" t="inlineStr">
        <is>
          <t>2024-03-18</t>
        </is>
      </c>
      <c r="C218" s="45" t="n">
        <v>1.03768</v>
      </c>
      <c r="D218" t="inlineStr">
        <is>
          <t>€/l</t>
        </is>
      </c>
      <c r="E218" s="54" t="n">
        <v>0.074016</v>
      </c>
      <c r="F218" s="54" t="n">
        <v>0.100942</v>
      </c>
      <c r="G218" t="inlineStr">
        <is>
          <t>original (el Boletín publica con y sin impuestos)</t>
        </is>
      </c>
      <c r="H218" t="inlineStr">
        <is>
          <t>IVA e impuesto sobre hidrocarburos incluidos por la fuente</t>
        </is>
      </c>
      <c r="K218" t="inlineStr">
        <is>
          <t>Weekly_Oil_Bulletin_Prices_History_maticni_4web.xlsx</t>
        </is>
      </c>
    </row>
    <row r="219">
      <c r="A219" s="53" t="n">
        <v>45376</v>
      </c>
      <c r="B219" t="inlineStr">
        <is>
          <t>2024-03-25</t>
        </is>
      </c>
      <c r="C219" s="45" t="n">
        <v>1.04492</v>
      </c>
      <c r="D219" t="inlineStr">
        <is>
          <t>€/l</t>
        </is>
      </c>
      <c r="E219" s="54" t="n">
        <v>0.074597</v>
      </c>
      <c r="F219" s="54" t="n">
        <v>0.101646</v>
      </c>
      <c r="G219" t="inlineStr">
        <is>
          <t>original (el Boletín publica con y sin impuestos)</t>
        </is>
      </c>
      <c r="H219" t="inlineStr">
        <is>
          <t>IVA e impuesto sobre hidrocarburos incluidos por la fuente</t>
        </is>
      </c>
      <c r="K219" t="inlineStr">
        <is>
          <t>Weekly_Oil_Bulletin_Prices_History_maticni_4web.xlsx</t>
        </is>
      </c>
    </row>
    <row r="220">
      <c r="A220" s="53" t="n">
        <v>45383</v>
      </c>
      <c r="B220" t="inlineStr">
        <is>
          <t>2024-04-01</t>
        </is>
      </c>
      <c r="C220" s="45" t="n">
        <v>1.06148</v>
      </c>
      <c r="D220" t="inlineStr">
        <is>
          <t>€/l</t>
        </is>
      </c>
      <c r="E220" s="54" t="n">
        <v>0.075929</v>
      </c>
      <c r="F220" s="54" t="n">
        <v>0.103257</v>
      </c>
      <c r="G220" t="inlineStr">
        <is>
          <t>original (el Boletín publica con y sin impuestos)</t>
        </is>
      </c>
      <c r="H220" t="inlineStr">
        <is>
          <t>IVA e impuesto sobre hidrocarburos incluidos por la fuente</t>
        </is>
      </c>
      <c r="K220" t="inlineStr">
        <is>
          <t>Weekly_Oil_Bulletin_Prices_History_maticni_4web.xlsx</t>
        </is>
      </c>
    </row>
    <row r="221">
      <c r="A221" s="53" t="n">
        <v>45390</v>
      </c>
      <c r="B221" t="inlineStr">
        <is>
          <t>2024-04-08</t>
        </is>
      </c>
      <c r="C221" s="45" t="n">
        <v>1.05315</v>
      </c>
      <c r="D221" t="inlineStr">
        <is>
          <t>€/l</t>
        </is>
      </c>
      <c r="E221" s="54" t="n">
        <v>0.07525900000000001</v>
      </c>
      <c r="F221" s="54" t="n">
        <v>0.102446</v>
      </c>
      <c r="G221" t="inlineStr">
        <is>
          <t>original (el Boletín publica con y sin impuestos)</t>
        </is>
      </c>
      <c r="H221" t="inlineStr">
        <is>
          <t>IVA e impuesto sobre hidrocarburos incluidos por la fuente</t>
        </is>
      </c>
      <c r="K221" t="inlineStr">
        <is>
          <t>Weekly_Oil_Bulletin_Prices_History_maticni_4web.xlsx</t>
        </is>
      </c>
    </row>
    <row r="222">
      <c r="A222" s="53" t="n">
        <v>45397</v>
      </c>
      <c r="B222" t="inlineStr">
        <is>
          <t>2024-04-15</t>
        </is>
      </c>
      <c r="C222" s="45" t="n">
        <v>1.06</v>
      </c>
      <c r="D222" t="inlineStr">
        <is>
          <t>€/l</t>
        </is>
      </c>
      <c r="E222" s="54" t="n">
        <v>0.075809</v>
      </c>
      <c r="F222" s="54" t="n">
        <v>0.103113</v>
      </c>
      <c r="G222" t="inlineStr">
        <is>
          <t>original (el Boletín publica con y sin impuestos)</t>
        </is>
      </c>
      <c r="H222" t="inlineStr">
        <is>
          <t>IVA e impuesto sobre hidrocarburos incluidos por la fuente</t>
        </is>
      </c>
      <c r="K222" t="inlineStr">
        <is>
          <t>Weekly_Oil_Bulletin_Prices_History_maticni_4web.xlsx</t>
        </is>
      </c>
    </row>
    <row r="223">
      <c r="A223" s="53" t="n">
        <v>45404</v>
      </c>
      <c r="B223" t="inlineStr">
        <is>
          <t>2024-04-22</t>
        </is>
      </c>
      <c r="C223" s="45" t="n">
        <v>1.05351</v>
      </c>
      <c r="D223" t="inlineStr">
        <is>
          <t>€/l</t>
        </is>
      </c>
      <c r="E223" s="54" t="n">
        <v>0.07528799999999999</v>
      </c>
      <c r="F223" s="54" t="n">
        <v>0.102482</v>
      </c>
      <c r="G223" t="inlineStr">
        <is>
          <t>original (el Boletín publica con y sin impuestos)</t>
        </is>
      </c>
      <c r="H223" t="inlineStr">
        <is>
          <t>IVA e impuesto sobre hidrocarburos incluidos por la fuente</t>
        </is>
      </c>
      <c r="K223" t="inlineStr">
        <is>
          <t>Weekly_Oil_Bulletin_Prices_History_maticni_4web.xlsx</t>
        </is>
      </c>
    </row>
    <row r="224">
      <c r="A224" s="53" t="n">
        <v>45411</v>
      </c>
      <c r="B224" t="inlineStr">
        <is>
          <t>2024-04-29</t>
        </is>
      </c>
      <c r="C224" s="45" t="n">
        <v>1.04204</v>
      </c>
      <c r="D224" t="inlineStr">
        <is>
          <t>€/l</t>
        </is>
      </c>
      <c r="E224" s="54" t="n">
        <v>0.074366</v>
      </c>
      <c r="F224" s="54" t="n">
        <v>0.101366</v>
      </c>
      <c r="G224" t="inlineStr">
        <is>
          <t>original (el Boletín publica con y sin impuestos)</t>
        </is>
      </c>
      <c r="H224" t="inlineStr">
        <is>
          <t>IVA e impuesto sobre hidrocarburos incluidos por la fuente</t>
        </is>
      </c>
      <c r="K224" t="inlineStr">
        <is>
          <t>Weekly_Oil_Bulletin_Prices_History_maticni_4web.xlsx</t>
        </is>
      </c>
    </row>
    <row r="225">
      <c r="A225" s="53" t="n">
        <v>45418</v>
      </c>
      <c r="B225" t="inlineStr">
        <is>
          <t>2024-05-06</t>
        </is>
      </c>
      <c r="C225" s="45" t="n">
        <v>1.03523</v>
      </c>
      <c r="D225" t="inlineStr">
        <is>
          <t>€/l</t>
        </is>
      </c>
      <c r="E225" s="54" t="n">
        <v>0.07381799999999999</v>
      </c>
      <c r="F225" s="54" t="n">
        <v>0.100703</v>
      </c>
      <c r="G225" t="inlineStr">
        <is>
          <t>original (el Boletín publica con y sin impuestos)</t>
        </is>
      </c>
      <c r="H225" t="inlineStr">
        <is>
          <t>IVA e impuesto sobre hidrocarburos incluidos por la fuente</t>
        </is>
      </c>
      <c r="K225" t="inlineStr">
        <is>
          <t>Weekly_Oil_Bulletin_Prices_History_maticni_4web.xlsx</t>
        </is>
      </c>
    </row>
    <row r="226">
      <c r="A226" s="53" t="n">
        <v>45425</v>
      </c>
      <c r="B226" t="inlineStr">
        <is>
          <t>2024-05-13</t>
        </is>
      </c>
      <c r="C226" s="45" t="n">
        <v>1.01298</v>
      </c>
      <c r="D226" t="inlineStr">
        <is>
          <t>€/l</t>
        </is>
      </c>
      <c r="E226" s="54" t="n">
        <v>0.072029</v>
      </c>
      <c r="F226" s="54" t="n">
        <v>0.098539</v>
      </c>
      <c r="G226" t="inlineStr">
        <is>
          <t>original (el Boletín publica con y sin impuestos)</t>
        </is>
      </c>
      <c r="H226" t="inlineStr">
        <is>
          <t>IVA e impuesto sobre hidrocarburos incluidos por la fuente</t>
        </is>
      </c>
      <c r="K226" t="inlineStr">
        <is>
          <t>Weekly_Oil_Bulletin_Prices_History_maticni_4web.xlsx</t>
        </is>
      </c>
    </row>
    <row r="227">
      <c r="A227" s="53" t="n">
        <v>45432</v>
      </c>
      <c r="B227" t="inlineStr">
        <is>
          <t>2024-05-20</t>
        </is>
      </c>
      <c r="C227" s="45" t="n">
        <v>1.00362</v>
      </c>
      <c r="D227" t="inlineStr">
        <is>
          <t>€/l</t>
        </is>
      </c>
      <c r="E227" s="54" t="n">
        <v>0.07127699999999999</v>
      </c>
      <c r="F227" s="54" t="n">
        <v>0.09762800000000001</v>
      </c>
      <c r="G227" t="inlineStr">
        <is>
          <t>original (el Boletín publica con y sin impuestos)</t>
        </is>
      </c>
      <c r="H227" t="inlineStr">
        <is>
          <t>IVA e impuesto sobre hidrocarburos incluidos por la fuente</t>
        </is>
      </c>
      <c r="K227" t="inlineStr">
        <is>
          <t>Weekly_Oil_Bulletin_Prices_History_maticni_4web.xlsx</t>
        </is>
      </c>
    </row>
    <row r="228">
      <c r="A228" s="53" t="n">
        <v>45439</v>
      </c>
      <c r="B228" t="inlineStr">
        <is>
          <t>2024-05-27</t>
        </is>
      </c>
      <c r="C228" s="45" t="n">
        <v>1.00274</v>
      </c>
      <c r="D228" t="inlineStr">
        <is>
          <t>€/l</t>
        </is>
      </c>
      <c r="E228" s="54" t="n">
        <v>0.07120600000000001</v>
      </c>
      <c r="F228" s="54" t="n">
        <v>0.097543</v>
      </c>
      <c r="G228" t="inlineStr">
        <is>
          <t>original (el Boletín publica con y sin impuestos)</t>
        </is>
      </c>
      <c r="H228" t="inlineStr">
        <is>
          <t>IVA e impuesto sobre hidrocarburos incluidos por la fuente</t>
        </is>
      </c>
      <c r="K228" t="inlineStr">
        <is>
          <t>Weekly_Oil_Bulletin_Prices_History_maticni_4web.xlsx</t>
        </is>
      </c>
    </row>
    <row r="229">
      <c r="A229" s="53" t="n">
        <v>45446</v>
      </c>
      <c r="B229" t="inlineStr">
        <is>
          <t>2024-06-03</t>
        </is>
      </c>
      <c r="C229" s="45" t="n">
        <v>0.98702</v>
      </c>
      <c r="D229" t="inlineStr">
        <is>
          <t>€/l</t>
        </is>
      </c>
      <c r="E229" s="54" t="n">
        <v>0.06994300000000001</v>
      </c>
      <c r="F229" s="54" t="n">
        <v>0.096014</v>
      </c>
      <c r="G229" t="inlineStr">
        <is>
          <t>original (el Boletín publica con y sin impuestos)</t>
        </is>
      </c>
      <c r="H229" t="inlineStr">
        <is>
          <t>IVA e impuesto sobre hidrocarburos incluidos por la fuente</t>
        </is>
      </c>
      <c r="K229" t="inlineStr">
        <is>
          <t>Weekly_Oil_Bulletin_Prices_History_maticni_4web.xlsx</t>
        </is>
      </c>
    </row>
    <row r="230">
      <c r="A230" s="53" t="n">
        <v>45453</v>
      </c>
      <c r="B230" t="inlineStr">
        <is>
          <t>2024-06-10</t>
        </is>
      </c>
      <c r="C230" s="45" t="n">
        <v>0.97409</v>
      </c>
      <c r="D230" t="inlineStr">
        <is>
          <t>€/l</t>
        </is>
      </c>
      <c r="E230" s="54" t="n">
        <v>0.06890300000000001</v>
      </c>
      <c r="F230" s="54" t="n">
        <v>0.09475600000000001</v>
      </c>
      <c r="G230" t="inlineStr">
        <is>
          <t>original (el Boletín publica con y sin impuestos)</t>
        </is>
      </c>
      <c r="H230" t="inlineStr">
        <is>
          <t>IVA e impuesto sobre hidrocarburos incluidos por la fuente</t>
        </is>
      </c>
      <c r="K230" t="inlineStr">
        <is>
          <t>Weekly_Oil_Bulletin_Prices_History_maticni_4web.xlsx</t>
        </is>
      </c>
    </row>
    <row r="231">
      <c r="A231" s="53" t="n">
        <v>45460</v>
      </c>
      <c r="B231" t="inlineStr">
        <is>
          <t>2024-06-17</t>
        </is>
      </c>
      <c r="C231" s="45" t="n">
        <v>0.98515</v>
      </c>
      <c r="D231" t="inlineStr">
        <is>
          <t>€/l</t>
        </is>
      </c>
      <c r="E231" s="54" t="n">
        <v>0.06979200000000001</v>
      </c>
      <c r="F231" s="54" t="n">
        <v>0.095832</v>
      </c>
      <c r="G231" t="inlineStr">
        <is>
          <t>original (el Boletín publica con y sin impuestos)</t>
        </is>
      </c>
      <c r="H231" t="inlineStr">
        <is>
          <t>IVA e impuesto sobre hidrocarburos incluidos por la fuente</t>
        </is>
      </c>
      <c r="K231" t="inlineStr">
        <is>
          <t>Weekly_Oil_Bulletin_Prices_History_maticni_4web.xlsx</t>
        </is>
      </c>
    </row>
    <row r="232">
      <c r="A232" s="53" t="n">
        <v>45467</v>
      </c>
      <c r="B232" t="inlineStr">
        <is>
          <t>2024-06-24</t>
        </is>
      </c>
      <c r="C232" s="45" t="n">
        <v>1.01524</v>
      </c>
      <c r="D232" t="inlineStr">
        <is>
          <t>€/l</t>
        </is>
      </c>
      <c r="E232" s="54" t="n">
        <v>0.072211</v>
      </c>
      <c r="F232" s="54" t="n">
        <v>0.098759</v>
      </c>
      <c r="G232" t="inlineStr">
        <is>
          <t>original (el Boletín publica con y sin impuestos)</t>
        </is>
      </c>
      <c r="H232" t="inlineStr">
        <is>
          <t>IVA e impuesto sobre hidrocarburos incluidos por la fuente</t>
        </is>
      </c>
      <c r="K232" t="inlineStr">
        <is>
          <t>Weekly_Oil_Bulletin_Prices_History_maticni_4web.xlsx</t>
        </is>
      </c>
    </row>
    <row r="233">
      <c r="A233" s="53" t="n">
        <v>45474</v>
      </c>
      <c r="B233" t="inlineStr">
        <is>
          <t>2024-07-01</t>
        </is>
      </c>
      <c r="C233" s="45" t="n">
        <v>1.00873</v>
      </c>
      <c r="D233" t="inlineStr">
        <is>
          <t>€/l</t>
        </is>
      </c>
      <c r="E233" s="54" t="n">
        <v>0.071688</v>
      </c>
      <c r="F233" s="54" t="n">
        <v>0.098125</v>
      </c>
      <c r="G233" t="inlineStr">
        <is>
          <t>original (el Boletín publica con y sin impuestos)</t>
        </is>
      </c>
      <c r="H233" t="inlineStr">
        <is>
          <t>IVA e impuesto sobre hidrocarburos incluidos por la fuente</t>
        </is>
      </c>
      <c r="K233" t="inlineStr">
        <is>
          <t>Weekly_Oil_Bulletin_Prices_History_maticni_4web.xlsx</t>
        </is>
      </c>
    </row>
    <row r="234">
      <c r="A234" s="53" t="n">
        <v>45481</v>
      </c>
      <c r="B234" t="inlineStr">
        <is>
          <t>2024-07-08</t>
        </is>
      </c>
      <c r="C234" s="45" t="n">
        <v>1.02326</v>
      </c>
      <c r="D234" t="inlineStr">
        <is>
          <t>€/l</t>
        </is>
      </c>
      <c r="E234" s="54" t="n">
        <v>0.072856</v>
      </c>
      <c r="F234" s="54" t="n">
        <v>0.099539</v>
      </c>
      <c r="G234" t="inlineStr">
        <is>
          <t>original (el Boletín publica con y sin impuestos)</t>
        </is>
      </c>
      <c r="H234" t="inlineStr">
        <is>
          <t>IVA e impuesto sobre hidrocarburos incluidos por la fuente</t>
        </is>
      </c>
      <c r="K234" t="inlineStr">
        <is>
          <t>Weekly_Oil_Bulletin_Prices_History_maticni_4web.xlsx</t>
        </is>
      </c>
    </row>
    <row r="235">
      <c r="A235" s="53" t="n">
        <v>45488</v>
      </c>
      <c r="B235" t="inlineStr">
        <is>
          <t>2024-07-15</t>
        </is>
      </c>
      <c r="C235" s="45" t="n">
        <v>1.03116</v>
      </c>
      <c r="D235" t="inlineStr">
        <is>
          <t>€/l</t>
        </is>
      </c>
      <c r="E235" s="54" t="n">
        <v>0.073491</v>
      </c>
      <c r="F235" s="54" t="n">
        <v>0.100307</v>
      </c>
      <c r="G235" t="inlineStr">
        <is>
          <t>original (el Boletín publica con y sin impuestos)</t>
        </is>
      </c>
      <c r="H235" t="inlineStr">
        <is>
          <t>IVA e impuesto sobre hidrocarburos incluidos por la fuente</t>
        </is>
      </c>
      <c r="K235" t="inlineStr">
        <is>
          <t>Weekly_Oil_Bulletin_Prices_History_maticni_4web.xlsx</t>
        </is>
      </c>
    </row>
    <row r="236">
      <c r="A236" s="53" t="n">
        <v>45495</v>
      </c>
      <c r="B236" t="inlineStr">
        <is>
          <t>2024-07-22</t>
        </is>
      </c>
      <c r="C236" s="45" t="n">
        <v>0.97722</v>
      </c>
      <c r="D236" t="inlineStr">
        <is>
          <t>€/l</t>
        </is>
      </c>
      <c r="E236" s="54" t="n">
        <v>0.06915499999999999</v>
      </c>
      <c r="F236" s="54" t="n">
        <v>0.09506000000000001</v>
      </c>
      <c r="G236" t="inlineStr">
        <is>
          <t>original (el Boletín publica con y sin impuestos)</t>
        </is>
      </c>
      <c r="H236" t="inlineStr">
        <is>
          <t>IVA e impuesto sobre hidrocarburos incluidos por la fuente</t>
        </is>
      </c>
      <c r="K236" t="inlineStr">
        <is>
          <t>Weekly_Oil_Bulletin_Prices_History_maticni_4web.xlsx</t>
        </is>
      </c>
    </row>
    <row r="237">
      <c r="A237" s="53" t="n">
        <v>45502</v>
      </c>
      <c r="B237" t="inlineStr">
        <is>
          <t>2024-07-29</t>
        </is>
      </c>
      <c r="C237" s="45" t="n">
        <v>0.98881</v>
      </c>
      <c r="D237" t="inlineStr">
        <is>
          <t>€/l</t>
        </is>
      </c>
      <c r="E237" s="54" t="n">
        <v>0.070087</v>
      </c>
      <c r="F237" s="54" t="n">
        <v>0.096188</v>
      </c>
      <c r="G237" t="inlineStr">
        <is>
          <t>original (el Boletín publica con y sin impuestos)</t>
        </is>
      </c>
      <c r="H237" t="inlineStr">
        <is>
          <t>IVA e impuesto sobre hidrocarburos incluidos por la fuente</t>
        </is>
      </c>
      <c r="K237" t="inlineStr">
        <is>
          <t>Weekly_Oil_Bulletin_Prices_History_maticni_4web.xlsx</t>
        </is>
      </c>
    </row>
    <row r="238">
      <c r="A238" s="53" t="n">
        <v>45509</v>
      </c>
      <c r="B238" t="inlineStr">
        <is>
          <t>2024-08-05</t>
        </is>
      </c>
      <c r="C238" s="45" t="n">
        <v>0.9791800000000001</v>
      </c>
      <c r="D238" t="inlineStr">
        <is>
          <t>€/l</t>
        </is>
      </c>
      <c r="E238" s="54" t="n">
        <v>0.062309</v>
      </c>
      <c r="F238" s="54" t="n">
        <v>0.095251</v>
      </c>
      <c r="G238" t="inlineStr">
        <is>
          <t>original (el Boletín publica con y sin impuestos)</t>
        </is>
      </c>
      <c r="H238" t="inlineStr">
        <is>
          <t>IVA e impuesto sobre hidrocarburos incluidos por la fuente</t>
        </is>
      </c>
      <c r="K238" t="inlineStr">
        <is>
          <t>Weekly_Oil_Bulletin_Prices_History_maticni_4web.xlsx</t>
        </is>
      </c>
    </row>
    <row r="239">
      <c r="A239" s="53" t="n">
        <v>45516</v>
      </c>
      <c r="B239" t="inlineStr">
        <is>
          <t>2024-08-12</t>
        </is>
      </c>
      <c r="C239" s="45" t="n">
        <v>0.9649799999999999</v>
      </c>
      <c r="D239" t="inlineStr">
        <is>
          <t>€/l</t>
        </is>
      </c>
      <c r="E239" s="54" t="n">
        <v>0.06816999999999999</v>
      </c>
      <c r="F239" s="54" t="n">
        <v>0.09387</v>
      </c>
      <c r="G239" t="inlineStr">
        <is>
          <t>original (el Boletín publica con y sin impuestos)</t>
        </is>
      </c>
      <c r="H239" t="inlineStr">
        <is>
          <t>IVA e impuesto sobre hidrocarburos incluidos por la fuente</t>
        </is>
      </c>
      <c r="K239" t="inlineStr">
        <is>
          <t>Weekly_Oil_Bulletin_Prices_History_maticni_4web.xlsx</t>
        </is>
      </c>
    </row>
    <row r="240">
      <c r="A240" s="53" t="n">
        <v>45523</v>
      </c>
      <c r="B240" t="inlineStr">
        <is>
          <t>2024-08-19</t>
        </is>
      </c>
      <c r="C240" s="45" t="n">
        <v>0.99338</v>
      </c>
      <c r="D240" t="inlineStr">
        <is>
          <t>€/l</t>
        </is>
      </c>
      <c r="E240" s="54" t="n">
        <v>0.070454</v>
      </c>
      <c r="F240" s="54" t="n">
        <v>0.096632</v>
      </c>
      <c r="G240" t="inlineStr">
        <is>
          <t>original (el Boletín publica con y sin impuestos)</t>
        </is>
      </c>
      <c r="H240" t="inlineStr">
        <is>
          <t>IVA e impuesto sobre hidrocarburos incluidos por la fuente</t>
        </is>
      </c>
      <c r="K240" t="inlineStr">
        <is>
          <t>Weekly_Oil_Bulletin_Prices_History_maticni_4web.xlsx</t>
        </is>
      </c>
    </row>
    <row r="241">
      <c r="A241" s="53" t="n">
        <v>45530</v>
      </c>
      <c r="B241" t="inlineStr">
        <is>
          <t>2024-08-26</t>
        </is>
      </c>
      <c r="C241" s="45" t="n">
        <v>0.94376</v>
      </c>
      <c r="D241" t="inlineStr">
        <is>
          <t>€/l</t>
        </is>
      </c>
      <c r="E241" s="54" t="n">
        <v>0.066465</v>
      </c>
      <c r="F241" s="54" t="n">
        <v>0.091805</v>
      </c>
      <c r="G241" t="inlineStr">
        <is>
          <t>original (el Boletín publica con y sin impuestos)</t>
        </is>
      </c>
      <c r="H241" t="inlineStr">
        <is>
          <t>IVA e impuesto sobre hidrocarburos incluidos por la fuente</t>
        </is>
      </c>
      <c r="K241" t="inlineStr">
        <is>
          <t>Weekly_Oil_Bulletin_Prices_History_maticni_4web.xlsx</t>
        </is>
      </c>
    </row>
    <row r="242">
      <c r="A242" s="53" t="n">
        <v>45537</v>
      </c>
      <c r="B242" t="inlineStr">
        <is>
          <t>2024-09-02</t>
        </is>
      </c>
      <c r="C242" s="45" t="n">
        <v>0.93794</v>
      </c>
      <c r="D242" t="inlineStr">
        <is>
          <t>€/l</t>
        </is>
      </c>
      <c r="E242" s="54" t="n">
        <v>0.065997</v>
      </c>
      <c r="F242" s="54" t="n">
        <v>0.091239</v>
      </c>
      <c r="G242" t="inlineStr">
        <is>
          <t>original (el Boletín publica con y sin impuestos)</t>
        </is>
      </c>
      <c r="H242" t="inlineStr">
        <is>
          <t>IVA e impuesto sobre hidrocarburos incluidos por la fuente</t>
        </is>
      </c>
      <c r="K242" t="inlineStr">
        <is>
          <t>Weekly_Oil_Bulletin_Prices_History_maticni_4web.xlsx</t>
        </is>
      </c>
    </row>
    <row r="243">
      <c r="A243" s="53" t="n">
        <v>45544</v>
      </c>
      <c r="B243" t="inlineStr">
        <is>
          <t>2024-09-09</t>
        </is>
      </c>
      <c r="C243" s="45" t="n">
        <v>0.90344</v>
      </c>
      <c r="D243" t="inlineStr">
        <is>
          <t>€/l</t>
        </is>
      </c>
      <c r="E243" s="54" t="n">
        <v>0.063223</v>
      </c>
      <c r="F243" s="54" t="n">
        <v>0.087883</v>
      </c>
      <c r="G243" t="inlineStr">
        <is>
          <t>original (el Boletín publica con y sin impuestos)</t>
        </is>
      </c>
      <c r="H243" t="inlineStr">
        <is>
          <t>IVA e impuesto sobre hidrocarburos incluidos por la fuente</t>
        </is>
      </c>
      <c r="K243" t="inlineStr">
        <is>
          <t>Weekly_Oil_Bulletin_Prices_History_maticni_4web.xlsx</t>
        </is>
      </c>
    </row>
    <row r="244">
      <c r="A244" s="53" t="n">
        <v>45551</v>
      </c>
      <c r="B244" t="inlineStr">
        <is>
          <t>2024-09-16</t>
        </is>
      </c>
      <c r="C244" s="45" t="n">
        <v>0.88364</v>
      </c>
      <c r="D244" t="inlineStr">
        <is>
          <t>€/l</t>
        </is>
      </c>
      <c r="E244" s="54" t="n">
        <v>0.061631</v>
      </c>
      <c r="F244" s="54" t="n">
        <v>0.08595700000000001</v>
      </c>
      <c r="G244" t="inlineStr">
        <is>
          <t>original (el Boletín publica con y sin impuestos)</t>
        </is>
      </c>
      <c r="H244" t="inlineStr">
        <is>
          <t>IVA e impuesto sobre hidrocarburos incluidos por la fuente</t>
        </is>
      </c>
      <c r="K244" t="inlineStr">
        <is>
          <t>Weekly_Oil_Bulletin_Prices_History_maticni_4web.xlsx</t>
        </is>
      </c>
    </row>
    <row r="245">
      <c r="A245" s="53" t="n">
        <v>45558</v>
      </c>
      <c r="B245" t="inlineStr">
        <is>
          <t>2024-09-23</t>
        </is>
      </c>
      <c r="C245" s="45" t="n">
        <v>0.87722</v>
      </c>
      <c r="D245" t="inlineStr">
        <is>
          <t>€/l</t>
        </is>
      </c>
      <c r="E245" s="54" t="n">
        <v>0.061116</v>
      </c>
      <c r="F245" s="54" t="n">
        <v>0.08533300000000001</v>
      </c>
      <c r="G245" t="inlineStr">
        <is>
          <t>original (el Boletín publica con y sin impuestos)</t>
        </is>
      </c>
      <c r="H245" t="inlineStr">
        <is>
          <t>IVA e impuesto sobre hidrocarburos incluidos por la fuente</t>
        </is>
      </c>
      <c r="K245" t="inlineStr">
        <is>
          <t>Weekly_Oil_Bulletin_Prices_History_maticni_4web.xlsx</t>
        </is>
      </c>
    </row>
    <row r="246">
      <c r="A246" s="53" t="n">
        <v>45565</v>
      </c>
      <c r="B246" t="inlineStr">
        <is>
          <t>2024-09-30</t>
        </is>
      </c>
      <c r="C246" s="45" t="n">
        <v>0.87681</v>
      </c>
      <c r="D246" t="inlineStr">
        <is>
          <t>€/l</t>
        </is>
      </c>
      <c r="E246" s="54" t="n">
        <v>0.061083</v>
      </c>
      <c r="F246" s="54" t="n">
        <v>0.08529299999999999</v>
      </c>
      <c r="G246" t="inlineStr">
        <is>
          <t>original (el Boletín publica con y sin impuestos)</t>
        </is>
      </c>
      <c r="H246" t="inlineStr">
        <is>
          <t>IVA e impuesto sobre hidrocarburos incluidos por la fuente</t>
        </is>
      </c>
      <c r="K246" t="inlineStr">
        <is>
          <t>Weekly_Oil_Bulletin_Prices_History_maticni_4web.xlsx</t>
        </is>
      </c>
    </row>
    <row r="247">
      <c r="A247" s="53" t="n">
        <v>45572</v>
      </c>
      <c r="B247" t="inlineStr">
        <is>
          <t>2024-10-07</t>
        </is>
      </c>
      <c r="C247" s="45" t="n">
        <v>0.8938700000000001</v>
      </c>
      <c r="D247" t="inlineStr">
        <is>
          <t>€/l</t>
        </is>
      </c>
      <c r="E247" s="54" t="n">
        <v>0.062454</v>
      </c>
      <c r="F247" s="54" t="n">
        <v>0.086952</v>
      </c>
      <c r="G247" t="inlineStr">
        <is>
          <t>original (el Boletín publica con y sin impuestos)</t>
        </is>
      </c>
      <c r="H247" t="inlineStr">
        <is>
          <t>IVA e impuesto sobre hidrocarburos incluidos por la fuente</t>
        </is>
      </c>
      <c r="K247" t="inlineStr">
        <is>
          <t>Weekly_Oil_Bulletin_Prices_History_maticni_4web.xlsx</t>
        </is>
      </c>
    </row>
    <row r="248">
      <c r="A248" s="53" t="n">
        <v>45579</v>
      </c>
      <c r="B248" t="inlineStr">
        <is>
          <t>2024-10-14</t>
        </is>
      </c>
      <c r="C248" s="45" t="n">
        <v>0.92171</v>
      </c>
      <c r="D248" t="inlineStr">
        <is>
          <t>€/l</t>
        </is>
      </c>
      <c r="E248" s="54" t="n">
        <v>0.064692</v>
      </c>
      <c r="F248" s="54" t="n">
        <v>0.089661</v>
      </c>
      <c r="G248" t="inlineStr">
        <is>
          <t>original (el Boletín publica con y sin impuestos)</t>
        </is>
      </c>
      <c r="H248" t="inlineStr">
        <is>
          <t>IVA e impuesto sobre hidrocarburos incluidos por la fuente</t>
        </is>
      </c>
      <c r="K248" t="inlineStr">
        <is>
          <t>Weekly_Oil_Bulletin_Prices_History_maticni_4web.xlsx</t>
        </is>
      </c>
    </row>
    <row r="249">
      <c r="A249" s="53" t="n">
        <v>45586</v>
      </c>
      <c r="B249" t="inlineStr">
        <is>
          <t>2024-10-21</t>
        </is>
      </c>
      <c r="C249" s="45" t="n">
        <v>0.91828</v>
      </c>
      <c r="D249" t="inlineStr">
        <is>
          <t>€/l</t>
        </is>
      </c>
      <c r="E249" s="54" t="n">
        <v>0.064416</v>
      </c>
      <c r="F249" s="54" t="n">
        <v>0.089327</v>
      </c>
      <c r="G249" t="inlineStr">
        <is>
          <t>original (el Boletín publica con y sin impuestos)</t>
        </is>
      </c>
      <c r="H249" t="inlineStr">
        <is>
          <t>IVA e impuesto sobre hidrocarburos incluidos por la fuente</t>
        </is>
      </c>
      <c r="K249" t="inlineStr">
        <is>
          <t>Weekly_Oil_Bulletin_Prices_History_maticni_4web.xlsx</t>
        </is>
      </c>
    </row>
    <row r="250">
      <c r="A250" s="53" t="n">
        <v>45593</v>
      </c>
      <c r="B250" t="inlineStr">
        <is>
          <t>2024-10-28</t>
        </is>
      </c>
      <c r="C250" s="45" t="n">
        <v>0.9099</v>
      </c>
      <c r="D250" t="inlineStr">
        <is>
          <t>€/l</t>
        </is>
      </c>
      <c r="E250" s="54" t="n">
        <v>0.06374199999999999</v>
      </c>
      <c r="F250" s="54" t="n">
        <v>0.08851199999999999</v>
      </c>
      <c r="G250" t="inlineStr">
        <is>
          <t>original (el Boletín publica con y sin impuestos)</t>
        </is>
      </c>
      <c r="H250" t="inlineStr">
        <is>
          <t>IVA e impuesto sobre hidrocarburos incluidos por la fuente</t>
        </is>
      </c>
      <c r="K250" t="inlineStr">
        <is>
          <t>Weekly_Oil_Bulletin_Prices_History_maticni_4web.xlsx</t>
        </is>
      </c>
    </row>
    <row r="251">
      <c r="A251" s="53" t="n">
        <v>45600</v>
      </c>
      <c r="B251" t="inlineStr">
        <is>
          <t>2024-11-04</t>
        </is>
      </c>
      <c r="C251" s="45" t="n">
        <v>0.91211</v>
      </c>
      <c r="D251" t="inlineStr">
        <is>
          <t>€/l</t>
        </is>
      </c>
      <c r="E251" s="54" t="n">
        <v>0.06392</v>
      </c>
      <c r="F251" s="54" t="n">
        <v>0.088727</v>
      </c>
      <c r="G251" t="inlineStr">
        <is>
          <t>original (el Boletín publica con y sin impuestos)</t>
        </is>
      </c>
      <c r="H251" t="inlineStr">
        <is>
          <t>IVA e impuesto sobre hidrocarburos incluidos por la fuente</t>
        </is>
      </c>
      <c r="K251" t="inlineStr">
        <is>
          <t>Weekly_Oil_Bulletin_Prices_History_maticni_4web.xlsx</t>
        </is>
      </c>
    </row>
    <row r="252">
      <c r="A252" s="53" t="n">
        <v>45607</v>
      </c>
      <c r="B252" t="inlineStr">
        <is>
          <t>2024-11-11</t>
        </is>
      </c>
      <c r="C252" s="45" t="n">
        <v>0.92503</v>
      </c>
      <c r="D252" t="inlineStr">
        <is>
          <t>€/l</t>
        </is>
      </c>
      <c r="E252" s="54" t="n">
        <v>0.064959</v>
      </c>
      <c r="F252" s="54" t="n">
        <v>0.08998299999999999</v>
      </c>
      <c r="G252" t="inlineStr">
        <is>
          <t>original (el Boletín publica con y sin impuestos)</t>
        </is>
      </c>
      <c r="H252" t="inlineStr">
        <is>
          <t>IVA e impuesto sobre hidrocarburos incluidos por la fuente</t>
        </is>
      </c>
      <c r="K252" t="inlineStr">
        <is>
          <t>Weekly_Oil_Bulletin_Prices_History_maticni_4web.xlsx</t>
        </is>
      </c>
    </row>
    <row r="253">
      <c r="A253" s="53" t="n">
        <v>45614</v>
      </c>
      <c r="B253" t="inlineStr">
        <is>
          <t>2024-11-18</t>
        </is>
      </c>
      <c r="C253" s="45" t="n">
        <v>0.92827</v>
      </c>
      <c r="D253" t="inlineStr">
        <is>
          <t>€/l</t>
        </is>
      </c>
      <c r="E253" s="54" t="n">
        <v>0.06522</v>
      </c>
      <c r="F253" s="54" t="n">
        <v>0.090299</v>
      </c>
      <c r="G253" t="inlineStr">
        <is>
          <t>original (el Boletín publica con y sin impuestos)</t>
        </is>
      </c>
      <c r="H253" t="inlineStr">
        <is>
          <t>IVA e impuesto sobre hidrocarburos incluidos por la fuente</t>
        </is>
      </c>
      <c r="K253" t="inlineStr">
        <is>
          <t>Weekly_Oil_Bulletin_Prices_History_maticni_4web.xlsx</t>
        </is>
      </c>
    </row>
    <row r="254">
      <c r="A254" s="53" t="n">
        <v>45621</v>
      </c>
      <c r="B254" t="inlineStr">
        <is>
          <t>2024-11-25</t>
        </is>
      </c>
      <c r="C254" s="45" t="n">
        <v>0.93266</v>
      </c>
      <c r="D254" t="inlineStr">
        <is>
          <t>€/l</t>
        </is>
      </c>
      <c r="E254" s="54" t="n">
        <v>0.06557200000000001</v>
      </c>
      <c r="F254" s="54" t="n">
        <v>0.090726</v>
      </c>
      <c r="G254" t="inlineStr">
        <is>
          <t>original (el Boletín publica con y sin impuestos)</t>
        </is>
      </c>
      <c r="H254" t="inlineStr">
        <is>
          <t>IVA e impuesto sobre hidrocarburos incluidos por la fuente</t>
        </is>
      </c>
      <c r="K254" t="inlineStr">
        <is>
          <t>Weekly_Oil_Bulletin_Prices_History_maticni_4web.xlsx</t>
        </is>
      </c>
    </row>
    <row r="255">
      <c r="A255" s="53" t="n">
        <v>45628</v>
      </c>
      <c r="B255" t="inlineStr">
        <is>
          <t>2024-12-02</t>
        </is>
      </c>
      <c r="C255" s="45" t="n">
        <v>0.93553</v>
      </c>
      <c r="D255" t="inlineStr">
        <is>
          <t>€/l</t>
        </is>
      </c>
      <c r="E255" s="54" t="n">
        <v>0.065804</v>
      </c>
      <c r="F255" s="54" t="n">
        <v>0.091005</v>
      </c>
      <c r="G255" t="inlineStr">
        <is>
          <t>original (el Boletín publica con y sin impuestos)</t>
        </is>
      </c>
      <c r="H255" t="inlineStr">
        <is>
          <t>IVA e impuesto sobre hidrocarburos incluidos por la fuente</t>
        </is>
      </c>
      <c r="K255" t="inlineStr">
        <is>
          <t>Weekly_Oil_Bulletin_Prices_History_maticni_4web.xlsx</t>
        </is>
      </c>
    </row>
    <row r="256">
      <c r="A256" s="53" t="n">
        <v>45635</v>
      </c>
      <c r="B256" t="inlineStr">
        <is>
          <t>2024-12-09</t>
        </is>
      </c>
      <c r="C256" s="45" t="n">
        <v>0.93207</v>
      </c>
      <c r="D256" t="inlineStr">
        <is>
          <t>€/l</t>
        </is>
      </c>
      <c r="E256" s="54" t="n">
        <v>0.065525</v>
      </c>
      <c r="F256" s="54" t="n">
        <v>0.090668</v>
      </c>
      <c r="G256" t="inlineStr">
        <is>
          <t>original (el Boletín publica con y sin impuestos)</t>
        </is>
      </c>
      <c r="H256" t="inlineStr">
        <is>
          <t>IVA e impuesto sobre hidrocarburos incluidos por la fuente</t>
        </is>
      </c>
      <c r="K256" t="inlineStr">
        <is>
          <t>Weekly_Oil_Bulletin_Prices_History_maticni_4web.xlsx</t>
        </is>
      </c>
    </row>
    <row r="257">
      <c r="A257" s="53" t="n">
        <v>45642</v>
      </c>
      <c r="B257" t="inlineStr">
        <is>
          <t>2024-12-16</t>
        </is>
      </c>
      <c r="C257" s="45" t="n">
        <v>0.93224</v>
      </c>
      <c r="D257" t="inlineStr">
        <is>
          <t>€/l</t>
        </is>
      </c>
      <c r="E257" s="54" t="n">
        <v>0.065539</v>
      </c>
      <c r="F257" s="54" t="n">
        <v>0.090685</v>
      </c>
      <c r="G257" t="inlineStr">
        <is>
          <t>original (el Boletín publica con y sin impuestos)</t>
        </is>
      </c>
      <c r="H257" t="inlineStr">
        <is>
          <t>IVA e impuesto sobre hidrocarburos incluidos por la fuente</t>
        </is>
      </c>
      <c r="K257" t="inlineStr">
        <is>
          <t>Weekly_Oil_Bulletin_Prices_History_maticni_4web.xlsx</t>
        </is>
      </c>
    </row>
    <row r="258">
      <c r="A258" s="53" t="n">
        <v>45649</v>
      </c>
      <c r="B258" t="inlineStr">
        <is>
          <t>2024-12-23</t>
        </is>
      </c>
      <c r="C258" s="45" t="n">
        <v>0.9391</v>
      </c>
      <c r="D258" t="inlineStr">
        <is>
          <t>€/l</t>
        </is>
      </c>
      <c r="E258" s="54" t="n">
        <v>0.06609</v>
      </c>
      <c r="F258" s="54" t="n">
        <v>0.091352</v>
      </c>
      <c r="G258" t="inlineStr">
        <is>
          <t>original (el Boletín publica con y sin impuestos)</t>
        </is>
      </c>
      <c r="H258" t="inlineStr">
        <is>
          <t>IVA e impuesto sobre hidrocarburos incluidos por la fuente</t>
        </is>
      </c>
      <c r="K258" t="inlineStr">
        <is>
          <t>Weekly_Oil_Bulletin_Prices_History_maticni_4web.xlsx</t>
        </is>
      </c>
    </row>
    <row r="259">
      <c r="A259" s="53" t="n">
        <v>45656</v>
      </c>
      <c r="B259" t="inlineStr">
        <is>
          <t>2024-12-30</t>
        </is>
      </c>
      <c r="C259" s="45" t="n">
        <v>0.94138</v>
      </c>
      <c r="D259" t="inlineStr">
        <is>
          <t>€/l</t>
        </is>
      </c>
      <c r="E259" s="54" t="n">
        <v>0.066273</v>
      </c>
      <c r="F259" s="54" t="n">
        <v>0.091574</v>
      </c>
      <c r="G259" t="inlineStr">
        <is>
          <t>original (el Boletín publica con y sin impuestos)</t>
        </is>
      </c>
      <c r="H259" t="inlineStr">
        <is>
          <t>IVA e impuesto sobre hidrocarburos incluidos por la fuente</t>
        </is>
      </c>
      <c r="K259" t="inlineStr">
        <is>
          <t>Weekly_Oil_Bulletin_Prices_History_maticni_4web.xlsx</t>
        </is>
      </c>
    </row>
    <row r="260">
      <c r="A260" s="53" t="n">
        <v>45663</v>
      </c>
      <c r="B260" t="inlineStr">
        <is>
          <t>2025-01-06</t>
        </is>
      </c>
      <c r="C260" s="45" t="n">
        <v>0.94772</v>
      </c>
      <c r="D260" t="inlineStr">
        <is>
          <t>€/l</t>
        </is>
      </c>
      <c r="E260" s="54" t="n">
        <v>0.066783</v>
      </c>
      <c r="F260" s="54" t="n">
        <v>0.092191</v>
      </c>
      <c r="G260" t="inlineStr">
        <is>
          <t>original (el Boletín publica con y sin impuestos)</t>
        </is>
      </c>
      <c r="H260" t="inlineStr">
        <is>
          <t>IVA e impuesto sobre hidrocarburos incluidos por la fuente</t>
        </is>
      </c>
      <c r="K260" t="inlineStr">
        <is>
          <t>Weekly_Oil_Bulletin_Prices_History_maticni_4web.xlsx</t>
        </is>
      </c>
    </row>
    <row r="261">
      <c r="A261" s="53" t="n">
        <v>45670</v>
      </c>
      <c r="B261" t="inlineStr">
        <is>
          <t>2025-01-13</t>
        </is>
      </c>
      <c r="C261" s="45" t="n">
        <v>0.98032</v>
      </c>
      <c r="D261" t="inlineStr">
        <is>
          <t>€/l</t>
        </is>
      </c>
      <c r="E261" s="54" t="n">
        <v>0.06940399999999999</v>
      </c>
      <c r="F261" s="54" t="n">
        <v>0.095362</v>
      </c>
      <c r="G261" t="inlineStr">
        <is>
          <t>original (el Boletín publica con y sin impuestos)</t>
        </is>
      </c>
      <c r="H261" t="inlineStr">
        <is>
          <t>IVA e impuesto sobre hidrocarburos incluidos por la fuente</t>
        </is>
      </c>
      <c r="K261" t="inlineStr">
        <is>
          <t>Weekly_Oil_Bulletin_Prices_History_maticni_4web.xlsx</t>
        </is>
      </c>
    </row>
    <row r="262">
      <c r="A262" s="53" t="n">
        <v>45677</v>
      </c>
      <c r="B262" t="inlineStr">
        <is>
          <t>2025-01-20</t>
        </is>
      </c>
      <c r="C262" s="45" t="n">
        <v>1.01341</v>
      </c>
      <c r="D262" t="inlineStr">
        <is>
          <t>€/l</t>
        </is>
      </c>
      <c r="E262" s="54" t="n">
        <v>0.072064</v>
      </c>
      <c r="F262" s="54" t="n">
        <v>0.098581</v>
      </c>
      <c r="G262" t="inlineStr">
        <is>
          <t>original (el Boletín publica con y sin impuestos)</t>
        </is>
      </c>
      <c r="H262" t="inlineStr">
        <is>
          <t>IVA e impuesto sobre hidrocarburos incluidos por la fuente</t>
        </is>
      </c>
      <c r="K262" t="inlineStr">
        <is>
          <t>Weekly_Oil_Bulletin_Prices_History_maticni_4web.xlsx</t>
        </is>
      </c>
    </row>
    <row r="263">
      <c r="A263" s="53" t="n">
        <v>45684</v>
      </c>
      <c r="B263" t="inlineStr">
        <is>
          <t>2025-01-27</t>
        </is>
      </c>
      <c r="C263" s="45" t="n">
        <v>1.0061</v>
      </c>
      <c r="D263" t="inlineStr">
        <is>
          <t>€/l</t>
        </is>
      </c>
      <c r="E263" s="54" t="n">
        <v>0.071477</v>
      </c>
      <c r="F263" s="54" t="n">
        <v>0.09787</v>
      </c>
      <c r="G263" t="inlineStr">
        <is>
          <t>original (el Boletín publica con y sin impuestos)</t>
        </is>
      </c>
      <c r="H263" t="inlineStr">
        <is>
          <t>IVA e impuesto sobre hidrocarburos incluidos por la fuente</t>
        </is>
      </c>
      <c r="K263" t="inlineStr">
        <is>
          <t>Weekly_Oil_Bulletin_Prices_History_maticni_4web.xlsx</t>
        </is>
      </c>
    </row>
    <row r="264">
      <c r="A264" s="53" t="n">
        <v>45691</v>
      </c>
      <c r="B264" t="inlineStr">
        <is>
          <t>2025-02-03</t>
        </is>
      </c>
      <c r="C264" s="45" t="n">
        <v>0.99265</v>
      </c>
      <c r="D264" t="inlineStr">
        <is>
          <t>€/l</t>
        </is>
      </c>
      <c r="E264" s="54" t="n">
        <v>0.070395</v>
      </c>
      <c r="F264" s="54" t="n">
        <v>0.09656099999999999</v>
      </c>
      <c r="G264" t="inlineStr">
        <is>
          <t>original (el Boletín publica con y sin impuestos)</t>
        </is>
      </c>
      <c r="H264" t="inlineStr">
        <is>
          <t>IVA e impuesto sobre hidrocarburos incluidos por la fuente</t>
        </is>
      </c>
      <c r="K264" t="inlineStr">
        <is>
          <t>Weekly_Oil_Bulletin_Prices_History_maticni_4web.xlsx</t>
        </is>
      </c>
    </row>
    <row r="265">
      <c r="A265" s="53" t="n">
        <v>45698</v>
      </c>
      <c r="B265" t="inlineStr">
        <is>
          <t>2025-02-10</t>
        </is>
      </c>
      <c r="C265" s="45" t="n">
        <v>0.98604</v>
      </c>
      <c r="D265" t="inlineStr">
        <is>
          <t>€/l</t>
        </is>
      </c>
      <c r="E265" s="54" t="n">
        <v>0.069864</v>
      </c>
      <c r="F265" s="54" t="n">
        <v>0.095918</v>
      </c>
      <c r="G265" t="inlineStr">
        <is>
          <t>original (el Boletín publica con y sin impuestos)</t>
        </is>
      </c>
      <c r="H265" t="inlineStr">
        <is>
          <t>IVA e impuesto sobre hidrocarburos incluidos por la fuente</t>
        </is>
      </c>
      <c r="K265" t="inlineStr">
        <is>
          <t>Weekly_Oil_Bulletin_Prices_History_maticni_4web.xlsx</t>
        </is>
      </c>
    </row>
    <row r="266">
      <c r="A266" s="53" t="n">
        <v>45705</v>
      </c>
      <c r="B266" t="inlineStr">
        <is>
          <t>2025-02-17</t>
        </is>
      </c>
      <c r="C266" s="45" t="n">
        <v>0.99682</v>
      </c>
      <c r="D266" t="inlineStr">
        <is>
          <t>€/l</t>
        </is>
      </c>
      <c r="E266" s="54" t="n">
        <v>0.070731</v>
      </c>
      <c r="F266" s="54" t="n">
        <v>0.096967</v>
      </c>
      <c r="G266" t="inlineStr">
        <is>
          <t>original (el Boletín publica con y sin impuestos)</t>
        </is>
      </c>
      <c r="H266" t="inlineStr">
        <is>
          <t>IVA e impuesto sobre hidrocarburos incluidos por la fuente</t>
        </is>
      </c>
      <c r="K266" t="inlineStr">
        <is>
          <t>Weekly_Oil_Bulletin_Prices_History_maticni_4web.xlsx</t>
        </is>
      </c>
    </row>
    <row r="267">
      <c r="A267" s="53" t="n">
        <v>45712</v>
      </c>
      <c r="B267" t="inlineStr">
        <is>
          <t>2025-02-24</t>
        </is>
      </c>
      <c r="C267" s="45" t="n">
        <v>0.99413</v>
      </c>
      <c r="D267" t="inlineStr">
        <is>
          <t>€/l</t>
        </is>
      </c>
      <c r="E267" s="54" t="n">
        <v>0.07051499999999999</v>
      </c>
      <c r="F267" s="54" t="n">
        <v>0.096705</v>
      </c>
      <c r="G267" t="inlineStr">
        <is>
          <t>original (el Boletín publica con y sin impuestos)</t>
        </is>
      </c>
      <c r="H267" t="inlineStr">
        <is>
          <t>IVA e impuesto sobre hidrocarburos incluidos por la fuente</t>
        </is>
      </c>
      <c r="K267" t="inlineStr">
        <is>
          <t>Weekly_Oil_Bulletin_Prices_History_maticni_4web.xlsx</t>
        </is>
      </c>
    </row>
    <row r="268">
      <c r="A268" s="53" t="n">
        <v>45719</v>
      </c>
      <c r="B268" t="inlineStr">
        <is>
          <t>2025-03-03</t>
        </is>
      </c>
      <c r="C268" s="45" t="n">
        <v>0.98492</v>
      </c>
      <c r="D268" t="inlineStr">
        <is>
          <t>€/l</t>
        </is>
      </c>
      <c r="E268" s="54" t="n">
        <v>0.069773</v>
      </c>
      <c r="F268" s="54" t="n">
        <v>0.09580900000000001</v>
      </c>
      <c r="G268" t="inlineStr">
        <is>
          <t>original (el Boletín publica con y sin impuestos)</t>
        </is>
      </c>
      <c r="H268" t="inlineStr">
        <is>
          <t>IVA e impuesto sobre hidrocarburos incluidos por la fuente</t>
        </is>
      </c>
      <c r="K268" t="inlineStr">
        <is>
          <t>Weekly_Oil_Bulletin_Prices_History_maticni_4web.xlsx</t>
        </is>
      </c>
    </row>
    <row r="269">
      <c r="A269" s="53" t="n">
        <v>45726</v>
      </c>
      <c r="B269" t="inlineStr">
        <is>
          <t>2025-03-10</t>
        </is>
      </c>
      <c r="C269" s="45" t="n">
        <v>0.9513200000000001</v>
      </c>
      <c r="D269" t="inlineStr">
        <is>
          <t>€/l</t>
        </is>
      </c>
      <c r="E269" s="54" t="n">
        <v>0.06707200000000001</v>
      </c>
      <c r="F269" s="54" t="n">
        <v>0.092541</v>
      </c>
      <c r="G269" t="inlineStr">
        <is>
          <t>original (el Boletín publica con y sin impuestos)</t>
        </is>
      </c>
      <c r="H269" t="inlineStr">
        <is>
          <t>IVA e impuesto sobre hidrocarburos incluidos por la fuente</t>
        </is>
      </c>
      <c r="K269" t="inlineStr">
        <is>
          <t>Weekly_Oil_Bulletin_Prices_History_maticni_4web.xlsx</t>
        </is>
      </c>
    </row>
    <row r="270">
      <c r="A270" s="53" t="n">
        <v>45733</v>
      </c>
      <c r="B270" t="inlineStr">
        <is>
          <t>2025-03-17</t>
        </is>
      </c>
      <c r="C270" s="45" t="n">
        <v>0.93268</v>
      </c>
      <c r="D270" t="inlineStr">
        <is>
          <t>€/l</t>
        </is>
      </c>
      <c r="E270" s="54" t="n">
        <v>0.06557399999999999</v>
      </c>
      <c r="F270" s="54" t="n">
        <v>0.090728</v>
      </c>
      <c r="G270" t="inlineStr">
        <is>
          <t>original (el Boletín publica con y sin impuestos)</t>
        </is>
      </c>
      <c r="H270" t="inlineStr">
        <is>
          <t>IVA e impuesto sobre hidrocarburos incluidos por la fuente</t>
        </is>
      </c>
      <c r="K270" t="inlineStr">
        <is>
          <t>Weekly_Oil_Bulletin_Prices_History_maticni_4web.xlsx</t>
        </is>
      </c>
    </row>
    <row r="271">
      <c r="A271" s="53" t="n">
        <v>45740</v>
      </c>
      <c r="B271" t="inlineStr">
        <is>
          <t>2025-03-24</t>
        </is>
      </c>
      <c r="C271" s="45" t="n">
        <v>0.92148</v>
      </c>
      <c r="D271" t="inlineStr">
        <is>
          <t>€/l</t>
        </is>
      </c>
      <c r="E271" s="54" t="n">
        <v>0.06467299999999999</v>
      </c>
      <c r="F271" s="54" t="n">
        <v>0.089638</v>
      </c>
      <c r="G271" t="inlineStr">
        <is>
          <t>original (el Boletín publica con y sin impuestos)</t>
        </is>
      </c>
      <c r="H271" t="inlineStr">
        <is>
          <t>IVA e impuesto sobre hidrocarburos incluidos por la fuente</t>
        </is>
      </c>
      <c r="K271" t="inlineStr">
        <is>
          <t>Weekly_Oil_Bulletin_Prices_History_maticni_4web.xlsx</t>
        </is>
      </c>
    </row>
    <row r="272">
      <c r="A272" s="53" t="n">
        <v>45747</v>
      </c>
      <c r="B272" t="inlineStr">
        <is>
          <t>2025-03-31</t>
        </is>
      </c>
      <c r="C272" s="45" t="n">
        <v>0.92938</v>
      </c>
      <c r="D272" t="inlineStr">
        <is>
          <t>€/l</t>
        </is>
      </c>
      <c r="E272" s="54" t="n">
        <v>0.065308</v>
      </c>
      <c r="F272" s="54" t="n">
        <v>0.090407</v>
      </c>
      <c r="G272" t="inlineStr">
        <is>
          <t>original (el Boletín publica con y sin impuestos)</t>
        </is>
      </c>
      <c r="H272" t="inlineStr">
        <is>
          <t>IVA e impuesto sobre hidrocarburos incluidos por la fuente</t>
        </is>
      </c>
      <c r="K272" t="inlineStr">
        <is>
          <t>Weekly_Oil_Bulletin_Prices_History_maticni_4web.xlsx</t>
        </is>
      </c>
    </row>
    <row r="273">
      <c r="A273" s="53" t="n">
        <v>45754</v>
      </c>
      <c r="B273" t="inlineStr">
        <is>
          <t>2025-04-07</t>
        </is>
      </c>
      <c r="C273" s="45" t="n">
        <v>0.92206</v>
      </c>
      <c r="D273" t="inlineStr">
        <is>
          <t>€/l</t>
        </is>
      </c>
      <c r="E273" s="54" t="n">
        <v>0.06472</v>
      </c>
      <c r="F273" s="54" t="n">
        <v>0.089695</v>
      </c>
      <c r="G273" t="inlineStr">
        <is>
          <t>original (el Boletín publica con y sin impuestos)</t>
        </is>
      </c>
      <c r="H273" t="inlineStr">
        <is>
          <t>IVA e impuesto sobre hidrocarburos incluidos por la fuente</t>
        </is>
      </c>
      <c r="K273" t="inlineStr">
        <is>
          <t>Weekly_Oil_Bulletin_Prices_History_maticni_4web.xlsx</t>
        </is>
      </c>
    </row>
    <row r="274">
      <c r="A274" s="53" t="n">
        <v>45761</v>
      </c>
      <c r="B274" t="inlineStr">
        <is>
          <t>2025-04-14</t>
        </is>
      </c>
      <c r="C274" s="45" t="n">
        <v>0.88836</v>
      </c>
      <c r="D274" t="inlineStr">
        <is>
          <t>€/l</t>
        </is>
      </c>
      <c r="E274" s="54" t="n">
        <v>0.062011</v>
      </c>
      <c r="F274" s="54" t="n">
        <v>0.08641600000000001</v>
      </c>
      <c r="G274" t="inlineStr">
        <is>
          <t>original (el Boletín publica con y sin impuestos)</t>
        </is>
      </c>
      <c r="H274" t="inlineStr">
        <is>
          <t>IVA e impuesto sobre hidrocarburos incluidos por la fuente</t>
        </is>
      </c>
      <c r="K274" t="inlineStr">
        <is>
          <t>Weekly_Oil_Bulletin_Prices_History_maticni_4web.xlsx</t>
        </is>
      </c>
    </row>
    <row r="275">
      <c r="A275" s="53" t="n">
        <v>45768</v>
      </c>
      <c r="B275" t="inlineStr">
        <is>
          <t>2025-04-21</t>
        </is>
      </c>
      <c r="C275" s="45" t="n">
        <v>0.87597</v>
      </c>
      <c r="D275" t="inlineStr">
        <is>
          <t>€/l</t>
        </is>
      </c>
      <c r="E275" s="54" t="n">
        <v>0.061015</v>
      </c>
      <c r="F275" s="54" t="n">
        <v>0.085211</v>
      </c>
      <c r="G275" t="inlineStr">
        <is>
          <t>original (el Boletín publica con y sin impuestos)</t>
        </is>
      </c>
      <c r="H275" t="inlineStr">
        <is>
          <t>IVA e impuesto sobre hidrocarburos incluidos por la fuente</t>
        </is>
      </c>
      <c r="K275" t="inlineStr">
        <is>
          <t>Weekly_Oil_Bulletin_Prices_History_maticni_4web.xlsx</t>
        </is>
      </c>
    </row>
    <row r="276">
      <c r="A276" s="53" t="n">
        <v>45775</v>
      </c>
      <c r="B276" t="inlineStr">
        <is>
          <t>2025-04-28</t>
        </is>
      </c>
      <c r="C276" s="45" t="n">
        <v>0.86386</v>
      </c>
      <c r="D276" t="inlineStr">
        <is>
          <t>€/l</t>
        </is>
      </c>
      <c r="E276" s="54" t="n">
        <v>0.060041</v>
      </c>
      <c r="F276" s="54" t="n">
        <v>0.084033</v>
      </c>
      <c r="G276" t="inlineStr">
        <is>
          <t>original (el Boletín publica con y sin impuestos)</t>
        </is>
      </c>
      <c r="H276" t="inlineStr">
        <is>
          <t>IVA e impuesto sobre hidrocarburos incluidos por la fuente</t>
        </is>
      </c>
      <c r="K276" t="inlineStr">
        <is>
          <t>Weekly_Oil_Bulletin_Prices_History_maticni_4web.xlsx</t>
        </is>
      </c>
    </row>
    <row r="277">
      <c r="A277" s="53" t="n">
        <v>45782</v>
      </c>
      <c r="B277" t="inlineStr">
        <is>
          <t>2025-05-05</t>
        </is>
      </c>
      <c r="C277" s="45" t="n">
        <v>0.86295</v>
      </c>
      <c r="D277" t="inlineStr">
        <is>
          <t>€/l</t>
        </is>
      </c>
      <c r="E277" s="54" t="n">
        <v>0.059968</v>
      </c>
      <c r="F277" s="54" t="n">
        <v>0.08394500000000001</v>
      </c>
      <c r="G277" t="inlineStr">
        <is>
          <t>original (el Boletín publica con y sin impuestos)</t>
        </is>
      </c>
      <c r="H277" t="inlineStr">
        <is>
          <t>IVA e impuesto sobre hidrocarburos incluidos por la fuente</t>
        </is>
      </c>
      <c r="K277" t="inlineStr">
        <is>
          <t>Weekly_Oil_Bulletin_Prices_History_maticni_4web.xlsx</t>
        </is>
      </c>
    </row>
    <row r="278">
      <c r="A278" s="53" t="n">
        <v>45789</v>
      </c>
      <c r="B278" t="inlineStr">
        <is>
          <t>2025-05-12</t>
        </is>
      </c>
      <c r="C278" s="45" t="n">
        <v>0.85888</v>
      </c>
      <c r="D278" t="inlineStr">
        <is>
          <t>€/l</t>
        </is>
      </c>
      <c r="E278" s="54" t="n">
        <v>0.059641</v>
      </c>
      <c r="F278" s="54" t="n">
        <v>0.083549</v>
      </c>
      <c r="G278" t="inlineStr">
        <is>
          <t>original (el Boletín publica con y sin impuestos)</t>
        </is>
      </c>
      <c r="H278" t="inlineStr">
        <is>
          <t>IVA e impuesto sobre hidrocarburos incluidos por la fuente</t>
        </is>
      </c>
      <c r="K278" t="inlineStr">
        <is>
          <t>Weekly_Oil_Bulletin_Prices_History_maticni_4web.xlsx</t>
        </is>
      </c>
    </row>
    <row r="279">
      <c r="A279" s="53" t="n">
        <v>45796</v>
      </c>
      <c r="B279" t="inlineStr">
        <is>
          <t>2025-05-19</t>
        </is>
      </c>
      <c r="C279" s="45" t="n">
        <v>0.86322</v>
      </c>
      <c r="D279" t="inlineStr">
        <is>
          <t>€/l</t>
        </is>
      </c>
      <c r="E279" s="54" t="n">
        <v>0.059989</v>
      </c>
      <c r="F279" s="54" t="n">
        <v>0.083971</v>
      </c>
      <c r="G279" t="inlineStr">
        <is>
          <t>original (el Boletín publica con y sin impuestos)</t>
        </is>
      </c>
      <c r="H279" t="inlineStr">
        <is>
          <t>IVA e impuesto sobre hidrocarburos incluidos por la fuente</t>
        </is>
      </c>
      <c r="K279" t="inlineStr">
        <is>
          <t>Weekly_Oil_Bulletin_Prices_History_maticni_4web.xlsx</t>
        </is>
      </c>
    </row>
    <row r="280">
      <c r="A280" s="53" t="n">
        <v>45803</v>
      </c>
      <c r="B280" t="inlineStr">
        <is>
          <t>2025-05-26</t>
        </is>
      </c>
      <c r="C280" s="45" t="n">
        <v>0.85881</v>
      </c>
      <c r="D280" t="inlineStr">
        <is>
          <t>€/l</t>
        </is>
      </c>
      <c r="E280" s="54" t="n">
        <v>0.059635</v>
      </c>
      <c r="F280" s="54" t="n">
        <v>0.08354200000000001</v>
      </c>
      <c r="G280" t="inlineStr">
        <is>
          <t>original (el Boletín publica con y sin impuestos)</t>
        </is>
      </c>
      <c r="H280" t="inlineStr">
        <is>
          <t>IVA e impuesto sobre hidrocarburos incluidos por la fuente</t>
        </is>
      </c>
      <c r="K280" t="inlineStr">
        <is>
          <t>Weekly_Oil_Bulletin_Prices_History_maticni_4web.xlsx</t>
        </is>
      </c>
    </row>
    <row r="281">
      <c r="A281" s="53" t="n">
        <v>45810</v>
      </c>
      <c r="B281" t="inlineStr">
        <is>
          <t>2025-06-02</t>
        </is>
      </c>
      <c r="C281" s="45" t="n">
        <v>0.85738</v>
      </c>
      <c r="D281" t="inlineStr">
        <is>
          <t>€/l</t>
        </is>
      </c>
      <c r="E281" s="54" t="n">
        <v>0.05952</v>
      </c>
      <c r="F281" s="54" t="n">
        <v>0.083403</v>
      </c>
      <c r="G281" t="inlineStr">
        <is>
          <t>original (el Boletín publica con y sin impuestos)</t>
        </is>
      </c>
      <c r="H281" t="inlineStr">
        <is>
          <t>IVA e impuesto sobre hidrocarburos incluidos por la fuente</t>
        </is>
      </c>
      <c r="K281" t="inlineStr">
        <is>
          <t>Weekly_Oil_Bulletin_Prices_History_maticni_4web.xlsx</t>
        </is>
      </c>
    </row>
    <row r="282">
      <c r="A282" s="53" t="n">
        <v>45817</v>
      </c>
      <c r="B282" t="inlineStr">
        <is>
          <t>2025-06-09</t>
        </is>
      </c>
      <c r="C282" s="45" t="n">
        <v>0.85884</v>
      </c>
      <c r="D282" t="inlineStr">
        <is>
          <t>€/l</t>
        </is>
      </c>
      <c r="E282" s="54" t="n">
        <v>0.059638</v>
      </c>
      <c r="F282" s="54" t="n">
        <v>0.08354499999999999</v>
      </c>
      <c r="G282" t="inlineStr">
        <is>
          <t>original (el Boletín publica con y sin impuestos)</t>
        </is>
      </c>
      <c r="H282" t="inlineStr">
        <is>
          <t>IVA e impuesto sobre hidrocarburos incluidos por la fuente</t>
        </is>
      </c>
      <c r="K282" t="inlineStr">
        <is>
          <t>Weekly_Oil_Bulletin_Prices_History_maticni_4web.xlsx</t>
        </is>
      </c>
    </row>
    <row r="283">
      <c r="A283" s="53" t="n">
        <v>45824</v>
      </c>
      <c r="B283" t="inlineStr">
        <is>
          <t>2025-06-16</t>
        </is>
      </c>
      <c r="C283" s="45" t="n">
        <v>0.86672</v>
      </c>
      <c r="D283" t="inlineStr">
        <is>
          <t>€/l</t>
        </is>
      </c>
      <c r="E283" s="54" t="n">
        <v>0.060271</v>
      </c>
      <c r="F283" s="54" t="n">
        <v>0.084311</v>
      </c>
      <c r="G283" t="inlineStr">
        <is>
          <t>original (el Boletín publica con y sin impuestos)</t>
        </is>
      </c>
      <c r="H283" t="inlineStr">
        <is>
          <t>IVA e impuesto sobre hidrocarburos incluidos por la fuente</t>
        </is>
      </c>
      <c r="K283" t="inlineStr">
        <is>
          <t>Weekly_Oil_Bulletin_Prices_History_maticni_4web.xlsx</t>
        </is>
      </c>
    </row>
    <row r="284">
      <c r="A284" s="53" t="n">
        <v>45831</v>
      </c>
      <c r="B284" t="inlineStr">
        <is>
          <t>2025-06-23</t>
        </is>
      </c>
      <c r="C284" s="45" t="n">
        <v>0.93864</v>
      </c>
      <c r="D284" t="inlineStr">
        <is>
          <t>€/l</t>
        </is>
      </c>
      <c r="E284" s="54" t="n">
        <v>0.066054</v>
      </c>
      <c r="F284" s="54" t="n">
        <v>0.091307</v>
      </c>
      <c r="G284" t="inlineStr">
        <is>
          <t>original (el Boletín publica con y sin impuestos)</t>
        </is>
      </c>
      <c r="H284" t="inlineStr">
        <is>
          <t>IVA e impuesto sobre hidrocarburos incluidos por la fuente</t>
        </is>
      </c>
      <c r="K284" t="inlineStr">
        <is>
          <t>Weekly_Oil_Bulletin_Prices_History_maticni_4web.xlsx</t>
        </is>
      </c>
    </row>
    <row r="285">
      <c r="A285" s="53" t="n">
        <v>45838</v>
      </c>
      <c r="B285" t="inlineStr">
        <is>
          <t>2025-06-30</t>
        </is>
      </c>
      <c r="C285" s="45" t="n">
        <v>0.94387</v>
      </c>
      <c r="D285" t="inlineStr">
        <is>
          <t>€/l</t>
        </is>
      </c>
      <c r="E285" s="54" t="n">
        <v>0.06647400000000001</v>
      </c>
      <c r="F285" s="54" t="n">
        <v>0.09181599999999999</v>
      </c>
      <c r="G285" t="inlineStr">
        <is>
          <t>original (el Boletín publica con y sin impuestos)</t>
        </is>
      </c>
      <c r="H285" t="inlineStr">
        <is>
          <t>IVA e impuesto sobre hidrocarburos incluidos por la fuente</t>
        </is>
      </c>
      <c r="K285" t="inlineStr">
        <is>
          <t>Weekly_Oil_Bulletin_Prices_History_maticni_4web.xlsx</t>
        </is>
      </c>
    </row>
    <row r="286">
      <c r="A286" s="53" t="n">
        <v>45845</v>
      </c>
      <c r="B286" t="inlineStr">
        <is>
          <t>2025-07-07</t>
        </is>
      </c>
      <c r="C286" s="45" t="n">
        <v>0.93229</v>
      </c>
      <c r="D286" t="inlineStr">
        <is>
          <t>€/l</t>
        </is>
      </c>
      <c r="E286" s="54" t="n">
        <v>0.065543</v>
      </c>
      <c r="F286" s="54" t="n">
        <v>0.09069000000000001</v>
      </c>
      <c r="G286" t="inlineStr">
        <is>
          <t>original (el Boletín publica con y sin impuestos)</t>
        </is>
      </c>
      <c r="H286" t="inlineStr">
        <is>
          <t>IVA e impuesto sobre hidrocarburos incluidos por la fuente</t>
        </is>
      </c>
      <c r="K286" t="inlineStr">
        <is>
          <t>Weekly_Oil_Bulletin_Prices_History_maticni_4web.xlsx</t>
        </is>
      </c>
    </row>
    <row r="287">
      <c r="A287" s="53" t="n">
        <v>45852</v>
      </c>
      <c r="B287" t="inlineStr">
        <is>
          <t>2025-07-14</t>
        </is>
      </c>
      <c r="C287" s="45" t="n">
        <v>0.94364</v>
      </c>
      <c r="D287" t="inlineStr">
        <is>
          <t>€/l</t>
        </is>
      </c>
      <c r="E287" s="54" t="n">
        <v>0.066455</v>
      </c>
      <c r="F287" s="54" t="n">
        <v>0.091794</v>
      </c>
      <c r="G287" t="inlineStr">
        <is>
          <t>original (el Boletín publica con y sin impuestos)</t>
        </is>
      </c>
      <c r="H287" t="inlineStr">
        <is>
          <t>IVA e impuesto sobre hidrocarburos incluidos por la fuente</t>
        </is>
      </c>
      <c r="K287" t="inlineStr">
        <is>
          <t>Weekly_Oil_Bulletin_Prices_History_maticni_4web.xlsx</t>
        </is>
      </c>
    </row>
    <row r="288">
      <c r="A288" s="53" t="n">
        <v>45859</v>
      </c>
      <c r="B288" t="inlineStr">
        <is>
          <t>2025-07-21</t>
        </is>
      </c>
      <c r="C288" s="45" t="n">
        <v>0.93091</v>
      </c>
      <c r="D288" t="inlineStr">
        <is>
          <t>€/l</t>
        </is>
      </c>
      <c r="E288" s="54" t="n">
        <v>0.065432</v>
      </c>
      <c r="F288" s="54" t="n">
        <v>0.090555</v>
      </c>
      <c r="G288" t="inlineStr">
        <is>
          <t>original (el Boletín publica con y sin impuestos)</t>
        </is>
      </c>
      <c r="H288" t="inlineStr">
        <is>
          <t>IVA e impuesto sobre hidrocarburos incluidos por la fuente</t>
        </is>
      </c>
      <c r="K288" t="inlineStr">
        <is>
          <t>Weekly_Oil_Bulletin_Prices_History_maticni_4web.xlsx</t>
        </is>
      </c>
    </row>
    <row r="289">
      <c r="A289" s="53" t="n">
        <v>45866</v>
      </c>
      <c r="B289" t="inlineStr">
        <is>
          <t>2025-07-28</t>
        </is>
      </c>
      <c r="C289" s="45" t="n">
        <v>0.94467</v>
      </c>
      <c r="D289" t="inlineStr">
        <is>
          <t>€/l</t>
        </is>
      </c>
      <c r="E289" s="54" t="n">
        <v>0.066538</v>
      </c>
      <c r="F289" s="54" t="n">
        <v>0.091894</v>
      </c>
      <c r="G289" t="inlineStr">
        <is>
          <t>original (el Boletín publica con y sin impuestos)</t>
        </is>
      </c>
      <c r="H289" t="inlineStr">
        <is>
          <t>IVA e impuesto sobre hidrocarburos incluidos por la fuente</t>
        </is>
      </c>
      <c r="K289" t="inlineStr">
        <is>
          <t>Weekly_Oil_Bulletin_Prices_History_maticni_4web.xlsx</t>
        </is>
      </c>
    </row>
    <row r="290">
      <c r="A290" s="53" t="n">
        <v>45873</v>
      </c>
      <c r="B290" t="inlineStr">
        <is>
          <t>2025-08-04</t>
        </is>
      </c>
      <c r="C290" s="45" t="n">
        <v>0.9406600000000001</v>
      </c>
      <c r="D290" t="inlineStr">
        <is>
          <t>€/l</t>
        </is>
      </c>
      <c r="E290" s="54" t="n">
        <v>0.066215</v>
      </c>
      <c r="F290" s="54" t="n">
        <v>0.091504</v>
      </c>
      <c r="G290" t="inlineStr">
        <is>
          <t>original (el Boletín publica con y sin impuestos)</t>
        </is>
      </c>
      <c r="H290" t="inlineStr">
        <is>
          <t>IVA e impuesto sobre hidrocarburos incluidos por la fuente</t>
        </is>
      </c>
      <c r="K290" t="inlineStr">
        <is>
          <t>Weekly_Oil_Bulletin_Prices_History_maticni_4web.xlsx</t>
        </is>
      </c>
    </row>
    <row r="291">
      <c r="A291" s="53" t="n">
        <v>45880</v>
      </c>
      <c r="B291" t="inlineStr">
        <is>
          <t>2025-08-11</t>
        </is>
      </c>
      <c r="C291" s="45" t="n">
        <v>0.92987</v>
      </c>
      <c r="D291" t="inlineStr">
        <is>
          <t>€/l</t>
        </is>
      </c>
      <c r="E291" s="54" t="n">
        <v>0.065348</v>
      </c>
      <c r="F291" s="54" t="n">
        <v>0.09045400000000001</v>
      </c>
      <c r="G291" t="inlineStr">
        <is>
          <t>original (el Boletín publica con y sin impuestos)</t>
        </is>
      </c>
      <c r="H291" t="inlineStr">
        <is>
          <t>IVA e impuesto sobre hidrocarburos incluidos por la fuente</t>
        </is>
      </c>
      <c r="K291" t="inlineStr">
        <is>
          <t>Weekly_Oil_Bulletin_Prices_History_maticni_4web.xlsx</t>
        </is>
      </c>
    </row>
    <row r="292">
      <c r="A292" s="53" t="n">
        <v>45887</v>
      </c>
      <c r="B292" t="inlineStr">
        <is>
          <t>2025-08-18</t>
        </is>
      </c>
      <c r="C292" s="45" t="n">
        <v>0.89912</v>
      </c>
      <c r="D292" t="inlineStr">
        <is>
          <t>€/l</t>
        </is>
      </c>
      <c r="E292" s="54" t="n">
        <v>0.062875</v>
      </c>
      <c r="F292" s="54" t="n">
        <v>0.087463</v>
      </c>
      <c r="G292" t="inlineStr">
        <is>
          <t>original (el Boletín publica con y sin impuestos)</t>
        </is>
      </c>
      <c r="H292" t="inlineStr">
        <is>
          <t>IVA e impuesto sobre hidrocarburos incluidos por la fuente</t>
        </is>
      </c>
      <c r="K292" t="inlineStr">
        <is>
          <t>Weekly_Oil_Bulletin_Prices_History_maticni_4web.xlsx</t>
        </is>
      </c>
    </row>
    <row r="293">
      <c r="A293" s="53" t="n">
        <v>45894</v>
      </c>
      <c r="B293" t="inlineStr">
        <is>
          <t>2025-08-25</t>
        </is>
      </c>
      <c r="C293" s="45" t="n">
        <v>0.88706</v>
      </c>
      <c r="D293" t="inlineStr">
        <is>
          <t>€/l</t>
        </is>
      </c>
      <c r="E293" s="54" t="n">
        <v>0.061907</v>
      </c>
      <c r="F293" s="54" t="n">
        <v>0.08629000000000001</v>
      </c>
      <c r="G293" t="inlineStr">
        <is>
          <t>original (el Boletín publica con y sin impuestos)</t>
        </is>
      </c>
      <c r="H293" t="inlineStr">
        <is>
          <t>IVA e impuesto sobre hidrocarburos incluidos por la fuente</t>
        </is>
      </c>
      <c r="K293" t="inlineStr">
        <is>
          <t>Weekly_Oil_Bulletin_Prices_History_maticni_4web.xlsx</t>
        </is>
      </c>
    </row>
    <row r="294">
      <c r="A294" s="53" t="n">
        <v>45901</v>
      </c>
      <c r="B294" t="inlineStr">
        <is>
          <t>2025-09-01</t>
        </is>
      </c>
      <c r="C294" s="45" t="n">
        <v>0.89383</v>
      </c>
      <c r="D294" t="inlineStr">
        <is>
          <t>€/l</t>
        </is>
      </c>
      <c r="E294" s="54" t="n">
        <v>0.06245</v>
      </c>
      <c r="F294" s="54" t="n">
        <v>0.086948</v>
      </c>
      <c r="G294" t="inlineStr">
        <is>
          <t>original (el Boletín publica con y sin impuestos)</t>
        </is>
      </c>
      <c r="H294" t="inlineStr">
        <is>
          <t>IVA e impuesto sobre hidrocarburos incluidos por la fuente</t>
        </is>
      </c>
      <c r="K294" t="inlineStr">
        <is>
          <t>Weekly_Oil_Bulletin_Prices_History_maticni_4web.xlsx</t>
        </is>
      </c>
    </row>
    <row r="295">
      <c r="A295" s="53" t="n">
        <v>45908</v>
      </c>
      <c r="B295" t="inlineStr">
        <is>
          <t>2025-09-08</t>
        </is>
      </c>
      <c r="C295" s="45" t="n">
        <v>0.89385</v>
      </c>
      <c r="D295" t="inlineStr">
        <is>
          <t>€/l</t>
        </is>
      </c>
      <c r="E295" s="54" t="n">
        <v>0.062452</v>
      </c>
      <c r="F295" s="54" t="n">
        <v>0.08695</v>
      </c>
      <c r="G295" t="inlineStr">
        <is>
          <t>original (el Boletín publica con y sin impuestos)</t>
        </is>
      </c>
      <c r="H295" t="inlineStr">
        <is>
          <t>IVA e impuesto sobre hidrocarburos incluidos por la fuente</t>
        </is>
      </c>
      <c r="K295" t="inlineStr">
        <is>
          <t>Weekly_Oil_Bulletin_Prices_History_maticni_4web.xlsx</t>
        </is>
      </c>
    </row>
    <row r="296">
      <c r="A296" s="53" t="n">
        <v>45915</v>
      </c>
      <c r="B296" t="inlineStr">
        <is>
          <t>2025-09-15</t>
        </is>
      </c>
      <c r="C296" s="45" t="n">
        <v>0.8983100000000001</v>
      </c>
      <c r="D296" t="inlineStr">
        <is>
          <t>€/l</t>
        </is>
      </c>
      <c r="E296" s="54" t="n">
        <v>0.06281</v>
      </c>
      <c r="F296" s="54" t="n">
        <v>0.087384</v>
      </c>
      <c r="G296" t="inlineStr">
        <is>
          <t>original (el Boletín publica con y sin impuestos)</t>
        </is>
      </c>
      <c r="H296" t="inlineStr">
        <is>
          <t>IVA e impuesto sobre hidrocarburos incluidos por la fuente</t>
        </is>
      </c>
      <c r="K296" t="inlineStr">
        <is>
          <t>Weekly_Oil_Bulletin_Prices_History_maticni_4web.xlsx</t>
        </is>
      </c>
    </row>
    <row r="297">
      <c r="A297" s="53" t="n">
        <v>45922</v>
      </c>
      <c r="B297" t="inlineStr">
        <is>
          <t>2025-09-22</t>
        </is>
      </c>
      <c r="C297" s="45" t="n">
        <v>0.89521</v>
      </c>
      <c r="D297" t="inlineStr">
        <is>
          <t>€/l</t>
        </is>
      </c>
      <c r="E297" s="54" t="n">
        <v>0.06256100000000001</v>
      </c>
      <c r="F297" s="54" t="n">
        <v>0.08708299999999999</v>
      </c>
      <c r="G297" t="inlineStr">
        <is>
          <t>original (el Boletín publica con y sin impuestos)</t>
        </is>
      </c>
      <c r="H297" t="inlineStr">
        <is>
          <t>IVA e impuesto sobre hidrocarburos incluidos por la fuente</t>
        </is>
      </c>
      <c r="K297" t="inlineStr">
        <is>
          <t>Weekly_Oil_Bulletin_Prices_History_maticni_4web.xlsx</t>
        </is>
      </c>
    </row>
    <row r="298">
      <c r="A298" s="53" t="n">
        <v>45929</v>
      </c>
      <c r="B298" t="inlineStr">
        <is>
          <t>2025-09-29</t>
        </is>
      </c>
      <c r="C298" s="45" t="n">
        <v>0.89862</v>
      </c>
      <c r="D298" t="inlineStr">
        <is>
          <t>€/l</t>
        </is>
      </c>
      <c r="E298" s="54" t="n">
        <v>0.062836</v>
      </c>
      <c r="F298" s="54" t="n">
        <v>0.08741400000000001</v>
      </c>
      <c r="G298" t="inlineStr">
        <is>
          <t>original (el Boletín publica con y sin impuestos)</t>
        </is>
      </c>
      <c r="H298" t="inlineStr">
        <is>
          <t>IVA e impuesto sobre hidrocarburos incluidos por la fuente</t>
        </is>
      </c>
      <c r="K298" t="inlineStr">
        <is>
          <t>Weekly_Oil_Bulletin_Prices_History_maticni_4web.xlsx</t>
        </is>
      </c>
    </row>
    <row r="299">
      <c r="A299" s="53" t="n">
        <v>45936</v>
      </c>
      <c r="B299" t="inlineStr">
        <is>
          <t>2025-10-06</t>
        </is>
      </c>
      <c r="C299" s="45" t="n">
        <v>0.90742</v>
      </c>
      <c r="D299" t="inlineStr">
        <is>
          <t>€/l</t>
        </is>
      </c>
      <c r="E299" s="54" t="n">
        <v>0.063543</v>
      </c>
      <c r="F299" s="54" t="n">
        <v>0.08827</v>
      </c>
      <c r="G299" t="inlineStr">
        <is>
          <t>original (el Boletín publica con y sin impuestos)</t>
        </is>
      </c>
      <c r="H299" t="inlineStr">
        <is>
          <t>IVA e impuesto sobre hidrocarburos incluidos por la fuente</t>
        </is>
      </c>
      <c r="K299" t="inlineStr">
        <is>
          <t>Weekly_Oil_Bulletin_Prices_History_maticni_4web.xlsx</t>
        </is>
      </c>
    </row>
    <row r="300">
      <c r="A300" s="53" t="n">
        <v>45943</v>
      </c>
      <c r="B300" t="inlineStr">
        <is>
          <t>2025-10-13</t>
        </is>
      </c>
      <c r="C300" s="45" t="n">
        <v>0.89605</v>
      </c>
      <c r="D300" t="inlineStr">
        <is>
          <t>€/l</t>
        </is>
      </c>
      <c r="E300" s="54" t="n">
        <v>0.062629</v>
      </c>
      <c r="F300" s="54" t="n">
        <v>0.08716400000000001</v>
      </c>
      <c r="G300" t="inlineStr">
        <is>
          <t>original (el Boletín publica con y sin impuestos)</t>
        </is>
      </c>
      <c r="H300" t="inlineStr">
        <is>
          <t>IVA e impuesto sobre hidrocarburos incluidos por la fuente</t>
        </is>
      </c>
      <c r="K300" t="inlineStr">
        <is>
          <t>Weekly_Oil_Bulletin_Prices_History_maticni_4web.xlsx</t>
        </is>
      </c>
    </row>
    <row r="301">
      <c r="A301" s="53" t="n">
        <v>45950</v>
      </c>
      <c r="B301" t="inlineStr">
        <is>
          <t>2025-10-20</t>
        </is>
      </c>
      <c r="C301" s="45" t="n">
        <v>0.86963</v>
      </c>
      <c r="D301" t="inlineStr">
        <is>
          <t>€/l</t>
        </is>
      </c>
      <c r="E301" s="54" t="n">
        <v>0.060505</v>
      </c>
      <c r="F301" s="54" t="n">
        <v>0.084594</v>
      </c>
      <c r="G301" t="inlineStr">
        <is>
          <t>original (el Boletín publica con y sin impuestos)</t>
        </is>
      </c>
      <c r="H301" t="inlineStr">
        <is>
          <t>IVA e impuesto sobre hidrocarburos incluidos por la fuente</t>
        </is>
      </c>
      <c r="K301" t="inlineStr">
        <is>
          <t>Weekly_Oil_Bulletin_Prices_History_maticni_4web.xlsx</t>
        </is>
      </c>
    </row>
    <row r="302">
      <c r="A302" s="53" t="n">
        <v>45957</v>
      </c>
      <c r="B302" t="inlineStr">
        <is>
          <t>2025-10-27</t>
        </is>
      </c>
      <c r="C302" s="45" t="n">
        <v>0.88161</v>
      </c>
      <c r="D302" t="inlineStr">
        <is>
          <t>€/l</t>
        </is>
      </c>
      <c r="E302" s="54" t="n">
        <v>0.061468</v>
      </c>
      <c r="F302" s="54" t="n">
        <v>0.085759</v>
      </c>
      <c r="G302" t="inlineStr">
        <is>
          <t>original (el Boletín publica con y sin impuestos)</t>
        </is>
      </c>
      <c r="H302" t="inlineStr">
        <is>
          <t>IVA e impuesto sobre hidrocarburos incluidos por la fuente</t>
        </is>
      </c>
      <c r="K302" t="inlineStr">
        <is>
          <t>Weekly_Oil_Bulletin_Prices_History_maticni_4web.xlsx</t>
        </is>
      </c>
    </row>
    <row r="303">
      <c r="A303" s="53" t="n">
        <v>45964</v>
      </c>
      <c r="B303" t="inlineStr">
        <is>
          <t>2025-11-03</t>
        </is>
      </c>
      <c r="C303" s="45" t="n">
        <v>0.90505</v>
      </c>
      <c r="D303" t="inlineStr">
        <is>
          <t>€/l</t>
        </is>
      </c>
      <c r="E303" s="54" t="n">
        <v>0.06335300000000001</v>
      </c>
      <c r="F303" s="54" t="n">
        <v>0.08803999999999999</v>
      </c>
      <c r="G303" t="inlineStr">
        <is>
          <t>original (el Boletín publica con y sin impuestos)</t>
        </is>
      </c>
      <c r="H303" t="inlineStr">
        <is>
          <t>IVA e impuesto sobre hidrocarburos incluidos por la fuente</t>
        </is>
      </c>
      <c r="K303" t="inlineStr">
        <is>
          <t>Weekly_Oil_Bulletin_Prices_History_maticni_4web.xlsx</t>
        </is>
      </c>
    </row>
    <row r="304">
      <c r="A304" s="53" t="n">
        <v>45971</v>
      </c>
      <c r="B304" t="inlineStr">
        <is>
          <t>2025-11-10</t>
        </is>
      </c>
      <c r="C304" s="45" t="n">
        <v>0.92524</v>
      </c>
      <c r="D304" t="inlineStr">
        <is>
          <t>€/l</t>
        </is>
      </c>
      <c r="E304" s="54" t="n">
        <v>0.06497600000000001</v>
      </c>
      <c r="F304" s="54" t="n">
        <v>0.090004</v>
      </c>
      <c r="G304" t="inlineStr">
        <is>
          <t>original (el Boletín publica con y sin impuestos)</t>
        </is>
      </c>
      <c r="H304" t="inlineStr">
        <is>
          <t>IVA e impuesto sobre hidrocarburos incluidos por la fuente</t>
        </is>
      </c>
      <c r="K304" t="inlineStr">
        <is>
          <t>Weekly_Oil_Bulletin_Prices_History_maticni_4web.xlsx</t>
        </is>
      </c>
    </row>
    <row r="305">
      <c r="A305" s="53" t="n">
        <v>45978</v>
      </c>
      <c r="B305" t="inlineStr">
        <is>
          <t>2025-11-17</t>
        </is>
      </c>
      <c r="C305" s="45" t="n">
        <v>0.92578</v>
      </c>
      <c r="D305" t="inlineStr">
        <is>
          <t>€/l</t>
        </is>
      </c>
      <c r="E305" s="54" t="n">
        <v>0.06501899999999999</v>
      </c>
      <c r="F305" s="54" t="n">
        <v>0.090056</v>
      </c>
      <c r="G305" t="inlineStr">
        <is>
          <t>original (el Boletín publica con y sin impuestos)</t>
        </is>
      </c>
      <c r="H305" t="inlineStr">
        <is>
          <t>IVA e impuesto sobre hidrocarburos incluidos por la fuente</t>
        </is>
      </c>
      <c r="K305" t="inlineStr">
        <is>
          <t>Weekly_Oil_Bulletin_Prices_History_maticni_4web.xlsx</t>
        </is>
      </c>
    </row>
    <row r="306">
      <c r="A306" s="53" t="n">
        <v>45985</v>
      </c>
      <c r="B306" t="inlineStr">
        <is>
          <t>2025-11-24</t>
        </is>
      </c>
      <c r="C306" s="45" t="n">
        <v>0.93852</v>
      </c>
      <c r="D306" t="inlineStr">
        <is>
          <t>€/l</t>
        </is>
      </c>
      <c r="E306" s="54" t="n">
        <v>0.066043</v>
      </c>
      <c r="F306" s="54" t="n">
        <v>0.091296</v>
      </c>
      <c r="G306" t="inlineStr">
        <is>
          <t>original (el Boletín publica con y sin impuestos)</t>
        </is>
      </c>
      <c r="H306" t="inlineStr">
        <is>
          <t>IVA e impuesto sobre hidrocarburos incluidos por la fuente</t>
        </is>
      </c>
      <c r="K306" t="inlineStr">
        <is>
          <t>Weekly_Oil_Bulletin_Prices_History_maticni_4web.xlsx</t>
        </is>
      </c>
    </row>
    <row r="307">
      <c r="A307" s="53" t="n">
        <v>45992</v>
      </c>
      <c r="B307" t="inlineStr">
        <is>
          <t>2025-12-01</t>
        </is>
      </c>
      <c r="C307" s="45" t="n">
        <v>0.91091</v>
      </c>
      <c r="D307" t="inlineStr">
        <is>
          <t>€/l</t>
        </is>
      </c>
      <c r="E307" s="54" t="n">
        <v>0.06382400000000001</v>
      </c>
      <c r="F307" s="54" t="n">
        <v>0.08860999999999999</v>
      </c>
      <c r="G307" t="inlineStr">
        <is>
          <t>original (el Boletín publica con y sin impuestos)</t>
        </is>
      </c>
      <c r="H307" t="inlineStr">
        <is>
          <t>IVA e impuesto sobre hidrocarburos incluidos por la fuente</t>
        </is>
      </c>
      <c r="K307" t="inlineStr">
        <is>
          <t>Weekly_Oil_Bulletin_Prices_History_maticni_4web.xlsx</t>
        </is>
      </c>
    </row>
    <row r="308">
      <c r="A308" s="53" t="n">
        <v>45999</v>
      </c>
      <c r="B308" t="inlineStr">
        <is>
          <t>2025-12-08</t>
        </is>
      </c>
      <c r="C308" s="45" t="n">
        <v>0.88201</v>
      </c>
      <c r="D308" t="inlineStr">
        <is>
          <t>€/l</t>
        </is>
      </c>
      <c r="E308" s="54" t="n">
        <v>0.0615</v>
      </c>
      <c r="F308" s="54" t="n">
        <v>0.085798</v>
      </c>
      <c r="G308" t="inlineStr">
        <is>
          <t>original (el Boletín publica con y sin impuestos)</t>
        </is>
      </c>
      <c r="H308" t="inlineStr">
        <is>
          <t>IVA e impuesto sobre hidrocarburos incluidos por la fuente</t>
        </is>
      </c>
      <c r="K308" t="inlineStr">
        <is>
          <t>Weekly_Oil_Bulletin_Prices_History_maticni_4web.xlsx</t>
        </is>
      </c>
    </row>
    <row r="309">
      <c r="A309" s="53" t="n">
        <v>46006</v>
      </c>
      <c r="B309" t="inlineStr">
        <is>
          <t>2025-12-15</t>
        </is>
      </c>
      <c r="C309" s="45" t="n">
        <v>0.88282</v>
      </c>
      <c r="D309" t="inlineStr">
        <is>
          <t>€/l</t>
        </is>
      </c>
      <c r="E309" s="54" t="n">
        <v>0.061565</v>
      </c>
      <c r="F309" s="54" t="n">
        <v>0.085877</v>
      </c>
      <c r="G309" t="inlineStr">
        <is>
          <t>original (el Boletín publica con y sin impuestos)</t>
        </is>
      </c>
      <c r="H309" t="inlineStr">
        <is>
          <t>IVA e impuesto sobre hidrocarburos incluidos por la fuente</t>
        </is>
      </c>
      <c r="K309" t="inlineStr">
        <is>
          <t>Weekly_Oil_Bulletin_Prices_History_maticni_4web.xlsx</t>
        </is>
      </c>
    </row>
    <row r="310">
      <c r="A310" s="53" t="n">
        <v>46013</v>
      </c>
      <c r="B310" t="inlineStr">
        <is>
          <t>2025-12-22</t>
        </is>
      </c>
      <c r="C310" s="45" t="n">
        <v>0.85364</v>
      </c>
      <c r="D310" t="inlineStr">
        <is>
          <t>€/l</t>
        </is>
      </c>
      <c r="E310" s="54" t="n">
        <v>0.059219</v>
      </c>
      <c r="F310" s="54" t="n">
        <v>0.083039</v>
      </c>
      <c r="G310" t="inlineStr">
        <is>
          <t>original (el Boletín publica con y sin impuestos)</t>
        </is>
      </c>
      <c r="H310" t="inlineStr">
        <is>
          <t>IVA e impuesto sobre hidrocarburos incluidos por la fuente</t>
        </is>
      </c>
      <c r="K310" t="inlineStr">
        <is>
          <t>Weekly_Oil_Bulletin_Prices_History_maticni_4web.xlsx</t>
        </is>
      </c>
    </row>
    <row r="311">
      <c r="A311" s="53" t="n">
        <v>46020</v>
      </c>
      <c r="B311" t="inlineStr">
        <is>
          <t>2025-12-29</t>
        </is>
      </c>
      <c r="C311" s="45" t="n">
        <v>0.85973</v>
      </c>
      <c r="D311" t="inlineStr">
        <is>
          <t>€/l</t>
        </is>
      </c>
      <c r="E311" s="54" t="n">
        <v>0.059709</v>
      </c>
      <c r="F311" s="54" t="n">
        <v>0.083631</v>
      </c>
      <c r="G311" t="inlineStr">
        <is>
          <t>original (el Boletín publica con y sin impuestos)</t>
        </is>
      </c>
      <c r="H311" t="inlineStr">
        <is>
          <t>IVA e impuesto sobre hidrocarburos incluidos por la fuente</t>
        </is>
      </c>
      <c r="K311" t="inlineStr">
        <is>
          <t>Weekly_Oil_Bulletin_Prices_History_maticni_4web.xlsx</t>
        </is>
      </c>
    </row>
    <row r="312">
      <c r="A312" s="53" t="n">
        <v>46027</v>
      </c>
      <c r="B312" t="inlineStr">
        <is>
          <t>2026-01-05</t>
        </is>
      </c>
      <c r="C312" s="45" t="n">
        <v>0.84387</v>
      </c>
      <c r="D312" t="inlineStr">
        <is>
          <t>€/l</t>
        </is>
      </c>
      <c r="E312" s="54" t="n">
        <v>0.058434</v>
      </c>
      <c r="F312" s="54" t="n">
        <v>0.082089</v>
      </c>
      <c r="G312" t="inlineStr">
        <is>
          <t>original (el Boletín publica con y sin impuestos)</t>
        </is>
      </c>
      <c r="H312" t="inlineStr">
        <is>
          <t>IVA e impuesto sobre hidrocarburos incluidos por la fuente</t>
        </is>
      </c>
      <c r="K312" t="inlineStr">
        <is>
          <t>Weekly_Oil_Bulletin_Prices_History_maticni_4web.xlsx</t>
        </is>
      </c>
    </row>
    <row r="313">
      <c r="A313" s="53" t="n">
        <v>46034</v>
      </c>
      <c r="B313" t="inlineStr">
        <is>
          <t>2026-01-12</t>
        </is>
      </c>
      <c r="C313" s="45" t="n">
        <v>0.85682</v>
      </c>
      <c r="D313" t="inlineStr">
        <is>
          <t>€/l</t>
        </is>
      </c>
      <c r="E313" s="54" t="n">
        <v>0.059475</v>
      </c>
      <c r="F313" s="54" t="n">
        <v>0.08334800000000001</v>
      </c>
      <c r="G313" t="inlineStr">
        <is>
          <t>original (el Boletín publica con y sin impuestos)</t>
        </is>
      </c>
      <c r="H313" t="inlineStr">
        <is>
          <t>IVA e impuesto sobre hidrocarburos incluidos por la fuente</t>
        </is>
      </c>
      <c r="K313" t="inlineStr">
        <is>
          <t>Weekly_Oil_Bulletin_Prices_History_maticni_4web.xlsx</t>
        </is>
      </c>
    </row>
    <row r="314">
      <c r="A314" s="53" t="n">
        <v>46041</v>
      </c>
      <c r="B314" t="inlineStr">
        <is>
          <t>2026-01-19</t>
        </is>
      </c>
      <c r="C314" s="45" t="n">
        <v>0.87598</v>
      </c>
      <c r="D314" t="inlineStr">
        <is>
          <t>€/l</t>
        </is>
      </c>
      <c r="E314" s="54" t="n">
        <v>0.061016</v>
      </c>
      <c r="F314" s="54" t="n">
        <v>0.085212</v>
      </c>
      <c r="G314" t="inlineStr">
        <is>
          <t>original (el Boletín publica con y sin impuestos)</t>
        </is>
      </c>
      <c r="H314" t="inlineStr">
        <is>
          <t>IVA e impuesto sobre hidrocarburos incluidos por la fuente</t>
        </is>
      </c>
      <c r="K314" t="inlineStr">
        <is>
          <t>Weekly_Oil_Bulletin_Prices_History_maticni_4web.xlsx</t>
        </is>
      </c>
    </row>
    <row r="315">
      <c r="A315" s="53" t="n">
        <v>46048</v>
      </c>
      <c r="B315" t="inlineStr">
        <is>
          <t>2026-01-26</t>
        </is>
      </c>
      <c r="C315" s="45" t="n">
        <v>0.88442</v>
      </c>
      <c r="D315" t="inlineStr">
        <is>
          <t>€/l</t>
        </is>
      </c>
      <c r="E315" s="54" t="n">
        <v>0.061694</v>
      </c>
      <c r="F315" s="54" t="n">
        <v>0.086033</v>
      </c>
      <c r="G315" t="inlineStr">
        <is>
          <t>original (el Boletín publica con y sin impuestos)</t>
        </is>
      </c>
      <c r="H315" t="inlineStr">
        <is>
          <t>IVA e impuesto sobre hidrocarburos incluidos por la fuente</t>
        </is>
      </c>
      <c r="K315" t="inlineStr">
        <is>
          <t>Weekly_Oil_Bulletin_Prices_History_maticni_4web.xlsx</t>
        </is>
      </c>
    </row>
    <row r="316">
      <c r="A316" s="53" t="n">
        <v>46055</v>
      </c>
      <c r="B316" t="inlineStr">
        <is>
          <t>2026-02-02</t>
        </is>
      </c>
      <c r="C316" s="45" t="n">
        <v>0.89841</v>
      </c>
      <c r="D316" t="inlineStr">
        <is>
          <t>€/l</t>
        </is>
      </c>
      <c r="E316" s="54" t="n">
        <v>0.062819</v>
      </c>
      <c r="F316" s="54" t="n">
        <v>0.087394</v>
      </c>
      <c r="G316" t="inlineStr">
        <is>
          <t>original (el Boletín publica con y sin impuestos)</t>
        </is>
      </c>
      <c r="H316" t="inlineStr">
        <is>
          <t>IVA e impuesto sobre hidrocarburos incluidos por la fuente</t>
        </is>
      </c>
      <c r="K316" t="inlineStr">
        <is>
          <t>Weekly_Oil_Bulletin_Prices_History_maticni_4web.xlsx</t>
        </is>
      </c>
    </row>
    <row r="317">
      <c r="A317" s="53" t="n">
        <v>46062</v>
      </c>
      <c r="B317" t="inlineStr">
        <is>
          <t>2026-02-09</t>
        </is>
      </c>
      <c r="C317" s="45" t="n">
        <v>0.89406</v>
      </c>
      <c r="D317" t="inlineStr">
        <is>
          <t>€/l</t>
        </is>
      </c>
      <c r="E317" s="54" t="n">
        <v>0.062469</v>
      </c>
      <c r="F317" s="54" t="n">
        <v>0.08697100000000001</v>
      </c>
      <c r="G317" t="inlineStr">
        <is>
          <t>original (el Boletín publica con y sin impuestos)</t>
        </is>
      </c>
      <c r="H317" t="inlineStr">
        <is>
          <t>IVA e impuesto sobre hidrocarburos incluidos por la fuente</t>
        </is>
      </c>
      <c r="K317" t="inlineStr">
        <is>
          <t>Weekly_Oil_Bulletin_Prices_History_maticni_4web.xlsx</t>
        </is>
      </c>
    </row>
    <row r="318">
      <c r="A318" s="53" t="n">
        <v>46069</v>
      </c>
      <c r="B318" t="inlineStr">
        <is>
          <t>2026-02-16</t>
        </is>
      </c>
      <c r="C318" s="45" t="n">
        <v>0.89923</v>
      </c>
      <c r="D318" t="inlineStr">
        <is>
          <t>€/l</t>
        </is>
      </c>
      <c r="E318" s="54" t="n">
        <v>0.062885</v>
      </c>
      <c r="F318" s="54" t="n">
        <v>0.087473</v>
      </c>
      <c r="G318" t="inlineStr">
        <is>
          <t>original (el Boletín publica con y sin impuestos)</t>
        </is>
      </c>
      <c r="H318" t="inlineStr">
        <is>
          <t>IVA e impuesto sobre hidrocarburos incluidos por la fuente</t>
        </is>
      </c>
      <c r="K318" t="inlineStr">
        <is>
          <t>Weekly_Oil_Bulletin_Prices_History_maticni_4web.xlsx</t>
        </is>
      </c>
    </row>
    <row r="319">
      <c r="A319" s="53" t="n">
        <v>46076</v>
      </c>
      <c r="B319" t="inlineStr">
        <is>
          <t>2026-02-23</t>
        </is>
      </c>
      <c r="C319" s="45" t="n">
        <v>0.91156</v>
      </c>
      <c r="D319" t="inlineStr">
        <is>
          <t>€/l</t>
        </is>
      </c>
      <c r="E319" s="54" t="n">
        <v>0.063876</v>
      </c>
      <c r="F319" s="54" t="n">
        <v>0.088673</v>
      </c>
      <c r="G319" t="inlineStr">
        <is>
          <t>original (el Boletín publica con y sin impuestos)</t>
        </is>
      </c>
      <c r="H319" t="inlineStr">
        <is>
          <t>IVA e impuesto sobre hidrocarburos incluidos por la fuente</t>
        </is>
      </c>
      <c r="K319" t="inlineStr">
        <is>
          <t>Weekly_Oil_Bulletin_Prices_History_maticni_4web.xlsx</t>
        </is>
      </c>
    </row>
    <row r="320">
      <c r="A320" s="53" t="n">
        <v>46083</v>
      </c>
      <c r="B320" t="inlineStr">
        <is>
          <t>2026-03-02</t>
        </is>
      </c>
      <c r="C320" s="45" t="n">
        <v>0.9481000000000001</v>
      </c>
      <c r="D320" t="inlineStr">
        <is>
          <t>€/l</t>
        </is>
      </c>
      <c r="E320" s="54" t="n">
        <v>0.066814</v>
      </c>
      <c r="F320" s="54" t="n">
        <v>0.092228</v>
      </c>
      <c r="G320" t="inlineStr">
        <is>
          <t>original (el Boletín publica con y sin impuestos)</t>
        </is>
      </c>
      <c r="H320" t="inlineStr">
        <is>
          <t>IVA e impuesto sobre hidrocarburos incluidos por la fuente</t>
        </is>
      </c>
      <c r="K320" t="inlineStr">
        <is>
          <t>Weekly_Oil_Bulletin_Prices_History_maticni_4web.xlsx</t>
        </is>
      </c>
    </row>
    <row r="321">
      <c r="A321" s="53" t="n">
        <v>46090</v>
      </c>
      <c r="B321" t="inlineStr">
        <is>
          <t>2026-03-09</t>
        </is>
      </c>
      <c r="C321" s="45" t="n">
        <v>1.22952</v>
      </c>
      <c r="D321" t="inlineStr">
        <is>
          <t>€/l</t>
        </is>
      </c>
      <c r="E321" s="54" t="n">
        <v>0.089438</v>
      </c>
      <c r="F321" s="54" t="n">
        <v>0.119603</v>
      </c>
      <c r="G321" t="inlineStr">
        <is>
          <t>original (el Boletín publica con y sin impuestos)</t>
        </is>
      </c>
      <c r="H321" t="inlineStr">
        <is>
          <t>IVA e impuesto sobre hidrocarburos incluidos por la fuente</t>
        </is>
      </c>
      <c r="K321" t="inlineStr">
        <is>
          <t>Weekly_Oil_Bulletin_Prices_History_maticni_4web.xlsx</t>
        </is>
      </c>
    </row>
    <row r="322">
      <c r="A322" s="53" t="n">
        <v>46097</v>
      </c>
      <c r="B322" t="inlineStr">
        <is>
          <t>2026-03-16</t>
        </is>
      </c>
      <c r="C322" s="45" t="n">
        <v>1.37289</v>
      </c>
      <c r="D322" t="inlineStr">
        <is>
          <t>€/l</t>
        </is>
      </c>
      <c r="E322" s="54" t="n">
        <v>0.100964</v>
      </c>
      <c r="F322" s="54" t="n">
        <v>0.133549</v>
      </c>
      <c r="G322" t="inlineStr">
        <is>
          <t>original (el Boletín publica con y sin impuestos)</t>
        </is>
      </c>
      <c r="H322" t="inlineStr">
        <is>
          <t>IVA e impuesto sobre hidrocarburos incluidos por la fuente</t>
        </is>
      </c>
      <c r="K322" t="inlineStr">
        <is>
          <t>Weekly_Oil_Bulletin_Prices_History_maticni_4web.xlsx</t>
        </is>
      </c>
    </row>
    <row r="323">
      <c r="A323" s="53" t="n">
        <v>46104</v>
      </c>
      <c r="B323" t="inlineStr">
        <is>
          <t>2026-03-23</t>
        </is>
      </c>
      <c r="C323" s="45" t="n">
        <v>1.44975</v>
      </c>
      <c r="D323" t="inlineStr">
        <is>
          <t>€/l</t>
        </is>
      </c>
      <c r="E323" s="54" t="n">
        <v>0.112353</v>
      </c>
      <c r="F323" s="54" t="n">
        <v>0.141026</v>
      </c>
      <c r="G323" t="inlineStr">
        <is>
          <t>original (el Boletín publica con y sin impuestos)</t>
        </is>
      </c>
      <c r="H323" t="inlineStr">
        <is>
          <t>IVA e impuesto sobre hidrocarburos incluidos por la fuente</t>
        </is>
      </c>
      <c r="K323" t="inlineStr">
        <is>
          <t>Weekly_Oil_Bulletin_Prices_History_maticni_4web.xlsx</t>
        </is>
      </c>
    </row>
    <row r="324">
      <c r="A324" s="53" t="n">
        <v>46111</v>
      </c>
      <c r="B324" t="inlineStr">
        <is>
          <t>2026-03-30</t>
        </is>
      </c>
      <c r="C324" s="45" t="n">
        <v>1.23108</v>
      </c>
      <c r="D324" t="inlineStr">
        <is>
          <t>€/l</t>
        </is>
      </c>
      <c r="E324" s="54" t="n">
        <v>0.106825</v>
      </c>
      <c r="F324" s="54" t="n">
        <v>0.119755</v>
      </c>
      <c r="G324" t="inlineStr">
        <is>
          <t>original (el Boletín publica con y sin impuestos)</t>
        </is>
      </c>
      <c r="H324" t="inlineStr">
        <is>
          <t>IVA e impuesto sobre hidrocarburos incluidos por la fuente</t>
        </is>
      </c>
      <c r="K324" t="inlineStr">
        <is>
          <t>Weekly_Oil_Bulletin_Prices_History_maticni_4web.xlsx</t>
        </is>
      </c>
    </row>
    <row r="325">
      <c r="A325" s="53" t="n">
        <v>46118</v>
      </c>
      <c r="B325" t="inlineStr">
        <is>
          <t>2026-04-06</t>
        </is>
      </c>
      <c r="C325" s="45" t="n">
        <v>1.25606</v>
      </c>
      <c r="D325" t="inlineStr">
        <is>
          <t>€/l</t>
        </is>
      </c>
      <c r="E325" s="54" t="n">
        <v>0.109034</v>
      </c>
      <c r="F325" s="54" t="n">
        <v>0.122184</v>
      </c>
      <c r="G325" t="inlineStr">
        <is>
          <t>original (el Boletín publica con y sin impuestos)</t>
        </is>
      </c>
      <c r="H325" t="inlineStr">
        <is>
          <t>IVA e impuesto sobre hidrocarburos incluidos por la fuente</t>
        </is>
      </c>
      <c r="K325" t="inlineStr">
        <is>
          <t>Weekly_Oil_Bulletin_Prices_History_maticni_4web.xlsx</t>
        </is>
      </c>
    </row>
    <row r="326">
      <c r="A326" s="53" t="n">
        <v>46125</v>
      </c>
      <c r="B326" t="inlineStr">
        <is>
          <t>2026-04-13</t>
        </is>
      </c>
      <c r="C326" s="45" t="n">
        <v>1.38093</v>
      </c>
      <c r="D326" t="inlineStr">
        <is>
          <t>€/l</t>
        </is>
      </c>
      <c r="E326" s="54" t="n">
        <v>0.120077</v>
      </c>
      <c r="F326" s="54" t="n">
        <v>0.134331</v>
      </c>
      <c r="G326" t="inlineStr">
        <is>
          <t>original (el Boletín publica con y sin impuestos)</t>
        </is>
      </c>
      <c r="H326" t="inlineStr">
        <is>
          <t>IVA e impuesto sobre hidrocarburos incluidos por la fuente</t>
        </is>
      </c>
      <c r="K326" t="inlineStr">
        <is>
          <t>Weekly_Oil_Bulletin_Prices_History_maticni_4web.xlsx</t>
        </is>
      </c>
    </row>
    <row r="327">
      <c r="A327" s="53" t="n">
        <v>46132</v>
      </c>
      <c r="B327" t="inlineStr">
        <is>
          <t>2026-04-20</t>
        </is>
      </c>
      <c r="C327" s="45" t="n">
        <v>1.28482</v>
      </c>
      <c r="D327" t="inlineStr">
        <is>
          <t>€/l</t>
        </is>
      </c>
      <c r="E327" s="54" t="n">
        <v>0.111578</v>
      </c>
      <c r="F327" s="54" t="n">
        <v>0.124983</v>
      </c>
      <c r="G327" t="inlineStr">
        <is>
          <t>original (el Boletín publica con y sin impuestos)</t>
        </is>
      </c>
      <c r="H327" t="inlineStr">
        <is>
          <t>IVA e impuesto sobre hidrocarburos incluidos por la fuente</t>
        </is>
      </c>
      <c r="K327" t="inlineStr">
        <is>
          <t>Weekly_Oil_Bulletin_Prices_History_maticni_4web.xlsx</t>
        </is>
      </c>
    </row>
    <row r="328">
      <c r="A328" s="53" t="n">
        <v>46139</v>
      </c>
      <c r="B328" t="inlineStr">
        <is>
          <t>2026-04-27</t>
        </is>
      </c>
      <c r="C328" s="45" t="n">
        <v>1.22371</v>
      </c>
      <c r="D328" t="inlineStr">
        <is>
          <t>€/l</t>
        </is>
      </c>
      <c r="E328" s="54" t="n">
        <v>0.106174</v>
      </c>
      <c r="F328" s="54" t="n">
        <v>0.119038</v>
      </c>
      <c r="G328" t="inlineStr">
        <is>
          <t>original (el Boletín publica con y sin impuestos)</t>
        </is>
      </c>
      <c r="H328" t="inlineStr">
        <is>
          <t>IVA e impuesto sobre hidrocarburos incluidos por la fuente</t>
        </is>
      </c>
      <c r="K328" t="inlineStr">
        <is>
          <t>Weekly_Oil_Bulletin_Prices_History_maticni_4web.xlsx</t>
        </is>
      </c>
    </row>
    <row r="329">
      <c r="A329" s="53" t="n">
        <v>46146</v>
      </c>
      <c r="B329" t="inlineStr">
        <is>
          <t>2026-05-04</t>
        </is>
      </c>
      <c r="C329" s="45" t="n">
        <v>1.25819</v>
      </c>
      <c r="D329" t="inlineStr">
        <is>
          <t>€/l</t>
        </is>
      </c>
      <c r="E329" s="54" t="n">
        <v>0.109222</v>
      </c>
      <c r="F329" s="54" t="n">
        <v>0.122392</v>
      </c>
      <c r="G329" t="inlineStr">
        <is>
          <t>original (el Boletín publica con y sin impuestos)</t>
        </is>
      </c>
      <c r="H329" t="inlineStr">
        <is>
          <t>IVA e impuesto sobre hidrocarburos incluidos por la fuente</t>
        </is>
      </c>
      <c r="K329" t="inlineStr">
        <is>
          <t>Weekly_Oil_Bulletin_Prices_History_maticni_4web.xlsx</t>
        </is>
      </c>
    </row>
    <row r="330">
      <c r="A330" s="53" t="n">
        <v>46153</v>
      </c>
      <c r="B330" t="inlineStr">
        <is>
          <t>2026-05-11</t>
        </is>
      </c>
      <c r="C330" s="45" t="n">
        <v>1.19713</v>
      </c>
      <c r="D330" t="inlineStr">
        <is>
          <t>€/l</t>
        </is>
      </c>
      <c r="E330" s="54" t="n">
        <v>0.103823</v>
      </c>
      <c r="F330" s="54" t="n">
        <v>0.116453</v>
      </c>
      <c r="G330" t="inlineStr">
        <is>
          <t>original (el Boletín publica con y sin impuestos)</t>
        </is>
      </c>
      <c r="H330" t="inlineStr">
        <is>
          <t>IVA e impuesto sobre hidrocarburos incluidos por la fuente</t>
        </is>
      </c>
      <c r="K330" t="inlineStr">
        <is>
          <t>Weekly_Oil_Bulletin_Prices_History_maticni_4web.xlsx</t>
        </is>
      </c>
    </row>
    <row r="331">
      <c r="A331" s="53" t="n">
        <v>46160</v>
      </c>
      <c r="B331" t="inlineStr">
        <is>
          <t>2026-05-18</t>
        </is>
      </c>
      <c r="C331" s="45" t="n">
        <v>1.17216</v>
      </c>
      <c r="D331" t="inlineStr">
        <is>
          <t>€/l</t>
        </is>
      </c>
      <c r="E331" s="54" t="n">
        <v>0.101615</v>
      </c>
      <c r="F331" s="54" t="n">
        <v>0.114024</v>
      </c>
      <c r="G331" t="inlineStr">
        <is>
          <t>original (el Boletín publica con y sin impuestos)</t>
        </is>
      </c>
      <c r="H331" t="inlineStr">
        <is>
          <t>IVA e impuesto sobre hidrocarburos incluidos por la fuente</t>
        </is>
      </c>
      <c r="K331" t="inlineStr">
        <is>
          <t>Weekly_Oil_Bulletin_Prices_History_maticni_4web.xlsx</t>
        </is>
      </c>
    </row>
    <row r="332">
      <c r="A332" s="53" t="n">
        <v>46167</v>
      </c>
      <c r="B332" t="inlineStr">
        <is>
          <t>2026-05-25</t>
        </is>
      </c>
      <c r="C332" s="45" t="n">
        <v>1.1707</v>
      </c>
      <c r="D332" t="inlineStr">
        <is>
          <t>€/l</t>
        </is>
      </c>
      <c r="E332" s="54" t="n">
        <v>0.101486</v>
      </c>
      <c r="F332" s="54" t="n">
        <v>0.113881</v>
      </c>
      <c r="G332" t="inlineStr">
        <is>
          <t>original (el Boletín publica con y sin impuestos)</t>
        </is>
      </c>
      <c r="H332" t="inlineStr">
        <is>
          <t>IVA e impuesto sobre hidrocarburos incluidos por la fuente</t>
        </is>
      </c>
      <c r="K332" t="inlineStr">
        <is>
          <t>Weekly_Oil_Bulletin_Prices_History_maticni_4web.xlsx</t>
        </is>
      </c>
    </row>
    <row r="333">
      <c r="A333" s="53" t="n">
        <v>46174</v>
      </c>
      <c r="B333" t="inlineStr">
        <is>
          <t>2026-06-01</t>
        </is>
      </c>
      <c r="C333" s="45" t="n">
        <v>1.10663</v>
      </c>
      <c r="D333" t="inlineStr">
        <is>
          <t>€/l</t>
        </is>
      </c>
      <c r="E333" s="54" t="n">
        <v>0.095819</v>
      </c>
      <c r="F333" s="54" t="n">
        <v>0.107648</v>
      </c>
      <c r="G333" t="inlineStr">
        <is>
          <t>original (el Boletín publica con y sin impuestos)</t>
        </is>
      </c>
      <c r="H333" t="inlineStr">
        <is>
          <t>IVA e impuesto sobre hidrocarburos incluidos por la fuente</t>
        </is>
      </c>
      <c r="K333" t="inlineStr">
        <is>
          <t>Weekly_Oil_Bulletin_Prices_History_maticni_4web.xlsx</t>
        </is>
      </c>
    </row>
    <row r="334">
      <c r="A334" s="53" t="n">
        <v>46181</v>
      </c>
      <c r="B334" t="inlineStr">
        <is>
          <t>2026-06-08</t>
        </is>
      </c>
      <c r="C334" s="45" t="n">
        <v>1.09149</v>
      </c>
      <c r="D334" t="inlineStr">
        <is>
          <t>€/l</t>
        </is>
      </c>
      <c r="E334" s="54" t="n">
        <v>0.09447999999999999</v>
      </c>
      <c r="F334" s="54" t="n">
        <v>0.106176</v>
      </c>
      <c r="G334" t="inlineStr">
        <is>
          <t>original (el Boletín publica con y sin impuestos)</t>
        </is>
      </c>
      <c r="H334" t="inlineStr">
        <is>
          <t>IVA e impuesto sobre hidrocarburos incluidos por la fuente</t>
        </is>
      </c>
      <c r="K334" t="inlineStr">
        <is>
          <t>Weekly_Oil_Bulletin_Prices_History_maticni_4web.xlsx</t>
        </is>
      </c>
    </row>
    <row r="335">
      <c r="A335" s="53" t="n">
        <v>46188</v>
      </c>
      <c r="B335" t="inlineStr">
        <is>
          <t>2026-06-15</t>
        </is>
      </c>
      <c r="C335" s="45" t="n">
        <v>1.0546</v>
      </c>
      <c r="D335" t="inlineStr">
        <is>
          <t>€/l</t>
        </is>
      </c>
      <c r="E335" s="54" t="n">
        <v>0.09121899999999999</v>
      </c>
      <c r="F335" s="54" t="n">
        <v>0.102588</v>
      </c>
      <c r="G335" t="inlineStr">
        <is>
          <t>original (el Boletín publica con y sin impuestos)</t>
        </is>
      </c>
      <c r="H335" t="inlineStr">
        <is>
          <t>IVA e impuesto sobre hidrocarburos incluidos por la fuente</t>
        </is>
      </c>
      <c r="K335" t="inlineStr">
        <is>
          <t>Weekly_Oil_Bulletin_Prices_History_maticni_4web.xlsx</t>
        </is>
      </c>
    </row>
    <row r="336">
      <c r="A336" s="53" t="n">
        <v>46195</v>
      </c>
      <c r="B336" t="inlineStr">
        <is>
          <t>2026-06-22</t>
        </is>
      </c>
      <c r="C336" s="45" t="n">
        <v>0.98064</v>
      </c>
      <c r="D336" t="inlineStr">
        <is>
          <t>€/l</t>
        </is>
      </c>
      <c r="E336" s="54" t="n">
        <v>0.084678</v>
      </c>
      <c r="F336" s="54" t="n">
        <v>0.09539300000000001</v>
      </c>
      <c r="G336" t="inlineStr">
        <is>
          <t>original (el Boletín publica con y sin impuestos)</t>
        </is>
      </c>
      <c r="H336" t="inlineStr">
        <is>
          <t>IVA e impuesto sobre hidrocarburos incluidos por la fuente</t>
        </is>
      </c>
      <c r="K336" t="inlineStr">
        <is>
          <t>Weekly_Oil_Bulletin_Prices_History_maticni_4web.xlsx</t>
        </is>
      </c>
    </row>
    <row r="337">
      <c r="A337" s="53" t="n">
        <v>46202</v>
      </c>
      <c r="B337" t="inlineStr">
        <is>
          <t>2026-06-29</t>
        </is>
      </c>
      <c r="C337" s="45" t="n">
        <v>0.95436</v>
      </c>
      <c r="D337" t="inlineStr">
        <is>
          <t>€/l</t>
        </is>
      </c>
      <c r="E337" s="54" t="n">
        <v>0.082354</v>
      </c>
      <c r="F337" s="54" t="n">
        <v>0.092837</v>
      </c>
      <c r="G337" t="inlineStr">
        <is>
          <t>original (el Boletín publica con y sin impuestos)</t>
        </is>
      </c>
      <c r="H337" t="inlineStr">
        <is>
          <t>IVA e impuesto sobre hidrocarburos incluidos por la fuente</t>
        </is>
      </c>
      <c r="K337" t="inlineStr">
        <is>
          <t>Weekly_Oil_Bulletin_Prices_History_maticni_4web.xlsx</t>
        </is>
      </c>
    </row>
    <row r="338">
      <c r="A338" s="53" t="n">
        <v>46209</v>
      </c>
      <c r="B338" t="inlineStr">
        <is>
          <t>2026-07-06</t>
        </is>
      </c>
      <c r="C338" s="45" t="n">
        <v>1.07847</v>
      </c>
      <c r="D338" t="inlineStr">
        <is>
          <t>€/l</t>
        </is>
      </c>
      <c r="E338" s="54" t="n">
        <v>0.08422499999999999</v>
      </c>
      <c r="F338" s="54" t="n">
        <v>0.10491</v>
      </c>
      <c r="G338" t="inlineStr">
        <is>
          <t>original (el Boletín publica con y sin impuestos)</t>
        </is>
      </c>
      <c r="H338" t="inlineStr">
        <is>
          <t>IVA e impuesto sobre hidrocarburos incluidos por la fuente</t>
        </is>
      </c>
      <c r="K338" t="inlineStr">
        <is>
          <t>Weekly_Oil_Bulletin_Prices_History_maticni_4web.xlsx</t>
        </is>
      </c>
    </row>
    <row r="339">
      <c r="A339" s="53" t="n">
        <v>46216</v>
      </c>
      <c r="B339" t="inlineStr">
        <is>
          <t>2026-07-13</t>
        </is>
      </c>
      <c r="C339" s="45" t="n">
        <v>1.11069</v>
      </c>
      <c r="D339" t="inlineStr">
        <is>
          <t>€/l</t>
        </is>
      </c>
      <c r="E339" s="54" t="n">
        <v>0.085409</v>
      </c>
      <c r="F339" s="54" t="n">
        <v>0.108044</v>
      </c>
      <c r="G339" t="inlineStr">
        <is>
          <t>original (el Boletín publica con y sin impuestos)</t>
        </is>
      </c>
      <c r="H339" t="inlineStr">
        <is>
          <t>IVA e impuesto sobre hidrocarburos incluidos por la fuente</t>
        </is>
      </c>
      <c r="K339" t="inlineStr">
        <is>
          <t>Weekly_Oil_Bulletin_Prices_History_maticni_4web.xlsx</t>
        </is>
      </c>
    </row>
    <row r="340">
      <c r="A340" s="53" t="n">
        <v>46223</v>
      </c>
      <c r="B340" t="inlineStr">
        <is>
          <t>2026-07-20</t>
        </is>
      </c>
      <c r="C340" s="45" t="n">
        <v>1.19626</v>
      </c>
      <c r="D340" t="inlineStr">
        <is>
          <t>€/l</t>
        </is>
      </c>
      <c r="E340" s="54" t="n">
        <v>0.092288</v>
      </c>
      <c r="F340" s="54" t="n">
        <v>0.116368</v>
      </c>
      <c r="G340" t="inlineStr">
        <is>
          <t>original (el Boletín publica con y sin impuestos)</t>
        </is>
      </c>
      <c r="H340" t="inlineStr">
        <is>
          <t>IVA e impuesto sobre hidrocarburos incluidos por la fuente</t>
        </is>
      </c>
      <c r="K340" t="inlineStr">
        <is>
          <t>Weekly_Oil_Bulletin_Prices_History_maticni_4web.xlsx</t>
        </is>
      </c>
    </row>
    <row r="341">
      <c r="A341" s="53" t="n">
        <v>46230</v>
      </c>
      <c r="B341" t="inlineStr">
        <is>
          <t>2026-07-27</t>
        </is>
      </c>
      <c r="C341" s="45" t="n">
        <v>1.27487</v>
      </c>
      <c r="D341" t="inlineStr">
        <is>
          <t>€/l</t>
        </is>
      </c>
      <c r="E341" s="54" t="n">
        <v>0.098608</v>
      </c>
      <c r="F341" s="54" t="n">
        <v>0.124015</v>
      </c>
      <c r="G341" t="inlineStr">
        <is>
          <t>original (el Boletín publica con y sin impuestos)</t>
        </is>
      </c>
      <c r="H341" t="inlineStr">
        <is>
          <t>IVA e impuesto sobre hidrocarburos incluidos por la fuente</t>
        </is>
      </c>
      <c r="K341" t="inlineStr">
        <is>
          <t>Weekly_Oil_Bulletin_Prices_History_maticni_4web.xlsx</t>
        </is>
      </c>
    </row>
    <row r="342">
      <c r="A342" s="53" t="n">
        <v>46237</v>
      </c>
      <c r="B342" t="inlineStr">
        <is>
          <t>2026-08-03</t>
        </is>
      </c>
      <c r="C342" s="45" t="n">
        <v>1.26999</v>
      </c>
      <c r="D342" t="inlineStr">
        <is>
          <t>€/l</t>
        </is>
      </c>
      <c r="E342" s="54" t="n">
        <v>0.098215</v>
      </c>
      <c r="F342" s="54" t="n">
        <v>0.12354</v>
      </c>
      <c r="G342" t="inlineStr">
        <is>
          <t>original (el Boletín publica con y sin impuestos)</t>
        </is>
      </c>
      <c r="H342" t="inlineStr">
        <is>
          <t>IVA e impuesto sobre hidrocarburos incluidos por la fuente</t>
        </is>
      </c>
      <c r="K342" t="inlineStr">
        <is>
          <t>Weekly_Oil_Bulletin_Prices_History_maticni_4web.xlsx</t>
        </is>
      </c>
    </row>
    <row r="343">
      <c r="A343" s="53" t="n">
        <v>46244</v>
      </c>
      <c r="B343" t="inlineStr">
        <is>
          <t>2026-08-10</t>
        </is>
      </c>
      <c r="C343" s="45" t="n">
        <v>1.29143</v>
      </c>
      <c r="D343" t="inlineStr">
        <is>
          <t>€/l</t>
        </is>
      </c>
      <c r="E343" s="54" t="n">
        <v>0.10178</v>
      </c>
      <c r="F343" s="54" t="n">
        <v>0.125626</v>
      </c>
      <c r="G343" t="inlineStr">
        <is>
          <t>original (el Boletín publica con y sin impuestos)</t>
        </is>
      </c>
      <c r="H343" t="inlineStr">
        <is>
          <t>IVA e impuesto sobre hidrocarburos incluidos por la fuente</t>
        </is>
      </c>
      <c r="K343" t="inlineStr">
        <is>
          <t>Weekly_Oil_Bulletin_Prices_History_maticni_4web.xlsx</t>
        </is>
      </c>
    </row>
    <row r="344">
      <c r="A344" s="53" t="n">
        <v>46251</v>
      </c>
      <c r="B344" t="inlineStr">
        <is>
          <t>2026-08-17</t>
        </is>
      </c>
      <c r="C344" s="45" t="n">
        <v>1.32326</v>
      </c>
      <c r="D344" t="inlineStr">
        <is>
          <t>€/l</t>
        </is>
      </c>
      <c r="E344" s="54" t="n">
        <v>0.104339</v>
      </c>
      <c r="F344" s="54" t="n">
        <v>0.128721</v>
      </c>
      <c r="G344" t="inlineStr">
        <is>
          <t>original (el Boletín publica con y sin impuestos)</t>
        </is>
      </c>
      <c r="H344" t="inlineStr">
        <is>
          <t>IVA e impuesto sobre hidrocarburos incluidos por la fuente</t>
        </is>
      </c>
      <c r="K344" t="inlineStr">
        <is>
          <t>Weekly_Oil_Bulletin_Prices_History_maticni_4web.xlsx</t>
        </is>
      </c>
    </row>
    <row r="345">
      <c r="A345" s="53" t="n">
        <v>46258</v>
      </c>
      <c r="B345" t="inlineStr">
        <is>
          <t>2026-08-24</t>
        </is>
      </c>
      <c r="C345" s="45" t="n">
        <v>1.34787</v>
      </c>
      <c r="D345" t="inlineStr">
        <is>
          <t>€/l</t>
        </is>
      </c>
      <c r="E345" s="54" t="n">
        <v>0.106317</v>
      </c>
      <c r="F345" s="54" t="n">
        <v>0.131115</v>
      </c>
      <c r="G345" t="inlineStr">
        <is>
          <t>original (el Boletín publica con y sin impuestos)</t>
        </is>
      </c>
      <c r="H345" t="inlineStr">
        <is>
          <t>IVA e impuesto sobre hidrocarburos incluidos por la fuente</t>
        </is>
      </c>
      <c r="K345" t="inlineStr">
        <is>
          <t>Weekly_Oil_Bulletin_Prices_History_maticni_4web.xlsx</t>
        </is>
      </c>
    </row>
    <row r="346">
      <c r="A346" s="53" t="n">
        <v>46265</v>
      </c>
      <c r="B346" t="inlineStr">
        <is>
          <t>2026-08-31</t>
        </is>
      </c>
      <c r="C346" s="45" t="n">
        <v>1.3227</v>
      </c>
      <c r="D346" t="inlineStr">
        <is>
          <t>€/l</t>
        </is>
      </c>
      <c r="E346" s="54" t="n">
        <v>0.104294</v>
      </c>
      <c r="F346" s="54" t="n">
        <v>0.128667</v>
      </c>
      <c r="G346" t="inlineStr">
        <is>
          <t>original (el Boletín publica con y sin impuestos)</t>
        </is>
      </c>
      <c r="H346" t="inlineStr">
        <is>
          <t>IVA e impuesto sobre hidrocarburos incluidos por la fuente</t>
        </is>
      </c>
      <c r="K346" t="inlineStr">
        <is>
          <t>Weekly_Oil_Bulletin_Prices_History_maticni_4web.xlsx</t>
        </is>
      </c>
    </row>
    <row r="347">
      <c r="A347" s="53" t="n">
        <v>46272</v>
      </c>
      <c r="B347" t="inlineStr">
        <is>
          <t>2026-09-07</t>
        </is>
      </c>
      <c r="C347" s="45" t="n">
        <v>1.39624</v>
      </c>
      <c r="D347" t="inlineStr">
        <is>
          <t>€/l</t>
        </is>
      </c>
      <c r="E347" s="54" t="n">
        <v>0.110206</v>
      </c>
      <c r="F347" s="54" t="n">
        <v>0.135821</v>
      </c>
      <c r="G347" t="inlineStr">
        <is>
          <t>original (el Boletín publica con y sin impuestos)</t>
        </is>
      </c>
      <c r="H347" t="inlineStr">
        <is>
          <t>IVA e impuesto sobre hidrocarburos incluidos por la fuente</t>
        </is>
      </c>
      <c r="K347" t="inlineStr">
        <is>
          <t>Weekly_Oil_Bulletin_Prices_History_maticni_4web.xlsx</t>
        </is>
      </c>
    </row>
    <row r="348">
      <c r="A348" s="53" t="n">
        <v>46279</v>
      </c>
      <c r="B348" t="inlineStr">
        <is>
          <t>2026-09-14</t>
        </is>
      </c>
      <c r="C348" s="45" t="n">
        <v>1.40509</v>
      </c>
      <c r="D348" t="inlineStr">
        <is>
          <t>€/l</t>
        </is>
      </c>
      <c r="E348" s="54" t="n">
        <v>0.110917</v>
      </c>
      <c r="F348" s="54" t="n">
        <v>0.136682</v>
      </c>
      <c r="G348" t="inlineStr">
        <is>
          <t>original (el Boletín publica con y sin impuestos)</t>
        </is>
      </c>
      <c r="H348" t="inlineStr">
        <is>
          <t>IVA e impuesto sobre hidrocarburos incluidos por la fuente</t>
        </is>
      </c>
      <c r="K348" t="inlineStr">
        <is>
          <t>Weekly_Oil_Bulletin_Prices_History_maticni_4web.xlsx</t>
        </is>
      </c>
    </row>
    <row r="349">
      <c r="A349" s="53" t="n">
        <v>46286</v>
      </c>
      <c r="B349" t="inlineStr">
        <is>
          <t>2026-09-21</t>
        </is>
      </c>
      <c r="C349" s="45" t="n">
        <v>1.5104</v>
      </c>
      <c r="D349" t="inlineStr">
        <is>
          <t>€/l</t>
        </is>
      </c>
      <c r="E349" s="54" t="n">
        <v>0.119384</v>
      </c>
      <c r="F349" s="54" t="n">
        <v>0.146927</v>
      </c>
      <c r="G349" t="inlineStr">
        <is>
          <t>original (el Boletín publica con y sin impuestos)</t>
        </is>
      </c>
      <c r="H349" t="inlineStr">
        <is>
          <t>IVA e impuesto sobre hidrocarburos incluidos por la fuente</t>
        </is>
      </c>
      <c r="K349" t="inlineStr">
        <is>
          <t>Weekly_Oil_Bulletin_Prices_History_maticni_4web.xlsx</t>
        </is>
      </c>
    </row>
    <row r="350">
      <c r="A350" s="53" t="n">
        <v>46293</v>
      </c>
      <c r="B350" t="inlineStr">
        <is>
          <t>2026-09-28</t>
        </is>
      </c>
      <c r="C350" s="45" t="n">
        <v>1.52555</v>
      </c>
      <c r="D350" t="inlineStr">
        <is>
          <t>€/l</t>
        </is>
      </c>
      <c r="E350" s="54" t="n">
        <v>0.120601</v>
      </c>
      <c r="F350" s="54" t="n">
        <v>0.1484</v>
      </c>
      <c r="G350" t="inlineStr">
        <is>
          <t>original (el Boletín publica con y sin impuestos)</t>
        </is>
      </c>
      <c r="H350" t="inlineStr">
        <is>
          <t>IVA e impuesto sobre hidrocarburos incluidos por la fuente</t>
        </is>
      </c>
      <c r="K350" t="inlineStr">
        <is>
          <t>Weekly_Oil_Bulletin_Prices_History_maticni_4web.xlsx</t>
        </is>
      </c>
    </row>
    <row r="351">
      <c r="A351" s="53" t="n">
        <v>46300</v>
      </c>
      <c r="B351" t="inlineStr">
        <is>
          <t>2026-10-05</t>
        </is>
      </c>
      <c r="C351" s="45" t="n">
        <v>1.49534</v>
      </c>
      <c r="D351" t="inlineStr">
        <is>
          <t>€/l</t>
        </is>
      </c>
      <c r="E351" s="54" t="n">
        <v>0.118173</v>
      </c>
      <c r="F351" s="54" t="n">
        <v>0.145461</v>
      </c>
      <c r="G351" t="inlineStr">
        <is>
          <t>original (el Boletín publica con y sin impuestos)</t>
        </is>
      </c>
      <c r="H351" t="inlineStr">
        <is>
          <t>IVA e impuesto sobre hidrocarburos incluidos por la fuente</t>
        </is>
      </c>
      <c r="K351" t="inlineStr">
        <is>
          <t>Weekly_Oil_Bulletin_Prices_History_maticni_4web.xlsx</t>
        </is>
      </c>
    </row>
    <row r="352">
      <c r="A352" s="53" t="n">
        <v>46307</v>
      </c>
      <c r="B352" t="inlineStr">
        <is>
          <t>2026-10-12</t>
        </is>
      </c>
      <c r="C352" s="45" t="n">
        <v>1.4453</v>
      </c>
      <c r="D352" t="inlineStr">
        <is>
          <t>€/l</t>
        </is>
      </c>
      <c r="E352" s="54" t="n">
        <v>0.11415</v>
      </c>
      <c r="F352" s="54" t="n">
        <v>0.140593</v>
      </c>
      <c r="G352" t="inlineStr">
        <is>
          <t>original (el Boletín publica con y sin impuestos)</t>
        </is>
      </c>
      <c r="H352" t="inlineStr">
        <is>
          <t>IVA e impuesto sobre hidrocarburos incluidos por la fuente</t>
        </is>
      </c>
      <c r="K352" t="inlineStr">
        <is>
          <t>Weekly_Oil_Bulletin_Prices_History_maticni_4web.xlsx</t>
        </is>
      </c>
    </row>
    <row r="353">
      <c r="A353" s="53" t="n">
        <v>46314</v>
      </c>
      <c r="B353" t="inlineStr">
        <is>
          <t>2026-10-19</t>
        </is>
      </c>
      <c r="C353" s="45" t="n">
        <v>1.52133</v>
      </c>
      <c r="D353" t="inlineStr">
        <is>
          <t>€/l</t>
        </is>
      </c>
      <c r="E353" s="54" t="n">
        <v>0.120263</v>
      </c>
      <c r="F353" s="54" t="n">
        <v>0.147989</v>
      </c>
      <c r="G353" t="inlineStr">
        <is>
          <t>original (el Boletín publica con y sin impuestos)</t>
        </is>
      </c>
      <c r="H353" t="inlineStr">
        <is>
          <t>IVA e impuesto sobre hidrocarburos incluidos por la fuente</t>
        </is>
      </c>
      <c r="K353" t="inlineStr">
        <is>
          <t>Weekly_Oil_Bulletin_Prices_History_maticni_4web.xlsx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16" customWidth="1" min="4" max="4"/>
    <col width="13" customWidth="1" min="5" max="5"/>
    <col width="13" customWidth="1" min="6" max="6"/>
    <col width="24" customWidth="1" min="7" max="7"/>
    <col width="55" customWidth="1" min="8" max="8"/>
    <col width="30" customWidth="1" min="9" max="9"/>
    <col width="15" customWidth="1" min="10" max="10"/>
    <col width="30" customWidth="1" min="11" max="11"/>
    <col width="55" customWidth="1" min="12" max="12"/>
  </cols>
  <sheetData>
    <row r="1">
      <c r="A1" s="25" t="inlineStr">
        <is>
          <t>7. Butano: bombona regulada de 12,5 kg</t>
        </is>
      </c>
    </row>
    <row r="2">
      <c r="A2" s="2" t="inlineStr">
        <is>
          <t>Fuente: BOE, resoluciones de la DGPEM con los precios máximos de venta, antes de impuestos, de los GLP envasados. Unidad original: c€/kg (antes de impuestos). Frecuencia: bimestral (valor vigente desde el tercer martes de ene/mar/may/jul/sep/nov). Impuestos del dato original: sin impuestos. Conversión: bombona: c€/kg ÷ 100 × 12,5 kg (+ IH GLP, × (1 + IVA)); €/kWh = € ÷ 12,5 kg ÷ 12.73 kWh/kg (PCI)</t>
        </is>
      </c>
    </row>
    <row r="4">
      <c r="A4" t="inlineStr">
        <is>
          <t>Fecha</t>
        </is>
      </c>
      <c r="B4" t="inlineStr">
        <is>
          <t>Periodo</t>
        </is>
      </c>
      <c r="C4" t="inlineStr">
        <is>
          <t>Valor original</t>
        </is>
      </c>
      <c r="D4" t="inlineStr">
        <is>
          <t>Unidad</t>
        </is>
      </c>
      <c r="E4" t="inlineStr">
        <is>
          <t>€/kWh sin impuestos</t>
        </is>
      </c>
      <c r="F4" t="inlineStr">
        <is>
          <t>€/kWh con impuestos</t>
        </is>
      </c>
      <c r="G4" t="inlineStr">
        <is>
          <t>Origen del precio con impuestos</t>
        </is>
      </c>
      <c r="H4" t="inlineStr">
        <is>
          <t>Impuestos aplicados</t>
        </is>
      </c>
      <c r="I4" t="inlineStr">
        <is>
          <t>Pendiente</t>
        </is>
      </c>
      <c r="J4" t="inlineStr">
        <is>
          <t>Fecha de publicación</t>
        </is>
      </c>
      <c r="K4" t="inlineStr">
        <is>
          <t>Referencia (fichero / BOE / PDF)</t>
        </is>
      </c>
      <c r="L4" t="inlineStr">
        <is>
          <t>Nota</t>
        </is>
      </c>
    </row>
    <row r="5">
      <c r="A5" s="53" t="n">
        <v>43788</v>
      </c>
      <c r="B5" t="inlineStr">
        <is>
          <t>2019-11-19</t>
        </is>
      </c>
      <c r="C5" s="45" t="n">
        <v>82.78400000000001</v>
      </c>
      <c r="D5" t="inlineStr">
        <is>
          <t>c€/kg (antes de impuestos)</t>
        </is>
      </c>
      <c r="E5" s="54" t="n">
        <v>0.06503100000000001</v>
      </c>
      <c r="F5" s="54" t="n">
        <v>0.080113</v>
      </c>
      <c r="G5" t="inlineStr">
        <is>
          <t>calculado</t>
        </is>
      </c>
      <c r="H5" t="inlineStr">
        <is>
          <t>IH GLP 15.0 €/t (Ley 38/1992 art. 50, epígrafe 1.8) + IVA 21 % (Ley 37/1992 art. 90)</t>
        </is>
      </c>
      <c r="J5" t="inlineStr">
        <is>
          <t>2019-11-18</t>
        </is>
      </c>
      <c r="K5" t="inlineStr">
        <is>
          <t>BOE-A-2019-16520</t>
        </is>
      </c>
      <c r="L5" t="inlineStr">
        <is>
          <t>bombona 12,5 kg: 10.35 € antes de impuestos; 12.75 € con impuestos (calculado)</t>
        </is>
      </c>
    </row>
    <row r="6">
      <c r="A6" s="53" t="n">
        <v>43851</v>
      </c>
      <c r="B6" t="inlineStr">
        <is>
          <t>2020-01-21</t>
        </is>
      </c>
      <c r="C6" s="45" t="n">
        <v>86.92319999999999</v>
      </c>
      <c r="D6" t="inlineStr">
        <is>
          <t>c€/kg (antes de impuestos)</t>
        </is>
      </c>
      <c r="E6" s="54" t="n">
        <v>0.068282</v>
      </c>
      <c r="F6" s="54" t="n">
        <v>0.084047</v>
      </c>
      <c r="G6" t="inlineStr">
        <is>
          <t>calculado</t>
        </is>
      </c>
      <c r="H6" t="inlineStr">
        <is>
          <t>IH GLP 15.0 €/t (Ley 38/1992 art. 50, epígrafe 1.8) + IVA 21 % (Ley 37/1992 art. 90)</t>
        </is>
      </c>
      <c r="J6" t="inlineStr">
        <is>
          <t>2020-01-20</t>
        </is>
      </c>
      <c r="K6" t="inlineStr">
        <is>
          <t>BOE-A-2020-791</t>
        </is>
      </c>
      <c r="L6" t="inlineStr">
        <is>
          <t>bombona 12,5 kg: 10.87 € antes de impuestos; 13.37 € con impuestos (calculado)</t>
        </is>
      </c>
    </row>
    <row r="7">
      <c r="A7" s="53" t="n">
        <v>44033</v>
      </c>
      <c r="B7" t="inlineStr">
        <is>
          <t>2020-07-21</t>
        </is>
      </c>
      <c r="C7" s="45" t="n">
        <v>82.577</v>
      </c>
      <c r="D7" t="inlineStr">
        <is>
          <t>c€/kg (antes de impuestos)</t>
        </is>
      </c>
      <c r="E7" s="54" t="n">
        <v>0.064868</v>
      </c>
      <c r="F7" s="54" t="n">
        <v>0.079916</v>
      </c>
      <c r="G7" t="inlineStr">
        <is>
          <t>calculado</t>
        </is>
      </c>
      <c r="H7" t="inlineStr">
        <is>
          <t>IH GLP 15.0 €/t (Ley 38/1992 art. 50, epígrafe 1.8) + IVA 21 % (Ley 37/1992 art. 90)</t>
        </is>
      </c>
      <c r="J7" t="inlineStr">
        <is>
          <t>2020-07-20</t>
        </is>
      </c>
      <c r="K7" t="inlineStr">
        <is>
          <t>BOE-A-2020-8154</t>
        </is>
      </c>
      <c r="L7" t="inlineStr">
        <is>
          <t>bombona 12,5 kg: 10.32 € antes de impuestos; 12.72 € con impuestos (calculado)</t>
        </is>
      </c>
    </row>
    <row r="8">
      <c r="A8" s="53" t="n">
        <v>44089</v>
      </c>
      <c r="B8" t="inlineStr">
        <is>
          <t>2020-09-15</t>
        </is>
      </c>
      <c r="C8" s="45" t="n">
        <v>78.4482</v>
      </c>
      <c r="D8" t="inlineStr">
        <is>
          <t>c€/kg (antes de impuestos)</t>
        </is>
      </c>
      <c r="E8" s="54" t="n">
        <v>0.061625</v>
      </c>
      <c r="F8" s="54" t="n">
        <v>0.075992</v>
      </c>
      <c r="G8" t="inlineStr">
        <is>
          <t>calculado</t>
        </is>
      </c>
      <c r="H8" t="inlineStr">
        <is>
          <t>IH GLP 15.0 €/t (Ley 38/1992 art. 50, epígrafe 1.8) + IVA 21 % (Ley 37/1992 art. 90)</t>
        </is>
      </c>
      <c r="J8" t="inlineStr">
        <is>
          <t>2020-09-14</t>
        </is>
      </c>
      <c r="K8" t="inlineStr">
        <is>
          <t>BOE-A-2020-10592</t>
        </is>
      </c>
      <c r="L8" t="inlineStr">
        <is>
          <t>bombona 12,5 kg: 9.81 € antes de impuestos; 12.09 € con impuestos (calculado)</t>
        </is>
      </c>
    </row>
    <row r="9">
      <c r="A9" s="53" t="n">
        <v>44152</v>
      </c>
      <c r="B9" t="inlineStr">
        <is>
          <t>2020-11-17</t>
        </is>
      </c>
      <c r="C9" s="45" t="n">
        <v>82.3706</v>
      </c>
      <c r="D9" t="inlineStr">
        <is>
          <t>c€/kg (antes de impuestos)</t>
        </is>
      </c>
      <c r="E9" s="54" t="n">
        <v>0.064706</v>
      </c>
      <c r="F9" s="54" t="n">
        <v>0.07972</v>
      </c>
      <c r="G9" t="inlineStr">
        <is>
          <t>calculado</t>
        </is>
      </c>
      <c r="H9" t="inlineStr">
        <is>
          <t>IH GLP 15.0 €/t (Ley 38/1992 art. 50, epígrafe 1.8) + IVA 21 % (Ley 37/1992 art. 90)</t>
        </is>
      </c>
      <c r="J9" t="inlineStr">
        <is>
          <t>2020-11-16</t>
        </is>
      </c>
      <c r="K9" t="inlineStr">
        <is>
          <t>BOE-A-2020-14249</t>
        </is>
      </c>
      <c r="L9" t="inlineStr">
        <is>
          <t>bombona 12,5 kg: 10.30 € antes de impuestos; 12.69 € con impuestos (calculado)</t>
        </is>
      </c>
    </row>
    <row r="10">
      <c r="A10" s="53" t="n">
        <v>44215</v>
      </c>
      <c r="B10" t="inlineStr">
        <is>
          <t>2021-01-19</t>
        </is>
      </c>
      <c r="C10" s="45" t="n">
        <v>86.48909999999999</v>
      </c>
      <c r="D10" t="inlineStr">
        <is>
          <t>c€/kg (antes de impuestos)</t>
        </is>
      </c>
      <c r="E10" s="54" t="n">
        <v>0.067941</v>
      </c>
      <c r="F10" s="54" t="n">
        <v>0.083635</v>
      </c>
      <c r="G10" t="inlineStr">
        <is>
          <t>calculado</t>
        </is>
      </c>
      <c r="H10" t="inlineStr">
        <is>
          <t>IH GLP 15.0 €/t (Ley 38/1992 art. 50, epígrafe 1.8) + IVA 21 % (Ley 37/1992 art. 90)</t>
        </is>
      </c>
      <c r="J10" t="inlineStr">
        <is>
          <t>2021-01-18</t>
        </is>
      </c>
      <c r="K10" t="inlineStr">
        <is>
          <t>BOE-A-2021-712</t>
        </is>
      </c>
      <c r="L10" t="inlineStr">
        <is>
          <t>bombona 12,5 kg: 10.81 € antes de impuestos; 13.31 € con impuestos (calculado)</t>
        </is>
      </c>
    </row>
    <row r="11">
      <c r="A11" s="53" t="n">
        <v>44271</v>
      </c>
      <c r="B11" t="inlineStr">
        <is>
          <t>2021-03-16</t>
        </is>
      </c>
      <c r="C11" s="45" t="n">
        <v>90.81359999999999</v>
      </c>
      <c r="D11" t="inlineStr">
        <is>
          <t>c€/kg (antes de impuestos)</t>
        </is>
      </c>
      <c r="E11" s="54" t="n">
        <v>0.071338</v>
      </c>
      <c r="F11" s="54" t="n">
        <v>0.087745</v>
      </c>
      <c r="G11" t="inlineStr">
        <is>
          <t>calculado</t>
        </is>
      </c>
      <c r="H11" t="inlineStr">
        <is>
          <t>IH GLP 15.0 €/t (Ley 38/1992 art. 50, epígrafe 1.8) + IVA 21 % (Ley 37/1992 art. 90)</t>
        </is>
      </c>
      <c r="J11" t="inlineStr">
        <is>
          <t>2021-03-15</t>
        </is>
      </c>
      <c r="K11" t="inlineStr">
        <is>
          <t>BOE-A-2021-3986</t>
        </is>
      </c>
      <c r="L11" t="inlineStr">
        <is>
          <t>bombona 12,5 kg: 11.35 € antes de impuestos; 13.96 € con impuestos (calculado)</t>
        </is>
      </c>
    </row>
    <row r="12">
      <c r="A12" s="53" t="n">
        <v>44334</v>
      </c>
      <c r="B12" t="inlineStr">
        <is>
          <t>2021-05-18</t>
        </is>
      </c>
      <c r="C12" s="45" t="n">
        <v>95.35429999999999</v>
      </c>
      <c r="D12" t="inlineStr">
        <is>
          <t>c€/kg (antes de impuestos)</t>
        </is>
      </c>
      <c r="E12" s="54" t="n">
        <v>0.074905</v>
      </c>
      <c r="F12" s="54" t="n">
        <v>0.092061</v>
      </c>
      <c r="G12" t="inlineStr">
        <is>
          <t>calculado</t>
        </is>
      </c>
      <c r="H12" t="inlineStr">
        <is>
          <t>IH GLP 15.0 €/t (Ley 38/1992 art. 50, epígrafe 1.8) + IVA 21 % (Ley 37/1992 art. 90)</t>
        </is>
      </c>
      <c r="J12" t="inlineStr">
        <is>
          <t>2021-05-17</t>
        </is>
      </c>
      <c r="K12" t="inlineStr">
        <is>
          <t>BOE-A-2021-8103</t>
        </is>
      </c>
      <c r="L12" t="inlineStr">
        <is>
          <t>bombona 12,5 kg: 11.92 € antes de impuestos; 14.65 € con impuestos (calculado)</t>
        </is>
      </c>
    </row>
    <row r="13">
      <c r="A13" s="53" t="n">
        <v>44397</v>
      </c>
      <c r="B13" t="inlineStr">
        <is>
          <t>2021-07-20</t>
        </is>
      </c>
      <c r="C13" s="45" t="n">
        <v>100.122</v>
      </c>
      <c r="D13" t="inlineStr">
        <is>
          <t>c€/kg (antes de impuestos)</t>
        </is>
      </c>
      <c r="E13" s="54" t="n">
        <v>0.07865</v>
      </c>
      <c r="F13" s="54" t="n">
        <v>0.096593</v>
      </c>
      <c r="G13" t="inlineStr">
        <is>
          <t>calculado</t>
        </is>
      </c>
      <c r="H13" t="inlineStr">
        <is>
          <t>IH GLP 15.0 €/t (Ley 38/1992 art. 50, epígrafe 1.8) + IVA 21 % (Ley 37/1992 art. 90)</t>
        </is>
      </c>
      <c r="J13" t="inlineStr">
        <is>
          <t>2021-07-19</t>
        </is>
      </c>
      <c r="K13" t="inlineStr">
        <is>
          <t>BOE-A-2021-11961</t>
        </is>
      </c>
      <c r="L13" t="inlineStr">
        <is>
          <t>bombona 12,5 kg: 12.52 € antes de impuestos; 15.37 € con impuestos (calculado)</t>
        </is>
      </c>
    </row>
    <row r="14">
      <c r="A14" s="53" t="n">
        <v>44460</v>
      </c>
      <c r="B14" t="inlineStr">
        <is>
          <t>2021-09-21</t>
        </is>
      </c>
      <c r="C14" s="45" t="n">
        <v>105.1281</v>
      </c>
      <c r="D14" t="inlineStr">
        <is>
          <t>c€/kg (antes de impuestos)</t>
        </is>
      </c>
      <c r="E14" s="54" t="n">
        <v>0.082583</v>
      </c>
      <c r="F14" s="54" t="n">
        <v>0.101351</v>
      </c>
      <c r="G14" t="inlineStr">
        <is>
          <t>calculado</t>
        </is>
      </c>
      <c r="H14" t="inlineStr">
        <is>
          <t>IH GLP 15.0 €/t (Ley 38/1992 art. 50, epígrafe 1.8) + IVA 21 % (Ley 37/1992 art. 90)</t>
        </is>
      </c>
      <c r="J14" t="inlineStr">
        <is>
          <t>2021-09-20</t>
        </is>
      </c>
      <c r="K14" t="inlineStr">
        <is>
          <t>BOE-A-2021-15175</t>
        </is>
      </c>
      <c r="L14" t="inlineStr">
        <is>
          <t>bombona 12,5 kg: 13.14 € antes de impuestos; 16.13 € con impuestos (calculado)</t>
        </is>
      </c>
    </row>
    <row r="15">
      <c r="A15" s="53" t="n">
        <v>44516</v>
      </c>
      <c r="B15" t="inlineStr">
        <is>
          <t>2021-11-16</t>
        </is>
      </c>
      <c r="C15" s="45" t="n">
        <v>110.3845</v>
      </c>
      <c r="D15" t="inlineStr">
        <is>
          <t>c€/kg (antes de impuestos)</t>
        </is>
      </c>
      <c r="E15" s="54" t="n">
        <v>0.086712</v>
      </c>
      <c r="F15" s="54" t="n">
        <v>0.106347</v>
      </c>
      <c r="G15" t="inlineStr">
        <is>
          <t>calculado</t>
        </is>
      </c>
      <c r="H15" t="inlineStr">
        <is>
          <t>IH GLP 15.0 €/t (Ley 38/1992 art. 50, epígrafe 1.8) + IVA 21 % (Ley 37/1992 art. 90)</t>
        </is>
      </c>
      <c r="J15" t="inlineStr">
        <is>
          <t>2021-11-15</t>
        </is>
      </c>
      <c r="K15" t="inlineStr">
        <is>
          <t>BOE-A-2021-18614</t>
        </is>
      </c>
      <c r="L15" t="inlineStr">
        <is>
          <t>bombona 12,5 kg: 13.80 € antes de impuestos; 16.92 € con impuestos (calculado)</t>
        </is>
      </c>
    </row>
    <row r="16">
      <c r="A16" s="53" t="n">
        <v>44579</v>
      </c>
      <c r="B16" t="inlineStr">
        <is>
          <t>2022-01-18</t>
        </is>
      </c>
      <c r="C16" s="45" t="n">
        <v>115.9037</v>
      </c>
      <c r="D16" t="inlineStr">
        <is>
          <t>c€/kg (antes de impuestos)</t>
        </is>
      </c>
      <c r="E16" s="54" t="n">
        <v>0.091048</v>
      </c>
      <c r="F16" s="54" t="n">
        <v>0.111593</v>
      </c>
      <c r="G16" t="inlineStr">
        <is>
          <t>calculado</t>
        </is>
      </c>
      <c r="H16" t="inlineStr">
        <is>
          <t>IH GLP 15.0 €/t (Ley 38/1992 art. 50, epígrafe 1.8) + IVA 21 % (Ley 37/1992 art. 90)</t>
        </is>
      </c>
      <c r="J16" t="inlineStr">
        <is>
          <t>2022-01-17</t>
        </is>
      </c>
      <c r="K16" t="inlineStr">
        <is>
          <t>BOE-A-2022-665</t>
        </is>
      </c>
      <c r="L16" t="inlineStr">
        <is>
          <t>bombona 12,5 kg: 14.49 € antes de impuestos; 17.76 € con impuestos (calculado)</t>
        </is>
      </c>
    </row>
    <row r="17">
      <c r="A17" s="53" t="n">
        <v>44635</v>
      </c>
      <c r="B17" t="inlineStr">
        <is>
          <t>2022-03-15</t>
        </is>
      </c>
      <c r="C17" s="45" t="n">
        <v>121.6989</v>
      </c>
      <c r="D17" t="inlineStr">
        <is>
          <t>c€/kg (antes de impuestos)</t>
        </is>
      </c>
      <c r="E17" s="54" t="n">
        <v>0.0956</v>
      </c>
      <c r="F17" s="54" t="n">
        <v>0.117102</v>
      </c>
      <c r="G17" t="inlineStr">
        <is>
          <t>calculado</t>
        </is>
      </c>
      <c r="H17" t="inlineStr">
        <is>
          <t>IH GLP 15.0 €/t (Ley 38/1992 art. 50, epígrafe 1.8) + IVA 21 % (Ley 37/1992 art. 90)</t>
        </is>
      </c>
      <c r="J17" t="inlineStr">
        <is>
          <t>2022-03-14</t>
        </is>
      </c>
      <c r="K17" t="inlineStr">
        <is>
          <t>BOE-A-2022-3910</t>
        </is>
      </c>
      <c r="L17" t="inlineStr">
        <is>
          <t>bombona 12,5 kg: 15.21 € antes de impuestos; 18.63 € con impuestos (calculado)</t>
        </is>
      </c>
    </row>
    <row r="18">
      <c r="A18" s="53" t="n">
        <v>44698</v>
      </c>
      <c r="B18" t="inlineStr">
        <is>
          <t>2022-05-17</t>
        </is>
      </c>
      <c r="C18" s="45" t="n">
        <v>127.7838</v>
      </c>
      <c r="D18" t="inlineStr">
        <is>
          <t>c€/kg (antes de impuestos)</t>
        </is>
      </c>
      <c r="E18" s="54" t="n">
        <v>0.10038</v>
      </c>
      <c r="F18" s="54" t="n">
        <v>0.122886</v>
      </c>
      <c r="G18" t="inlineStr">
        <is>
          <t>calculado</t>
        </is>
      </c>
      <c r="H18" t="inlineStr">
        <is>
          <t>IH GLP 15.0 €/t (Ley 38/1992 art. 50, epígrafe 1.8) + IVA 21 % (Ley 37/1992 art. 90)</t>
        </is>
      </c>
      <c r="J18" t="inlineStr">
        <is>
          <t>2022-05-16</t>
        </is>
      </c>
      <c r="K18" t="inlineStr">
        <is>
          <t>BOE-A-2022-7878</t>
        </is>
      </c>
      <c r="L18" t="inlineStr">
        <is>
          <t>bombona 12,5 kg: 15.97 € antes de impuestos; 19.55 € con impuestos (calculado)</t>
        </is>
      </c>
    </row>
    <row r="19">
      <c r="A19" s="53" t="n">
        <v>44761</v>
      </c>
      <c r="B19" t="inlineStr">
        <is>
          <t>2022-07-19</t>
        </is>
      </c>
      <c r="C19" s="45" t="n">
        <v>127.7838</v>
      </c>
      <c r="D19" t="inlineStr">
        <is>
          <t>c€/kg (antes de impuestos)</t>
        </is>
      </c>
      <c r="E19" s="54" t="n">
        <v>0.10038</v>
      </c>
      <c r="F19" s="54" t="n">
        <v>0.122886</v>
      </c>
      <c r="G19" t="inlineStr">
        <is>
          <t>calculado</t>
        </is>
      </c>
      <c r="H19" t="inlineStr">
        <is>
          <t>IH GLP 15.0 €/t (Ley 38/1992 art. 50, epígrafe 1.8) + IVA 21 % (Ley 37/1992 art. 90)</t>
        </is>
      </c>
      <c r="J19" t="inlineStr">
        <is>
          <t>2022-07-18</t>
        </is>
      </c>
      <c r="K19" t="inlineStr">
        <is>
          <t>BOE-A-2022-11837</t>
        </is>
      </c>
      <c r="L19" t="inlineStr">
        <is>
          <t>bombona 12,5 kg: 15.97 € antes de impuestos; 19.55 € con impuestos (calculado)</t>
        </is>
      </c>
    </row>
    <row r="20">
      <c r="A20" s="53" t="n">
        <v>44824</v>
      </c>
      <c r="B20" t="inlineStr">
        <is>
          <t>2022-09-20</t>
        </is>
      </c>
      <c r="C20" s="45" t="n">
        <v>127.7838</v>
      </c>
      <c r="D20" t="inlineStr">
        <is>
          <t>c€/kg (antes de impuestos)</t>
        </is>
      </c>
      <c r="E20" s="54" t="n">
        <v>0.10038</v>
      </c>
      <c r="F20" s="54" t="n">
        <v>0.122886</v>
      </c>
      <c r="G20" t="inlineStr">
        <is>
          <t>calculado</t>
        </is>
      </c>
      <c r="H20" t="inlineStr">
        <is>
          <t>IH GLP 15.0 €/t (Ley 38/1992 art. 50, epígrafe 1.8) + IVA 21 % (Ley 37/1992 art. 90)</t>
        </is>
      </c>
      <c r="J20" t="inlineStr">
        <is>
          <t>2022-09-19</t>
        </is>
      </c>
      <c r="K20" t="inlineStr">
        <is>
          <t>BOE-A-2022-15205</t>
        </is>
      </c>
      <c r="L20" t="inlineStr">
        <is>
          <t>bombona 12,5 kg: 15.97 € antes de impuestos; 19.55 € con impuestos (calculado)</t>
        </is>
      </c>
    </row>
    <row r="21">
      <c r="A21" s="53" t="n">
        <v>44880</v>
      </c>
      <c r="B21" t="inlineStr">
        <is>
          <t>2022-11-15</t>
        </is>
      </c>
      <c r="C21" s="45" t="n">
        <v>121.3946</v>
      </c>
      <c r="D21" t="inlineStr">
        <is>
          <t>c€/kg (antes de impuestos)</t>
        </is>
      </c>
      <c r="E21" s="54" t="n">
        <v>0.095361</v>
      </c>
      <c r="F21" s="54" t="n">
        <v>0.116813</v>
      </c>
      <c r="G21" t="inlineStr">
        <is>
          <t>calculado</t>
        </is>
      </c>
      <c r="H21" t="inlineStr">
        <is>
          <t>IH GLP 15.0 €/t (Ley 38/1992 art. 50, epígrafe 1.8) + IVA 21 % (Ley 37/1992 art. 90)</t>
        </is>
      </c>
      <c r="J21" t="inlineStr">
        <is>
          <t>2022-11-14</t>
        </is>
      </c>
      <c r="K21" t="inlineStr">
        <is>
          <t>BOE-A-2022-18598</t>
        </is>
      </c>
      <c r="L21" t="inlineStr">
        <is>
          <t>bombona 12,5 kg: 15.17 € antes de impuestos; 18.59 € con impuestos (calculado)</t>
        </is>
      </c>
    </row>
    <row r="22">
      <c r="A22" s="53" t="n">
        <v>44943</v>
      </c>
      <c r="B22" t="inlineStr">
        <is>
          <t>2023-01-17</t>
        </is>
      </c>
      <c r="C22" s="45" t="n">
        <v>115.3249</v>
      </c>
      <c r="D22" t="inlineStr">
        <is>
          <t>c€/kg (antes de impuestos)</t>
        </is>
      </c>
      <c r="E22" s="54" t="n">
        <v>0.09059300000000001</v>
      </c>
      <c r="F22" s="54" t="n">
        <v>0.111043</v>
      </c>
      <c r="G22" t="inlineStr">
        <is>
          <t>calculado</t>
        </is>
      </c>
      <c r="H22" t="inlineStr">
        <is>
          <t>IH GLP 15.0 €/t (Ley 38/1992 art. 50, epígrafe 1.8) + IVA 21 % (Ley 37/1992 art. 90)</t>
        </is>
      </c>
      <c r="J22" t="inlineStr">
        <is>
          <t>2023-01-16</t>
        </is>
      </c>
      <c r="K22" t="inlineStr">
        <is>
          <t>BOE-A-2023-1012</t>
        </is>
      </c>
      <c r="L22" t="inlineStr">
        <is>
          <t>bombona 12,5 kg: 14.42 € antes de impuestos; 17.67 € con impuestos (calculado)</t>
        </is>
      </c>
    </row>
    <row r="23">
      <c r="A23" s="53" t="n">
        <v>45006</v>
      </c>
      <c r="B23" t="inlineStr">
        <is>
          <t>2023-03-21</t>
        </is>
      </c>
      <c r="C23" s="45" t="n">
        <v>109.5587</v>
      </c>
      <c r="D23" t="inlineStr">
        <is>
          <t>c€/kg (antes de impuestos)</t>
        </is>
      </c>
      <c r="E23" s="54" t="n">
        <v>0.086063</v>
      </c>
      <c r="F23" s="54" t="n">
        <v>0.105562</v>
      </c>
      <c r="G23" t="inlineStr">
        <is>
          <t>calculado</t>
        </is>
      </c>
      <c r="H23" t="inlineStr">
        <is>
          <t>IH GLP 15.0 €/t (Ley 38/1992 art. 50, epígrafe 1.8) + IVA 21 % (Ley 37/1992 art. 90)</t>
        </is>
      </c>
      <c r="J23" t="inlineStr">
        <is>
          <t>2023-03-20</t>
        </is>
      </c>
      <c r="K23" t="inlineStr">
        <is>
          <t>BOE-A-2023-7139</t>
        </is>
      </c>
      <c r="L23" t="inlineStr">
        <is>
          <t>bombona 12,5 kg: 13.69 € antes de impuestos; 16.80 € con impuestos (calculado)</t>
        </is>
      </c>
    </row>
    <row r="24">
      <c r="A24" s="53" t="n">
        <v>45062</v>
      </c>
      <c r="B24" t="inlineStr">
        <is>
          <t>2023-05-16</t>
        </is>
      </c>
      <c r="C24" s="45" t="n">
        <v>104.0808</v>
      </c>
      <c r="D24" t="inlineStr">
        <is>
          <t>c€/kg (antes de impuestos)</t>
        </is>
      </c>
      <c r="E24" s="54" t="n">
        <v>0.08176</v>
      </c>
      <c r="F24" s="54" t="n">
        <v>0.100356</v>
      </c>
      <c r="G24" t="inlineStr">
        <is>
          <t>calculado</t>
        </is>
      </c>
      <c r="H24" t="inlineStr">
        <is>
          <t>IH GLP 15.0 €/t (Ley 38/1992 art. 50, epígrafe 1.8) + IVA 21 % (Ley 37/1992 art. 90)</t>
        </is>
      </c>
      <c r="J24" t="inlineStr">
        <is>
          <t>2023-05-15</t>
        </is>
      </c>
      <c r="K24" t="inlineStr">
        <is>
          <t>BOE-A-2023-11401</t>
        </is>
      </c>
      <c r="L24" t="inlineStr">
        <is>
          <t>bombona 12,5 kg: 13.01 € antes de impuestos; 15.97 € con impuestos (calculado)</t>
        </is>
      </c>
    </row>
    <row r="25">
      <c r="A25" s="53" t="n">
        <v>45125</v>
      </c>
      <c r="B25" t="inlineStr">
        <is>
          <t>2023-07-18</t>
        </is>
      </c>
      <c r="C25" s="45" t="n">
        <v>98.8768</v>
      </c>
      <c r="D25" t="inlineStr">
        <is>
          <t>c€/kg (antes de impuestos)</t>
        </is>
      </c>
      <c r="E25" s="54" t="n">
        <v>0.077672</v>
      </c>
      <c r="F25" s="54" t="n">
        <v>0.09540899999999999</v>
      </c>
      <c r="G25" t="inlineStr">
        <is>
          <t>calculado</t>
        </is>
      </c>
      <c r="H25" t="inlineStr">
        <is>
          <t>IH GLP 15.0 €/t (Ley 38/1992 art. 50, epígrafe 1.8) + IVA 21 % (Ley 37/1992 art. 90)</t>
        </is>
      </c>
      <c r="J25" t="inlineStr">
        <is>
          <t>2023-07-17</t>
        </is>
      </c>
      <c r="K25" t="inlineStr">
        <is>
          <t>BOE-A-2023-16464</t>
        </is>
      </c>
      <c r="L25" t="inlineStr">
        <is>
          <t>bombona 12,5 kg: 12.36 € antes de impuestos; 15.18 € con impuestos (calculado)</t>
        </is>
      </c>
    </row>
    <row r="26">
      <c r="A26" s="53" t="n">
        <v>45188</v>
      </c>
      <c r="B26" t="inlineStr">
        <is>
          <t>2023-09-19</t>
        </is>
      </c>
      <c r="C26" s="45" t="n">
        <v>93.93300000000001</v>
      </c>
      <c r="D26" t="inlineStr">
        <is>
          <t>c€/kg (antes de impuestos)</t>
        </is>
      </c>
      <c r="E26" s="54" t="n">
        <v>0.07378899999999999</v>
      </c>
      <c r="F26" s="54" t="n">
        <v>0.09071</v>
      </c>
      <c r="G26" t="inlineStr">
        <is>
          <t>calculado</t>
        </is>
      </c>
      <c r="H26" t="inlineStr">
        <is>
          <t>IH GLP 15.0 €/t (Ley 38/1992 art. 50, epígrafe 1.8) + IVA 21 % (Ley 37/1992 art. 90)</t>
        </is>
      </c>
      <c r="J26" t="inlineStr">
        <is>
          <t>2023-09-18</t>
        </is>
      </c>
      <c r="K26" t="inlineStr">
        <is>
          <t>BOE-A-2023-19541</t>
        </is>
      </c>
      <c r="L26" t="inlineStr">
        <is>
          <t>bombona 12,5 kg: 11.74 € antes de impuestos; 14.43 € con impuestos (calculado)</t>
        </is>
      </c>
    </row>
    <row r="27">
      <c r="A27" s="53" t="n">
        <v>45251</v>
      </c>
      <c r="B27" t="inlineStr">
        <is>
          <t>2023-11-21</t>
        </is>
      </c>
      <c r="C27" s="45" t="n">
        <v>98.6297</v>
      </c>
      <c r="D27" t="inlineStr">
        <is>
          <t>c€/kg (antes de impuestos)</t>
        </is>
      </c>
      <c r="E27" s="54" t="n">
        <v>0.07747800000000001</v>
      </c>
      <c r="F27" s="54" t="n">
        <v>0.09517399999999999</v>
      </c>
      <c r="G27" t="inlineStr">
        <is>
          <t>calculado</t>
        </is>
      </c>
      <c r="H27" t="inlineStr">
        <is>
          <t>IH GLP 15.0 €/t (Ley 38/1992 art. 50, epígrafe 1.8) + IVA 21 % (Ley 37/1992 art. 90)</t>
        </is>
      </c>
      <c r="J27" t="inlineStr">
        <is>
          <t>2023-11-18</t>
        </is>
      </c>
      <c r="K27" t="inlineStr">
        <is>
          <t>BOE-A-2023-23344</t>
        </is>
      </c>
      <c r="L27" t="inlineStr">
        <is>
          <t>bombona 12,5 kg: 12.33 € antes de impuestos; 15.14 € con impuestos (calculado)</t>
        </is>
      </c>
    </row>
    <row r="28">
      <c r="A28" s="53" t="n">
        <v>45307</v>
      </c>
      <c r="B28" t="inlineStr">
        <is>
          <t>2024-01-16</t>
        </is>
      </c>
      <c r="C28" s="45" t="n">
        <v>103.5612</v>
      </c>
      <c r="D28" t="inlineStr">
        <is>
          <t>c€/kg (antes de impuestos)</t>
        </is>
      </c>
      <c r="E28" s="54" t="n">
        <v>0.08135199999999999</v>
      </c>
      <c r="F28" s="54" t="n">
        <v>0.09986200000000001</v>
      </c>
      <c r="G28" t="inlineStr">
        <is>
          <t>calculado</t>
        </is>
      </c>
      <c r="H28" t="inlineStr">
        <is>
          <t>IH GLP 15.0 €/t (Ley 38/1992 art. 50, epígrafe 1.8) + IVA 21 % (Ley 37/1992 art. 90)</t>
        </is>
      </c>
      <c r="J28" t="inlineStr">
        <is>
          <t>2024-01-15</t>
        </is>
      </c>
      <c r="K28" t="inlineStr">
        <is>
          <t>BOE-A-2024-715</t>
        </is>
      </c>
      <c r="L28" t="inlineStr">
        <is>
          <t>bombona 12,5 kg: 12.95 € antes de impuestos; 15.89 € con impuestos (calculado)</t>
        </is>
      </c>
    </row>
    <row r="29">
      <c r="A29" s="53" t="n">
        <v>45370</v>
      </c>
      <c r="B29" t="inlineStr">
        <is>
          <t>2024-03-19</t>
        </is>
      </c>
      <c r="C29" s="45" t="n">
        <v>108.7393</v>
      </c>
      <c r="D29" t="inlineStr">
        <is>
          <t>c€/kg (antes de impuestos)</t>
        </is>
      </c>
      <c r="E29" s="54" t="n">
        <v>0.08542</v>
      </c>
      <c r="F29" s="54" t="n">
        <v>0.104784</v>
      </c>
      <c r="G29" t="inlineStr">
        <is>
          <t>calculado</t>
        </is>
      </c>
      <c r="H29" t="inlineStr">
        <is>
          <t>IH GLP 15.0 €/t (Ley 38/1992 art. 50, epígrafe 1.8) + IVA 21 % (Ley 37/1992 art. 90)</t>
        </is>
      </c>
      <c r="J29" t="inlineStr">
        <is>
          <t>2024-03-18</t>
        </is>
      </c>
      <c r="K29" t="inlineStr">
        <is>
          <t>BOE-A-2024-5273</t>
        </is>
      </c>
      <c r="L29" t="inlineStr">
        <is>
          <t>bombona 12,5 kg: 13.59 € antes de impuestos; 16.67 € con impuestos (calculado)</t>
        </is>
      </c>
    </row>
    <row r="30">
      <c r="A30" s="53" t="n">
        <v>45433</v>
      </c>
      <c r="B30" t="inlineStr">
        <is>
          <t>2024-05-21</t>
        </is>
      </c>
      <c r="C30" s="45" t="n">
        <v>105.2417</v>
      </c>
      <c r="D30" t="inlineStr">
        <is>
          <t>c€/kg (antes de impuestos)</t>
        </is>
      </c>
      <c r="E30" s="54" t="n">
        <v>0.082672</v>
      </c>
      <c r="F30" s="54" t="n">
        <v>0.101459</v>
      </c>
      <c r="G30" t="inlineStr">
        <is>
          <t>calculado</t>
        </is>
      </c>
      <c r="H30" t="inlineStr">
        <is>
          <t>IH GLP 15.0 €/t (Ley 38/1992 art. 50, epígrafe 1.8) + IVA 21 % (Ley 37/1992 art. 90)</t>
        </is>
      </c>
      <c r="J30" t="inlineStr">
        <is>
          <t>2024-05-20</t>
        </is>
      </c>
      <c r="K30" t="inlineStr">
        <is>
          <t>BOE-A-2024-10075</t>
        </is>
      </c>
      <c r="L30" t="inlineStr">
        <is>
          <t>bombona 12,5 kg: 13.16 € antes de impuestos; 16.14 € con impuestos (calculado)</t>
        </is>
      </c>
    </row>
    <row r="31">
      <c r="A31" s="53" t="n">
        <v>45489</v>
      </c>
      <c r="B31" t="inlineStr">
        <is>
          <t>2024-07-16</t>
        </is>
      </c>
      <c r="C31" s="45" t="n">
        <v>99.9796</v>
      </c>
      <c r="D31" t="inlineStr">
        <is>
          <t>c€/kg (antes de impuestos)</t>
        </is>
      </c>
      <c r="E31" s="54" t="n">
        <v>0.078539</v>
      </c>
      <c r="F31" s="54" t="n">
        <v>0.096457</v>
      </c>
      <c r="G31" t="inlineStr">
        <is>
          <t>calculado</t>
        </is>
      </c>
      <c r="H31" t="inlineStr">
        <is>
          <t>IH GLP 15.0 €/t (Ley 38/1992 art. 50, epígrafe 1.8) + IVA 21 % (Ley 37/1992 art. 90)</t>
        </is>
      </c>
      <c r="J31" t="inlineStr">
        <is>
          <t>2024-07-15</t>
        </is>
      </c>
      <c r="K31" t="inlineStr">
        <is>
          <t>BOE-A-2024-14391</t>
        </is>
      </c>
      <c r="L31" t="inlineStr">
        <is>
          <t>bombona 12,5 kg: 12.50 € antes de impuestos; 15.35 € con impuestos (calculado)</t>
        </is>
      </c>
    </row>
    <row r="32">
      <c r="A32" s="53" t="n">
        <v>45552</v>
      </c>
      <c r="B32" t="inlineStr">
        <is>
          <t>2024-09-17</t>
        </is>
      </c>
      <c r="C32" s="45" t="n">
        <v>103.8418</v>
      </c>
      <c r="D32" t="inlineStr">
        <is>
          <t>c€/kg (antes de impuestos)</t>
        </is>
      </c>
      <c r="E32" s="54" t="n">
        <v>0.08157300000000001</v>
      </c>
      <c r="F32" s="54" t="n">
        <v>0.100128</v>
      </c>
      <c r="G32" t="inlineStr">
        <is>
          <t>calculado</t>
        </is>
      </c>
      <c r="H32" t="inlineStr">
        <is>
          <t>IH GLP 15.0 €/t (Ley 38/1992 art. 50, epígrafe 1.8) + IVA 21 % (Ley 37/1992 art. 90)</t>
        </is>
      </c>
      <c r="J32" t="inlineStr">
        <is>
          <t>2024-09-16</t>
        </is>
      </c>
      <c r="K32" t="inlineStr">
        <is>
          <t>BOE-A-2024-18471</t>
        </is>
      </c>
      <c r="L32" t="inlineStr">
        <is>
          <t>bombona 12,5 kg: 12.98 € antes de impuestos; 15.93 € con impuestos (calculado)</t>
        </is>
      </c>
    </row>
    <row r="33">
      <c r="A33" s="53" t="n">
        <v>45615</v>
      </c>
      <c r="B33" t="inlineStr">
        <is>
          <t>2024-11-19</t>
        </is>
      </c>
      <c r="C33" s="45" t="n">
        <v>108.3428</v>
      </c>
      <c r="D33" t="inlineStr">
        <is>
          <t>c€/kg (antes de impuestos)</t>
        </is>
      </c>
      <c r="E33" s="54" t="n">
        <v>0.085108</v>
      </c>
      <c r="F33" s="54" t="n">
        <v>0.104407</v>
      </c>
      <c r="G33" t="inlineStr">
        <is>
          <t>calculado</t>
        </is>
      </c>
      <c r="H33" t="inlineStr">
        <is>
          <t>IH GLP 15.0 €/t (Ley 38/1992 art. 50, epígrafe 1.8) + IVA 21 % (Ley 37/1992 art. 90)</t>
        </is>
      </c>
      <c r="J33" t="inlineStr">
        <is>
          <t>2024-11-18</t>
        </is>
      </c>
      <c r="K33" t="inlineStr">
        <is>
          <t>BOE-A-2024-23950</t>
        </is>
      </c>
      <c r="L33" t="inlineStr">
        <is>
          <t>bombona 12,5 kg: 13.54 € antes de impuestos; 16.61 € con impuestos (calculado)</t>
        </is>
      </c>
    </row>
    <row r="34">
      <c r="A34" s="53" t="n">
        <v>45678</v>
      </c>
      <c r="B34" t="inlineStr">
        <is>
          <t>2025-01-21</t>
        </is>
      </c>
      <c r="C34" s="45" t="n">
        <v>108.5778</v>
      </c>
      <c r="D34" t="inlineStr">
        <is>
          <t>c€/kg (antes de impuestos)</t>
        </is>
      </c>
      <c r="E34" s="54" t="n">
        <v>0.08529299999999999</v>
      </c>
      <c r="F34" s="54" t="n">
        <v>0.10463</v>
      </c>
      <c r="G34" t="inlineStr">
        <is>
          <t>calculado</t>
        </is>
      </c>
      <c r="H34" t="inlineStr">
        <is>
          <t>IH GLP 15.0 €/t (Ley 38/1992 art. 50, epígrafe 1.8) + IVA 21 % (Ley 37/1992 art. 90)</t>
        </is>
      </c>
      <c r="J34" t="inlineStr">
        <is>
          <t>2025-01-20</t>
        </is>
      </c>
      <c r="K34" t="inlineStr">
        <is>
          <t>BOE-A-2025-879</t>
        </is>
      </c>
      <c r="L34" t="inlineStr">
        <is>
          <t>bombona 12,5 kg: 13.57 € antes de impuestos; 16.65 € con impuestos (calculado)</t>
        </is>
      </c>
    </row>
    <row r="35">
      <c r="A35" s="53" t="n">
        <v>45734</v>
      </c>
      <c r="B35" t="inlineStr">
        <is>
          <t>2025-03-18</t>
        </is>
      </c>
      <c r="C35" s="45" t="n">
        <v>115.3287</v>
      </c>
      <c r="D35" t="inlineStr">
        <is>
          <t>c€/kg (antes de impuestos)</t>
        </is>
      </c>
      <c r="E35" s="54" t="n">
        <v>0.090596</v>
      </c>
      <c r="F35" s="54" t="n">
        <v>0.111047</v>
      </c>
      <c r="G35" t="inlineStr">
        <is>
          <t>calculado</t>
        </is>
      </c>
      <c r="H35" t="inlineStr">
        <is>
          <t>IH GLP 15.0 €/t (Ley 38/1992 art. 50, epígrafe 1.8) + IVA 21 % (Ley 37/1992 art. 90)</t>
        </is>
      </c>
      <c r="J35" t="inlineStr">
        <is>
          <t>2025-03-17</t>
        </is>
      </c>
      <c r="K35" t="inlineStr">
        <is>
          <t>BOE-A-2025-5189</t>
        </is>
      </c>
      <c r="L35" t="inlineStr">
        <is>
          <t>bombona 12,5 kg: 14.42 € antes de impuestos; 17.67 € con impuestos (calculado)</t>
        </is>
      </c>
    </row>
    <row r="36">
      <c r="A36" s="53" t="n">
        <v>45797</v>
      </c>
      <c r="B36" t="inlineStr">
        <is>
          <t>2025-05-20</t>
        </is>
      </c>
      <c r="C36" s="45" t="n">
        <v>117.5357</v>
      </c>
      <c r="D36" t="inlineStr">
        <is>
          <t>c€/kg (antes de impuestos)</t>
        </is>
      </c>
      <c r="E36" s="54" t="n">
        <v>0.09233</v>
      </c>
      <c r="F36" s="54" t="n">
        <v>0.113145</v>
      </c>
      <c r="G36" t="inlineStr">
        <is>
          <t>calculado</t>
        </is>
      </c>
      <c r="H36" t="inlineStr">
        <is>
          <t>IH GLP 15.0 €/t (Ley 38/1992 art. 50, epígrafe 1.8) + IVA 21 % (Ley 37/1992 art. 90)</t>
        </is>
      </c>
      <c r="J36" t="inlineStr">
        <is>
          <t>2025-05-19</t>
        </is>
      </c>
      <c r="K36" t="inlineStr">
        <is>
          <t>BOE-A-2025-9811</t>
        </is>
      </c>
      <c r="L36" t="inlineStr">
        <is>
          <t>bombona 12,5 kg: 14.69 € antes de impuestos; 18.00 € con impuestos (calculado)</t>
        </is>
      </c>
    </row>
    <row r="37">
      <c r="A37" s="53" t="n">
        <v>45853</v>
      </c>
      <c r="B37" t="inlineStr">
        <is>
          <t>2025-07-15</t>
        </is>
      </c>
      <c r="C37" s="45" t="n">
        <v>111.6589</v>
      </c>
      <c r="D37" t="inlineStr">
        <is>
          <t>c€/kg (antes de impuestos)</t>
        </is>
      </c>
      <c r="E37" s="54" t="n">
        <v>0.087713</v>
      </c>
      <c r="F37" s="54" t="n">
        <v>0.107559</v>
      </c>
      <c r="G37" t="inlineStr">
        <is>
          <t>calculado</t>
        </is>
      </c>
      <c r="H37" t="inlineStr">
        <is>
          <t>IH GLP 15.0 €/t (Ley 38/1992 art. 50, epígrafe 1.8) + IVA 21 % (Ley 37/1992 art. 90)</t>
        </is>
      </c>
      <c r="J37" t="inlineStr">
        <is>
          <t>2025-07-14</t>
        </is>
      </c>
      <c r="K37" t="inlineStr">
        <is>
          <t>BOE-A-2025-14457</t>
        </is>
      </c>
      <c r="L37" t="inlineStr">
        <is>
          <t>bombona 12,5 kg: 13.96 € antes de impuestos; 17.12 € con impuestos (calculado)</t>
        </is>
      </c>
    </row>
    <row r="38">
      <c r="A38" s="53" t="n">
        <v>45916</v>
      </c>
      <c r="B38" t="inlineStr">
        <is>
          <t>2025-09-16</t>
        </is>
      </c>
      <c r="C38" s="45" t="n">
        <v>106.076</v>
      </c>
      <c r="D38" t="inlineStr">
        <is>
          <t>c€/kg (antes de impuestos)</t>
        </is>
      </c>
      <c r="E38" s="54" t="n">
        <v>0.083328</v>
      </c>
      <c r="F38" s="54" t="n">
        <v>0.102252</v>
      </c>
      <c r="G38" t="inlineStr">
        <is>
          <t>calculado</t>
        </is>
      </c>
      <c r="H38" t="inlineStr">
        <is>
          <t>IH GLP 15.0 €/t (Ley 38/1992 art. 50, epígrafe 1.8) + IVA 21 % (Ley 37/1992 art. 90)</t>
        </is>
      </c>
      <c r="J38" t="inlineStr">
        <is>
          <t>2025-09-15</t>
        </is>
      </c>
      <c r="K38" t="inlineStr">
        <is>
          <t>BOE-A-2025-18189</t>
        </is>
      </c>
      <c r="L38" t="inlineStr">
        <is>
          <t>bombona 12,5 kg: 13.26 € antes de impuestos; 16.27 € con impuestos (calculado)</t>
        </is>
      </c>
    </row>
    <row r="39">
      <c r="A39" s="53" t="n">
        <v>45979</v>
      </c>
      <c r="B39" t="inlineStr">
        <is>
          <t>2025-11-18</t>
        </is>
      </c>
      <c r="C39" s="45" t="n">
        <v>100.7722</v>
      </c>
      <c r="D39" t="inlineStr">
        <is>
          <t>c€/kg (antes de impuestos)</t>
        </is>
      </c>
      <c r="E39" s="54" t="n">
        <v>0.079161</v>
      </c>
      <c r="F39" s="54" t="n">
        <v>0.09721100000000001</v>
      </c>
      <c r="G39" t="inlineStr">
        <is>
          <t>calculado</t>
        </is>
      </c>
      <c r="H39" t="inlineStr">
        <is>
          <t>IH GLP 15.0 €/t (Ley 38/1992 art. 50, epígrafe 1.8) + IVA 21 % (Ley 37/1992 art. 90)</t>
        </is>
      </c>
      <c r="J39" t="inlineStr">
        <is>
          <t>2025-11-17</t>
        </is>
      </c>
      <c r="K39" t="inlineStr">
        <is>
          <t>BOE-A-2025-23213</t>
        </is>
      </c>
      <c r="L39" t="inlineStr">
        <is>
          <t>bombona 12,5 kg: 12.60 € antes de impuestos; 15.47 € con impuestos (calculado)</t>
        </is>
      </c>
    </row>
    <row r="40">
      <c r="A40" s="53" t="n">
        <v>46042</v>
      </c>
      <c r="B40" t="inlineStr">
        <is>
          <t>2026-01-20</t>
        </is>
      </c>
      <c r="C40" s="45" t="n">
        <v>101.5583</v>
      </c>
      <c r="D40" t="inlineStr">
        <is>
          <t>c€/kg (antes de impuestos)</t>
        </is>
      </c>
      <c r="E40" s="54" t="n">
        <v>0.079779</v>
      </c>
      <c r="F40" s="54" t="n">
        <v>0.097958</v>
      </c>
      <c r="G40" t="inlineStr">
        <is>
          <t>calculado</t>
        </is>
      </c>
      <c r="H40" t="inlineStr">
        <is>
          <t>IH GLP 15.0 €/t (Ley 38/1992 art. 50, epígrafe 1.8) + IVA 21 % (Ley 37/1992 art. 90)</t>
        </is>
      </c>
      <c r="J40" t="inlineStr">
        <is>
          <t>2026-01-19</t>
        </is>
      </c>
      <c r="K40" t="inlineStr">
        <is>
          <t>BOE-A-2026-1077</t>
        </is>
      </c>
      <c r="L40" t="inlineStr">
        <is>
          <t>bombona 12,5 kg: 12.69 € antes de impuestos; 15.59 € con impuestos (calculado)</t>
        </is>
      </c>
    </row>
    <row r="41">
      <c r="A41" s="53" t="n">
        <v>46098</v>
      </c>
      <c r="B41" t="inlineStr">
        <is>
          <t>2026-03-17</t>
        </is>
      </c>
      <c r="C41" s="45" t="n">
        <v>106.6362</v>
      </c>
      <c r="D41" t="inlineStr">
        <is>
          <t>c€/kg (antes de impuestos)</t>
        </is>
      </c>
      <c r="E41" s="54" t="n">
        <v>0.083768</v>
      </c>
      <c r="F41" s="54" t="n">
        <v>0.102785</v>
      </c>
      <c r="G41" t="inlineStr">
        <is>
          <t>calculado</t>
        </is>
      </c>
      <c r="H41" t="inlineStr">
        <is>
          <t>IH GLP 15.0 €/t (Ley 38/1992 art. 50, epígrafe 1.8) + IVA 21 % (Ley 37/1992 art. 90)</t>
        </is>
      </c>
      <c r="J41" t="inlineStr">
        <is>
          <t>2026-03-16</t>
        </is>
      </c>
      <c r="K41" t="inlineStr">
        <is>
          <t>BOE-A-2026-6094</t>
        </is>
      </c>
      <c r="L41" t="inlineStr">
        <is>
          <t>bombona 12,5 kg: 13.33 € antes de impuestos; 16.36 € con impuestos (calculado)</t>
        </is>
      </c>
    </row>
    <row r="42">
      <c r="A42" s="53" t="n">
        <v>46161</v>
      </c>
      <c r="B42" t="inlineStr">
        <is>
          <t>2026-05-19</t>
        </is>
      </c>
      <c r="C42" s="45" t="n">
        <v>111.968</v>
      </c>
      <c r="D42" t="inlineStr">
        <is>
          <t>c€/kg (antes de impuestos)</t>
        </is>
      </c>
      <c r="E42" s="54" t="n">
        <v>0.08795600000000001</v>
      </c>
      <c r="F42" s="54" t="n">
        <v>0.096752</v>
      </c>
      <c r="G42" t="inlineStr">
        <is>
          <t>calculado</t>
        </is>
      </c>
      <c r="H42" t="inlineStr">
        <is>
          <t>IH GLP 0.0 €/t (RDL 7/2026 art. 38) + IVA 10 % (RDL 7/2026 art. 42.c (epígrafe 1.8))</t>
        </is>
      </c>
      <c r="J42" t="inlineStr">
        <is>
          <t>2026-05-18</t>
        </is>
      </c>
      <c r="K42" t="inlineStr">
        <is>
          <t>BOE-A-2026-10669</t>
        </is>
      </c>
      <c r="L42" t="inlineStr">
        <is>
          <t>bombona 12,5 kg: 14.00 € antes de impuestos; 15.40 € con impuestos (calculado)</t>
        </is>
      </c>
    </row>
    <row r="43">
      <c r="A43" s="53" t="n">
        <v>46224</v>
      </c>
      <c r="B43" t="inlineStr">
        <is>
          <t>2026-07-21</t>
        </is>
      </c>
      <c r="C43" s="45" t="n">
        <v>117.5664</v>
      </c>
      <c r="D43" t="inlineStr">
        <is>
          <t>c€/kg (antes de impuestos)</t>
        </is>
      </c>
      <c r="E43" s="54" t="n">
        <v>0.09235400000000001</v>
      </c>
      <c r="F43" s="54" t="n">
        <v>0.112105</v>
      </c>
      <c r="G43" t="inlineStr">
        <is>
          <t>calculado</t>
        </is>
      </c>
      <c r="H43" t="inlineStr">
        <is>
          <t>IH GLP 3.75 €/t (RDL 18/2026 art. 5) + IVA 21 % (Ley 37/1992 art. 90)</t>
        </is>
      </c>
      <c r="J43" t="inlineStr">
        <is>
          <t>2026-07-20</t>
        </is>
      </c>
      <c r="K43" t="inlineStr">
        <is>
          <t>BOE-A-2026-15740</t>
        </is>
      </c>
      <c r="L43" t="inlineStr">
        <is>
          <t>bombona 12,5 kg: 14.70 € antes de impuestos; 17.84 € con impuestos (calculado)</t>
        </is>
      </c>
    </row>
    <row r="44">
      <c r="A44" s="53" t="n">
        <v>46280</v>
      </c>
      <c r="B44" t="inlineStr">
        <is>
          <t>2026-09-15</t>
        </is>
      </c>
      <c r="C44" s="45" t="n">
        <v>123.4447</v>
      </c>
      <c r="D44" t="inlineStr">
        <is>
          <t>c€/kg (antes de impuestos)</t>
        </is>
      </c>
      <c r="E44" s="54" t="n">
        <v>0.096971</v>
      </c>
      <c r="F44" s="54" t="n">
        <v>0.118405</v>
      </c>
      <c r="G44" t="inlineStr">
        <is>
          <t>calculado</t>
        </is>
      </c>
      <c r="H44" t="inlineStr">
        <is>
          <t>IH GLP 11.25 €/t (RDL 18/2026 art. 7) + IVA 21 % (Ley 37/1992 art. 90)</t>
        </is>
      </c>
      <c r="J44" t="inlineStr">
        <is>
          <t>2026-09-14</t>
        </is>
      </c>
      <c r="K44" t="inlineStr">
        <is>
          <t>BOE-A-2026-19115</t>
        </is>
      </c>
      <c r="L44" t="inlineStr">
        <is>
          <t>bombona 12,5 kg: 15.43 € antes de impuestos; 18.84 € con impuestos (calculado)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16" customWidth="1" min="4" max="4"/>
    <col width="13" customWidth="1" min="5" max="5"/>
    <col width="13" customWidth="1" min="6" max="6"/>
    <col width="24" customWidth="1" min="7" max="7"/>
    <col width="55" customWidth="1" min="8" max="8"/>
    <col width="30" customWidth="1" min="9" max="9"/>
    <col width="15" customWidth="1" min="10" max="10"/>
    <col width="30" customWidth="1" min="11" max="11"/>
    <col width="55" customWidth="1" min="12" max="12"/>
  </cols>
  <sheetData>
    <row r="1">
      <c r="A1" s="25" t="inlineStr">
        <is>
          <t>8. Pellet: precio medio en España del saco de 15 kg</t>
        </is>
      </c>
    </row>
    <row r="2">
      <c r="A2" s="2" t="inlineStr">
        <is>
          <t>Fuente: AVEBIOM, Índice de Precios de Biomasa al Consumidor (pellet de madera). Unidad original: €/saco. Frecuencia: trimestral (medias anuales antes de 4T2024). Impuestos del dato original: con impuestos (IVA incluido según AVEBIOM). Conversión: €/saco ÷ 15 kg ÷ 4.8 kWh/kg (PCI; decisión 9). Se guarda también el c€/kWh de AVEBIOM (4,76 kWh/kg).</t>
        </is>
      </c>
    </row>
    <row r="4">
      <c r="A4" t="inlineStr">
        <is>
          <t>Fecha</t>
        </is>
      </c>
      <c r="B4" t="inlineStr">
        <is>
          <t>Periodo</t>
        </is>
      </c>
      <c r="C4" t="inlineStr">
        <is>
          <t>Valor original</t>
        </is>
      </c>
      <c r="D4" t="inlineStr">
        <is>
          <t>Unidad</t>
        </is>
      </c>
      <c r="E4" t="inlineStr">
        <is>
          <t>€/kWh sin impuestos</t>
        </is>
      </c>
      <c r="F4" t="inlineStr">
        <is>
          <t>€/kWh con impuestos</t>
        </is>
      </c>
      <c r="G4" t="inlineStr">
        <is>
          <t>Origen del precio con impuestos</t>
        </is>
      </c>
      <c r="H4" t="inlineStr">
        <is>
          <t>Impuestos aplicados</t>
        </is>
      </c>
      <c r="I4" t="inlineStr">
        <is>
          <t>Pendiente</t>
        </is>
      </c>
      <c r="J4" t="inlineStr">
        <is>
          <t>Fecha de publicación</t>
        </is>
      </c>
      <c r="K4" t="inlineStr">
        <is>
          <t>Referencia (fichero / BOE / PDF)</t>
        </is>
      </c>
      <c r="L4" t="inlineStr">
        <is>
          <t>Nota</t>
        </is>
      </c>
    </row>
    <row r="5">
      <c r="A5" s="53" t="n">
        <v>43831</v>
      </c>
      <c r="B5" t="inlineStr">
        <is>
          <t>2020</t>
        </is>
      </c>
      <c r="C5" s="45" t="n">
        <v>4.39</v>
      </c>
      <c r="D5" t="inlineStr">
        <is>
          <t>€/saco</t>
        </is>
      </c>
      <c r="E5" s="54" t="n"/>
      <c r="F5" s="54" t="n">
        <v>0.060972</v>
      </c>
      <c r="G5" t="inlineStr">
        <is>
          <t>original (IVA incluido según AVEBIOM)</t>
        </is>
      </c>
      <c r="H5" t="inlineStr">
        <is>
          <t>IVA incluido por la fuente (AVEBIOM indica el 21 % en el 3T2026; el tipo aplicado en trimestres con IVA reducido no está detallado)</t>
        </is>
      </c>
      <c r="J5" t="inlineStr">
        <is>
          <t>2026-10-20</t>
        </is>
      </c>
      <c r="K5" t="inlineStr">
        <is>
          <t>IPB-indice-precios-PELLET-3T2026.pdf</t>
        </is>
      </c>
      <c r="L5" t="inlineStr">
        <is>
          <t>media anual publicada por AVEBIOM (no hay dato trimestral descargable); c€/kWh según AVEBIOM (4,76 kWh/kg): 6.14</t>
        </is>
      </c>
    </row>
    <row r="6">
      <c r="A6" s="53" t="n">
        <v>44197</v>
      </c>
      <c r="B6" t="inlineStr">
        <is>
          <t>2021</t>
        </is>
      </c>
      <c r="C6" s="45" t="n">
        <v>4.34</v>
      </c>
      <c r="D6" t="inlineStr">
        <is>
          <t>€/saco</t>
        </is>
      </c>
      <c r="E6" s="54" t="n"/>
      <c r="F6" s="54" t="n">
        <v>0.060278</v>
      </c>
      <c r="G6" t="inlineStr">
        <is>
          <t>original (IVA incluido según AVEBIOM)</t>
        </is>
      </c>
      <c r="H6" t="inlineStr">
        <is>
          <t>IVA incluido por la fuente (AVEBIOM indica el 21 % en el 3T2026; el tipo aplicado en trimestres con IVA reducido no está detallado)</t>
        </is>
      </c>
      <c r="J6" t="inlineStr">
        <is>
          <t>2026-10-20</t>
        </is>
      </c>
      <c r="K6" t="inlineStr">
        <is>
          <t>IPB-indice-precios-PELLET-3T2026.pdf</t>
        </is>
      </c>
      <c r="L6" t="inlineStr">
        <is>
          <t>media anual publicada por AVEBIOM (no hay dato trimestral descargable); c€/kWh según AVEBIOM (4,76 kWh/kg): 6.07</t>
        </is>
      </c>
    </row>
    <row r="7">
      <c r="A7" s="53" t="n">
        <v>44562</v>
      </c>
      <c r="B7" t="inlineStr">
        <is>
          <t>2022</t>
        </is>
      </c>
      <c r="C7" s="45" t="n">
        <v>6.53</v>
      </c>
      <c r="D7" t="inlineStr">
        <is>
          <t>€/saco</t>
        </is>
      </c>
      <c r="E7" s="54" t="n"/>
      <c r="F7" s="54" t="n">
        <v>0.090694</v>
      </c>
      <c r="G7" t="inlineStr">
        <is>
          <t>original (IVA incluido según AVEBIOM)</t>
        </is>
      </c>
      <c r="H7" t="inlineStr">
        <is>
          <t>IVA incluido por la fuente (AVEBIOM indica el 21 % en el 3T2026; el tipo aplicado en trimestres con IVA reducido no está detallado)</t>
        </is>
      </c>
      <c r="J7" t="inlineStr">
        <is>
          <t>2026-10-20</t>
        </is>
      </c>
      <c r="K7" t="inlineStr">
        <is>
          <t>IPB-indice-precios-PELLET-3T2026.pdf</t>
        </is>
      </c>
      <c r="L7" t="inlineStr">
        <is>
          <t>media anual publicada por AVEBIOM (no hay dato trimestral descargable); c€/kWh según AVEBIOM (4,76 kWh/kg): 9.14</t>
        </is>
      </c>
    </row>
    <row r="8">
      <c r="A8" s="53" t="n">
        <v>44927</v>
      </c>
      <c r="B8" t="inlineStr">
        <is>
          <t>2023</t>
        </is>
      </c>
      <c r="C8" s="45" t="n">
        <v>6.21</v>
      </c>
      <c r="D8" t="inlineStr">
        <is>
          <t>€/saco</t>
        </is>
      </c>
      <c r="E8" s="54" t="n"/>
      <c r="F8" s="54" t="n">
        <v>0.08624999999999999</v>
      </c>
      <c r="G8" t="inlineStr">
        <is>
          <t>original (IVA incluido según AVEBIOM)</t>
        </is>
      </c>
      <c r="H8" t="inlineStr">
        <is>
          <t>IVA incluido por la fuente (AVEBIOM indica el 21 % en el 3T2026; el tipo aplicado en trimestres con IVA reducido no está detallado)</t>
        </is>
      </c>
      <c r="J8" t="inlineStr">
        <is>
          <t>2026-10-20</t>
        </is>
      </c>
      <c r="K8" t="inlineStr">
        <is>
          <t>IPB-indice-precios-PELLET-3T2026.pdf</t>
        </is>
      </c>
      <c r="L8" t="inlineStr">
        <is>
          <t>media anual publicada por AVEBIOM (no hay dato trimestral descargable); c€/kWh según AVEBIOM (4,76 kWh/kg): 8.68</t>
        </is>
      </c>
    </row>
    <row r="9">
      <c r="A9" s="53" t="n">
        <v>45292</v>
      </c>
      <c r="B9" t="inlineStr">
        <is>
          <t>2024</t>
        </is>
      </c>
      <c r="C9" s="45" t="n">
        <v>5.25</v>
      </c>
      <c r="D9" t="inlineStr">
        <is>
          <t>€/saco</t>
        </is>
      </c>
      <c r="E9" s="54" t="n"/>
      <c r="F9" s="54" t="n">
        <v>0.072917</v>
      </c>
      <c r="G9" t="inlineStr">
        <is>
          <t>original (IVA incluido según AVEBIOM)</t>
        </is>
      </c>
      <c r="H9" t="inlineStr">
        <is>
          <t>IVA incluido por la fuente (AVEBIOM indica el 21 % en el 3T2026; el tipo aplicado en trimestres con IVA reducido no está detallado)</t>
        </is>
      </c>
      <c r="J9" t="inlineStr">
        <is>
          <t>2026-10-20</t>
        </is>
      </c>
      <c r="K9" t="inlineStr">
        <is>
          <t>IPB-indice-precios-PELLET-3T2026.pdf</t>
        </is>
      </c>
      <c r="L9" t="inlineStr">
        <is>
          <t>media anual publicada por AVEBIOM (no hay dato trimestral descargable); c€/kWh según AVEBIOM (4,76 kWh/kg): 7.35</t>
        </is>
      </c>
    </row>
    <row r="10">
      <c r="A10" s="53" t="n">
        <v>45566</v>
      </c>
      <c r="B10" t="inlineStr">
        <is>
          <t>2024T4</t>
        </is>
      </c>
      <c r="C10" s="45" t="n">
        <v>5.17</v>
      </c>
      <c r="D10" t="inlineStr">
        <is>
          <t>€/saco</t>
        </is>
      </c>
      <c r="E10" s="54" t="n"/>
      <c r="F10" s="54" t="n">
        <v>0.07180599999999999</v>
      </c>
      <c r="G10" t="inlineStr">
        <is>
          <t>original (IVA incluido según AVEBIOM)</t>
        </is>
      </c>
      <c r="H10" t="inlineStr">
        <is>
          <t>IVA incluido por la fuente (AVEBIOM indica el 21 % en el 3T2026; el tipo aplicado en trimestres con IVA reducido no está detallado)</t>
        </is>
      </c>
      <c r="J10" t="inlineStr">
        <is>
          <t>2026-02-04</t>
        </is>
      </c>
      <c r="K10" t="inlineStr">
        <is>
          <t>IPB-indice-precios-PELLET-4T2025-1.pdf</t>
        </is>
      </c>
      <c r="L10" t="inlineStr">
        <is>
          <t>precio medio trimestral; c€/kWh según AVEBIOM (4,76 kWh/kg): 7.23</t>
        </is>
      </c>
    </row>
    <row r="11">
      <c r="A11" s="53" t="n">
        <v>45658</v>
      </c>
      <c r="B11" t="inlineStr">
        <is>
          <t>2025T1</t>
        </is>
      </c>
      <c r="C11" s="45" t="n">
        <v>5.04</v>
      </c>
      <c r="D11" t="inlineStr">
        <is>
          <t>€/saco</t>
        </is>
      </c>
      <c r="E11" s="54" t="n"/>
      <c r="F11" s="54" t="n">
        <v>0.07000000000000001</v>
      </c>
      <c r="G11" t="inlineStr">
        <is>
          <t>original (IVA incluido según AVEBIOM)</t>
        </is>
      </c>
      <c r="H11" t="inlineStr">
        <is>
          <t>IVA incluido por la fuente (AVEBIOM indica el 21 % en el 3T2026; el tipo aplicado en trimestres con IVA reducido no está detallado)</t>
        </is>
      </c>
      <c r="J11" t="inlineStr">
        <is>
          <t>2026-05-04</t>
        </is>
      </c>
      <c r="K11" t="inlineStr">
        <is>
          <t>IPB-indice-precios-PELLET-1T2026.pdf</t>
        </is>
      </c>
      <c r="L11" t="inlineStr">
        <is>
          <t>precio medio trimestral; c€/kWh según AVEBIOM (4,76 kWh/kg): 7.05</t>
        </is>
      </c>
    </row>
    <row r="12">
      <c r="A12" s="53" t="n">
        <v>45748</v>
      </c>
      <c r="B12" t="inlineStr">
        <is>
          <t>2025T2</t>
        </is>
      </c>
      <c r="C12" s="45" t="n">
        <v>5.14</v>
      </c>
      <c r="D12" t="inlineStr">
        <is>
          <t>€/saco</t>
        </is>
      </c>
      <c r="E12" s="54" t="n"/>
      <c r="F12" s="54" t="n">
        <v>0.07138899999999999</v>
      </c>
      <c r="G12" t="inlineStr">
        <is>
          <t>original (IVA incluido según AVEBIOM)</t>
        </is>
      </c>
      <c r="H12" t="inlineStr">
        <is>
          <t>IVA incluido por la fuente (AVEBIOM indica el 21 % en el 3T2026; el tipo aplicado en trimestres con IVA reducido no está detallado)</t>
        </is>
      </c>
      <c r="J12" t="inlineStr">
        <is>
          <t>2026-07-31</t>
        </is>
      </c>
      <c r="K12" t="inlineStr">
        <is>
          <t>IPB-indice-precios-PELLET-2T2026.pdf</t>
        </is>
      </c>
      <c r="L12" t="inlineStr">
        <is>
          <t>precio medio trimestral; c€/kWh según AVEBIOM (4,76 kWh/kg): 7.19</t>
        </is>
      </c>
    </row>
    <row r="13">
      <c r="A13" s="53" t="n">
        <v>45839</v>
      </c>
      <c r="B13" t="inlineStr">
        <is>
          <t>2025T3</t>
        </is>
      </c>
      <c r="C13" s="45" t="n">
        <v>5.12</v>
      </c>
      <c r="D13" t="inlineStr">
        <is>
          <t>€/saco</t>
        </is>
      </c>
      <c r="E13" s="54" t="n"/>
      <c r="F13" s="54" t="n">
        <v>0.07111099999999999</v>
      </c>
      <c r="G13" t="inlineStr">
        <is>
          <t>original (IVA incluido según AVEBIOM)</t>
        </is>
      </c>
      <c r="H13" t="inlineStr">
        <is>
          <t>IVA incluido por la fuente (AVEBIOM indica el 21 % en el 3T2026; el tipo aplicado en trimestres con IVA reducido no está detallado)</t>
        </is>
      </c>
      <c r="J13" t="inlineStr">
        <is>
          <t>2026-10-20</t>
        </is>
      </c>
      <c r="K13" t="inlineStr">
        <is>
          <t>IPB-indice-precios-PELLET-3T2026.pdf</t>
        </is>
      </c>
      <c r="L13" t="inlineStr">
        <is>
          <t>precio medio trimestral; c€/kWh según AVEBIOM (4,76 kWh/kg): 7.17</t>
        </is>
      </c>
    </row>
    <row r="14">
      <c r="A14" s="53" t="n">
        <v>45931</v>
      </c>
      <c r="B14" t="inlineStr">
        <is>
          <t>2025T4</t>
        </is>
      </c>
      <c r="C14" s="45" t="n">
        <v>5.31</v>
      </c>
      <c r="D14" t="inlineStr">
        <is>
          <t>€/saco</t>
        </is>
      </c>
      <c r="E14" s="54" t="n"/>
      <c r="F14" s="54" t="n">
        <v>0.07375</v>
      </c>
      <c r="G14" t="inlineStr">
        <is>
          <t>original (IVA incluido según AVEBIOM)</t>
        </is>
      </c>
      <c r="H14" t="inlineStr">
        <is>
          <t>IVA incluido por la fuente (AVEBIOM indica el 21 % en el 3T2026; el tipo aplicado en trimestres con IVA reducido no está detallado)</t>
        </is>
      </c>
      <c r="J14" t="inlineStr">
        <is>
          <t>2026-10-20</t>
        </is>
      </c>
      <c r="K14" t="inlineStr">
        <is>
          <t>IPB-indice-precios-PELLET-3T2026.pdf</t>
        </is>
      </c>
      <c r="L14" t="inlineStr">
        <is>
          <t>precio medio trimestral; c€/kWh según AVEBIOM (4,76 kWh/kg): 7.43</t>
        </is>
      </c>
    </row>
    <row r="15">
      <c r="A15" s="53" t="n">
        <v>46023</v>
      </c>
      <c r="B15" t="inlineStr">
        <is>
          <t>2026T1</t>
        </is>
      </c>
      <c r="C15" s="45" t="n">
        <v>5.29</v>
      </c>
      <c r="D15" t="inlineStr">
        <is>
          <t>€/saco</t>
        </is>
      </c>
      <c r="E15" s="54" t="n"/>
      <c r="F15" s="54" t="n">
        <v>0.073472</v>
      </c>
      <c r="G15" t="inlineStr">
        <is>
          <t>original (IVA incluido según AVEBIOM)</t>
        </is>
      </c>
      <c r="H15" t="inlineStr">
        <is>
          <t>IVA incluido por la fuente (AVEBIOM indica el 21 % en el 3T2026; el tipo aplicado en trimestres con IVA reducido no está detallado)</t>
        </is>
      </c>
      <c r="J15" t="inlineStr">
        <is>
          <t>2026-10-20</t>
        </is>
      </c>
      <c r="K15" t="inlineStr">
        <is>
          <t>IPB-indice-precios-PELLET-3T2026.pdf</t>
        </is>
      </c>
      <c r="L15" t="inlineStr">
        <is>
          <t>precio medio trimestral; c€/kWh según AVEBIOM (4,76 kWh/kg): 7.39</t>
        </is>
      </c>
    </row>
    <row r="16">
      <c r="A16" s="53" t="n">
        <v>46113</v>
      </c>
      <c r="B16" t="inlineStr">
        <is>
          <t>2026T2</t>
        </is>
      </c>
      <c r="C16" s="45" t="n">
        <v>5.67</v>
      </c>
      <c r="D16" t="inlineStr">
        <is>
          <t>€/saco</t>
        </is>
      </c>
      <c r="E16" s="54" t="n"/>
      <c r="F16" s="54" t="n">
        <v>0.07875</v>
      </c>
      <c r="G16" t="inlineStr">
        <is>
          <t>original (IVA incluido según AVEBIOM)</t>
        </is>
      </c>
      <c r="H16" t="inlineStr">
        <is>
          <t>IVA incluido por la fuente (AVEBIOM indica el 21 % en el 3T2026; el tipo aplicado en trimestres con IVA reducido no está detallado)</t>
        </is>
      </c>
      <c r="J16" t="inlineStr">
        <is>
          <t>2026-10-20</t>
        </is>
      </c>
      <c r="K16" t="inlineStr">
        <is>
          <t>IPB-indice-precios-PELLET-3T2026.pdf</t>
        </is>
      </c>
      <c r="L16" t="inlineStr">
        <is>
          <t>precio medio trimestral; c€/kWh según AVEBIOM (4,76 kWh/kg): 7.94</t>
        </is>
      </c>
    </row>
    <row r="17">
      <c r="A17" s="53" t="n">
        <v>46204</v>
      </c>
      <c r="B17" t="inlineStr">
        <is>
          <t>2026T3</t>
        </is>
      </c>
      <c r="C17" s="45" t="n">
        <v>5.92</v>
      </c>
      <c r="D17" t="inlineStr">
        <is>
          <t>€/saco</t>
        </is>
      </c>
      <c r="E17" s="54" t="n"/>
      <c r="F17" s="54" t="n">
        <v>0.082222</v>
      </c>
      <c r="G17" t="inlineStr">
        <is>
          <t>original (IVA incluido según AVEBIOM)</t>
        </is>
      </c>
      <c r="H17" t="inlineStr">
        <is>
          <t>IVA incluido por la fuente (AVEBIOM indica el 21 % en el 3T2026; el tipo aplicado en trimestres con IVA reducido no está detallado)</t>
        </is>
      </c>
      <c r="J17" t="inlineStr">
        <is>
          <t>2026-10-20</t>
        </is>
      </c>
      <c r="K17" t="inlineStr">
        <is>
          <t>IPB-indice-precios-PELLET-3T2026.pdf</t>
        </is>
      </c>
      <c r="L17" t="inlineStr">
        <is>
          <t>precio medio trimestral; c€/kWh según AVEBIOM (4,76 kWh/kg): 8.28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16" customWidth="1" min="4" max="4"/>
    <col width="13" customWidth="1" min="5" max="5"/>
    <col width="13" customWidth="1" min="6" max="6"/>
    <col width="24" customWidth="1" min="7" max="7"/>
    <col width="55" customWidth="1" min="8" max="8"/>
    <col width="30" customWidth="1" min="9" max="9"/>
    <col width="15" customWidth="1" min="10" max="10"/>
    <col width="30" customWidth="1" min="11" max="11"/>
    <col width="55" customWidth="1" min="12" max="12"/>
  </cols>
  <sheetData>
    <row r="1">
      <c r="A1" s="25" t="inlineStr">
        <is>
          <t>8. Pellet: precio medio en España a granel en volquete</t>
        </is>
      </c>
    </row>
    <row r="2">
      <c r="A2" s="2" t="inlineStr">
        <is>
          <t>Fuente: AVEBIOM, Índice de Precios de Biomasa al Consumidor (pellet de madera). Unidad original: €/t. Frecuencia: trimestral (medias anuales antes de 4T2024). Impuestos del dato original: con impuestos (IVA y transporte incluidos según AVEBIOM). Conversión: €/t ÷ 1.000 ÷ 4.8 kWh/kg (PCI; decisión 9). Se guarda también el c€/kWh de AVEBIOM.</t>
        </is>
      </c>
    </row>
    <row r="4">
      <c r="A4" t="inlineStr">
        <is>
          <t>Fecha</t>
        </is>
      </c>
      <c r="B4" t="inlineStr">
        <is>
          <t>Periodo</t>
        </is>
      </c>
      <c r="C4" t="inlineStr">
        <is>
          <t>Valor original</t>
        </is>
      </c>
      <c r="D4" t="inlineStr">
        <is>
          <t>Unidad</t>
        </is>
      </c>
      <c r="E4" t="inlineStr">
        <is>
          <t>€/kWh sin impuestos</t>
        </is>
      </c>
      <c r="F4" t="inlineStr">
        <is>
          <t>€/kWh con impuestos</t>
        </is>
      </c>
      <c r="G4" t="inlineStr">
        <is>
          <t>Origen del precio con impuestos</t>
        </is>
      </c>
      <c r="H4" t="inlineStr">
        <is>
          <t>Impuestos aplicados</t>
        </is>
      </c>
      <c r="I4" t="inlineStr">
        <is>
          <t>Pendiente</t>
        </is>
      </c>
      <c r="J4" t="inlineStr">
        <is>
          <t>Fecha de publicación</t>
        </is>
      </c>
      <c r="K4" t="inlineStr">
        <is>
          <t>Referencia (fichero / BOE / PDF)</t>
        </is>
      </c>
      <c r="L4" t="inlineStr">
        <is>
          <t>Nota</t>
        </is>
      </c>
    </row>
    <row r="5">
      <c r="A5" s="53" t="n">
        <v>43831</v>
      </c>
      <c r="B5" t="inlineStr">
        <is>
          <t>2020</t>
        </is>
      </c>
      <c r="C5" s="45" t="n">
        <v>240.27</v>
      </c>
      <c r="D5" t="inlineStr">
        <is>
          <t>€/t</t>
        </is>
      </c>
      <c r="E5" s="54" t="n"/>
      <c r="F5" s="54" t="n">
        <v>0.050056</v>
      </c>
      <c r="G5" t="inlineStr">
        <is>
          <t>original (IVA incluido según AVEBIOM)</t>
        </is>
      </c>
      <c r="H5" t="inlineStr">
        <is>
          <t>IVA incluido por la fuente (AVEBIOM indica el 21 % en el 3T2026; el tipo aplicado en trimestres con IVA reducido no está detallado)</t>
        </is>
      </c>
      <c r="J5" t="inlineStr">
        <is>
          <t>2026-10-20</t>
        </is>
      </c>
      <c r="K5" t="inlineStr">
        <is>
          <t>IPB-indice-precios-PELLET-3T2026.pdf</t>
        </is>
      </c>
      <c r="L5" t="inlineStr">
        <is>
          <t>media anual publicada por AVEBIOM (no hay dato trimestral descargable); c€/kWh según AVEBIOM (4,76 kWh/kg): 5.04</t>
        </is>
      </c>
    </row>
    <row r="6">
      <c r="A6" s="53" t="n">
        <v>44197</v>
      </c>
      <c r="B6" t="inlineStr">
        <is>
          <t>2021</t>
        </is>
      </c>
      <c r="C6" s="45" t="n">
        <v>246.43</v>
      </c>
      <c r="D6" t="inlineStr">
        <is>
          <t>€/t</t>
        </is>
      </c>
      <c r="E6" s="54" t="n"/>
      <c r="F6" s="54" t="n">
        <v>0.05134</v>
      </c>
      <c r="G6" t="inlineStr">
        <is>
          <t>original (IVA incluido según AVEBIOM)</t>
        </is>
      </c>
      <c r="H6" t="inlineStr">
        <is>
          <t>IVA incluido por la fuente (AVEBIOM indica el 21 % en el 3T2026; el tipo aplicado en trimestres con IVA reducido no está detallado)</t>
        </is>
      </c>
      <c r="J6" t="inlineStr">
        <is>
          <t>2026-10-20</t>
        </is>
      </c>
      <c r="K6" t="inlineStr">
        <is>
          <t>IPB-indice-precios-PELLET-3T2026.pdf</t>
        </is>
      </c>
      <c r="L6" t="inlineStr">
        <is>
          <t>media anual publicada por AVEBIOM (no hay dato trimestral descargable); c€/kWh según AVEBIOM (4,76 kWh/kg): 5.17</t>
        </is>
      </c>
    </row>
    <row r="7">
      <c r="A7" s="53" t="n">
        <v>44562</v>
      </c>
      <c r="B7" t="inlineStr">
        <is>
          <t>2022</t>
        </is>
      </c>
      <c r="C7" s="45" t="n">
        <v>407.88</v>
      </c>
      <c r="D7" t="inlineStr">
        <is>
          <t>€/t</t>
        </is>
      </c>
      <c r="E7" s="54" t="n"/>
      <c r="F7" s="54" t="n">
        <v>0.08497499999999999</v>
      </c>
      <c r="G7" t="inlineStr">
        <is>
          <t>original (IVA incluido según AVEBIOM)</t>
        </is>
      </c>
      <c r="H7" t="inlineStr">
        <is>
          <t>IVA incluido por la fuente (AVEBIOM indica el 21 % en el 3T2026; el tipo aplicado en trimestres con IVA reducido no está detallado)</t>
        </is>
      </c>
      <c r="J7" t="inlineStr">
        <is>
          <t>2026-10-20</t>
        </is>
      </c>
      <c r="K7" t="inlineStr">
        <is>
          <t>IPB-indice-precios-PELLET-3T2026.pdf</t>
        </is>
      </c>
      <c r="L7" t="inlineStr">
        <is>
          <t>media anual publicada por AVEBIOM (no hay dato trimestral descargable); c€/kWh según AVEBIOM (4,76 kWh/kg): 8.56</t>
        </is>
      </c>
    </row>
    <row r="8">
      <c r="A8" s="53" t="n">
        <v>44927</v>
      </c>
      <c r="B8" t="inlineStr">
        <is>
          <t>2023</t>
        </is>
      </c>
      <c r="C8" s="45" t="n">
        <v>361.35</v>
      </c>
      <c r="D8" t="inlineStr">
        <is>
          <t>€/t</t>
        </is>
      </c>
      <c r="E8" s="54" t="n"/>
      <c r="F8" s="54" t="n">
        <v>0.075281</v>
      </c>
      <c r="G8" t="inlineStr">
        <is>
          <t>original (IVA incluido según AVEBIOM)</t>
        </is>
      </c>
      <c r="H8" t="inlineStr">
        <is>
          <t>IVA incluido por la fuente (AVEBIOM indica el 21 % en el 3T2026; el tipo aplicado en trimestres con IVA reducido no está detallado)</t>
        </is>
      </c>
      <c r="J8" t="inlineStr">
        <is>
          <t>2026-10-20</t>
        </is>
      </c>
      <c r="K8" t="inlineStr">
        <is>
          <t>IPB-indice-precios-PELLET-3T2026.pdf</t>
        </is>
      </c>
      <c r="L8" t="inlineStr">
        <is>
          <t>media anual publicada por AVEBIOM (no hay dato trimestral descargable); c€/kWh según AVEBIOM (4,76 kWh/kg): 7.58</t>
        </is>
      </c>
    </row>
    <row r="9">
      <c r="A9" s="53" t="n">
        <v>45292</v>
      </c>
      <c r="B9" t="inlineStr">
        <is>
          <t>2024</t>
        </is>
      </c>
      <c r="C9" s="45" t="n">
        <v>324.73</v>
      </c>
      <c r="D9" t="inlineStr">
        <is>
          <t>€/t</t>
        </is>
      </c>
      <c r="E9" s="54" t="n"/>
      <c r="F9" s="54" t="n">
        <v>0.067652</v>
      </c>
      <c r="G9" t="inlineStr">
        <is>
          <t>original (IVA incluido según AVEBIOM)</t>
        </is>
      </c>
      <c r="H9" t="inlineStr">
        <is>
          <t>IVA incluido por la fuente (AVEBIOM indica el 21 % en el 3T2026; el tipo aplicado en trimestres con IVA reducido no está detallado)</t>
        </is>
      </c>
      <c r="J9" t="inlineStr">
        <is>
          <t>2026-10-20</t>
        </is>
      </c>
      <c r="K9" t="inlineStr">
        <is>
          <t>IPB-indice-precios-PELLET-3T2026.pdf</t>
        </is>
      </c>
      <c r="L9" t="inlineStr">
        <is>
          <t>media anual publicada por AVEBIOM (no hay dato trimestral descargable); c€/kWh según AVEBIOM (4,76 kWh/kg): 6.81</t>
        </is>
      </c>
    </row>
    <row r="10">
      <c r="A10" s="53" t="n">
        <v>45566</v>
      </c>
      <c r="B10" t="inlineStr">
        <is>
          <t>2024T4</t>
        </is>
      </c>
      <c r="C10" s="45" t="n">
        <v>316.99</v>
      </c>
      <c r="D10" t="inlineStr">
        <is>
          <t>€/t</t>
        </is>
      </c>
      <c r="E10" s="54" t="n"/>
      <c r="F10" s="54" t="n">
        <v>0.06604</v>
      </c>
      <c r="G10" t="inlineStr">
        <is>
          <t>original (IVA incluido según AVEBIOM)</t>
        </is>
      </c>
      <c r="H10" t="inlineStr">
        <is>
          <t>IVA incluido por la fuente (AVEBIOM indica el 21 % en el 3T2026; el tipo aplicado en trimestres con IVA reducido no está detallado)</t>
        </is>
      </c>
      <c r="J10" t="inlineStr">
        <is>
          <t>2026-02-04</t>
        </is>
      </c>
      <c r="K10" t="inlineStr">
        <is>
          <t>IPB-indice-precios-PELLET-4T2025-1.pdf</t>
        </is>
      </c>
      <c r="L10" t="inlineStr">
        <is>
          <t>precio medio trimestral; c€/kWh según AVEBIOM (4,76 kWh/kg): 6.65</t>
        </is>
      </c>
    </row>
    <row r="11">
      <c r="A11" s="53" t="n">
        <v>45658</v>
      </c>
      <c r="B11" t="inlineStr">
        <is>
          <t>2025T1</t>
        </is>
      </c>
      <c r="C11" s="45" t="n">
        <v>308.57</v>
      </c>
      <c r="D11" t="inlineStr">
        <is>
          <t>€/t</t>
        </is>
      </c>
      <c r="E11" s="54" t="n"/>
      <c r="F11" s="54" t="n">
        <v>0.06428499999999999</v>
      </c>
      <c r="G11" t="inlineStr">
        <is>
          <t>original (IVA incluido según AVEBIOM)</t>
        </is>
      </c>
      <c r="H11" t="inlineStr">
        <is>
          <t>IVA incluido por la fuente (AVEBIOM indica el 21 % en el 3T2026; el tipo aplicado en trimestres con IVA reducido no está detallado)</t>
        </is>
      </c>
      <c r="J11" t="inlineStr">
        <is>
          <t>2026-05-04</t>
        </is>
      </c>
      <c r="K11" t="inlineStr">
        <is>
          <t>IPB-indice-precios-PELLET-1T2026.pdf</t>
        </is>
      </c>
      <c r="L11" t="inlineStr">
        <is>
          <t>precio medio trimestral; c€/kWh según AVEBIOM (4,76 kWh/kg): 6.48</t>
        </is>
      </c>
    </row>
    <row r="12">
      <c r="A12" s="53" t="n">
        <v>45748</v>
      </c>
      <c r="B12" t="inlineStr">
        <is>
          <t>2025T2</t>
        </is>
      </c>
      <c r="C12" s="45" t="n">
        <v>309.5</v>
      </c>
      <c r="D12" t="inlineStr">
        <is>
          <t>€/t</t>
        </is>
      </c>
      <c r="E12" s="54" t="n"/>
      <c r="F12" s="54" t="n">
        <v>0.06447899999999999</v>
      </c>
      <c r="G12" t="inlineStr">
        <is>
          <t>original (IVA incluido según AVEBIOM)</t>
        </is>
      </c>
      <c r="H12" t="inlineStr">
        <is>
          <t>IVA incluido por la fuente (AVEBIOM indica el 21 % en el 3T2026; el tipo aplicado en trimestres con IVA reducido no está detallado)</t>
        </is>
      </c>
      <c r="J12" t="inlineStr">
        <is>
          <t>2026-07-31</t>
        </is>
      </c>
      <c r="K12" t="inlineStr">
        <is>
          <t>IPB-indice-precios-PELLET-2T2026.pdf</t>
        </is>
      </c>
      <c r="L12" t="inlineStr">
        <is>
          <t>precio medio trimestral; c€/kWh según AVEBIOM (4,76 kWh/kg): 6.5</t>
        </is>
      </c>
    </row>
    <row r="13">
      <c r="A13" s="53" t="n">
        <v>45839</v>
      </c>
      <c r="B13" t="inlineStr">
        <is>
          <t>2025T3</t>
        </is>
      </c>
      <c r="C13" s="45" t="n">
        <v>312.13</v>
      </c>
      <c r="D13" t="inlineStr">
        <is>
          <t>€/t</t>
        </is>
      </c>
      <c r="E13" s="54" t="n"/>
      <c r="F13" s="54" t="n">
        <v>0.065027</v>
      </c>
      <c r="G13" t="inlineStr">
        <is>
          <t>original (IVA incluido según AVEBIOM)</t>
        </is>
      </c>
      <c r="H13" t="inlineStr">
        <is>
          <t>IVA incluido por la fuente (AVEBIOM indica el 21 % en el 3T2026; el tipo aplicado en trimestres con IVA reducido no está detallado)</t>
        </is>
      </c>
      <c r="J13" t="inlineStr">
        <is>
          <t>2026-10-20</t>
        </is>
      </c>
      <c r="K13" t="inlineStr">
        <is>
          <t>IPB-indice-precios-PELLET-3T2026.pdf</t>
        </is>
      </c>
      <c r="L13" t="inlineStr">
        <is>
          <t>precio medio trimestral; c€/kWh según AVEBIOM (4,76 kWh/kg): 6.55</t>
        </is>
      </c>
    </row>
    <row r="14">
      <c r="A14" s="53" t="n">
        <v>45931</v>
      </c>
      <c r="B14" t="inlineStr">
        <is>
          <t>2025T4</t>
        </is>
      </c>
      <c r="C14" s="45" t="n">
        <v>327.38</v>
      </c>
      <c r="D14" t="inlineStr">
        <is>
          <t>€/t</t>
        </is>
      </c>
      <c r="E14" s="54" t="n"/>
      <c r="F14" s="54" t="n">
        <v>0.068204</v>
      </c>
      <c r="G14" t="inlineStr">
        <is>
          <t>original (IVA incluido según AVEBIOM)</t>
        </is>
      </c>
      <c r="H14" t="inlineStr">
        <is>
          <t>IVA incluido por la fuente (AVEBIOM indica el 21 % en el 3T2026; el tipo aplicado en trimestres con IVA reducido no está detallado)</t>
        </is>
      </c>
      <c r="J14" t="inlineStr">
        <is>
          <t>2026-10-20</t>
        </is>
      </c>
      <c r="K14" t="inlineStr">
        <is>
          <t>IPB-indice-precios-PELLET-3T2026.pdf</t>
        </is>
      </c>
      <c r="L14" t="inlineStr">
        <is>
          <t>precio medio trimestral; c€/kWh según AVEBIOM (4,76 kWh/kg): 6.87</t>
        </is>
      </c>
    </row>
    <row r="15">
      <c r="A15" s="53" t="n">
        <v>46023</v>
      </c>
      <c r="B15" t="inlineStr">
        <is>
          <t>2026T1</t>
        </is>
      </c>
      <c r="C15" s="45" t="n">
        <v>346.85</v>
      </c>
      <c r="D15" t="inlineStr">
        <is>
          <t>€/t</t>
        </is>
      </c>
      <c r="E15" s="54" t="n"/>
      <c r="F15" s="54" t="n">
        <v>0.07226</v>
      </c>
      <c r="G15" t="inlineStr">
        <is>
          <t>original (IVA incluido según AVEBIOM)</t>
        </is>
      </c>
      <c r="H15" t="inlineStr">
        <is>
          <t>IVA incluido por la fuente (AVEBIOM indica el 21 % en el 3T2026; el tipo aplicado en trimestres con IVA reducido no está detallado)</t>
        </is>
      </c>
      <c r="J15" t="inlineStr">
        <is>
          <t>2026-10-20</t>
        </is>
      </c>
      <c r="K15" t="inlineStr">
        <is>
          <t>IPB-indice-precios-PELLET-3T2026.pdf</t>
        </is>
      </c>
      <c r="L15" t="inlineStr">
        <is>
          <t>precio medio trimestral; c€/kWh según AVEBIOM (4,76 kWh/kg): 7.28</t>
        </is>
      </c>
    </row>
    <row r="16">
      <c r="A16" s="53" t="n">
        <v>46113</v>
      </c>
      <c r="B16" t="inlineStr">
        <is>
          <t>2026T2</t>
        </is>
      </c>
      <c r="C16" s="45" t="n">
        <v>352.28</v>
      </c>
      <c r="D16" t="inlineStr">
        <is>
          <t>€/t</t>
        </is>
      </c>
      <c r="E16" s="54" t="n"/>
      <c r="F16" s="54" t="n">
        <v>0.073392</v>
      </c>
      <c r="G16" t="inlineStr">
        <is>
          <t>original (IVA incluido según AVEBIOM)</t>
        </is>
      </c>
      <c r="H16" t="inlineStr">
        <is>
          <t>IVA incluido por la fuente (AVEBIOM indica el 21 % en el 3T2026; el tipo aplicado en trimestres con IVA reducido no está detallado)</t>
        </is>
      </c>
      <c r="J16" t="inlineStr">
        <is>
          <t>2026-10-20</t>
        </is>
      </c>
      <c r="K16" t="inlineStr">
        <is>
          <t>IPB-indice-precios-PELLET-3T2026.pdf</t>
        </is>
      </c>
      <c r="L16" t="inlineStr">
        <is>
          <t>precio medio trimestral; c€/kWh según AVEBIOM (4,76 kWh/kg): 7.39</t>
        </is>
      </c>
    </row>
    <row r="17">
      <c r="A17" s="53" t="n">
        <v>46204</v>
      </c>
      <c r="B17" t="inlineStr">
        <is>
          <t>2026T3</t>
        </is>
      </c>
      <c r="C17" s="45" t="n">
        <v>370.24</v>
      </c>
      <c r="D17" t="inlineStr">
        <is>
          <t>€/t</t>
        </is>
      </c>
      <c r="E17" s="54" t="n"/>
      <c r="F17" s="54" t="n">
        <v>0.07713299999999999</v>
      </c>
      <c r="G17" t="inlineStr">
        <is>
          <t>original (IVA incluido según AVEBIOM)</t>
        </is>
      </c>
      <c r="H17" t="inlineStr">
        <is>
          <t>IVA incluido por la fuente (AVEBIOM indica el 21 % en el 3T2026; el tipo aplicado en trimestres con IVA reducido no está detallado)</t>
        </is>
      </c>
      <c r="J17" t="inlineStr">
        <is>
          <t>2026-10-20</t>
        </is>
      </c>
      <c r="K17" t="inlineStr">
        <is>
          <t>IPB-indice-precios-PELLET-3T2026.pdf</t>
        </is>
      </c>
      <c r="L17" t="inlineStr">
        <is>
          <t>precio medio trimestral; c€/kWh según AVEBIOM (4,76 kWh/kg): 7.77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48" customWidth="1" min="3" max="3"/>
    <col width="48" customWidth="1" min="4" max="4"/>
    <col width="16" customWidth="1" min="5" max="5"/>
    <col width="38" customWidth="1" min="6" max="6"/>
    <col width="30" customWidth="1" min="7" max="7"/>
    <col width="58" customWidth="1" min="8" max="8"/>
    <col width="58" customWidth="1" min="9" max="9"/>
  </cols>
  <sheetData>
    <row r="1">
      <c r="A1" s="26" t="inlineStr">
        <is>
          <t>N.º</t>
        </is>
      </c>
      <c r="B1" s="26" t="inlineStr">
        <is>
          <t>Indicador</t>
        </is>
      </c>
      <c r="C1" s="26" t="inlineStr">
        <is>
          <t>Fuente</t>
        </is>
      </c>
      <c r="D1" s="26" t="inlineStr">
        <is>
          <t>Dirección</t>
        </is>
      </c>
      <c r="E1" s="26" t="inlineStr">
        <is>
          <t>Unidad original</t>
        </is>
      </c>
      <c r="F1" s="26" t="inlineStr">
        <is>
          <t>Frecuencia</t>
        </is>
      </c>
      <c r="G1" s="26" t="inlineStr">
        <is>
          <t>Impuestos del dato original</t>
        </is>
      </c>
      <c r="H1" s="26" t="inlineStr">
        <is>
          <t>Conversión a €/kWh</t>
        </is>
      </c>
      <c r="I1" s="26" t="inlineStr">
        <is>
          <t>Nota</t>
        </is>
      </c>
    </row>
    <row r="2">
      <c r="A2" s="55" t="n">
        <v>1</v>
      </c>
      <c r="B2" s="55" t="inlineStr">
        <is>
          <t>Electricidad: precio del mercado diario OMIE, España</t>
        </is>
      </c>
      <c r="C2" s="55" t="inlineStr">
        <is>
          <t>OMIE, ficheros marginalpdbc (precio marginal del mercado diario)</t>
        </is>
      </c>
      <c r="D2" s="55" t="inlineStr">
        <is>
          <t>https://www.omie.es/es/file-access-list?parents=/Mercado%20Diario/1.%20Precios&amp;dir=Precios%20horarios%20del%20mercado%20diario%20en%20Espa%C3%B1a&amp;realdir=marginalpdbc</t>
        </is>
      </c>
      <c r="E2" s="55" t="inlineStr">
        <is>
          <t>€/MWh</t>
        </is>
      </c>
      <c r="F2" s="55" t="inlineStr">
        <is>
          <t>diaria (media aritmética de los periodos horarios o cuarto-horarios del día)</t>
        </is>
      </c>
      <c r="G2" s="55" t="inlineStr">
        <is>
          <t>sin impuestos (precio mayorista)</t>
        </is>
      </c>
      <c r="H2" s="55" t="inlineStr">
        <is>
          <t>€/MWh ÷ 1.000 = €/kWh</t>
        </is>
      </c>
      <c r="I2" s="55" t="inlineStr">
        <is>
          <t>Precio mayorista: no se le aplican impuestos (decisión 1).</t>
        </is>
      </c>
    </row>
    <row r="3">
      <c r="A3" s="55" t="n">
        <v>2</v>
      </c>
      <c r="B3" s="55" t="inlineStr">
        <is>
          <t>Gas natural: MIBGAS-ES Index</t>
        </is>
      </c>
      <c r="C3" s="55" t="inlineStr">
        <is>
          <t>MIBGAS, fichero anual MIBGAS_Data (hoja de índices), MIBGAS-ES Index</t>
        </is>
      </c>
      <c r="D3" s="55" t="inlineStr">
        <is>
          <t>https://www.mibgas.es/es/file-access</t>
        </is>
      </c>
      <c r="E3" s="55" t="inlineStr">
        <is>
          <t>€/MWh</t>
        </is>
      </c>
      <c r="F3" s="55" t="inlineStr">
        <is>
          <t>diaria (por día de gas)</t>
        </is>
      </c>
      <c r="G3" s="55" t="inlineStr">
        <is>
          <t>sin impuestos (precio mayorista)</t>
        </is>
      </c>
      <c r="H3" s="55" t="inlineStr">
        <is>
          <t>€/MWh ÷ 1.000 = €/kWh (el índice se expresa sobre PCS, como todo el mercado gasista)</t>
        </is>
      </c>
      <c r="I3" s="55" t="inlineStr">
        <is>
          <t>Precio mayorista: no se le aplican impuestos (decisión 1).</t>
        </is>
      </c>
    </row>
    <row r="4">
      <c r="A4" s="55" t="n">
        <v>3</v>
      </c>
      <c r="B4" s="55" t="inlineStr">
        <is>
          <t>Gasóleo de automoción: precio medio en España</t>
        </is>
      </c>
      <c r="C4" s="55" t="inlineStr">
        <is>
          <t>Comisión Europea, Weekly Oil Bulletin (fichero histórico de precios)</t>
        </is>
      </c>
      <c r="D4" s="55" t="inlineStr">
        <is>
          <t>https://energy.ec.europa.eu/data-and-analysis/weekly-oil-bulletin_en</t>
        </is>
      </c>
      <c r="E4" s="55" t="inlineStr">
        <is>
          <t>€/l</t>
        </is>
      </c>
      <c r="F4" s="55" t="inlineStr">
        <is>
          <t>semanal (precio del lunes)</t>
        </is>
      </c>
      <c r="G4" s="55" t="inlineStr">
        <is>
          <t>con impuestos (y también sin impuestos)</t>
        </is>
      </c>
      <c r="H4" s="55" t="inlineStr">
        <is>
          <t>€/l ÷ 10.28 kWh/l (PCI; decisión 10)</t>
        </is>
      </c>
      <c r="I4" s="55" t="inlineStr">
        <is>
          <t>De abril a diciembre de 2022 el Boletín no descuenta la bonificación de 20 c€/l del RDL 6/2022 (decisión 11).</t>
        </is>
      </c>
    </row>
    <row r="5">
      <c r="A5" s="55" t="n">
        <v>4</v>
      </c>
      <c r="B5" s="55" t="inlineStr">
        <is>
          <t>Electricidad PVPC: término de energía, tarifa 2.0TD (Península)</t>
        </is>
      </c>
      <c r="C5" s="55" t="inlineStr">
        <is>
          <t>REE/ESIOS, indicador 1001 (término de facturación de energía activa del PVPC 2.0TD, Península)</t>
        </is>
      </c>
      <c r="D5" s="55" t="inlineStr">
        <is>
          <t>https://www.esios.ree.es/es/pvpc</t>
        </is>
      </c>
      <c r="E5" s="55" t="inlineStr">
        <is>
          <t>€/MWh</t>
        </is>
      </c>
      <c r="F5" s="55" t="inlineStr">
        <is>
          <t>diaria (media aritmética de los valores horarios o cuarto-horarios del día)</t>
        </is>
      </c>
      <c r="G5" s="55" t="inlineStr">
        <is>
          <t>sin impuestos</t>
        </is>
      </c>
      <c r="H5" s="55" t="inlineStr">
        <is>
          <t>€/MWh ÷ 1.000 = €/kWh; con impuestos: (precio + cuota IEE) × (1 + IVA) vigentes en la fecha</t>
        </is>
      </c>
      <c r="I5" s="55" t="inlineStr">
        <is>
          <t>Indicador 1001 de ESIOS. Requiere ESIOS_TOKEN. Existe desde el 01/06/2021 (inicio de la 2.0TD).</t>
        </is>
      </c>
    </row>
    <row r="6">
      <c r="A6" s="55" t="n">
        <v>5</v>
      </c>
      <c r="B6" s="55" t="inlineStr">
        <is>
          <t>Gas natural TUR 2: término variable</t>
        </is>
      </c>
      <c r="C6" s="55" t="inlineStr">
        <is>
          <t>BOE, resoluciones de la DGPEM por las que se publica la tarifa de último recurso de gas natural</t>
        </is>
      </c>
      <c r="D6" s="55" t="inlineStr">
        <is>
          <t>https://www.boe.es/</t>
        </is>
      </c>
      <c r="E6" s="55" t="inlineStr">
        <is>
          <t>c€/kWh (PCS)</t>
        </is>
      </c>
      <c r="F6" s="55" t="inlineStr">
        <is>
          <t>trimestral (valor vigente desde la fecha de efectos de cada resolución)</t>
        </is>
      </c>
      <c r="G6" s="55" t="inlineStr">
        <is>
          <t>sin impuestos</t>
        </is>
      </c>
      <c r="H6" s="55" t="inlineStr">
        <is>
          <t>c€/kWh (PCS) ÷ 100 ÷ 0.904 = €/kWh (PCI); con impuestos: (precio + IH gas) × (1 + IVA) vigentes</t>
        </is>
      </c>
      <c r="I6" s="55" t="inlineStr">
        <is>
          <t>Consumo entre 5.000 y 15.000 kWh/año.</t>
        </is>
      </c>
    </row>
    <row r="7">
      <c r="A7" s="55" t="n">
        <v>6</v>
      </c>
      <c r="B7" s="55" t="inlineStr">
        <is>
          <t>Gasóleo de calefacción: precio medio en España</t>
        </is>
      </c>
      <c r="C7" s="55" t="inlineStr">
        <is>
          <t>Comisión Europea, Weekly Oil Bulletin (fichero histórico de precios)</t>
        </is>
      </c>
      <c r="D7" s="55" t="inlineStr">
        <is>
          <t>https://energy.ec.europa.eu/data-and-analysis/weekly-oil-bulletin_en</t>
        </is>
      </c>
      <c r="E7" s="55" t="inlineStr">
        <is>
          <t>€/l</t>
        </is>
      </c>
      <c r="F7" s="55" t="inlineStr">
        <is>
          <t>semanal (precio del lunes)</t>
        </is>
      </c>
      <c r="G7" s="55" t="inlineStr">
        <is>
          <t>con impuestos (y también sin impuestos)</t>
        </is>
      </c>
      <c r="H7" s="55" t="inlineStr">
        <is>
          <t>€/l ÷ 10.28 kWh/l (PCI)</t>
        </is>
      </c>
      <c r="I7" s="55" t="inlineStr">
        <is>
          <t>De abril a diciembre de 2022 el Boletín no descuenta la bonificación de 20 c€/l del RDL 6/2022 (decisión 11).</t>
        </is>
      </c>
    </row>
    <row r="8">
      <c r="A8" s="55" t="n">
        <v>7</v>
      </c>
      <c r="B8" s="55" t="inlineStr">
        <is>
          <t>Butano: bombona regulada de 12,5 kg</t>
        </is>
      </c>
      <c r="C8" s="55" t="inlineStr">
        <is>
          <t>BOE, resoluciones de la DGPEM con los precios máximos de venta, antes de impuestos, de los GLP envasados</t>
        </is>
      </c>
      <c r="D8" s="55" t="inlineStr">
        <is>
          <t>https://www.boe.es/</t>
        </is>
      </c>
      <c r="E8" s="55" t="inlineStr">
        <is>
          <t>c€/kg (antes de impuestos)</t>
        </is>
      </c>
      <c r="F8" s="55" t="inlineStr">
        <is>
          <t>bimestral (valor vigente desde el tercer martes de ene/mar/may/jul/sep/nov)</t>
        </is>
      </c>
      <c r="G8" s="55" t="inlineStr">
        <is>
          <t>sin impuestos</t>
        </is>
      </c>
      <c r="H8" s="55" t="inlineStr">
        <is>
          <t>bombona: c€/kg ÷ 100 × 12,5 kg (+ IH GLP, × (1 + IVA)); €/kWh = € ÷ 12,5 kg ÷ 12.73 kWh/kg (PCI)</t>
        </is>
      </c>
      <c r="I8" s="55" t="inlineStr">
        <is>
          <t>El BOE solo publica el precio antes de impuestos; el precio de la bombona con impuestos es calculado.</t>
        </is>
      </c>
    </row>
    <row r="9">
      <c r="A9" s="55" t="n">
        <v>8</v>
      </c>
      <c r="B9" s="55" t="inlineStr">
        <is>
          <t>Pellet: precio medio en España del saco de 15 kg</t>
        </is>
      </c>
      <c r="C9" s="55" t="inlineStr">
        <is>
          <t>AVEBIOM, Índice de Precios de Biomasa al Consumidor (pellet de madera)</t>
        </is>
      </c>
      <c r="D9" s="55" t="inlineStr">
        <is>
          <t>https://avebiom.org/actividades/indice-de-precios-biocombustibles-solidos/</t>
        </is>
      </c>
      <c r="E9" s="55" t="inlineStr">
        <is>
          <t>€/saco</t>
        </is>
      </c>
      <c r="F9" s="55" t="inlineStr">
        <is>
          <t>trimestral (medias anuales antes de 4T2024)</t>
        </is>
      </c>
      <c r="G9" s="55" t="inlineStr">
        <is>
          <t>con impuestos (IVA incluido según AVEBIOM)</t>
        </is>
      </c>
      <c r="H9" s="55" t="inlineStr">
        <is>
          <t>€/saco ÷ 15 kg ÷ 4.8 kWh/kg (PCI; decisión 9). Se guarda también el c€/kWh de AVEBIOM (4,76 kWh/kg).</t>
        </is>
      </c>
      <c r="I9" s="55" t="inlineStr">
        <is>
          <t>Trimestral solo desde 4T2024 (PDF disponibles); 2020–2024: medias anuales publicadas por AVEBIOM (decisión 6).</t>
        </is>
      </c>
    </row>
    <row r="10">
      <c r="A10" s="55" t="n">
        <v>8</v>
      </c>
      <c r="B10" s="55" t="inlineStr">
        <is>
          <t>Pellet: precio medio en España a granel en volquete</t>
        </is>
      </c>
      <c r="C10" s="55" t="inlineStr">
        <is>
          <t>AVEBIOM, Índice de Precios de Biomasa al Consumidor (pellet de madera)</t>
        </is>
      </c>
      <c r="D10" s="55" t="inlineStr">
        <is>
          <t>https://avebiom.org/actividades/indice-de-precios-biocombustibles-solidos/</t>
        </is>
      </c>
      <c r="E10" s="55" t="inlineStr">
        <is>
          <t>€/t</t>
        </is>
      </c>
      <c r="F10" s="55" t="inlineStr">
        <is>
          <t>trimestral (medias anuales antes de 4T2024)</t>
        </is>
      </c>
      <c r="G10" s="55" t="inlineStr">
        <is>
          <t>con impuestos (IVA y transporte incluidos según AVEBIOM)</t>
        </is>
      </c>
      <c r="H10" s="55" t="inlineStr">
        <is>
          <t>€/t ÷ 1.000 ÷ 4.8 kWh/kg (PCI; decisión 9). Se guarda también el c€/kWh de AVEBIOM.</t>
        </is>
      </c>
      <c r="I10" s="55" t="inlineStr">
        <is>
          <t>Trimestral solo desde 4T2024 (PDF disponibles); 2020–2024: medias anuales publicadas por AVEBIOM (decisión 6).</t>
        </is>
      </c>
    </row>
    <row r="12">
      <c r="A12" s="25" t="inlineStr">
        <is>
          <t>Factores de conversión (poder calorífico inferior)</t>
        </is>
      </c>
    </row>
    <row r="13">
      <c r="B13" t="inlineStr">
        <is>
          <t>Pellet de madera, PCI</t>
        </is>
      </c>
      <c r="C13" t="n">
        <v>4.8</v>
      </c>
      <c r="D13" t="inlineStr">
        <is>
          <t>kWh/kg</t>
        </is>
      </c>
      <c r="E13" t="inlineStr">
        <is>
          <t>Boletín de referencia (fuente citada: IDAE). AVEBIOM usa 4.100 kcal/kg = 4,76 kWh/kg en su índice.</t>
        </is>
      </c>
    </row>
    <row r="14">
      <c r="B14" t="inlineStr">
        <is>
          <t>Pellet de madera, PCI usado por AVEBIOM</t>
        </is>
      </c>
      <c r="C14" t="n">
        <v>4.76</v>
      </c>
      <c r="D14" t="inlineStr">
        <is>
          <t>kWh/kg</t>
        </is>
      </c>
      <c r="E14" t="inlineStr">
        <is>
          <t>Índice de precios AVEBIOM: «poder calorífico del pellet de 4100 kcal/kg (4,76 kWh/kg)».</t>
        </is>
      </c>
    </row>
    <row r="15">
      <c r="B15" t="inlineStr">
        <is>
          <t>Gasóleo (automoción y calefacción), PCI</t>
        </is>
      </c>
      <c r="C15" t="n">
        <v>10.28</v>
      </c>
      <c r="D15" t="inlineStr">
        <is>
          <t>kWh/l</t>
        </is>
      </c>
      <c r="E15" t="inlineStr">
        <is>
          <t>Boletín de referencia (fuente citada: IDAE). Decisión 10: mismo factor para gasóleo A y C.</t>
        </is>
      </c>
    </row>
    <row r="16">
      <c r="B16" t="inlineStr">
        <is>
          <t>Butano, PCI</t>
        </is>
      </c>
      <c r="C16" t="n">
        <v>12.73</v>
      </c>
      <c r="D16" t="inlineStr">
        <is>
          <t>kWh/kg</t>
        </is>
      </c>
      <c r="E16" t="inlineStr">
        <is>
          <t>Boletín de referencia (fuente citada: IDAE).</t>
        </is>
      </c>
    </row>
    <row r="17">
      <c r="B17" t="inlineStr">
        <is>
          <t>Gas natural, relación PCI/PCS</t>
        </is>
      </c>
      <c r="C17" t="n">
        <v>0.904</v>
      </c>
      <c r="D17" t="inlineStr">
        <is>
          <t>adimensional</t>
        </is>
      </c>
      <c r="E17" t="inlineStr">
        <is>
          <t>Boletín de referencia (fuente citada: IDAE). La TUR se factura en kWh sobre PCS.</t>
        </is>
      </c>
    </row>
    <row r="19">
      <c r="A19" s="25" t="inlineStr">
        <is>
          <t>Criterios</t>
        </is>
      </c>
    </row>
    <row r="20">
      <c r="A20" t="inlineStr">
        <is>
          <t>Nada se rellena ni se estima: si la fuente no da un dato, la celda queda vacía (n. d.).</t>
        </is>
      </c>
    </row>
    <row r="21">
      <c r="A21" t="inlineStr">
        <is>
          <t>Datos originales (valor original) frente a calculados (precio con impuestos de PVPC, TUR 2 y butano). El Boletín Petrolero y AVEBIOM publican ya con impuestos.</t>
        </is>
      </c>
    </row>
    <row r="22">
      <c r="A22" t="inlineStr">
        <is>
          <t>Impuestos vigentes en cada fecha, con referencia al BOE en la columna «Impuestos aplicados»; en 2026 varios tipos dependen del IPC del INE.</t>
        </is>
      </c>
    </row>
    <row r="23">
      <c r="A23" t="inlineStr">
        <is>
          <t>Medias mensuales: media aritmética de los datos del mes (diarios/semanales); valor vigente ponderado por días (TUR 2, butano); valor del periodo (pellet).</t>
        </is>
      </c>
    </row>
    <row r="24">
      <c r="A24" t="inlineStr">
        <is>
          <t>OMIE y MIBGAS son precios mayoristas y se muestran sin impuestos.</t>
        </is>
      </c>
    </row>
    <row r="25">
      <c r="A25" t="inlineStr">
        <is>
          <t>Metodología completa y tabla de impuestos: https://github.com/pablopardopazosgestan/cuadro-mando-precios-energia/blob/main/docs/METODOLOGIA.md · Cuadro de mando: https://pablopardopazosgestan.github.io/cuadro-mando-precios-energia/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2026-10-27T12:07:46Z</dcterms:created>
  <dcterms:modified xmlns:dcterms="http://purl.org/dc/terms/" xmlns:xsi="http://www.w3.org/2001/XMLSchema-instance" xsi:type="dcterms:W3CDTF">2026-10-27T12:07:47Z</dcterms:modified>
</cp:coreProperties>
</file>