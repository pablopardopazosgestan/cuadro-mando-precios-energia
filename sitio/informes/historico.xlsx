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d03b3b"/>
      <sz val="9"/>
    </font>
    <font>
      <name val="Calibri"/>
      <color rgb="000ca30c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7" headerRowCount="1">
  <autoFilter ref="A4:L249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4" headerRowCount="1">
  <autoFilter ref="A4:L35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81" headerRowCount="1">
  <autoFilter ref="A4:L1981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4" headerRowCount="1">
  <autoFilter ref="A4:L35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29/10/2026 · última actualización 2026-10-29 11:06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0.1701974285714286</v>
      </c>
      <c r="D6" s="10" t="n">
        <v>0.09297571428571427</v>
      </c>
      <c r="E6" s="11" t="n"/>
      <c r="F6" s="11" t="n"/>
      <c r="G6" s="12" t="n">
        <v>0.183638</v>
      </c>
      <c r="H6" s="11" t="n"/>
      <c r="I6" s="11" t="n"/>
      <c r="J6" s="12" t="n">
        <v>0.2643161428571428</v>
      </c>
      <c r="K6" s="11" t="n"/>
      <c r="L6" s="11" t="n"/>
    </row>
    <row r="7">
      <c r="C7" s="13" t="inlineStr">
        <is>
          <t>Semana: ▲ +9,5 %</t>
        </is>
      </c>
      <c r="D7" s="13" t="inlineStr">
        <is>
          <t>Semana: ▲ +6,9 %</t>
        </is>
      </c>
      <c r="G7" s="14" t="inlineStr">
        <is>
          <t>Semana: ▼ -0,1 %</t>
        </is>
      </c>
      <c r="J7" s="13" t="inlineStr">
        <is>
          <t>Semana: ▲ +7,0 %</t>
        </is>
      </c>
    </row>
    <row r="8">
      <c r="C8" s="13" t="inlineStr">
        <is>
          <t>Un año: ▲ +96,5 %</t>
        </is>
      </c>
      <c r="D8" s="13" t="inlineStr">
        <is>
          <t>Un año: ▲ +197,5 %</t>
        </is>
      </c>
      <c r="G8" s="13" t="inlineStr">
        <is>
          <t>Un año: ▲ +35,4 %</t>
        </is>
      </c>
      <c r="J8" s="13" t="inlineStr">
        <is>
          <t>Un año: ▲ +36,7 %</t>
        </is>
      </c>
    </row>
    <row r="9">
      <c r="C9" s="15" t="inlineStr"/>
      <c r="D9" s="15" t="inlineStr"/>
      <c r="E9" s="11" t="n"/>
      <c r="F9" s="11" t="n"/>
      <c r="G9" s="15" t="inlineStr"/>
      <c r="H9" s="11" t="n"/>
      <c r="I9" s="11" t="n"/>
      <c r="J9" s="15" t="inlineStr"/>
      <c r="K9" s="11" t="n"/>
      <c r="L9" s="11" t="n"/>
    </row>
    <row r="10">
      <c r="C10" s="16" t="inlineStr">
        <is>
          <t>OMIE · dato del 29/10/2026</t>
        </is>
      </c>
      <c r="D10" s="16" t="inlineStr">
        <is>
          <t>MIBGAS · dato del 28/10/2026</t>
        </is>
      </c>
      <c r="E10" s="11" t="n"/>
      <c r="F10" s="11" t="n"/>
      <c r="G10" s="16" t="inlineStr">
        <is>
          <t>Comisión Europea (WOB) · dato del 26/10/2026</t>
        </is>
      </c>
      <c r="H10" s="11" t="n"/>
      <c r="I10" s="11" t="n"/>
      <c r="J10" s="16" t="inlineStr">
        <is>
          <t>REE/ESIOS · dato del 29/10/2026</t>
        </is>
      </c>
      <c r="K10" s="11" t="n"/>
      <c r="L10" s="11" t="n"/>
    </row>
    <row r="12">
      <c r="C12" s="17" t="inlineStr">
        <is>
          <t>5. TUR 2  ·  con impuestos</t>
        </is>
      </c>
      <c r="D12" s="18" t="inlineStr">
        <is>
          <t>6. Gasóleo C  ·  con impuestos</t>
        </is>
      </c>
      <c r="E12" s="19" t="n"/>
      <c r="F12" s="19" t="n"/>
      <c r="G12" s="20" t="inlineStr">
        <is>
          <t>7. Butano  ·  con impuestos</t>
        </is>
      </c>
      <c r="H12" s="21" t="n"/>
      <c r="I12" s="21" t="n"/>
      <c r="J12" s="22" t="inlineStr">
        <is>
          <t>8. Pellet saco 15 kg  ·  con impuestos</t>
        </is>
      </c>
      <c r="K12" s="23" t="n"/>
      <c r="L12" s="23" t="n"/>
    </row>
    <row r="13" ht="24" customHeight="1">
      <c r="C13" s="12" t="n">
        <v>0.070629</v>
      </c>
      <c r="D13" s="12" t="n">
        <v>0.146688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24" t="inlineStr">
        <is>
          <t>Semana: ■ 0,0 %</t>
        </is>
      </c>
      <c r="D14" s="14" t="inlineStr">
        <is>
          <t>Semana: ▼ -0,9 %</t>
        </is>
      </c>
      <c r="G14" s="24" t="inlineStr">
        <is>
          <t>Semana: ■ 0,0 %</t>
        </is>
      </c>
      <c r="J14" s="24" t="inlineStr">
        <is>
          <t>Semana: ■ 0,0 %</t>
        </is>
      </c>
    </row>
    <row r="15">
      <c r="C15" s="13" t="inlineStr">
        <is>
          <t>Un año: ▲ +16,5 %</t>
        </is>
      </c>
      <c r="D15" s="13" t="inlineStr">
        <is>
          <t>Un año: ▲ +71,0 %</t>
        </is>
      </c>
      <c r="G15" s="13" t="inlineStr">
        <is>
          <t>Un año: ▲ +15,8 %</t>
        </is>
      </c>
      <c r="J15" s="13" t="inlineStr">
        <is>
          <t>Un año: ▲ +11,5 %</t>
        </is>
      </c>
    </row>
    <row r="16">
      <c r="C16" s="15" t="inlineStr"/>
      <c r="D16" s="15" t="inlineStr"/>
      <c r="E16" s="11" t="n"/>
      <c r="F16" s="11" t="n"/>
      <c r="G16" s="15" t="inlineStr"/>
      <c r="H16" s="11" t="n"/>
      <c r="I16" s="11" t="n"/>
      <c r="J16" s="15" t="inlineStr">
        <is>
          <t>Pellet granel: 0,077 €/kWh (■ 0,0 % semana, ▲ +13,1 % año)</t>
        </is>
      </c>
      <c r="K16" s="11" t="n"/>
      <c r="L16" s="11" t="n"/>
    </row>
    <row r="17">
      <c r="C17" s="16" t="inlineStr">
        <is>
          <t>BOE (DGPEM) · dato del 01/10/2026</t>
        </is>
      </c>
      <c r="D17" s="16" t="inlineStr">
        <is>
          <t>Comisión Europea (WOB) · dato del 26/10/2026</t>
        </is>
      </c>
      <c r="E17" s="11" t="n"/>
      <c r="F17" s="11" t="n"/>
      <c r="G17" s="16" t="inlineStr">
        <is>
          <t>BOE (DGPEM) · dato del 15/09/2026</t>
        </is>
      </c>
      <c r="H17" s="11" t="n"/>
      <c r="I17" s="11" t="n"/>
      <c r="J17" s="16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0.1701974285714286</v>
      </c>
      <c r="E21" s="30" t="n">
        <v>0.09470730333516798</v>
      </c>
      <c r="F21" s="30" t="n">
        <v>0.9647988829579623</v>
      </c>
      <c r="G21" s="31" t="inlineStr">
        <is>
          <t>2026-10-29</t>
        </is>
      </c>
      <c r="H21" s="32" t="n">
        <v>231.0077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0.09297571428571427</v>
      </c>
      <c r="E22" s="30" t="n">
        <v>0.0691076943294564</v>
      </c>
      <c r="F22" s="30" t="n">
        <v>1.975358873548504</v>
      </c>
      <c r="G22" s="31" t="inlineStr">
        <is>
          <t>2026-10-28</t>
        </is>
      </c>
      <c r="H22" s="32" t="n">
        <v>96.17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0.183638</v>
      </c>
      <c r="E23" s="30" t="n">
        <v>-0.0007509141563643018</v>
      </c>
      <c r="F23" s="30" t="n">
        <v>0.3535837485626676</v>
      </c>
      <c r="G23" s="31" t="inlineStr">
        <is>
          <t>2026-10-26</t>
        </is>
      </c>
      <c r="H23" s="36" t="n">
        <v>1.8878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actualizado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0.2643161428571428</v>
      </c>
      <c r="E24" s="30" t="n">
        <v>0.06968699936462097</v>
      </c>
      <c r="F24" s="30" t="n">
        <v>0.3669215004558342</v>
      </c>
      <c r="G24" s="31" t="inlineStr">
        <is>
          <t>2026-10-29</t>
        </is>
      </c>
      <c r="H24" s="32" t="n">
        <v>240.0492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0.146688</v>
      </c>
      <c r="E26" s="30" t="n">
        <v>-0.008791193940090092</v>
      </c>
      <c r="F26" s="30" t="n">
        <v>0.7104677060133631</v>
      </c>
      <c r="G26" s="31" t="inlineStr">
        <is>
          <t>2026-10-26</t>
        </is>
      </c>
      <c r="H26" s="36" t="n">
        <v>1.50795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actualizado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+9,5 %; PVPC 2.0TD +7,0 %; MIBGAS +6,9 %.</t>
        </is>
      </c>
    </row>
    <row r="33">
      <c r="B33" s="42" t="inlineStr">
        <is>
          <t>• Sin cambios apreciables en la semana (menos de un 1 %): Gasóleo A, TUR 2, Gasóleo C, Butano, Pellet saco 15 kg, Pellet granel.</t>
        </is>
      </c>
    </row>
    <row r="34">
      <c r="B34" s="42" t="inlineStr">
        <is>
          <t>• Respecto a hace un año, suben OMIE (+96,5 %), MIBGAS (+197,5 %), Gasóleo A (+35,4 %), PVPC 2.0TD (+36,7 %), TUR 2 (+16,5 %), Gasóleo C (+71,0 %),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0,147 €/kWh; Gasóleo A 0,184 €/kWh; PVPC 2.0TD 0,264 €/kWh. El más caro (PVPC 2.0TD) cuesta 3,7 veces el más barato (TUR 2).</t>
        </is>
      </c>
    </row>
    <row r="36">
      <c r="B36" s="42" t="inlineStr">
        <is>
          <t>• Precios mayoristas, sin impuestos: OMIE 0,1702 €/kWh; MIBGAS 0,0930 €/kWh.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0.146688</v>
      </c>
    </row>
    <row r="47">
      <c r="C47" s="43" t="inlineStr">
        <is>
          <t>Gasóleo A</t>
        </is>
      </c>
      <c r="D47" s="44" t="n">
        <v>0.183638</v>
      </c>
    </row>
    <row r="48">
      <c r="C48" s="43" t="inlineStr">
        <is>
          <t>PVPC 2.0TD</t>
        </is>
      </c>
      <c r="D48" s="44" t="n">
        <v>0.2643161428571428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0.082481</v>
      </c>
      <c r="C8" s="45" t="n">
        <v>0.05315110000000001</v>
      </c>
      <c r="D8" s="45" t="n">
        <v>0.1636225</v>
      </c>
      <c r="E8" s="45" t="n">
        <v>0.1831264</v>
      </c>
      <c r="F8" s="45" t="n">
        <v>0.0549546</v>
      </c>
      <c r="G8" s="45" t="n">
        <v>0.1163788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0.162509</v>
      </c>
      <c r="C83" s="46" t="n">
        <v>162.509314</v>
      </c>
      <c r="D83" s="45" t="n">
        <v>0.083718</v>
      </c>
      <c r="E83" s="46" t="n">
        <v>83.7175</v>
      </c>
      <c r="F83" s="45" t="n">
        <v>0.184437</v>
      </c>
      <c r="G83" s="46" t="n">
        <v>1.896008</v>
      </c>
      <c r="H83" s="45" t="n">
        <v>0.251828</v>
      </c>
      <c r="I83" s="46" t="n">
        <v>197.999417</v>
      </c>
      <c r="J83" s="45" t="n">
        <v>0.070629</v>
      </c>
      <c r="K83" s="46" t="n">
        <v>5.042762</v>
      </c>
      <c r="L83" s="45" t="n">
        <v>0.145183</v>
      </c>
      <c r="M83" s="46" t="n">
        <v>1.49248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  <row r="2494">
      <c r="A2494" s="53" t="n">
        <v>46323</v>
      </c>
      <c r="B2494" t="inlineStr">
        <is>
          <t>2026-10-28</t>
        </is>
      </c>
      <c r="C2494" s="45" t="n">
        <v>197.4594</v>
      </c>
      <c r="D2494" t="inlineStr">
        <is>
          <t>€/MWh</t>
        </is>
      </c>
      <c r="E2494" s="54" t="n">
        <v>0.197459</v>
      </c>
      <c r="F2494" s="54" t="n"/>
      <c r="G2494" t="inlineStr">
        <is>
          <t>no aplica (precio mayorista)</t>
        </is>
      </c>
      <c r="J2494" t="inlineStr">
        <is>
          <t>2026-10-27</t>
        </is>
      </c>
      <c r="K2494" t="inlineStr">
        <is>
          <t>marginalpdbc_20261028.1</t>
        </is>
      </c>
      <c r="L2494" t="inlineStr">
        <is>
          <t>96 periodos; mín 57.08, máx 319.00 €/MWh</t>
        </is>
      </c>
    </row>
    <row r="2495">
      <c r="A2495" s="53" t="n">
        <v>46324</v>
      </c>
      <c r="B2495" t="inlineStr">
        <is>
          <t>2026-10-29</t>
        </is>
      </c>
      <c r="C2495" s="45" t="n">
        <v>231.0077</v>
      </c>
      <c r="D2495" t="inlineStr">
        <is>
          <t>€/MWh</t>
        </is>
      </c>
      <c r="E2495" s="54" t="n">
        <v>0.231008</v>
      </c>
      <c r="F2495" s="54" t="n"/>
      <c r="G2495" t="inlineStr">
        <is>
          <t>no aplica (precio mayorista)</t>
        </is>
      </c>
      <c r="J2495" t="inlineStr">
        <is>
          <t>2026-10-28</t>
        </is>
      </c>
      <c r="K2495" t="inlineStr">
        <is>
          <t>marginalpdbc_20261029.1</t>
        </is>
      </c>
      <c r="L2495" t="inlineStr">
        <is>
          <t>96 periodos; mín 115.00, máx 322.78 €/MWh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  <row r="2496">
      <c r="A2496" s="53" t="n">
        <v>46322</v>
      </c>
      <c r="B2496" t="inlineStr">
        <is>
          <t>2026-10-27</t>
        </is>
      </c>
      <c r="C2496" s="45" t="n">
        <v>95.66</v>
      </c>
      <c r="D2496" t="inlineStr">
        <is>
          <t>€/MWh</t>
        </is>
      </c>
      <c r="E2496" s="54" t="n">
        <v>0.09566</v>
      </c>
      <c r="F2496" s="54" t="n"/>
      <c r="G2496" t="inlineStr">
        <is>
          <t>no aplica (precio mayorista)</t>
        </is>
      </c>
      <c r="J2496" t="inlineStr">
        <is>
          <t>2026-10-27</t>
        </is>
      </c>
      <c r="K2496" t="inlineStr">
        <is>
          <t>MIBGAS_Data_2026.xlsx</t>
        </is>
      </c>
    </row>
    <row r="2497">
      <c r="A2497" s="53" t="n">
        <v>46323</v>
      </c>
      <c r="B2497" t="inlineStr">
        <is>
          <t>2026-10-28</t>
        </is>
      </c>
      <c r="C2497" s="45" t="n">
        <v>96.17</v>
      </c>
      <c r="D2497" t="inlineStr">
        <is>
          <t>€/MWh</t>
        </is>
      </c>
      <c r="E2497" s="54" t="n">
        <v>0.09617000000000001</v>
      </c>
      <c r="F2497" s="54" t="n"/>
      <c r="G2497" t="inlineStr">
        <is>
          <t>no aplica (precio mayorista)</t>
        </is>
      </c>
      <c r="J2497" t="inlineStr">
        <is>
          <t>2026-10-28</t>
        </is>
      </c>
      <c r="K2497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  <row r="354">
      <c r="A354" s="53" t="n">
        <v>46321</v>
      </c>
      <c r="B354" t="inlineStr">
        <is>
          <t>2026-10-26</t>
        </is>
      </c>
      <c r="C354" s="45" t="n">
        <v>1.8878</v>
      </c>
      <c r="D354" t="inlineStr">
        <is>
          <t>€/l</t>
        </is>
      </c>
      <c r="E354" s="54" t="n">
        <v>0.134355</v>
      </c>
      <c r="F354" s="54" t="n">
        <v>0.183638</v>
      </c>
      <c r="G354" t="inlineStr">
        <is>
          <t>original (el Boletín publica con y sin impuestos)</t>
        </is>
      </c>
      <c r="H354" t="inlineStr">
        <is>
          <t>IVA e impuesto sobre hidrocarburos incluidos por la fuente</t>
        </is>
      </c>
      <c r="K354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  <row r="1980">
      <c r="A1980" s="53" t="n">
        <v>46323</v>
      </c>
      <c r="B1980" t="inlineStr">
        <is>
          <t>2026-10-28</t>
        </is>
      </c>
      <c r="C1980" s="45" t="n">
        <v>223.2796</v>
      </c>
      <c r="D1980" t="inlineStr">
        <is>
          <t>€/MWh</t>
        </is>
      </c>
      <c r="E1980" s="54" t="n">
        <v>0.22328</v>
      </c>
      <c r="F1980" s="54" t="n">
        <v>0.283981</v>
      </c>
      <c r="G1980" t="inlineStr">
        <is>
          <t>calculado</t>
        </is>
      </c>
      <c r="H1980" t="inlineStr">
        <is>
          <t>IEE 5.1127 % con cuota mínima 1 €/MWh (Ley 38/1992 art. 99 (RDL 25/2026 no reduce el IEE en octubre)) + IVA 21 % (Ley 37/1992 art. 90 (RDL 25/2026 no reduce el IVA en octubre))</t>
        </is>
      </c>
      <c r="J1980" t="inlineStr">
        <is>
          <t>2026-10-27</t>
        </is>
      </c>
      <c r="K1980" t="inlineStr">
        <is>
          <t>ESIOS 1001 geo 8741</t>
        </is>
      </c>
      <c r="L1980" t="inlineStr">
        <is>
          <t>24 valores; mín 64.63, máx 401.20 €/MWh</t>
        </is>
      </c>
    </row>
    <row r="1981">
      <c r="A1981" s="53" t="n">
        <v>46324</v>
      </c>
      <c r="B1981" t="inlineStr">
        <is>
          <t>2026-10-29</t>
        </is>
      </c>
      <c r="C1981" s="45" t="n">
        <v>240.0492</v>
      </c>
      <c r="D1981" t="inlineStr">
        <is>
          <t>€/MWh</t>
        </is>
      </c>
      <c r="E1981" s="54" t="n">
        <v>0.240049</v>
      </c>
      <c r="F1981" s="54" t="n">
        <v>0.30531</v>
      </c>
      <c r="G1981" t="inlineStr">
        <is>
          <t>calculado</t>
        </is>
      </c>
      <c r="H1981" t="inlineStr">
        <is>
          <t>IEE 5.1127 % con cuota mínima 1 €/MWh (Ley 38/1992 art. 99 (RDL 25/2026 no reduce el IEE en octubre)) + IVA 21 % (Ley 37/1992 art. 90 (RDL 25/2026 no reduce el IVA en octubre))</t>
        </is>
      </c>
      <c r="J1981" t="inlineStr">
        <is>
          <t>2026-10-28</t>
        </is>
      </c>
      <c r="K1981" t="inlineStr">
        <is>
          <t>ESIOS 1001 geo 8741</t>
        </is>
      </c>
      <c r="L1981" t="inlineStr">
        <is>
          <t>24 valores; mín 107.01, máx 395.97 €/MWh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  <row r="354">
      <c r="A354" s="53" t="n">
        <v>46321</v>
      </c>
      <c r="B354" t="inlineStr">
        <is>
          <t>2026-10-26</t>
        </is>
      </c>
      <c r="C354" s="45" t="n">
        <v>1.50795</v>
      </c>
      <c r="D354" t="inlineStr">
        <is>
          <t>€/l</t>
        </is>
      </c>
      <c r="E354" s="54" t="n">
        <v>0.119187</v>
      </c>
      <c r="F354" s="54" t="n">
        <v>0.146688</v>
      </c>
      <c r="G354" t="inlineStr">
        <is>
          <t>original (el Boletín publica con y sin impuestos)</t>
        </is>
      </c>
      <c r="H354" t="inlineStr">
        <is>
          <t>IVA e impuesto sobre hidrocarburos incluidos por la fuente</t>
        </is>
      </c>
      <c r="K354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2026-10-29T11:06:50Z</dcterms:created>
  <dcterms:modified xmlns:dcterms="http://purl.org/dc/terms/" xmlns:xsi="http://www.w3.org/2001/XMLSchema-instance" xsi:type="dcterms:W3CDTF">2026-10-29T11:06:50Z</dcterms:modified>
</cp:coreProperties>
</file>